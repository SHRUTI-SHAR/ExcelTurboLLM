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wert\"/>
    </mc:Choice>
  </mc:AlternateContent>
  <xr:revisionPtr revIDLastSave="0" documentId="13_ncr:1_{8AA88D25-3BD5-44AF-878E-180A5F4EB8AB}" xr6:coauthVersionLast="47" xr6:coauthVersionMax="47" xr10:uidLastSave="{00000000-0000-0000-0000-000000000000}"/>
  <workbookProtection workbookPassword="EE33" lockStructure="1"/>
  <bookViews>
    <workbookView xWindow="768" yWindow="768" windowWidth="17280" windowHeight="8880" firstSheet="3" activeTab="3" xr2:uid="{00000000-000D-0000-FFFF-FFFF00000000}"/>
  </bookViews>
  <sheets>
    <sheet name="CARE SHEET" sheetId="6" state="hidden" r:id="rId1"/>
    <sheet name="ZONE 1 PREMIUM" sheetId="9" state="hidden" r:id="rId2"/>
    <sheet name="DROPDOWN" sheetId="10" state="hidden" r:id="rId3"/>
    <sheet name="CALCULATOR CARE V6" sheetId="11" r:id="rId4"/>
    <sheet name="optional benefits" sheetId="12" state="hidden" r:id="rId5"/>
    <sheet name="CARE SENIOR" sheetId="13" state="hidden" r:id="rId6"/>
    <sheet name="TRAVEL PLUS" sheetId="14" state="hidden" r:id="rId7"/>
    <sheet name="ADD SI" sheetId="15" state="hidden" r:id="rId8"/>
    <sheet name="Sheet1" sheetId="16" state="hidden" r:id="rId9"/>
  </sheets>
  <definedNames>
    <definedName name="_xlnm._FilterDatabase" localSheetId="0" hidden="1">'CARE SHEET'!$A$1:$O$4929</definedName>
  </definedNames>
  <calcPr calcId="191029"/>
</workbook>
</file>

<file path=xl/calcChain.xml><?xml version="1.0" encoding="utf-8"?>
<calcChain xmlns="http://schemas.openxmlformats.org/spreadsheetml/2006/main">
  <c r="R38" i="11" l="1"/>
  <c r="R39" i="11" s="1"/>
  <c r="P34" i="11"/>
  <c r="S79" i="6" l="1"/>
  <c r="R79" i="6"/>
  <c r="S29" i="6"/>
  <c r="H46" i="11" l="1"/>
  <c r="H45" i="11"/>
  <c r="H44" i="11"/>
  <c r="H43" i="11"/>
  <c r="H42" i="11"/>
  <c r="H41" i="11"/>
  <c r="AQ5" i="13" l="1"/>
  <c r="AS7" i="13" s="1"/>
  <c r="S11" i="6"/>
  <c r="S3" i="6"/>
  <c r="S5" i="6" s="1"/>
  <c r="F2" i="11"/>
  <c r="S1" i="6" s="1"/>
  <c r="V5" i="6" s="1"/>
  <c r="E2" i="11"/>
  <c r="T11" i="6" s="1"/>
  <c r="T12" i="6" s="1"/>
  <c r="T14" i="6" l="1"/>
  <c r="AR5" i="13"/>
  <c r="T16" i="6"/>
  <c r="AR7" i="13"/>
  <c r="U3" i="6"/>
  <c r="V14" i="6" s="1"/>
  <c r="AS5" i="13"/>
  <c r="T5" i="6"/>
  <c r="V4" i="6"/>
  <c r="S2" i="6"/>
  <c r="U2" i="6" s="1"/>
  <c r="U14" i="6" s="1"/>
  <c r="U11" i="6"/>
  <c r="R16" i="6"/>
  <c r="S16" i="6" s="1"/>
  <c r="R12" i="6"/>
  <c r="S12" i="6" s="1"/>
  <c r="E17" i="16"/>
  <c r="N3" i="11" s="1"/>
  <c r="C21" i="16"/>
  <c r="C22" i="16" s="1"/>
  <c r="C23" i="16" s="1"/>
  <c r="C24" i="16" s="1"/>
  <c r="C25" i="16" s="1"/>
  <c r="C26" i="16" s="1"/>
  <c r="C27" i="16" s="1"/>
  <c r="U12" i="6" l="1"/>
  <c r="U16" i="6"/>
  <c r="AT7" i="13"/>
  <c r="AU7" i="13"/>
  <c r="AV7" i="13"/>
  <c r="AW7" i="13"/>
  <c r="U5" i="6"/>
  <c r="U4" i="6"/>
  <c r="N4" i="11"/>
  <c r="Q48" i="6" l="1"/>
  <c r="Q49" i="6"/>
  <c r="Q50" i="6"/>
  <c r="Q51" i="6"/>
  <c r="Q52" i="6"/>
  <c r="H3" i="11" l="1"/>
  <c r="Q35" i="6" l="1"/>
  <c r="Q47" i="6"/>
  <c r="Q36" i="6"/>
  <c r="Q37" i="6"/>
  <c r="Q38" i="6"/>
  <c r="Q39" i="6"/>
  <c r="Q40" i="6"/>
  <c r="T3" i="6" l="1"/>
  <c r="V49" i="6" l="1"/>
  <c r="V47" i="6"/>
  <c r="V51" i="6"/>
  <c r="W51" i="6"/>
  <c r="V52" i="6"/>
  <c r="U50" i="6"/>
  <c r="U49" i="6"/>
  <c r="U52" i="6"/>
  <c r="U51" i="6"/>
  <c r="W50" i="6"/>
  <c r="V50" i="6"/>
  <c r="R63" i="6"/>
  <c r="R59" i="6"/>
  <c r="U47" i="6"/>
  <c r="R62" i="6"/>
  <c r="V48" i="6"/>
  <c r="U48" i="6"/>
  <c r="W52" i="6"/>
  <c r="W49" i="6"/>
  <c r="R61" i="6"/>
  <c r="R64" i="6"/>
  <c r="W47" i="6"/>
  <c r="R60" i="6"/>
  <c r="W48" i="6"/>
  <c r="R47" i="6"/>
  <c r="N11" i="14"/>
  <c r="R52" i="6"/>
  <c r="R49" i="6"/>
  <c r="R48" i="6"/>
  <c r="S51" i="6"/>
  <c r="R51" i="6"/>
  <c r="T52" i="6"/>
  <c r="T47" i="6"/>
  <c r="S48" i="6"/>
  <c r="T48" i="6"/>
  <c r="T49" i="6"/>
  <c r="T51" i="6"/>
  <c r="S52" i="6"/>
  <c r="S50" i="6"/>
  <c r="R50" i="6"/>
  <c r="T50" i="6"/>
  <c r="S49" i="6"/>
  <c r="S47" i="6"/>
  <c r="V35" i="6"/>
  <c r="R29" i="6" s="1"/>
  <c r="R28" i="6"/>
  <c r="R27" i="6"/>
  <c r="S27" i="6" s="1"/>
  <c r="R26" i="6"/>
  <c r="V30" i="6"/>
  <c r="K4" i="11"/>
  <c r="K5" i="11"/>
  <c r="K6" i="11"/>
  <c r="K7" i="11"/>
  <c r="K8" i="11"/>
  <c r="K3" i="11"/>
  <c r="W20" i="6"/>
  <c r="U22" i="6"/>
  <c r="W22" i="6" s="1"/>
  <c r="U23" i="6"/>
  <c r="W23" i="6" s="1"/>
  <c r="U24" i="6"/>
  <c r="W24" i="6" s="1"/>
  <c r="U25" i="6"/>
  <c r="W25" i="6" s="1"/>
  <c r="U26" i="6"/>
  <c r="W26" i="6" s="1"/>
  <c r="R23" i="6"/>
  <c r="J4" i="11"/>
  <c r="J5" i="11"/>
  <c r="J6" i="11"/>
  <c r="J7" i="11"/>
  <c r="J8" i="11"/>
  <c r="R17" i="6"/>
  <c r="S17" i="6" s="1"/>
  <c r="R13" i="6"/>
  <c r="S13" i="6" s="1"/>
  <c r="R15" i="6"/>
  <c r="S15" i="6" s="1"/>
  <c r="AQ8" i="13"/>
  <c r="R6" i="6"/>
  <c r="AR10" i="13"/>
  <c r="R8" i="6"/>
  <c r="AQ6" i="13"/>
  <c r="R4" i="6"/>
  <c r="AU10" i="13" l="1"/>
  <c r="AQ7" i="13"/>
  <c r="AQ15" i="13"/>
  <c r="AQ16" i="13"/>
  <c r="R5" i="6"/>
  <c r="T1" i="6"/>
  <c r="T2" i="6"/>
  <c r="S53" i="6"/>
  <c r="W53" i="6"/>
  <c r="U53" i="6"/>
  <c r="V53" i="6"/>
  <c r="T53" i="6"/>
  <c r="R53" i="6"/>
  <c r="R65" i="6"/>
  <c r="R18" i="6"/>
  <c r="N12" i="14"/>
  <c r="N8" i="14"/>
  <c r="O8" i="14"/>
  <c r="R21" i="6"/>
  <c r="T38" i="6"/>
  <c r="S36" i="6"/>
  <c r="S40" i="6"/>
  <c r="R37" i="6"/>
  <c r="S38" i="6"/>
  <c r="R39" i="6"/>
  <c r="T35" i="6"/>
  <c r="R36" i="6"/>
  <c r="R40" i="6"/>
  <c r="T39" i="6"/>
  <c r="S37" i="6"/>
  <c r="S35" i="6"/>
  <c r="R38" i="6"/>
  <c r="T36" i="6"/>
  <c r="T40" i="6"/>
  <c r="R35" i="6"/>
  <c r="T37" i="6"/>
  <c r="S39" i="6"/>
  <c r="V26" i="6"/>
  <c r="V22" i="6"/>
  <c r="V25" i="6"/>
  <c r="V23" i="6"/>
  <c r="V24" i="6"/>
  <c r="U21" i="6"/>
  <c r="J3" i="11"/>
  <c r="J10" i="11" s="1"/>
  <c r="V31" i="6" s="1"/>
  <c r="R20" i="6"/>
  <c r="K10" i="11"/>
  <c r="AV10" i="13"/>
  <c r="AS10" i="13"/>
  <c r="AT10" i="13"/>
  <c r="R14" i="6" l="1"/>
  <c r="S14" i="6" s="1"/>
  <c r="S56" i="6"/>
  <c r="U56" i="6"/>
  <c r="T56" i="6"/>
  <c r="N10" i="14"/>
  <c r="W21" i="6"/>
  <c r="W28" i="6" s="1"/>
  <c r="R56" i="6" s="1"/>
  <c r="V21" i="6"/>
  <c r="U28" i="6" s="1"/>
  <c r="R41" i="6"/>
  <c r="S44" i="6" s="1"/>
  <c r="T41" i="6"/>
  <c r="U44" i="6" s="1"/>
  <c r="S41" i="6"/>
  <c r="T44" i="6" s="1"/>
  <c r="R25" i="6"/>
  <c r="R22" i="6"/>
  <c r="AQ9" i="13"/>
  <c r="N14" i="14"/>
  <c r="AR12" i="13"/>
  <c r="V56" i="6" l="1"/>
  <c r="R32" i="6" s="1"/>
  <c r="R30" i="6"/>
  <c r="V28" i="6"/>
  <c r="R44" i="6" s="1"/>
  <c r="V41" i="6" s="1"/>
  <c r="V8" i="6"/>
  <c r="AS12" i="13"/>
  <c r="AQ12" i="13"/>
  <c r="R24" i="6" l="1"/>
  <c r="S8" i="6"/>
  <c r="T8" i="6"/>
  <c r="U8" i="6"/>
  <c r="R7" i="6" l="1"/>
  <c r="M4929" i="6"/>
  <c r="M4928" i="6"/>
  <c r="M4927" i="6"/>
  <c r="M4926" i="6"/>
  <c r="M4925" i="6"/>
  <c r="M4924" i="6"/>
  <c r="M4923" i="6"/>
  <c r="M4922" i="6"/>
  <c r="M4921" i="6"/>
  <c r="M4920" i="6"/>
  <c r="M4919" i="6"/>
  <c r="M4918" i="6"/>
  <c r="M4917" i="6"/>
  <c r="M4916" i="6"/>
  <c r="M4915" i="6"/>
  <c r="M4914" i="6"/>
  <c r="M4913" i="6"/>
  <c r="M4912" i="6"/>
  <c r="M4911" i="6"/>
  <c r="M4910" i="6"/>
  <c r="M4909" i="6"/>
  <c r="M4908" i="6"/>
  <c r="M4907" i="6"/>
  <c r="M4906" i="6"/>
  <c r="M4905" i="6"/>
  <c r="M4904" i="6"/>
  <c r="M4903" i="6"/>
  <c r="M4902" i="6"/>
  <c r="M4901" i="6"/>
  <c r="M4900" i="6"/>
  <c r="M4899" i="6"/>
  <c r="M4898" i="6"/>
  <c r="M4897" i="6"/>
  <c r="M4896" i="6"/>
  <c r="M4895" i="6"/>
  <c r="M4894" i="6"/>
  <c r="M4893" i="6"/>
  <c r="M4892" i="6"/>
  <c r="M4891" i="6"/>
  <c r="M4890" i="6"/>
  <c r="M4889" i="6"/>
  <c r="M4888" i="6"/>
  <c r="M4887" i="6"/>
  <c r="M4886" i="6"/>
  <c r="M4885" i="6"/>
  <c r="M4884" i="6"/>
  <c r="M4883" i="6"/>
  <c r="M4882" i="6"/>
  <c r="M4881" i="6"/>
  <c r="M4880" i="6"/>
  <c r="M4879" i="6"/>
  <c r="M4878" i="6"/>
  <c r="M4877" i="6"/>
  <c r="M4876" i="6"/>
  <c r="M4875" i="6"/>
  <c r="M4874" i="6"/>
  <c r="M4873" i="6"/>
  <c r="M4872" i="6"/>
  <c r="M4871" i="6"/>
  <c r="M4870" i="6"/>
  <c r="M4869" i="6"/>
  <c r="M4868" i="6"/>
  <c r="M4867" i="6"/>
  <c r="M4866" i="6"/>
  <c r="M4865" i="6"/>
  <c r="M4864" i="6"/>
  <c r="M4863" i="6"/>
  <c r="M4862" i="6"/>
  <c r="M4861" i="6"/>
  <c r="M4860" i="6"/>
  <c r="M4859" i="6"/>
  <c r="M4858" i="6"/>
  <c r="M4857" i="6"/>
  <c r="M4856" i="6"/>
  <c r="M4855" i="6"/>
  <c r="M4854" i="6"/>
  <c r="M4853" i="6"/>
  <c r="M4852" i="6"/>
  <c r="M4851" i="6"/>
  <c r="M4850" i="6"/>
  <c r="M4849" i="6"/>
  <c r="M4848" i="6"/>
  <c r="M4847" i="6"/>
  <c r="M4846" i="6"/>
  <c r="M4845" i="6"/>
  <c r="M4844" i="6"/>
  <c r="M4843" i="6"/>
  <c r="M4842" i="6"/>
  <c r="M4841" i="6"/>
  <c r="M4840" i="6"/>
  <c r="M4839" i="6"/>
  <c r="M4838" i="6"/>
  <c r="M4837" i="6"/>
  <c r="M4836" i="6"/>
  <c r="M4835" i="6"/>
  <c r="M4834" i="6"/>
  <c r="M4833" i="6"/>
  <c r="M4832" i="6"/>
  <c r="M4831" i="6"/>
  <c r="M4817" i="6"/>
  <c r="M4816" i="6"/>
  <c r="M4815" i="6"/>
  <c r="M4814" i="6"/>
  <c r="M4813" i="6"/>
  <c r="M4812" i="6"/>
  <c r="M4811" i="6"/>
  <c r="M4810" i="6"/>
  <c r="M4809" i="6"/>
  <c r="M4808" i="6"/>
  <c r="M4807" i="6"/>
  <c r="M4806" i="6"/>
  <c r="M4805" i="6"/>
  <c r="M4804" i="6"/>
  <c r="M4803" i="6"/>
  <c r="M4802" i="6"/>
  <c r="M4801" i="6"/>
  <c r="M4800" i="6"/>
  <c r="M4799" i="6"/>
  <c r="M4798" i="6"/>
  <c r="M4797" i="6"/>
  <c r="M4796" i="6"/>
  <c r="M4795" i="6"/>
  <c r="M4794" i="6"/>
  <c r="M4793" i="6"/>
  <c r="M4792" i="6"/>
  <c r="M4791" i="6"/>
  <c r="M4790" i="6"/>
  <c r="M4789" i="6"/>
  <c r="M4788" i="6"/>
  <c r="M4787" i="6"/>
  <c r="M4786" i="6"/>
  <c r="M4785" i="6"/>
  <c r="M4784" i="6"/>
  <c r="M4783" i="6"/>
  <c r="M4782" i="6"/>
  <c r="M4781" i="6"/>
  <c r="M4780" i="6"/>
  <c r="M4779" i="6"/>
  <c r="M4778" i="6"/>
  <c r="M4777" i="6"/>
  <c r="M4776" i="6"/>
  <c r="M4775" i="6"/>
  <c r="M4774" i="6"/>
  <c r="M4773" i="6"/>
  <c r="M4772" i="6"/>
  <c r="M4771" i="6"/>
  <c r="M4770" i="6"/>
  <c r="M4769" i="6"/>
  <c r="M4768" i="6"/>
  <c r="M4767" i="6"/>
  <c r="M4766" i="6"/>
  <c r="M4765" i="6"/>
  <c r="M4764" i="6"/>
  <c r="M4763" i="6"/>
  <c r="M4762" i="6"/>
  <c r="M4761" i="6"/>
  <c r="M4760" i="6"/>
  <c r="M4759" i="6"/>
  <c r="M4758" i="6"/>
  <c r="M4757" i="6"/>
  <c r="M4756" i="6"/>
  <c r="M4755" i="6"/>
  <c r="M4754" i="6"/>
  <c r="M4753" i="6"/>
  <c r="M4752" i="6"/>
  <c r="M4751" i="6"/>
  <c r="M4750" i="6"/>
  <c r="M4749" i="6"/>
  <c r="M4748" i="6"/>
  <c r="M4747" i="6"/>
  <c r="M4746" i="6"/>
  <c r="M4745" i="6"/>
  <c r="M4744" i="6"/>
  <c r="M4743" i="6"/>
  <c r="M4742" i="6"/>
  <c r="M4741" i="6"/>
  <c r="M4740" i="6"/>
  <c r="M4739" i="6"/>
  <c r="M4738" i="6"/>
  <c r="M4737" i="6"/>
  <c r="M4736" i="6"/>
  <c r="M4735" i="6"/>
  <c r="M4734" i="6"/>
  <c r="M4733" i="6"/>
  <c r="M4732" i="6"/>
  <c r="M4731" i="6"/>
  <c r="M4730" i="6"/>
  <c r="M4729" i="6"/>
  <c r="M4728" i="6"/>
  <c r="M4727" i="6"/>
  <c r="M4726" i="6"/>
  <c r="M4725" i="6"/>
  <c r="M4724" i="6"/>
  <c r="M4723" i="6"/>
  <c r="M4722" i="6"/>
  <c r="M4721" i="6"/>
  <c r="M4720" i="6"/>
  <c r="M4719" i="6"/>
  <c r="M4705" i="6"/>
  <c r="M4704" i="6"/>
  <c r="M4703" i="6"/>
  <c r="M4702" i="6"/>
  <c r="M4701" i="6"/>
  <c r="M4700" i="6"/>
  <c r="M4699" i="6"/>
  <c r="M4698" i="6"/>
  <c r="M4697" i="6"/>
  <c r="M4696" i="6"/>
  <c r="M4695" i="6"/>
  <c r="M4694" i="6"/>
  <c r="M4693" i="6"/>
  <c r="M4692" i="6"/>
  <c r="M4691" i="6"/>
  <c r="M4690" i="6"/>
  <c r="M4689" i="6"/>
  <c r="M4688" i="6"/>
  <c r="M4687" i="6"/>
  <c r="M4686" i="6"/>
  <c r="M4685" i="6"/>
  <c r="M4684" i="6"/>
  <c r="M4683" i="6"/>
  <c r="M4682" i="6"/>
  <c r="M4681" i="6"/>
  <c r="M4680" i="6"/>
  <c r="M4679" i="6"/>
  <c r="M4678" i="6"/>
  <c r="M4677" i="6"/>
  <c r="M4676" i="6"/>
  <c r="M4675" i="6"/>
  <c r="M4674" i="6"/>
  <c r="M4673" i="6"/>
  <c r="M4672" i="6"/>
  <c r="M4671" i="6"/>
  <c r="M4670" i="6"/>
  <c r="M4669" i="6"/>
  <c r="M4668" i="6"/>
  <c r="M4667" i="6"/>
  <c r="M4666" i="6"/>
  <c r="M4665" i="6"/>
  <c r="M4664" i="6"/>
  <c r="M4663" i="6"/>
  <c r="M4662" i="6"/>
  <c r="M4661" i="6"/>
  <c r="M4660" i="6"/>
  <c r="M4659" i="6"/>
  <c r="M4658" i="6"/>
  <c r="M4657" i="6"/>
  <c r="M4656" i="6"/>
  <c r="M4655" i="6"/>
  <c r="M4654" i="6"/>
  <c r="M4653" i="6"/>
  <c r="M4652" i="6"/>
  <c r="M4651" i="6"/>
  <c r="M4650" i="6"/>
  <c r="M4649" i="6"/>
  <c r="M4648" i="6"/>
  <c r="M4647" i="6"/>
  <c r="M4646" i="6"/>
  <c r="M4645" i="6"/>
  <c r="M4644" i="6"/>
  <c r="M4643" i="6"/>
  <c r="M4642" i="6"/>
  <c r="M4641" i="6"/>
  <c r="M4640" i="6"/>
  <c r="M4639" i="6"/>
  <c r="M4638" i="6"/>
  <c r="M4637" i="6"/>
  <c r="M4636" i="6"/>
  <c r="M4635" i="6"/>
  <c r="M4634" i="6"/>
  <c r="M4633" i="6"/>
  <c r="M4632" i="6"/>
  <c r="M4631" i="6"/>
  <c r="M4630" i="6"/>
  <c r="M4629" i="6"/>
  <c r="M4628" i="6"/>
  <c r="M4627" i="6"/>
  <c r="M4626" i="6"/>
  <c r="M4625" i="6"/>
  <c r="M4624" i="6"/>
  <c r="M4623" i="6"/>
  <c r="M4622" i="6"/>
  <c r="M4621" i="6"/>
  <c r="M4620" i="6"/>
  <c r="M4619" i="6"/>
  <c r="M4618" i="6"/>
  <c r="M4617" i="6"/>
  <c r="M4616" i="6"/>
  <c r="M4615" i="6"/>
  <c r="M4614" i="6"/>
  <c r="M4613" i="6"/>
  <c r="M4612" i="6"/>
  <c r="M4611" i="6"/>
  <c r="M4610" i="6"/>
  <c r="M4609" i="6"/>
  <c r="M4608" i="6"/>
  <c r="M4607" i="6"/>
  <c r="M4481" i="6"/>
  <c r="M4480" i="6"/>
  <c r="M4479" i="6"/>
  <c r="M4478" i="6"/>
  <c r="M4477" i="6"/>
  <c r="M4476" i="6"/>
  <c r="M4475" i="6"/>
  <c r="M4474" i="6"/>
  <c r="M4473" i="6"/>
  <c r="M4472" i="6"/>
  <c r="M4471" i="6"/>
  <c r="M4470" i="6"/>
  <c r="M4469" i="6"/>
  <c r="M4468" i="6"/>
  <c r="M4467" i="6"/>
  <c r="M4466" i="6"/>
  <c r="M4465" i="6"/>
  <c r="M4464" i="6"/>
  <c r="M4463" i="6"/>
  <c r="M4462" i="6"/>
  <c r="M4461" i="6"/>
  <c r="M4460" i="6"/>
  <c r="M4459" i="6"/>
  <c r="M4458" i="6"/>
  <c r="M4457" i="6"/>
  <c r="M4456" i="6"/>
  <c r="M4455" i="6"/>
  <c r="M4454" i="6"/>
  <c r="M4453" i="6"/>
  <c r="M4452" i="6"/>
  <c r="M4451" i="6"/>
  <c r="M4450" i="6"/>
  <c r="M4449" i="6"/>
  <c r="M4448" i="6"/>
  <c r="M4447" i="6"/>
  <c r="M4446" i="6"/>
  <c r="M4445" i="6"/>
  <c r="M4444" i="6"/>
  <c r="M4443" i="6"/>
  <c r="M4442" i="6"/>
  <c r="M4441" i="6"/>
  <c r="M4440" i="6"/>
  <c r="M4439" i="6"/>
  <c r="M4438" i="6"/>
  <c r="M4437" i="6"/>
  <c r="M4436" i="6"/>
  <c r="M4435" i="6"/>
  <c r="M4434" i="6"/>
  <c r="M4433" i="6"/>
  <c r="M4432" i="6"/>
  <c r="M4431" i="6"/>
  <c r="M4430" i="6"/>
  <c r="M4429" i="6"/>
  <c r="M4428" i="6"/>
  <c r="M4427" i="6"/>
  <c r="M4426" i="6"/>
  <c r="M4425" i="6"/>
  <c r="M4424" i="6"/>
  <c r="M4423" i="6"/>
  <c r="M4422" i="6"/>
  <c r="M4421" i="6"/>
  <c r="M4420" i="6"/>
  <c r="M4419" i="6"/>
  <c r="M4418" i="6"/>
  <c r="M4417" i="6"/>
  <c r="M4416" i="6"/>
  <c r="M4415" i="6"/>
  <c r="M4414" i="6"/>
  <c r="M4413" i="6"/>
  <c r="M4412" i="6"/>
  <c r="M4411" i="6"/>
  <c r="M4410" i="6"/>
  <c r="M4409" i="6"/>
  <c r="M4408" i="6"/>
  <c r="M4407" i="6"/>
  <c r="M4406" i="6"/>
  <c r="M4405" i="6"/>
  <c r="M4404" i="6"/>
  <c r="M4403" i="6"/>
  <c r="M4402" i="6"/>
  <c r="M4401" i="6"/>
  <c r="M4400" i="6"/>
  <c r="M4399" i="6"/>
  <c r="M4398" i="6"/>
  <c r="M4397" i="6"/>
  <c r="M4396" i="6"/>
  <c r="M4395" i="6"/>
  <c r="M4394" i="6"/>
  <c r="M4393" i="6"/>
  <c r="M4392" i="6"/>
  <c r="M4391" i="6"/>
  <c r="M4390" i="6"/>
  <c r="M4389" i="6"/>
  <c r="M4388" i="6"/>
  <c r="M4387" i="6"/>
  <c r="M4386" i="6"/>
  <c r="M4385" i="6"/>
  <c r="M4384" i="6"/>
  <c r="M4383" i="6"/>
  <c r="M4369" i="6"/>
  <c r="M4368" i="6"/>
  <c r="M4367" i="6"/>
  <c r="M4366" i="6"/>
  <c r="M4365" i="6"/>
  <c r="M4364" i="6"/>
  <c r="M4363" i="6"/>
  <c r="M4362" i="6"/>
  <c r="M4361" i="6"/>
  <c r="M4360" i="6"/>
  <c r="M4359" i="6"/>
  <c r="M4358" i="6"/>
  <c r="M4357" i="6"/>
  <c r="M4356" i="6"/>
  <c r="M4355" i="6"/>
  <c r="M4354" i="6"/>
  <c r="M4353" i="6"/>
  <c r="M4352" i="6"/>
  <c r="M4351" i="6"/>
  <c r="M4350" i="6"/>
  <c r="M4349" i="6"/>
  <c r="M4348" i="6"/>
  <c r="M4347" i="6"/>
  <c r="M4346" i="6"/>
  <c r="M4345" i="6"/>
  <c r="M4344" i="6"/>
  <c r="M4343" i="6"/>
  <c r="M4342" i="6"/>
  <c r="M4341" i="6"/>
  <c r="M4340" i="6"/>
  <c r="M4339" i="6"/>
  <c r="M4338" i="6"/>
  <c r="M4337" i="6"/>
  <c r="M4336" i="6"/>
  <c r="M4335" i="6"/>
  <c r="M4334" i="6"/>
  <c r="M4333" i="6"/>
  <c r="M4332" i="6"/>
  <c r="M4331" i="6"/>
  <c r="M4330" i="6"/>
  <c r="M4329" i="6"/>
  <c r="M4328" i="6"/>
  <c r="M4327" i="6"/>
  <c r="M4326" i="6"/>
  <c r="M4325" i="6"/>
  <c r="M4324" i="6"/>
  <c r="M4323" i="6"/>
  <c r="M4322" i="6"/>
  <c r="M4321" i="6"/>
  <c r="M4320" i="6"/>
  <c r="M4319" i="6"/>
  <c r="M4318" i="6"/>
  <c r="M4317" i="6"/>
  <c r="M4316" i="6"/>
  <c r="M4315" i="6"/>
  <c r="M4314" i="6"/>
  <c r="M4313" i="6"/>
  <c r="M4312" i="6"/>
  <c r="M4311" i="6"/>
  <c r="M4310" i="6"/>
  <c r="M4309" i="6"/>
  <c r="M4308" i="6"/>
  <c r="M4307" i="6"/>
  <c r="M4306" i="6"/>
  <c r="M4305" i="6"/>
  <c r="M4304" i="6"/>
  <c r="M4303" i="6"/>
  <c r="M4302" i="6"/>
  <c r="M4301" i="6"/>
  <c r="M4300" i="6"/>
  <c r="M4299" i="6"/>
  <c r="M4298" i="6"/>
  <c r="M4297" i="6"/>
  <c r="M4296" i="6"/>
  <c r="M4295" i="6"/>
  <c r="M4294" i="6"/>
  <c r="M4293" i="6"/>
  <c r="M4292" i="6"/>
  <c r="M4291" i="6"/>
  <c r="M4290" i="6"/>
  <c r="M4289" i="6"/>
  <c r="M4288" i="6"/>
  <c r="M4287" i="6"/>
  <c r="M4286" i="6"/>
  <c r="M4285" i="6"/>
  <c r="M4284" i="6"/>
  <c r="M4283" i="6"/>
  <c r="M4282" i="6"/>
  <c r="M4281" i="6"/>
  <c r="M4280" i="6"/>
  <c r="M4279" i="6"/>
  <c r="M4278" i="6"/>
  <c r="M4277" i="6"/>
  <c r="M4276" i="6"/>
  <c r="M4275" i="6"/>
  <c r="M4274" i="6"/>
  <c r="M4273" i="6"/>
  <c r="M4272" i="6"/>
  <c r="M4271" i="6"/>
  <c r="M4257" i="6"/>
  <c r="M4256" i="6"/>
  <c r="M4255" i="6"/>
  <c r="M4254" i="6"/>
  <c r="M4253" i="6"/>
  <c r="M4252" i="6"/>
  <c r="M4251" i="6"/>
  <c r="M4250" i="6"/>
  <c r="M4249" i="6"/>
  <c r="M4248" i="6"/>
  <c r="M4247" i="6"/>
  <c r="M4246" i="6"/>
  <c r="M4245" i="6"/>
  <c r="M4244" i="6"/>
  <c r="M4243" i="6"/>
  <c r="M4242" i="6"/>
  <c r="M4241" i="6"/>
  <c r="M4240" i="6"/>
  <c r="M4239" i="6"/>
  <c r="M4238" i="6"/>
  <c r="M4237" i="6"/>
  <c r="M4236" i="6"/>
  <c r="M4235" i="6"/>
  <c r="M4234" i="6"/>
  <c r="M4233" i="6"/>
  <c r="M4232" i="6"/>
  <c r="M4231" i="6"/>
  <c r="M4230" i="6"/>
  <c r="M4229" i="6"/>
  <c r="M4228" i="6"/>
  <c r="M4227" i="6"/>
  <c r="M4226" i="6"/>
  <c r="M4225" i="6"/>
  <c r="M4224" i="6"/>
  <c r="M4223" i="6"/>
  <c r="M4222" i="6"/>
  <c r="M4221" i="6"/>
  <c r="M4220" i="6"/>
  <c r="M4219" i="6"/>
  <c r="M4218" i="6"/>
  <c r="M4217" i="6"/>
  <c r="M4216" i="6"/>
  <c r="M4215" i="6"/>
  <c r="M4214" i="6"/>
  <c r="M4213" i="6"/>
  <c r="M4212" i="6"/>
  <c r="M4211" i="6"/>
  <c r="M4210" i="6"/>
  <c r="M4209" i="6"/>
  <c r="M4208" i="6"/>
  <c r="M4207" i="6"/>
  <c r="M4206" i="6"/>
  <c r="M4205" i="6"/>
  <c r="M4204" i="6"/>
  <c r="M4203" i="6"/>
  <c r="M4202" i="6"/>
  <c r="M4201" i="6"/>
  <c r="M4200" i="6"/>
  <c r="M4199" i="6"/>
  <c r="M4198" i="6"/>
  <c r="M4197" i="6"/>
  <c r="M4196" i="6"/>
  <c r="M4195" i="6"/>
  <c r="M4194" i="6"/>
  <c r="M4193" i="6"/>
  <c r="M4192" i="6"/>
  <c r="M4191" i="6"/>
  <c r="M4190" i="6"/>
  <c r="M4189" i="6"/>
  <c r="M4188" i="6"/>
  <c r="M4187" i="6"/>
  <c r="M4186" i="6"/>
  <c r="M4185" i="6"/>
  <c r="M4184" i="6"/>
  <c r="M4183" i="6"/>
  <c r="M4182" i="6"/>
  <c r="M4181" i="6"/>
  <c r="M4180" i="6"/>
  <c r="M4179" i="6"/>
  <c r="M4178" i="6"/>
  <c r="M4177" i="6"/>
  <c r="M4176" i="6"/>
  <c r="M4175" i="6"/>
  <c r="M4174" i="6"/>
  <c r="M4173" i="6"/>
  <c r="M4172" i="6"/>
  <c r="M4171" i="6"/>
  <c r="M4170" i="6"/>
  <c r="M4169" i="6"/>
  <c r="M4168" i="6"/>
  <c r="M4167" i="6"/>
  <c r="M4166" i="6"/>
  <c r="M4165" i="6"/>
  <c r="M4164" i="6"/>
  <c r="M4163" i="6"/>
  <c r="M4162" i="6"/>
  <c r="M4161" i="6"/>
  <c r="M4160" i="6"/>
  <c r="M4159" i="6"/>
  <c r="M4033" i="6"/>
  <c r="M4032" i="6"/>
  <c r="M4031" i="6"/>
  <c r="M4030" i="6"/>
  <c r="M4029" i="6"/>
  <c r="M4028" i="6"/>
  <c r="M4027" i="6"/>
  <c r="M4026" i="6"/>
  <c r="M4025" i="6"/>
  <c r="M4024" i="6"/>
  <c r="M4023" i="6"/>
  <c r="M4022" i="6"/>
  <c r="M4021" i="6"/>
  <c r="M4020" i="6"/>
  <c r="M4019" i="6"/>
  <c r="M4018" i="6"/>
  <c r="M4017" i="6"/>
  <c r="M4016" i="6"/>
  <c r="M4015" i="6"/>
  <c r="M4014" i="6"/>
  <c r="M4013" i="6"/>
  <c r="M4012" i="6"/>
  <c r="M4011" i="6"/>
  <c r="M4010" i="6"/>
  <c r="M4009" i="6"/>
  <c r="M4008" i="6"/>
  <c r="M4007" i="6"/>
  <c r="M4006" i="6"/>
  <c r="M4005" i="6"/>
  <c r="M4004" i="6"/>
  <c r="M4003" i="6"/>
  <c r="M4002" i="6"/>
  <c r="M4001" i="6"/>
  <c r="M4000" i="6"/>
  <c r="M3999" i="6"/>
  <c r="M3998" i="6"/>
  <c r="M3997" i="6"/>
  <c r="M3996" i="6"/>
  <c r="M3995" i="6"/>
  <c r="M3994" i="6"/>
  <c r="M3993" i="6"/>
  <c r="M3992" i="6"/>
  <c r="M3991" i="6"/>
  <c r="M3990" i="6"/>
  <c r="M3989" i="6"/>
  <c r="M3988" i="6"/>
  <c r="M3987" i="6"/>
  <c r="M3986" i="6"/>
  <c r="M3985" i="6"/>
  <c r="M3984" i="6"/>
  <c r="M3983" i="6"/>
  <c r="M3982" i="6"/>
  <c r="M3981" i="6"/>
  <c r="M3980" i="6"/>
  <c r="M3979" i="6"/>
  <c r="M3978" i="6"/>
  <c r="M3977" i="6"/>
  <c r="M3976" i="6"/>
  <c r="M3975" i="6"/>
  <c r="M3974" i="6"/>
  <c r="M3973" i="6"/>
  <c r="M3972" i="6"/>
  <c r="M3971" i="6"/>
  <c r="M3970" i="6"/>
  <c r="M3969" i="6"/>
  <c r="M3968" i="6"/>
  <c r="M3967" i="6"/>
  <c r="M3966" i="6"/>
  <c r="M3965" i="6"/>
  <c r="M3964" i="6"/>
  <c r="M3963" i="6"/>
  <c r="M3962" i="6"/>
  <c r="M3961" i="6"/>
  <c r="M3960" i="6"/>
  <c r="M3959" i="6"/>
  <c r="M3958" i="6"/>
  <c r="M3957" i="6"/>
  <c r="M3956" i="6"/>
  <c r="M3955" i="6"/>
  <c r="M3954" i="6"/>
  <c r="M3953" i="6"/>
  <c r="M3952" i="6"/>
  <c r="M3951" i="6"/>
  <c r="M3950" i="6"/>
  <c r="M3949" i="6"/>
  <c r="M3948" i="6"/>
  <c r="M3947" i="6"/>
  <c r="M3946" i="6"/>
  <c r="M3945" i="6"/>
  <c r="M3944" i="6"/>
  <c r="M3943" i="6"/>
  <c r="M3942" i="6"/>
  <c r="M3941" i="6"/>
  <c r="M3940" i="6"/>
  <c r="M3939" i="6"/>
  <c r="M3938" i="6"/>
  <c r="M3937" i="6"/>
  <c r="M3936" i="6"/>
  <c r="M3935" i="6"/>
  <c r="M3921" i="6"/>
  <c r="M3920" i="6"/>
  <c r="M3919" i="6"/>
  <c r="M3918" i="6"/>
  <c r="M3917" i="6"/>
  <c r="M3916" i="6"/>
  <c r="M3915" i="6"/>
  <c r="M3914" i="6"/>
  <c r="M3913" i="6"/>
  <c r="M3912" i="6"/>
  <c r="M3911" i="6"/>
  <c r="M3910" i="6"/>
  <c r="M3909" i="6"/>
  <c r="M3908" i="6"/>
  <c r="M3907" i="6"/>
  <c r="M3906" i="6"/>
  <c r="M3905" i="6"/>
  <c r="M3904" i="6"/>
  <c r="M3903" i="6"/>
  <c r="M3902" i="6"/>
  <c r="M3901" i="6"/>
  <c r="M3900" i="6"/>
  <c r="M3899" i="6"/>
  <c r="M3898" i="6"/>
  <c r="M3897" i="6"/>
  <c r="M3896" i="6"/>
  <c r="M3895" i="6"/>
  <c r="M3894" i="6"/>
  <c r="M3893" i="6"/>
  <c r="M3892" i="6"/>
  <c r="M3891" i="6"/>
  <c r="M3890" i="6"/>
  <c r="M3889" i="6"/>
  <c r="M3888" i="6"/>
  <c r="M3887" i="6"/>
  <c r="M3886" i="6"/>
  <c r="M3885" i="6"/>
  <c r="M3884" i="6"/>
  <c r="M3883" i="6"/>
  <c r="M3882" i="6"/>
  <c r="M3881" i="6"/>
  <c r="M3880" i="6"/>
  <c r="M3879" i="6"/>
  <c r="M3878" i="6"/>
  <c r="M3877" i="6"/>
  <c r="M3876" i="6"/>
  <c r="M3875" i="6"/>
  <c r="M3874" i="6"/>
  <c r="M3873" i="6"/>
  <c r="M3872" i="6"/>
  <c r="M3871" i="6"/>
  <c r="M3870" i="6"/>
  <c r="M3869" i="6"/>
  <c r="M3868" i="6"/>
  <c r="M3867" i="6"/>
  <c r="M3866" i="6"/>
  <c r="M3865" i="6"/>
  <c r="M3864" i="6"/>
  <c r="M3863" i="6"/>
  <c r="M3862" i="6"/>
  <c r="M3861" i="6"/>
  <c r="M3860" i="6"/>
  <c r="M3859" i="6"/>
  <c r="M3858" i="6"/>
  <c r="M3857" i="6"/>
  <c r="M3856" i="6"/>
  <c r="M3855" i="6"/>
  <c r="M3854" i="6"/>
  <c r="M3853" i="6"/>
  <c r="M3852" i="6"/>
  <c r="M3851" i="6"/>
  <c r="M3850" i="6"/>
  <c r="M3849" i="6"/>
  <c r="M3848" i="6"/>
  <c r="M3847" i="6"/>
  <c r="M3846" i="6"/>
  <c r="M3845" i="6"/>
  <c r="M3844" i="6"/>
  <c r="M3843" i="6"/>
  <c r="M3842" i="6"/>
  <c r="M3841" i="6"/>
  <c r="M3840" i="6"/>
  <c r="M3839" i="6"/>
  <c r="M3838" i="6"/>
  <c r="M3837" i="6"/>
  <c r="M3836" i="6"/>
  <c r="M3835" i="6"/>
  <c r="M3834" i="6"/>
  <c r="M3833" i="6"/>
  <c r="M3832" i="6"/>
  <c r="M3831" i="6"/>
  <c r="M3830" i="6"/>
  <c r="M3829" i="6"/>
  <c r="M3828" i="6"/>
  <c r="M3827" i="6"/>
  <c r="M3826" i="6"/>
  <c r="M3825" i="6"/>
  <c r="M3824" i="6"/>
  <c r="M3823" i="6"/>
  <c r="M3809" i="6"/>
  <c r="M3808" i="6"/>
  <c r="M3807" i="6"/>
  <c r="M3806" i="6"/>
  <c r="M3805" i="6"/>
  <c r="M3804" i="6"/>
  <c r="M3803" i="6"/>
  <c r="M3802" i="6"/>
  <c r="M3801" i="6"/>
  <c r="M3800" i="6"/>
  <c r="M3799" i="6"/>
  <c r="M3798" i="6"/>
  <c r="M3797" i="6"/>
  <c r="M3796" i="6"/>
  <c r="M3795" i="6"/>
  <c r="M3794" i="6"/>
  <c r="M3793" i="6"/>
  <c r="M3792" i="6"/>
  <c r="M3791" i="6"/>
  <c r="M3790" i="6"/>
  <c r="M3789" i="6"/>
  <c r="M3788" i="6"/>
  <c r="M3787" i="6"/>
  <c r="M3786" i="6"/>
  <c r="M3785" i="6"/>
  <c r="M3784" i="6"/>
  <c r="M3783" i="6"/>
  <c r="M3782" i="6"/>
  <c r="M3781" i="6"/>
  <c r="M3780" i="6"/>
  <c r="M3779" i="6"/>
  <c r="M3778" i="6"/>
  <c r="M3777" i="6"/>
  <c r="M3776" i="6"/>
  <c r="M3775" i="6"/>
  <c r="M3774" i="6"/>
  <c r="M3773" i="6"/>
  <c r="M3772" i="6"/>
  <c r="M3771" i="6"/>
  <c r="M3770" i="6"/>
  <c r="M3769" i="6"/>
  <c r="M3768" i="6"/>
  <c r="M3767" i="6"/>
  <c r="M3766" i="6"/>
  <c r="M3765" i="6"/>
  <c r="M3764" i="6"/>
  <c r="M3763" i="6"/>
  <c r="M3762" i="6"/>
  <c r="M3761" i="6"/>
  <c r="M3760" i="6"/>
  <c r="M3759" i="6"/>
  <c r="M3758" i="6"/>
  <c r="M3757" i="6"/>
  <c r="M3756" i="6"/>
  <c r="M3755" i="6"/>
  <c r="M3754" i="6"/>
  <c r="M3753" i="6"/>
  <c r="M3752" i="6"/>
  <c r="M3751" i="6"/>
  <c r="M3750" i="6"/>
  <c r="M3749" i="6"/>
  <c r="M3748" i="6"/>
  <c r="M3747" i="6"/>
  <c r="M3746" i="6"/>
  <c r="M3745" i="6"/>
  <c r="M3744" i="6"/>
  <c r="M3743" i="6"/>
  <c r="M3742" i="6"/>
  <c r="M3741" i="6"/>
  <c r="M3740" i="6"/>
  <c r="M3739" i="6"/>
  <c r="M3738" i="6"/>
  <c r="M3737" i="6"/>
  <c r="M3736" i="6"/>
  <c r="M3735" i="6"/>
  <c r="M3734" i="6"/>
  <c r="M3733" i="6"/>
  <c r="M3732" i="6"/>
  <c r="M3731" i="6"/>
  <c r="M3730" i="6"/>
  <c r="M3729" i="6"/>
  <c r="M3728" i="6"/>
  <c r="M3727" i="6"/>
  <c r="M3726" i="6"/>
  <c r="M3725" i="6"/>
  <c r="M3724" i="6"/>
  <c r="M3723" i="6"/>
  <c r="M3722" i="6"/>
  <c r="M3721" i="6"/>
  <c r="M3720" i="6"/>
  <c r="M3719" i="6"/>
  <c r="M3718" i="6"/>
  <c r="M3717" i="6"/>
  <c r="M3716" i="6"/>
  <c r="M3715" i="6"/>
  <c r="M3714" i="6"/>
  <c r="M3713" i="6"/>
  <c r="M3712" i="6"/>
  <c r="M3711" i="6"/>
  <c r="M3585" i="6"/>
  <c r="M3584" i="6"/>
  <c r="M3583" i="6"/>
  <c r="M3582" i="6"/>
  <c r="M3581" i="6"/>
  <c r="M3580" i="6"/>
  <c r="M3579" i="6"/>
  <c r="M3578" i="6"/>
  <c r="M3577" i="6"/>
  <c r="M3576" i="6"/>
  <c r="M3575" i="6"/>
  <c r="M3574" i="6"/>
  <c r="M3573" i="6"/>
  <c r="M3572" i="6"/>
  <c r="M3571" i="6"/>
  <c r="M3570" i="6"/>
  <c r="M3569" i="6"/>
  <c r="M3568" i="6"/>
  <c r="M3567" i="6"/>
  <c r="M3566" i="6"/>
  <c r="M3565" i="6"/>
  <c r="M3564" i="6"/>
  <c r="M3563" i="6"/>
  <c r="M3562" i="6"/>
  <c r="M3561" i="6"/>
  <c r="M3560" i="6"/>
  <c r="M3559" i="6"/>
  <c r="M3558" i="6"/>
  <c r="M3557" i="6"/>
  <c r="M3556" i="6"/>
  <c r="M3555" i="6"/>
  <c r="M3554" i="6"/>
  <c r="M3553" i="6"/>
  <c r="M3552" i="6"/>
  <c r="M3551" i="6"/>
  <c r="M3550" i="6"/>
  <c r="M3549" i="6"/>
  <c r="M3548" i="6"/>
  <c r="M3547" i="6"/>
  <c r="M3546" i="6"/>
  <c r="M3545" i="6"/>
  <c r="M3544" i="6"/>
  <c r="M3543" i="6"/>
  <c r="M3542" i="6"/>
  <c r="M3541" i="6"/>
  <c r="M3540" i="6"/>
  <c r="M3539" i="6"/>
  <c r="M3538" i="6"/>
  <c r="M3537" i="6"/>
  <c r="M3536" i="6"/>
  <c r="M3535" i="6"/>
  <c r="M3534" i="6"/>
  <c r="M3533" i="6"/>
  <c r="M3532" i="6"/>
  <c r="M3531" i="6"/>
  <c r="M3530" i="6"/>
  <c r="M3529" i="6"/>
  <c r="M3528" i="6"/>
  <c r="M3527" i="6"/>
  <c r="M3526" i="6"/>
  <c r="M3525" i="6"/>
  <c r="M3524" i="6"/>
  <c r="M3523" i="6"/>
  <c r="M3522" i="6"/>
  <c r="M3521" i="6"/>
  <c r="M3520" i="6"/>
  <c r="M3519" i="6"/>
  <c r="M3518" i="6"/>
  <c r="M3517" i="6"/>
  <c r="M3516" i="6"/>
  <c r="M3515" i="6"/>
  <c r="M3514" i="6"/>
  <c r="M3513" i="6"/>
  <c r="M3512" i="6"/>
  <c r="M3511" i="6"/>
  <c r="M3510" i="6"/>
  <c r="M3509" i="6"/>
  <c r="M3508" i="6"/>
  <c r="M3507" i="6"/>
  <c r="M3506" i="6"/>
  <c r="M3505" i="6"/>
  <c r="M3504" i="6"/>
  <c r="M3503" i="6"/>
  <c r="M3502" i="6"/>
  <c r="M3501" i="6"/>
  <c r="M3500" i="6"/>
  <c r="M3499" i="6"/>
  <c r="M3498" i="6"/>
  <c r="M3497" i="6"/>
  <c r="M3496" i="6"/>
  <c r="M3495" i="6"/>
  <c r="M3494" i="6"/>
  <c r="M3493" i="6"/>
  <c r="M3492" i="6"/>
  <c r="M3491" i="6"/>
  <c r="M3490" i="6"/>
  <c r="M3489" i="6"/>
  <c r="M3488" i="6"/>
  <c r="M3487" i="6"/>
  <c r="M3473" i="6"/>
  <c r="M3472" i="6"/>
  <c r="M3471" i="6"/>
  <c r="M3470" i="6"/>
  <c r="M3469" i="6"/>
  <c r="M3468" i="6"/>
  <c r="M3467" i="6"/>
  <c r="M3466" i="6"/>
  <c r="M3465" i="6"/>
  <c r="M3464" i="6"/>
  <c r="M3463" i="6"/>
  <c r="M3462" i="6"/>
  <c r="M3461" i="6"/>
  <c r="M3460" i="6"/>
  <c r="M3459" i="6"/>
  <c r="M3458" i="6"/>
  <c r="M3457" i="6"/>
  <c r="M3456" i="6"/>
  <c r="M3455" i="6"/>
  <c r="M3454" i="6"/>
  <c r="M3453" i="6"/>
  <c r="M3452" i="6"/>
  <c r="M3451" i="6"/>
  <c r="M3450" i="6"/>
  <c r="M3449" i="6"/>
  <c r="M3448" i="6"/>
  <c r="M3447" i="6"/>
  <c r="M3446" i="6"/>
  <c r="M3445" i="6"/>
  <c r="M3444" i="6"/>
  <c r="M3443" i="6"/>
  <c r="M3442" i="6"/>
  <c r="M3441" i="6"/>
  <c r="M3440" i="6"/>
  <c r="M3439" i="6"/>
  <c r="M3438" i="6"/>
  <c r="M3437" i="6"/>
  <c r="M3436" i="6"/>
  <c r="M3435" i="6"/>
  <c r="M3434" i="6"/>
  <c r="M3433" i="6"/>
  <c r="M3432" i="6"/>
  <c r="M3431" i="6"/>
  <c r="M3430" i="6"/>
  <c r="M3429" i="6"/>
  <c r="M3428" i="6"/>
  <c r="M3427" i="6"/>
  <c r="M3426" i="6"/>
  <c r="M3425" i="6"/>
  <c r="M3424" i="6"/>
  <c r="M3423" i="6"/>
  <c r="M3422" i="6"/>
  <c r="M3421" i="6"/>
  <c r="M3420" i="6"/>
  <c r="M3419" i="6"/>
  <c r="M3418" i="6"/>
  <c r="M3417" i="6"/>
  <c r="M3416" i="6"/>
  <c r="M3415" i="6"/>
  <c r="M3414" i="6"/>
  <c r="M3413" i="6"/>
  <c r="M3412" i="6"/>
  <c r="M3411" i="6"/>
  <c r="M3410" i="6"/>
  <c r="M3409" i="6"/>
  <c r="M3408" i="6"/>
  <c r="M3407" i="6"/>
  <c r="M3406" i="6"/>
  <c r="M3405" i="6"/>
  <c r="M3404" i="6"/>
  <c r="M3403" i="6"/>
  <c r="M3402" i="6"/>
  <c r="M3401" i="6"/>
  <c r="M3400" i="6"/>
  <c r="M3399" i="6"/>
  <c r="M3398" i="6"/>
  <c r="M3397" i="6"/>
  <c r="M3396" i="6"/>
  <c r="M3395" i="6"/>
  <c r="M3394" i="6"/>
  <c r="M3393" i="6"/>
  <c r="M3392" i="6"/>
  <c r="M3391" i="6"/>
  <c r="M3390" i="6"/>
  <c r="M3389" i="6"/>
  <c r="M3388" i="6"/>
  <c r="M3387" i="6"/>
  <c r="M3386" i="6"/>
  <c r="M3385" i="6"/>
  <c r="M3384" i="6"/>
  <c r="M3383" i="6"/>
  <c r="M3382" i="6"/>
  <c r="M3381" i="6"/>
  <c r="M3380" i="6"/>
  <c r="M3379" i="6"/>
  <c r="M3378" i="6"/>
  <c r="M3377" i="6"/>
  <c r="M3376" i="6"/>
  <c r="M3375" i="6"/>
  <c r="M3361" i="6"/>
  <c r="M3360" i="6"/>
  <c r="M3359" i="6"/>
  <c r="M3358" i="6"/>
  <c r="M3357" i="6"/>
  <c r="M3356" i="6"/>
  <c r="M3355" i="6"/>
  <c r="M3354" i="6"/>
  <c r="M3353" i="6"/>
  <c r="M3352" i="6"/>
  <c r="M3351" i="6"/>
  <c r="M3350" i="6"/>
  <c r="M3349" i="6"/>
  <c r="M3348" i="6"/>
  <c r="M3347" i="6"/>
  <c r="M3346" i="6"/>
  <c r="M3345" i="6"/>
  <c r="M3344" i="6"/>
  <c r="M3343" i="6"/>
  <c r="M3342" i="6"/>
  <c r="M3341" i="6"/>
  <c r="M3340" i="6"/>
  <c r="M3339" i="6"/>
  <c r="M3338" i="6"/>
  <c r="M3337" i="6"/>
  <c r="M3336" i="6"/>
  <c r="M3335" i="6"/>
  <c r="M3334" i="6"/>
  <c r="M3333" i="6"/>
  <c r="M3332" i="6"/>
  <c r="M3331" i="6"/>
  <c r="M3330" i="6"/>
  <c r="M3329" i="6"/>
  <c r="M3328" i="6"/>
  <c r="M3327" i="6"/>
  <c r="M3326" i="6"/>
  <c r="M3325" i="6"/>
  <c r="M3324" i="6"/>
  <c r="M3323" i="6"/>
  <c r="M3322" i="6"/>
  <c r="M3321" i="6"/>
  <c r="M3320" i="6"/>
  <c r="M3319" i="6"/>
  <c r="M3318" i="6"/>
  <c r="M3317" i="6"/>
  <c r="M3316" i="6"/>
  <c r="M3315" i="6"/>
  <c r="M3314" i="6"/>
  <c r="M3313" i="6"/>
  <c r="M3312" i="6"/>
  <c r="M3311" i="6"/>
  <c r="M3310" i="6"/>
  <c r="M3309" i="6"/>
  <c r="M3308" i="6"/>
  <c r="M3307" i="6"/>
  <c r="M3306" i="6"/>
  <c r="M3305" i="6"/>
  <c r="M3304" i="6"/>
  <c r="M3303" i="6"/>
  <c r="M3302" i="6"/>
  <c r="M3301" i="6"/>
  <c r="M3300" i="6"/>
  <c r="M3299" i="6"/>
  <c r="M3298" i="6"/>
  <c r="M3297" i="6"/>
  <c r="M3296" i="6"/>
  <c r="M3295" i="6"/>
  <c r="M3294" i="6"/>
  <c r="M3293" i="6"/>
  <c r="M3292" i="6"/>
  <c r="M3291" i="6"/>
  <c r="M3290" i="6"/>
  <c r="M3289" i="6"/>
  <c r="M3288" i="6"/>
  <c r="M3287" i="6"/>
  <c r="M3286" i="6"/>
  <c r="M3285" i="6"/>
  <c r="M3284" i="6"/>
  <c r="M3283" i="6"/>
  <c r="M3282" i="6"/>
  <c r="M3281" i="6"/>
  <c r="M3280" i="6"/>
  <c r="M3279" i="6"/>
  <c r="M3278" i="6"/>
  <c r="M3277" i="6"/>
  <c r="M3276" i="6"/>
  <c r="M3275" i="6"/>
  <c r="M3274" i="6"/>
  <c r="M3273" i="6"/>
  <c r="M3272" i="6"/>
  <c r="M3271" i="6"/>
  <c r="M3270" i="6"/>
  <c r="M3269" i="6"/>
  <c r="M3268" i="6"/>
  <c r="M3267" i="6"/>
  <c r="M3266" i="6"/>
  <c r="M3265" i="6"/>
  <c r="M3264" i="6"/>
  <c r="M3263" i="6"/>
  <c r="M3137" i="6"/>
  <c r="M3136" i="6"/>
  <c r="M3135" i="6"/>
  <c r="M3134" i="6"/>
  <c r="M3133" i="6"/>
  <c r="M3132" i="6"/>
  <c r="M3131" i="6"/>
  <c r="M3130" i="6"/>
  <c r="M3129" i="6"/>
  <c r="M3128" i="6"/>
  <c r="M3127" i="6"/>
  <c r="M3126" i="6"/>
  <c r="M3125" i="6"/>
  <c r="M3124" i="6"/>
  <c r="M3123" i="6"/>
  <c r="M3122" i="6"/>
  <c r="M3121" i="6"/>
  <c r="M3120" i="6"/>
  <c r="M3119" i="6"/>
  <c r="M3118" i="6"/>
  <c r="M3117" i="6"/>
  <c r="M3116" i="6"/>
  <c r="M3115" i="6"/>
  <c r="M3114" i="6"/>
  <c r="M3113" i="6"/>
  <c r="M3112" i="6"/>
  <c r="M3111" i="6"/>
  <c r="M3110" i="6"/>
  <c r="M3109" i="6"/>
  <c r="M3108" i="6"/>
  <c r="M3107" i="6"/>
  <c r="M3106" i="6"/>
  <c r="M3105" i="6"/>
  <c r="M3104" i="6"/>
  <c r="M3103" i="6"/>
  <c r="M3102" i="6"/>
  <c r="M3101" i="6"/>
  <c r="M3100" i="6"/>
  <c r="M3099" i="6"/>
  <c r="M3098" i="6"/>
  <c r="M3097" i="6"/>
  <c r="M3096" i="6"/>
  <c r="M3095" i="6"/>
  <c r="M3094" i="6"/>
  <c r="M3093" i="6"/>
  <c r="M3092" i="6"/>
  <c r="M3091" i="6"/>
  <c r="M3090" i="6"/>
  <c r="M3089" i="6"/>
  <c r="M3088" i="6"/>
  <c r="M3087" i="6"/>
  <c r="M3086" i="6"/>
  <c r="M3085" i="6"/>
  <c r="M3084" i="6"/>
  <c r="M3083" i="6"/>
  <c r="M3082" i="6"/>
  <c r="M3081" i="6"/>
  <c r="M3080" i="6"/>
  <c r="M3079" i="6"/>
  <c r="M3078" i="6"/>
  <c r="M3077" i="6"/>
  <c r="M3076" i="6"/>
  <c r="M3075" i="6"/>
  <c r="M3074" i="6"/>
  <c r="M3073" i="6"/>
  <c r="M3072" i="6"/>
  <c r="M3071" i="6"/>
  <c r="M3070" i="6"/>
  <c r="M3069" i="6"/>
  <c r="M3068" i="6"/>
  <c r="M3067" i="6"/>
  <c r="M3066" i="6"/>
  <c r="M3065" i="6"/>
  <c r="M3064" i="6"/>
  <c r="M3063" i="6"/>
  <c r="M3062" i="6"/>
  <c r="M3061" i="6"/>
  <c r="M3060" i="6"/>
  <c r="M3059" i="6"/>
  <c r="M3058" i="6"/>
  <c r="M3057" i="6"/>
  <c r="M3056" i="6"/>
  <c r="M3055" i="6"/>
  <c r="M3054" i="6"/>
  <c r="M3053" i="6"/>
  <c r="M3052" i="6"/>
  <c r="M3051" i="6"/>
  <c r="M3050" i="6"/>
  <c r="M3049" i="6"/>
  <c r="M3048" i="6"/>
  <c r="M3047" i="6"/>
  <c r="M3046" i="6"/>
  <c r="M3045" i="6"/>
  <c r="M3044" i="6"/>
  <c r="M3043" i="6"/>
  <c r="M3042" i="6"/>
  <c r="M3041" i="6"/>
  <c r="M3040" i="6"/>
  <c r="M3039" i="6"/>
  <c r="M3025" i="6"/>
  <c r="M3024" i="6"/>
  <c r="M3023" i="6"/>
  <c r="M3022" i="6"/>
  <c r="M3021" i="6"/>
  <c r="M3020" i="6"/>
  <c r="M3019" i="6"/>
  <c r="M3018" i="6"/>
  <c r="M3017" i="6"/>
  <c r="M3016" i="6"/>
  <c r="M3015" i="6"/>
  <c r="M3014" i="6"/>
  <c r="M3013" i="6"/>
  <c r="M3012" i="6"/>
  <c r="M3011" i="6"/>
  <c r="M3010" i="6"/>
  <c r="M3009" i="6"/>
  <c r="M3008" i="6"/>
  <c r="M3007" i="6"/>
  <c r="M3006" i="6"/>
  <c r="M3005" i="6"/>
  <c r="M3004" i="6"/>
  <c r="M3003" i="6"/>
  <c r="M3002" i="6"/>
  <c r="M3001" i="6"/>
  <c r="M3000" i="6"/>
  <c r="M2999" i="6"/>
  <c r="M2998" i="6"/>
  <c r="M2997" i="6"/>
  <c r="M2996" i="6"/>
  <c r="M2995" i="6"/>
  <c r="M2994" i="6"/>
  <c r="M2993" i="6"/>
  <c r="M2992" i="6"/>
  <c r="M2991" i="6"/>
  <c r="M2990" i="6"/>
  <c r="M2989" i="6"/>
  <c r="M2988" i="6"/>
  <c r="M2987" i="6"/>
  <c r="M2986" i="6"/>
  <c r="M2985" i="6"/>
  <c r="M2984" i="6"/>
  <c r="M2983" i="6"/>
  <c r="M2982" i="6"/>
  <c r="M2981" i="6"/>
  <c r="M2980" i="6"/>
  <c r="M2979" i="6"/>
  <c r="M2978" i="6"/>
  <c r="M2977" i="6"/>
  <c r="M2976" i="6"/>
  <c r="M2975" i="6"/>
  <c r="M2974" i="6"/>
  <c r="M2973" i="6"/>
  <c r="M2972" i="6"/>
  <c r="M2971" i="6"/>
  <c r="M2970" i="6"/>
  <c r="M2969" i="6"/>
  <c r="M2968" i="6"/>
  <c r="M2967" i="6"/>
  <c r="M2966" i="6"/>
  <c r="M2965" i="6"/>
  <c r="M2964" i="6"/>
  <c r="M2963" i="6"/>
  <c r="M2962" i="6"/>
  <c r="M2961" i="6"/>
  <c r="M2960" i="6"/>
  <c r="M2959" i="6"/>
  <c r="M2958" i="6"/>
  <c r="M2957" i="6"/>
  <c r="M2956" i="6"/>
  <c r="M2955" i="6"/>
  <c r="M2954" i="6"/>
  <c r="M2953" i="6"/>
  <c r="M2952" i="6"/>
  <c r="M2951" i="6"/>
  <c r="M2950" i="6"/>
  <c r="M2949" i="6"/>
  <c r="M2948" i="6"/>
  <c r="M2947" i="6"/>
  <c r="M2946" i="6"/>
  <c r="M2945" i="6"/>
  <c r="M2944" i="6"/>
  <c r="M2943" i="6"/>
  <c r="M2942" i="6"/>
  <c r="M2941" i="6"/>
  <c r="M2940" i="6"/>
  <c r="M2939" i="6"/>
  <c r="M2938" i="6"/>
  <c r="M2937" i="6"/>
  <c r="M2936" i="6"/>
  <c r="M2935" i="6"/>
  <c r="M2934" i="6"/>
  <c r="M2933" i="6"/>
  <c r="M2932" i="6"/>
  <c r="M2931" i="6"/>
  <c r="M2930" i="6"/>
  <c r="M2929" i="6"/>
  <c r="M2928" i="6"/>
  <c r="M2927" i="6"/>
  <c r="M2913" i="6"/>
  <c r="M2912" i="6"/>
  <c r="M2911" i="6"/>
  <c r="M2910" i="6"/>
  <c r="M2909" i="6"/>
  <c r="M2908" i="6"/>
  <c r="M2907" i="6"/>
  <c r="M2906" i="6"/>
  <c r="M2905" i="6"/>
  <c r="M2904" i="6"/>
  <c r="M2903" i="6"/>
  <c r="M2902" i="6"/>
  <c r="M2901" i="6"/>
  <c r="M2900" i="6"/>
  <c r="M2899" i="6"/>
  <c r="M2898" i="6"/>
  <c r="M2897" i="6"/>
  <c r="M2896" i="6"/>
  <c r="M2895" i="6"/>
  <c r="M2894" i="6"/>
  <c r="M2893" i="6"/>
  <c r="M2892" i="6"/>
  <c r="M2891" i="6"/>
  <c r="M2890" i="6"/>
  <c r="M2889" i="6"/>
  <c r="M2888" i="6"/>
  <c r="M2887" i="6"/>
  <c r="M2886" i="6"/>
  <c r="M2885" i="6"/>
  <c r="M2884" i="6"/>
  <c r="M2883" i="6"/>
  <c r="M2882" i="6"/>
  <c r="M2881" i="6"/>
  <c r="M2880" i="6"/>
  <c r="M2879" i="6"/>
  <c r="M2878" i="6"/>
  <c r="M2877" i="6"/>
  <c r="M2876" i="6"/>
  <c r="M2875" i="6"/>
  <c r="M2874" i="6"/>
  <c r="M2873" i="6"/>
  <c r="M2872" i="6"/>
  <c r="M2871" i="6"/>
  <c r="M2870" i="6"/>
  <c r="M2869" i="6"/>
  <c r="M2868" i="6"/>
  <c r="M2867" i="6"/>
  <c r="M2866" i="6"/>
  <c r="M2865" i="6"/>
  <c r="M2864" i="6"/>
  <c r="M2863" i="6"/>
  <c r="M2862" i="6"/>
  <c r="M2861" i="6"/>
  <c r="M2860" i="6"/>
  <c r="M2859" i="6"/>
  <c r="M2858" i="6"/>
  <c r="M2857" i="6"/>
  <c r="M2856" i="6"/>
  <c r="M2855" i="6"/>
  <c r="M2854" i="6"/>
  <c r="M2853" i="6"/>
  <c r="M2852" i="6"/>
  <c r="M2851" i="6"/>
  <c r="M2850" i="6"/>
  <c r="M2849" i="6"/>
  <c r="M2848" i="6"/>
  <c r="M2847" i="6"/>
  <c r="M2846" i="6"/>
  <c r="M2845" i="6"/>
  <c r="M2844" i="6"/>
  <c r="M2843" i="6"/>
  <c r="M2842" i="6"/>
  <c r="M2841" i="6"/>
  <c r="M2840" i="6"/>
  <c r="M2839" i="6"/>
  <c r="M2838" i="6"/>
  <c r="M2837" i="6"/>
  <c r="M2836" i="6"/>
  <c r="M2835" i="6"/>
  <c r="M2834" i="6"/>
  <c r="M2833" i="6"/>
  <c r="M2832" i="6"/>
  <c r="M2831" i="6"/>
  <c r="M2830" i="6"/>
  <c r="M2829" i="6"/>
  <c r="M2828" i="6"/>
  <c r="M2827" i="6"/>
  <c r="M2826" i="6"/>
  <c r="M2825" i="6"/>
  <c r="M2824" i="6"/>
  <c r="M2823" i="6"/>
  <c r="M2822" i="6"/>
  <c r="M2821" i="6"/>
  <c r="M2820" i="6"/>
  <c r="M2819" i="6"/>
  <c r="M2818" i="6"/>
  <c r="M2817" i="6"/>
  <c r="M2816" i="6"/>
  <c r="M2815" i="6"/>
  <c r="M2689" i="6"/>
  <c r="M2688" i="6"/>
  <c r="M2687" i="6"/>
  <c r="M2686" i="6"/>
  <c r="M2685" i="6"/>
  <c r="M2684" i="6"/>
  <c r="M2683" i="6"/>
  <c r="M2682" i="6"/>
  <c r="M2681" i="6"/>
  <c r="M2680" i="6"/>
  <c r="M2679" i="6"/>
  <c r="M2678" i="6"/>
  <c r="M2677" i="6"/>
  <c r="M2676" i="6"/>
  <c r="M2675" i="6"/>
  <c r="M2674" i="6"/>
  <c r="M2673" i="6"/>
  <c r="M2672" i="6"/>
  <c r="M2671" i="6"/>
  <c r="M2670" i="6"/>
  <c r="M2669" i="6"/>
  <c r="M2668" i="6"/>
  <c r="M2667" i="6"/>
  <c r="M2666" i="6"/>
  <c r="M2665" i="6"/>
  <c r="M2664" i="6"/>
  <c r="M2663" i="6"/>
  <c r="M2662" i="6"/>
  <c r="M2661" i="6"/>
  <c r="M2660" i="6"/>
  <c r="M2659" i="6"/>
  <c r="M2658" i="6"/>
  <c r="M2657" i="6"/>
  <c r="M2656" i="6"/>
  <c r="M2655" i="6"/>
  <c r="M2654" i="6"/>
  <c r="M2653" i="6"/>
  <c r="M2652" i="6"/>
  <c r="M2651" i="6"/>
  <c r="M2650" i="6"/>
  <c r="M2649" i="6"/>
  <c r="M2648" i="6"/>
  <c r="M2647" i="6"/>
  <c r="M2646" i="6"/>
  <c r="M2645" i="6"/>
  <c r="M2644" i="6"/>
  <c r="M2643" i="6"/>
  <c r="M2642" i="6"/>
  <c r="M2641" i="6"/>
  <c r="M2640" i="6"/>
  <c r="M2639" i="6"/>
  <c r="M2638" i="6"/>
  <c r="M2637" i="6"/>
  <c r="M2636" i="6"/>
  <c r="M2635" i="6"/>
  <c r="M2634" i="6"/>
  <c r="M2633" i="6"/>
  <c r="M2632" i="6"/>
  <c r="M2631" i="6"/>
  <c r="M2630" i="6"/>
  <c r="M2629" i="6"/>
  <c r="M2628" i="6"/>
  <c r="M2627" i="6"/>
  <c r="M2626" i="6"/>
  <c r="M2625" i="6"/>
  <c r="M2624" i="6"/>
  <c r="M2623" i="6"/>
  <c r="M2622" i="6"/>
  <c r="M2621" i="6"/>
  <c r="M2620" i="6"/>
  <c r="M2619" i="6"/>
  <c r="M2618" i="6"/>
  <c r="M2617" i="6"/>
  <c r="M2616" i="6"/>
  <c r="M2615" i="6"/>
  <c r="M2614" i="6"/>
  <c r="M2613" i="6"/>
  <c r="M2612" i="6"/>
  <c r="M2611" i="6"/>
  <c r="M2610" i="6"/>
  <c r="M2609" i="6"/>
  <c r="M2608" i="6"/>
  <c r="M2607" i="6"/>
  <c r="M2606" i="6"/>
  <c r="M2605" i="6"/>
  <c r="M2604" i="6"/>
  <c r="M2603" i="6"/>
  <c r="M2602" i="6"/>
  <c r="M2601" i="6"/>
  <c r="M2600" i="6"/>
  <c r="M2599" i="6"/>
  <c r="M2598" i="6"/>
  <c r="M2597" i="6"/>
  <c r="M2596" i="6"/>
  <c r="M2595" i="6"/>
  <c r="M2594" i="6"/>
  <c r="M2593" i="6"/>
  <c r="M2592" i="6"/>
  <c r="M2591" i="6"/>
  <c r="M2577" i="6"/>
  <c r="M2576" i="6"/>
  <c r="M2575" i="6"/>
  <c r="M2574" i="6"/>
  <c r="M2573" i="6"/>
  <c r="M2572" i="6"/>
  <c r="M2571" i="6"/>
  <c r="M2570" i="6"/>
  <c r="M2569" i="6"/>
  <c r="M2568" i="6"/>
  <c r="M2567" i="6"/>
  <c r="M2566" i="6"/>
  <c r="M2565" i="6"/>
  <c r="M2564" i="6"/>
  <c r="M2563" i="6"/>
  <c r="M2562" i="6"/>
  <c r="M2561" i="6"/>
  <c r="M2560" i="6"/>
  <c r="M2559" i="6"/>
  <c r="M2558" i="6"/>
  <c r="M2557" i="6"/>
  <c r="M2556" i="6"/>
  <c r="M2555" i="6"/>
  <c r="M2554" i="6"/>
  <c r="M2553" i="6"/>
  <c r="M2552" i="6"/>
  <c r="M2551" i="6"/>
  <c r="M2550" i="6"/>
  <c r="M2549" i="6"/>
  <c r="M2548" i="6"/>
  <c r="M2547" i="6"/>
  <c r="M2546" i="6"/>
  <c r="M2545" i="6"/>
  <c r="M2544" i="6"/>
  <c r="M2543" i="6"/>
  <c r="M2542" i="6"/>
  <c r="M2541" i="6"/>
  <c r="M2540" i="6"/>
  <c r="M2539" i="6"/>
  <c r="M2538" i="6"/>
  <c r="M2537" i="6"/>
  <c r="M2536" i="6"/>
  <c r="M2535" i="6"/>
  <c r="M2534" i="6"/>
  <c r="M2533" i="6"/>
  <c r="M2532" i="6"/>
  <c r="M2531" i="6"/>
  <c r="M2530" i="6"/>
  <c r="M2529" i="6"/>
  <c r="M2528" i="6"/>
  <c r="M2527" i="6"/>
  <c r="M2526" i="6"/>
  <c r="M2525" i="6"/>
  <c r="M2524" i="6"/>
  <c r="M2523" i="6"/>
  <c r="M2522" i="6"/>
  <c r="M2521" i="6"/>
  <c r="M2520" i="6"/>
  <c r="M2519" i="6"/>
  <c r="M2518" i="6"/>
  <c r="M2517" i="6"/>
  <c r="M2516" i="6"/>
  <c r="M2515" i="6"/>
  <c r="M2514" i="6"/>
  <c r="M2513" i="6"/>
  <c r="M2512" i="6"/>
  <c r="M2511" i="6"/>
  <c r="M2510" i="6"/>
  <c r="M2509" i="6"/>
  <c r="M2508" i="6"/>
  <c r="M2507" i="6"/>
  <c r="M2506" i="6"/>
  <c r="M2505" i="6"/>
  <c r="M2504" i="6"/>
  <c r="M2503" i="6"/>
  <c r="M2502" i="6"/>
  <c r="M2501" i="6"/>
  <c r="M2500" i="6"/>
  <c r="M2499" i="6"/>
  <c r="M2498" i="6"/>
  <c r="M2497" i="6"/>
  <c r="M2496" i="6"/>
  <c r="M2495" i="6"/>
  <c r="M2494" i="6"/>
  <c r="M2493" i="6"/>
  <c r="M2492" i="6"/>
  <c r="M2491" i="6"/>
  <c r="M2490" i="6"/>
  <c r="M2489" i="6"/>
  <c r="M2488" i="6"/>
  <c r="M2487" i="6"/>
  <c r="M2486" i="6"/>
  <c r="M2485" i="6"/>
  <c r="M2484" i="6"/>
  <c r="M2483" i="6"/>
  <c r="M2482" i="6"/>
  <c r="M2481" i="6"/>
  <c r="M2480" i="6"/>
  <c r="M2479" i="6"/>
  <c r="M2465" i="6"/>
  <c r="M2464" i="6"/>
  <c r="M2463" i="6"/>
  <c r="M2462" i="6"/>
  <c r="M2461" i="6"/>
  <c r="M2460" i="6"/>
  <c r="M2459" i="6"/>
  <c r="M2458" i="6"/>
  <c r="M2457" i="6"/>
  <c r="M2456" i="6"/>
  <c r="M2455" i="6"/>
  <c r="M2454" i="6"/>
  <c r="M2453" i="6"/>
  <c r="M2452" i="6"/>
  <c r="M2451" i="6"/>
  <c r="M2450" i="6"/>
  <c r="M2449" i="6"/>
  <c r="M2448" i="6"/>
  <c r="M2447" i="6"/>
  <c r="M2446" i="6"/>
  <c r="M2445" i="6"/>
  <c r="M2444" i="6"/>
  <c r="M2443" i="6"/>
  <c r="M2442" i="6"/>
  <c r="M2441" i="6"/>
  <c r="M2440" i="6"/>
  <c r="M2439" i="6"/>
  <c r="M2438" i="6"/>
  <c r="M2437" i="6"/>
  <c r="M2436" i="6"/>
  <c r="M2435" i="6"/>
  <c r="M2434" i="6"/>
  <c r="M2433" i="6"/>
  <c r="M2432" i="6"/>
  <c r="M2431" i="6"/>
  <c r="M2430" i="6"/>
  <c r="M2429" i="6"/>
  <c r="M2428" i="6"/>
  <c r="M2427" i="6"/>
  <c r="M2426" i="6"/>
  <c r="M2425" i="6"/>
  <c r="M2424" i="6"/>
  <c r="M2423" i="6"/>
  <c r="M2422" i="6"/>
  <c r="M2421" i="6"/>
  <c r="M2420" i="6"/>
  <c r="M2419" i="6"/>
  <c r="M2418" i="6"/>
  <c r="M2417" i="6"/>
  <c r="M2416" i="6"/>
  <c r="M2415" i="6"/>
  <c r="M2414" i="6"/>
  <c r="M2413" i="6"/>
  <c r="M2412" i="6"/>
  <c r="M2411" i="6"/>
  <c r="M2410" i="6"/>
  <c r="M2409" i="6"/>
  <c r="M2408" i="6"/>
  <c r="M2407" i="6"/>
  <c r="M2406" i="6"/>
  <c r="M2405" i="6"/>
  <c r="M2404" i="6"/>
  <c r="M2403" i="6"/>
  <c r="M2402" i="6"/>
  <c r="M2401" i="6"/>
  <c r="M2400" i="6"/>
  <c r="M2399" i="6"/>
  <c r="M2398" i="6"/>
  <c r="M2397" i="6"/>
  <c r="M2396" i="6"/>
  <c r="M2395" i="6"/>
  <c r="M2394" i="6"/>
  <c r="M2393" i="6"/>
  <c r="M2392" i="6"/>
  <c r="M2391" i="6"/>
  <c r="M2390" i="6"/>
  <c r="M2389" i="6"/>
  <c r="M2388" i="6"/>
  <c r="M2387" i="6"/>
  <c r="M2386" i="6"/>
  <c r="M2385" i="6"/>
  <c r="M2384" i="6"/>
  <c r="M2383" i="6"/>
  <c r="M2382" i="6"/>
  <c r="M2381" i="6"/>
  <c r="M2380" i="6"/>
  <c r="M2379" i="6"/>
  <c r="M2378" i="6"/>
  <c r="M2377" i="6"/>
  <c r="M2376" i="6"/>
  <c r="M2375" i="6"/>
  <c r="M2374" i="6"/>
  <c r="M2373" i="6"/>
  <c r="M2372" i="6"/>
  <c r="M2371" i="6"/>
  <c r="M2370" i="6"/>
  <c r="M2369" i="6"/>
  <c r="M2368" i="6"/>
  <c r="M2367" i="6"/>
  <c r="M2241" i="6"/>
  <c r="M2240" i="6"/>
  <c r="M2239" i="6"/>
  <c r="M2238" i="6"/>
  <c r="M2237" i="6"/>
  <c r="M2236" i="6"/>
  <c r="M2235" i="6"/>
  <c r="M2234" i="6"/>
  <c r="M2233" i="6"/>
  <c r="M2232" i="6"/>
  <c r="M2231" i="6"/>
  <c r="M2230" i="6"/>
  <c r="M2229" i="6"/>
  <c r="M2228" i="6"/>
  <c r="M2227" i="6"/>
  <c r="M2226" i="6"/>
  <c r="M2225" i="6"/>
  <c r="M2224" i="6"/>
  <c r="M2223" i="6"/>
  <c r="M2222" i="6"/>
  <c r="M2221" i="6"/>
  <c r="M2220" i="6"/>
  <c r="M2219" i="6"/>
  <c r="M2218" i="6"/>
  <c r="M2217" i="6"/>
  <c r="M2216" i="6"/>
  <c r="M2215" i="6"/>
  <c r="M2214" i="6"/>
  <c r="M2213" i="6"/>
  <c r="M2212" i="6"/>
  <c r="M2211" i="6"/>
  <c r="M2210" i="6"/>
  <c r="M2209" i="6"/>
  <c r="M2208" i="6"/>
  <c r="M2207" i="6"/>
  <c r="M2206" i="6"/>
  <c r="M2205" i="6"/>
  <c r="M2204" i="6"/>
  <c r="M2203" i="6"/>
  <c r="M2202" i="6"/>
  <c r="M2201" i="6"/>
  <c r="M2200" i="6"/>
  <c r="M2199" i="6"/>
  <c r="M2198" i="6"/>
  <c r="M2197" i="6"/>
  <c r="M2196" i="6"/>
  <c r="M2195" i="6"/>
  <c r="M2194" i="6"/>
  <c r="M2193" i="6"/>
  <c r="M2192" i="6"/>
  <c r="M2191" i="6"/>
  <c r="M2190" i="6"/>
  <c r="M2189" i="6"/>
  <c r="M2188" i="6"/>
  <c r="M2187" i="6"/>
  <c r="M2186" i="6"/>
  <c r="M2185" i="6"/>
  <c r="M2184" i="6"/>
  <c r="M2183" i="6"/>
  <c r="M2182" i="6"/>
  <c r="M2181" i="6"/>
  <c r="M2180" i="6"/>
  <c r="M2179" i="6"/>
  <c r="M2178" i="6"/>
  <c r="M2177" i="6"/>
  <c r="M2176" i="6"/>
  <c r="M2175" i="6"/>
  <c r="M2174" i="6"/>
  <c r="M2173" i="6"/>
  <c r="M2172" i="6"/>
  <c r="M2171" i="6"/>
  <c r="M2170" i="6"/>
  <c r="M2169" i="6"/>
  <c r="M2168" i="6"/>
  <c r="M2167" i="6"/>
  <c r="M2166" i="6"/>
  <c r="M2165" i="6"/>
  <c r="M2164" i="6"/>
  <c r="M2163" i="6"/>
  <c r="M2162" i="6"/>
  <c r="M2161" i="6"/>
  <c r="M2160" i="6"/>
  <c r="M2159" i="6"/>
  <c r="M2158" i="6"/>
  <c r="M2157" i="6"/>
  <c r="M2156" i="6"/>
  <c r="M2155" i="6"/>
  <c r="M2154" i="6"/>
  <c r="M2153" i="6"/>
  <c r="M2152" i="6"/>
  <c r="M2151" i="6"/>
  <c r="M2150" i="6"/>
  <c r="M2149" i="6"/>
  <c r="M2148" i="6"/>
  <c r="M2147" i="6"/>
  <c r="M2146" i="6"/>
  <c r="M2145" i="6"/>
  <c r="M2144" i="6"/>
  <c r="M2143" i="6"/>
  <c r="M2129" i="6"/>
  <c r="M2128" i="6"/>
  <c r="M2127" i="6"/>
  <c r="M2126" i="6"/>
  <c r="M2125" i="6"/>
  <c r="M2124" i="6"/>
  <c r="M2123" i="6"/>
  <c r="M2122" i="6"/>
  <c r="M2121" i="6"/>
  <c r="M2120" i="6"/>
  <c r="M2119" i="6"/>
  <c r="M2118" i="6"/>
  <c r="M2117" i="6"/>
  <c r="M2116" i="6"/>
  <c r="M2115" i="6"/>
  <c r="M2114" i="6"/>
  <c r="M2113" i="6"/>
  <c r="M2112" i="6"/>
  <c r="M2111" i="6"/>
  <c r="M2110" i="6"/>
  <c r="M2109" i="6"/>
  <c r="M2108" i="6"/>
  <c r="M2107" i="6"/>
  <c r="M2106" i="6"/>
  <c r="M2105" i="6"/>
  <c r="M2104" i="6"/>
  <c r="M2103" i="6"/>
  <c r="M2102" i="6"/>
  <c r="M2101" i="6"/>
  <c r="M2100" i="6"/>
  <c r="M2099" i="6"/>
  <c r="M2098" i="6"/>
  <c r="M2097" i="6"/>
  <c r="M2096" i="6"/>
  <c r="M2095" i="6"/>
  <c r="M2094" i="6"/>
  <c r="M2093" i="6"/>
  <c r="M2092" i="6"/>
  <c r="M2091" i="6"/>
  <c r="M2090" i="6"/>
  <c r="M2089" i="6"/>
  <c r="M2088" i="6"/>
  <c r="M2087" i="6"/>
  <c r="M2086" i="6"/>
  <c r="M2085" i="6"/>
  <c r="M2084" i="6"/>
  <c r="M2083" i="6"/>
  <c r="M2082" i="6"/>
  <c r="M2081" i="6"/>
  <c r="M2080" i="6"/>
  <c r="M2079" i="6"/>
  <c r="M2078" i="6"/>
  <c r="M2077" i="6"/>
  <c r="M2076" i="6"/>
  <c r="M2075" i="6"/>
  <c r="M2074" i="6"/>
  <c r="M2073" i="6"/>
  <c r="M2072" i="6"/>
  <c r="M2071" i="6"/>
  <c r="M2070" i="6"/>
  <c r="M2069" i="6"/>
  <c r="M2068" i="6"/>
  <c r="M2067" i="6"/>
  <c r="M2066" i="6"/>
  <c r="M2065" i="6"/>
  <c r="M2064" i="6"/>
  <c r="M2063" i="6"/>
  <c r="M2062" i="6"/>
  <c r="M2061" i="6"/>
  <c r="M2060" i="6"/>
  <c r="M2059" i="6"/>
  <c r="M2058" i="6"/>
  <c r="M2057" i="6"/>
  <c r="M2056" i="6"/>
  <c r="M2055" i="6"/>
  <c r="M2054" i="6"/>
  <c r="M2053" i="6"/>
  <c r="M2052" i="6"/>
  <c r="M2051" i="6"/>
  <c r="M2050" i="6"/>
  <c r="M2049" i="6"/>
  <c r="M2048" i="6"/>
  <c r="M2047" i="6"/>
  <c r="M2046" i="6"/>
  <c r="M2045" i="6"/>
  <c r="M2044" i="6"/>
  <c r="M2043" i="6"/>
  <c r="M2042" i="6"/>
  <c r="M2041" i="6"/>
  <c r="M2040" i="6"/>
  <c r="M2039" i="6"/>
  <c r="M2038" i="6"/>
  <c r="M2037" i="6"/>
  <c r="M2036" i="6"/>
  <c r="M2035" i="6"/>
  <c r="M2034" i="6"/>
  <c r="M2033" i="6"/>
  <c r="M2032" i="6"/>
  <c r="M2031" i="6"/>
  <c r="M2017" i="6"/>
  <c r="M2016" i="6"/>
  <c r="M2015" i="6"/>
  <c r="M2014" i="6"/>
  <c r="M2013" i="6"/>
  <c r="M2012" i="6"/>
  <c r="M2011" i="6"/>
  <c r="M2010" i="6"/>
  <c r="M2009" i="6"/>
  <c r="M2008" i="6"/>
  <c r="M2007" i="6"/>
  <c r="M2006" i="6"/>
  <c r="M2005" i="6"/>
  <c r="M2004" i="6"/>
  <c r="M2003" i="6"/>
  <c r="M2002" i="6"/>
  <c r="M2001" i="6"/>
  <c r="M2000" i="6"/>
  <c r="M1999" i="6"/>
  <c r="M1998" i="6"/>
  <c r="M1997" i="6"/>
  <c r="M1996" i="6"/>
  <c r="M1995" i="6"/>
  <c r="M1994" i="6"/>
  <c r="M1993" i="6"/>
  <c r="M1992" i="6"/>
  <c r="M1991" i="6"/>
  <c r="M1990" i="6"/>
  <c r="M1989" i="6"/>
  <c r="M1988" i="6"/>
  <c r="M1987" i="6"/>
  <c r="M1986" i="6"/>
  <c r="M1985" i="6"/>
  <c r="M1984" i="6"/>
  <c r="M1983" i="6"/>
  <c r="M1982" i="6"/>
  <c r="M1981" i="6"/>
  <c r="M1980" i="6"/>
  <c r="M1979" i="6"/>
  <c r="M1978" i="6"/>
  <c r="M1977" i="6"/>
  <c r="M1976" i="6"/>
  <c r="M1975" i="6"/>
  <c r="M1974" i="6"/>
  <c r="M1973" i="6"/>
  <c r="M1972" i="6"/>
  <c r="M1971" i="6"/>
  <c r="M1970" i="6"/>
  <c r="M1969" i="6"/>
  <c r="M1968" i="6"/>
  <c r="M1967" i="6"/>
  <c r="M1966" i="6"/>
  <c r="M1965" i="6"/>
  <c r="M1964" i="6"/>
  <c r="M1963" i="6"/>
  <c r="M1962" i="6"/>
  <c r="M1961" i="6"/>
  <c r="M1960" i="6"/>
  <c r="M1959" i="6"/>
  <c r="M1958" i="6"/>
  <c r="M1957" i="6"/>
  <c r="M1956" i="6"/>
  <c r="M1955" i="6"/>
  <c r="M1954" i="6"/>
  <c r="M1953" i="6"/>
  <c r="M1952" i="6"/>
  <c r="M1951" i="6"/>
  <c r="M1950" i="6"/>
  <c r="M1949" i="6"/>
  <c r="M1948" i="6"/>
  <c r="M1947" i="6"/>
  <c r="M1946" i="6"/>
  <c r="M1945" i="6"/>
  <c r="M1944" i="6"/>
  <c r="M1943" i="6"/>
  <c r="M1942" i="6"/>
  <c r="M1941" i="6"/>
  <c r="M1940" i="6"/>
  <c r="M1939" i="6"/>
  <c r="M1938" i="6"/>
  <c r="M1937" i="6"/>
  <c r="M1936" i="6"/>
  <c r="M1935" i="6"/>
  <c r="M1934" i="6"/>
  <c r="M1933" i="6"/>
  <c r="M1932" i="6"/>
  <c r="M1931" i="6"/>
  <c r="M1930" i="6"/>
  <c r="M1929" i="6"/>
  <c r="M1928" i="6"/>
  <c r="M1927" i="6"/>
  <c r="M1926" i="6"/>
  <c r="M1925" i="6"/>
  <c r="M1924" i="6"/>
  <c r="M1923" i="6"/>
  <c r="M1922" i="6"/>
  <c r="M1921" i="6"/>
  <c r="M1920" i="6"/>
  <c r="M1919" i="6"/>
  <c r="M1793" i="6"/>
  <c r="M1792" i="6"/>
  <c r="M1791" i="6"/>
  <c r="M1790" i="6"/>
  <c r="M1789" i="6"/>
  <c r="M1788" i="6"/>
  <c r="M1787" i="6"/>
  <c r="M1786" i="6"/>
  <c r="M1785" i="6"/>
  <c r="M1784" i="6"/>
  <c r="M1783" i="6"/>
  <c r="M1782" i="6"/>
  <c r="M1781" i="6"/>
  <c r="M1780" i="6"/>
  <c r="M1779" i="6"/>
  <c r="M1778" i="6"/>
  <c r="M1777" i="6"/>
  <c r="M1776" i="6"/>
  <c r="M1775" i="6"/>
  <c r="M1774" i="6"/>
  <c r="M1773" i="6"/>
  <c r="M1772" i="6"/>
  <c r="M1771" i="6"/>
  <c r="M1770" i="6"/>
  <c r="M1769" i="6"/>
  <c r="M1768" i="6"/>
  <c r="M1767" i="6"/>
  <c r="M1766" i="6"/>
  <c r="M1765" i="6"/>
  <c r="M1764" i="6"/>
  <c r="M1763" i="6"/>
  <c r="M1762" i="6"/>
  <c r="M1761" i="6"/>
  <c r="M1760" i="6"/>
  <c r="M1759" i="6"/>
  <c r="M1758" i="6"/>
  <c r="M1757" i="6"/>
  <c r="M1756" i="6"/>
  <c r="M1755" i="6"/>
  <c r="M1754" i="6"/>
  <c r="M1753" i="6"/>
  <c r="M1752" i="6"/>
  <c r="M1751" i="6"/>
  <c r="M1750" i="6"/>
  <c r="M1749" i="6"/>
  <c r="M1748" i="6"/>
  <c r="M1747" i="6"/>
  <c r="M1746" i="6"/>
  <c r="M1745" i="6"/>
  <c r="M1744" i="6"/>
  <c r="M1743" i="6"/>
  <c r="M1742" i="6"/>
  <c r="M1741" i="6"/>
  <c r="M1740" i="6"/>
  <c r="M1739" i="6"/>
  <c r="M1738" i="6"/>
  <c r="M1737" i="6"/>
  <c r="M1736" i="6"/>
  <c r="M1735" i="6"/>
  <c r="M1734" i="6"/>
  <c r="M1733" i="6"/>
  <c r="M1732" i="6"/>
  <c r="M1731" i="6"/>
  <c r="M1730" i="6"/>
  <c r="M1729" i="6"/>
  <c r="M1728" i="6"/>
  <c r="M1727" i="6"/>
  <c r="M1726" i="6"/>
  <c r="M1725" i="6"/>
  <c r="M1724" i="6"/>
  <c r="M1723" i="6"/>
  <c r="M1722" i="6"/>
  <c r="M1721" i="6"/>
  <c r="M1720" i="6"/>
  <c r="M1719" i="6"/>
  <c r="M1718" i="6"/>
  <c r="M1717" i="6"/>
  <c r="M1716" i="6"/>
  <c r="M1715" i="6"/>
  <c r="M1714" i="6"/>
  <c r="M1713" i="6"/>
  <c r="M1712" i="6"/>
  <c r="M1711" i="6"/>
  <c r="M1710" i="6"/>
  <c r="M1709" i="6"/>
  <c r="M1708" i="6"/>
  <c r="M1707" i="6"/>
  <c r="M1706" i="6"/>
  <c r="M1705" i="6"/>
  <c r="M1704" i="6"/>
  <c r="M1703" i="6"/>
  <c r="M1702" i="6"/>
  <c r="M1701" i="6"/>
  <c r="M1700" i="6"/>
  <c r="M1699" i="6"/>
  <c r="M1698" i="6"/>
  <c r="M1697" i="6"/>
  <c r="M1696" i="6"/>
  <c r="M1695" i="6"/>
  <c r="M1681" i="6"/>
  <c r="M1680" i="6"/>
  <c r="M1679" i="6"/>
  <c r="M1678" i="6"/>
  <c r="M1677" i="6"/>
  <c r="M1676" i="6"/>
  <c r="M1675" i="6"/>
  <c r="M1674" i="6"/>
  <c r="M1673" i="6"/>
  <c r="M1672" i="6"/>
  <c r="M1671" i="6"/>
  <c r="M1670" i="6"/>
  <c r="M1669" i="6"/>
  <c r="M1668" i="6"/>
  <c r="M1667" i="6"/>
  <c r="M1666" i="6"/>
  <c r="M1665" i="6"/>
  <c r="M1664" i="6"/>
  <c r="M1663" i="6"/>
  <c r="M1662" i="6"/>
  <c r="M1661" i="6"/>
  <c r="M1660" i="6"/>
  <c r="M1659" i="6"/>
  <c r="M1658" i="6"/>
  <c r="M1657" i="6"/>
  <c r="M1656" i="6"/>
  <c r="M1655" i="6"/>
  <c r="M1654" i="6"/>
  <c r="M1653" i="6"/>
  <c r="M1652" i="6"/>
  <c r="M1651" i="6"/>
  <c r="M1650" i="6"/>
  <c r="M1649" i="6"/>
  <c r="M1648" i="6"/>
  <c r="M1647" i="6"/>
  <c r="M1646" i="6"/>
  <c r="M1645" i="6"/>
  <c r="M1644" i="6"/>
  <c r="M1643" i="6"/>
  <c r="M1642" i="6"/>
  <c r="M1641" i="6"/>
  <c r="M1640" i="6"/>
  <c r="M1639" i="6"/>
  <c r="M1638" i="6"/>
  <c r="M1637" i="6"/>
  <c r="M1636" i="6"/>
  <c r="M1635" i="6"/>
  <c r="M1634" i="6"/>
  <c r="M1633" i="6"/>
  <c r="M1632" i="6"/>
  <c r="M1631" i="6"/>
  <c r="M1630" i="6"/>
  <c r="M1629" i="6"/>
  <c r="M1628" i="6"/>
  <c r="M1627" i="6"/>
  <c r="M1626" i="6"/>
  <c r="M1625" i="6"/>
  <c r="M1624" i="6"/>
  <c r="M1623" i="6"/>
  <c r="M1622" i="6"/>
  <c r="M1621" i="6"/>
  <c r="M1620" i="6"/>
  <c r="M1619" i="6"/>
  <c r="M1618" i="6"/>
  <c r="M1617" i="6"/>
  <c r="M1616" i="6"/>
  <c r="M1615" i="6"/>
  <c r="M1614" i="6"/>
  <c r="M1613" i="6"/>
  <c r="M1612" i="6"/>
  <c r="M1611" i="6"/>
  <c r="M1610" i="6"/>
  <c r="M1609" i="6"/>
  <c r="M1608" i="6"/>
  <c r="M1607" i="6"/>
  <c r="M1606" i="6"/>
  <c r="M1605" i="6"/>
  <c r="M1604" i="6"/>
  <c r="M1603" i="6"/>
  <c r="M1602" i="6"/>
  <c r="M1601" i="6"/>
  <c r="M1600" i="6"/>
  <c r="M1599" i="6"/>
  <c r="M1598" i="6"/>
  <c r="M1597" i="6"/>
  <c r="M1596" i="6"/>
  <c r="M1595" i="6"/>
  <c r="M1594" i="6"/>
  <c r="M1593" i="6"/>
  <c r="M1592" i="6"/>
  <c r="M1591" i="6"/>
  <c r="M1590" i="6"/>
  <c r="M1589" i="6"/>
  <c r="M1588" i="6"/>
  <c r="M1587" i="6"/>
  <c r="M1586" i="6"/>
  <c r="M1585" i="6"/>
  <c r="M1584" i="6"/>
  <c r="M1583" i="6"/>
  <c r="M1569" i="6"/>
  <c r="M1568" i="6"/>
  <c r="M1567" i="6"/>
  <c r="M1566" i="6"/>
  <c r="M1565" i="6"/>
  <c r="M1564" i="6"/>
  <c r="M1563" i="6"/>
  <c r="M1562" i="6"/>
  <c r="M1561" i="6"/>
  <c r="M1560" i="6"/>
  <c r="M1559" i="6"/>
  <c r="M1558" i="6"/>
  <c r="M1557" i="6"/>
  <c r="M1556" i="6"/>
  <c r="M1555" i="6"/>
  <c r="M1554" i="6"/>
  <c r="M1553" i="6"/>
  <c r="M1552" i="6"/>
  <c r="M1551" i="6"/>
  <c r="M1550" i="6"/>
  <c r="M1549" i="6"/>
  <c r="M1548" i="6"/>
  <c r="M1547" i="6"/>
  <c r="M1546" i="6"/>
  <c r="M1545" i="6"/>
  <c r="M1544" i="6"/>
  <c r="M1543" i="6"/>
  <c r="M1542" i="6"/>
  <c r="M1541" i="6"/>
  <c r="M1540" i="6"/>
  <c r="M1539" i="6"/>
  <c r="M1538" i="6"/>
  <c r="M1537" i="6"/>
  <c r="M1536" i="6"/>
  <c r="M1535" i="6"/>
  <c r="M1534" i="6"/>
  <c r="M1533" i="6"/>
  <c r="M1532" i="6"/>
  <c r="M1531" i="6"/>
  <c r="M1530" i="6"/>
  <c r="M1529" i="6"/>
  <c r="M1528" i="6"/>
  <c r="M1527" i="6"/>
  <c r="M1526" i="6"/>
  <c r="M1525" i="6"/>
  <c r="M1524" i="6"/>
  <c r="M1523" i="6"/>
  <c r="M1522" i="6"/>
  <c r="M1521" i="6"/>
  <c r="M1520" i="6"/>
  <c r="M1519" i="6"/>
  <c r="M1518" i="6"/>
  <c r="M1517" i="6"/>
  <c r="M1516" i="6"/>
  <c r="M1515" i="6"/>
  <c r="M1514" i="6"/>
  <c r="M1513" i="6"/>
  <c r="M1512" i="6"/>
  <c r="M1511" i="6"/>
  <c r="M1510" i="6"/>
  <c r="M1509" i="6"/>
  <c r="M1508" i="6"/>
  <c r="M1507" i="6"/>
  <c r="M1506" i="6"/>
  <c r="M1505" i="6"/>
  <c r="M1504" i="6"/>
  <c r="M1503" i="6"/>
  <c r="M1502" i="6"/>
  <c r="M1501" i="6"/>
  <c r="M1500" i="6"/>
  <c r="M1499" i="6"/>
  <c r="M1498" i="6"/>
  <c r="M1497" i="6"/>
  <c r="M1496" i="6"/>
  <c r="M1495" i="6"/>
  <c r="M1494" i="6"/>
  <c r="M1493" i="6"/>
  <c r="M1492" i="6"/>
  <c r="M1491" i="6"/>
  <c r="M1490" i="6"/>
  <c r="M1489" i="6"/>
  <c r="M1488" i="6"/>
  <c r="M1487" i="6"/>
  <c r="M1486" i="6"/>
  <c r="M1485" i="6"/>
  <c r="M1484" i="6"/>
  <c r="M1483" i="6"/>
  <c r="M1482" i="6"/>
  <c r="M1481" i="6"/>
  <c r="M1480" i="6"/>
  <c r="M1479" i="6"/>
  <c r="M1478" i="6"/>
  <c r="M1477" i="6"/>
  <c r="M1476" i="6"/>
  <c r="M1475" i="6"/>
  <c r="M1474" i="6"/>
  <c r="M1473" i="6"/>
  <c r="M1472" i="6"/>
  <c r="M1471" i="6"/>
  <c r="M1345" i="6"/>
  <c r="M1344" i="6"/>
  <c r="M1343" i="6"/>
  <c r="M1342" i="6"/>
  <c r="M1341" i="6"/>
  <c r="M1340" i="6"/>
  <c r="M1339" i="6"/>
  <c r="M1338" i="6"/>
  <c r="M1337" i="6"/>
  <c r="M1336" i="6"/>
  <c r="M1335" i="6"/>
  <c r="M1334" i="6"/>
  <c r="M1333" i="6"/>
  <c r="M1332" i="6"/>
  <c r="M1331" i="6"/>
  <c r="M1330" i="6"/>
  <c r="M1329" i="6"/>
  <c r="M1328" i="6"/>
  <c r="M1327" i="6"/>
  <c r="M1326" i="6"/>
  <c r="M1325" i="6"/>
  <c r="M1324" i="6"/>
  <c r="M1323" i="6"/>
  <c r="M1322" i="6"/>
  <c r="M1321" i="6"/>
  <c r="M1320" i="6"/>
  <c r="M1319" i="6"/>
  <c r="M1318" i="6"/>
  <c r="M1317" i="6"/>
  <c r="M1316" i="6"/>
  <c r="M1315" i="6"/>
  <c r="M1314" i="6"/>
  <c r="M1313" i="6"/>
  <c r="M1312" i="6"/>
  <c r="M1311" i="6"/>
  <c r="M1310" i="6"/>
  <c r="M1309" i="6"/>
  <c r="M1308" i="6"/>
  <c r="M1307" i="6"/>
  <c r="M1306" i="6"/>
  <c r="M1305" i="6"/>
  <c r="M1304" i="6"/>
  <c r="M1303" i="6"/>
  <c r="M1302" i="6"/>
  <c r="M1301" i="6"/>
  <c r="M1300" i="6"/>
  <c r="M1299" i="6"/>
  <c r="M1298" i="6"/>
  <c r="M1297" i="6"/>
  <c r="M1296" i="6"/>
  <c r="M1295" i="6"/>
  <c r="M1294" i="6"/>
  <c r="M1293" i="6"/>
  <c r="M1292" i="6"/>
  <c r="M1291" i="6"/>
  <c r="M1290" i="6"/>
  <c r="M1289" i="6"/>
  <c r="M1288" i="6"/>
  <c r="M1287" i="6"/>
  <c r="M1286" i="6"/>
  <c r="M1285" i="6"/>
  <c r="M1284" i="6"/>
  <c r="M1283" i="6"/>
  <c r="M1282" i="6"/>
  <c r="M1281" i="6"/>
  <c r="M1280" i="6"/>
  <c r="M1279" i="6"/>
  <c r="M1278" i="6"/>
  <c r="M1277" i="6"/>
  <c r="M1276" i="6"/>
  <c r="M1275" i="6"/>
  <c r="M1274" i="6"/>
  <c r="M1273" i="6"/>
  <c r="M1272" i="6"/>
  <c r="M1271" i="6"/>
  <c r="M1270" i="6"/>
  <c r="M1269" i="6"/>
  <c r="M1268" i="6"/>
  <c r="M1267" i="6"/>
  <c r="M1266" i="6"/>
  <c r="M1265" i="6"/>
  <c r="M1264" i="6"/>
  <c r="M1263" i="6"/>
  <c r="M1262" i="6"/>
  <c r="M1261" i="6"/>
  <c r="M1260" i="6"/>
  <c r="M1259" i="6"/>
  <c r="M1258" i="6"/>
  <c r="M1257" i="6"/>
  <c r="M1256" i="6"/>
  <c r="M1255" i="6"/>
  <c r="M1254" i="6"/>
  <c r="M1253" i="6"/>
  <c r="M1252" i="6"/>
  <c r="M1251" i="6"/>
  <c r="M1250" i="6"/>
  <c r="M1249" i="6"/>
  <c r="M1248" i="6"/>
  <c r="M1247" i="6"/>
  <c r="M1233" i="6"/>
  <c r="M1232" i="6"/>
  <c r="M1231" i="6"/>
  <c r="M1230" i="6"/>
  <c r="M1229" i="6"/>
  <c r="M1228" i="6"/>
  <c r="M1227" i="6"/>
  <c r="M1226" i="6"/>
  <c r="M1225" i="6"/>
  <c r="M1224" i="6"/>
  <c r="M1223" i="6"/>
  <c r="M1222" i="6"/>
  <c r="M1221" i="6"/>
  <c r="M1220" i="6"/>
  <c r="M1219" i="6"/>
  <c r="M1218" i="6"/>
  <c r="M1217" i="6"/>
  <c r="M1216" i="6"/>
  <c r="M1215" i="6"/>
  <c r="M1214" i="6"/>
  <c r="M1213" i="6"/>
  <c r="M1212" i="6"/>
  <c r="M1211" i="6"/>
  <c r="M1210" i="6"/>
  <c r="M1209" i="6"/>
  <c r="M1208" i="6"/>
  <c r="M1207" i="6"/>
  <c r="M1206" i="6"/>
  <c r="M1205" i="6"/>
  <c r="M1204" i="6"/>
  <c r="M1203" i="6"/>
  <c r="M1202" i="6"/>
  <c r="M1201" i="6"/>
  <c r="M1200" i="6"/>
  <c r="M1199" i="6"/>
  <c r="M1198" i="6"/>
  <c r="M1197" i="6"/>
  <c r="M1196" i="6"/>
  <c r="M1195" i="6"/>
  <c r="M1194" i="6"/>
  <c r="M1193" i="6"/>
  <c r="M1192" i="6"/>
  <c r="M1191" i="6"/>
  <c r="M1190" i="6"/>
  <c r="M1189" i="6"/>
  <c r="M1188" i="6"/>
  <c r="M1187" i="6"/>
  <c r="M1186" i="6"/>
  <c r="M1185" i="6"/>
  <c r="M1184" i="6"/>
  <c r="M1183" i="6"/>
  <c r="M1182" i="6"/>
  <c r="M1181" i="6"/>
  <c r="M1180" i="6"/>
  <c r="M1179" i="6"/>
  <c r="M1178" i="6"/>
  <c r="M1177" i="6"/>
  <c r="M1176" i="6"/>
  <c r="M1175" i="6"/>
  <c r="M1174" i="6"/>
  <c r="M1173" i="6"/>
  <c r="M1172" i="6"/>
  <c r="M1171" i="6"/>
  <c r="M1170" i="6"/>
  <c r="M1169" i="6"/>
  <c r="M1168" i="6"/>
  <c r="M1167" i="6"/>
  <c r="M1166" i="6"/>
  <c r="M1165" i="6"/>
  <c r="M1164" i="6"/>
  <c r="M1163" i="6"/>
  <c r="M1162" i="6"/>
  <c r="M1161" i="6"/>
  <c r="M1160" i="6"/>
  <c r="M1159" i="6"/>
  <c r="M1158" i="6"/>
  <c r="M1157" i="6"/>
  <c r="M1156" i="6"/>
  <c r="M1155" i="6"/>
  <c r="M1154" i="6"/>
  <c r="M1153" i="6"/>
  <c r="M1152" i="6"/>
  <c r="M1151" i="6"/>
  <c r="M1150" i="6"/>
  <c r="M1149" i="6"/>
  <c r="M1148" i="6"/>
  <c r="M1147" i="6"/>
  <c r="M1146" i="6"/>
  <c r="M1145" i="6"/>
  <c r="M1144" i="6"/>
  <c r="M1143" i="6"/>
  <c r="M1142" i="6"/>
  <c r="M1141" i="6"/>
  <c r="M1140" i="6"/>
  <c r="M1139" i="6"/>
  <c r="M1138" i="6"/>
  <c r="M1137" i="6"/>
  <c r="M1136" i="6"/>
  <c r="M1135" i="6"/>
  <c r="M1121" i="6"/>
  <c r="M1120" i="6"/>
  <c r="M1119" i="6"/>
  <c r="M1118" i="6"/>
  <c r="M1117" i="6"/>
  <c r="M1116" i="6"/>
  <c r="M1115" i="6"/>
  <c r="M1114" i="6"/>
  <c r="M1113" i="6"/>
  <c r="M1112" i="6"/>
  <c r="M1111" i="6"/>
  <c r="M1110" i="6"/>
  <c r="M1109" i="6"/>
  <c r="M1108" i="6"/>
  <c r="M1107" i="6"/>
  <c r="M1106" i="6"/>
  <c r="M1105" i="6"/>
  <c r="M1104" i="6"/>
  <c r="M1103" i="6"/>
  <c r="M1102" i="6"/>
  <c r="M1101" i="6"/>
  <c r="M1100" i="6"/>
  <c r="M1099" i="6"/>
  <c r="M1098" i="6"/>
  <c r="M1097" i="6"/>
  <c r="M1096" i="6"/>
  <c r="M1095" i="6"/>
  <c r="M1094" i="6"/>
  <c r="M1093" i="6"/>
  <c r="M1092" i="6"/>
  <c r="M1091" i="6"/>
  <c r="M1090" i="6"/>
  <c r="M1089" i="6"/>
  <c r="M1088" i="6"/>
  <c r="M1087" i="6"/>
  <c r="M1086" i="6"/>
  <c r="M1085" i="6"/>
  <c r="M1084" i="6"/>
  <c r="M1083" i="6"/>
  <c r="M1082" i="6"/>
  <c r="M1081" i="6"/>
  <c r="M1080" i="6"/>
  <c r="M1079" i="6"/>
  <c r="M1078" i="6"/>
  <c r="M1077" i="6"/>
  <c r="M1076" i="6"/>
  <c r="M1075" i="6"/>
  <c r="M1074" i="6"/>
  <c r="M1073" i="6"/>
  <c r="M1072" i="6"/>
  <c r="M1071" i="6"/>
  <c r="M1070" i="6"/>
  <c r="M1069" i="6"/>
  <c r="M1068" i="6"/>
  <c r="M1067" i="6"/>
  <c r="M1066" i="6"/>
  <c r="M1065" i="6"/>
  <c r="M1064" i="6"/>
  <c r="M1063" i="6"/>
  <c r="M1062" i="6"/>
  <c r="M1061" i="6"/>
  <c r="M1060" i="6"/>
  <c r="M1059" i="6"/>
  <c r="M1058" i="6"/>
  <c r="M1057" i="6"/>
  <c r="M1056" i="6"/>
  <c r="M1055" i="6"/>
  <c r="M1054" i="6"/>
  <c r="M1053" i="6"/>
  <c r="M1052" i="6"/>
  <c r="M1051" i="6"/>
  <c r="M1050" i="6"/>
  <c r="M1049" i="6"/>
  <c r="M1048" i="6"/>
  <c r="M1047" i="6"/>
  <c r="M1046" i="6"/>
  <c r="M1045" i="6"/>
  <c r="M1044" i="6"/>
  <c r="M1043" i="6"/>
  <c r="M1042" i="6"/>
  <c r="M1041" i="6"/>
  <c r="M1040" i="6"/>
  <c r="M1039" i="6"/>
  <c r="M1038" i="6"/>
  <c r="M1037" i="6"/>
  <c r="M1036" i="6"/>
  <c r="M1035" i="6"/>
  <c r="M1034" i="6"/>
  <c r="M1033" i="6"/>
  <c r="M1032" i="6"/>
  <c r="M1031" i="6"/>
  <c r="M1030" i="6"/>
  <c r="M1029" i="6"/>
  <c r="M1028" i="6"/>
  <c r="M1027" i="6"/>
  <c r="M1026" i="6"/>
  <c r="M1025" i="6"/>
  <c r="M1024" i="6"/>
  <c r="M1023" i="6"/>
  <c r="M897" i="6"/>
  <c r="M896" i="6"/>
  <c r="M895" i="6"/>
  <c r="M894" i="6"/>
  <c r="M893" i="6"/>
  <c r="M892" i="6"/>
  <c r="M891" i="6"/>
  <c r="M890" i="6"/>
  <c r="M889" i="6"/>
  <c r="M888" i="6"/>
  <c r="M887" i="6"/>
  <c r="M886" i="6"/>
  <c r="M885" i="6"/>
  <c r="M884" i="6"/>
  <c r="M883" i="6"/>
  <c r="M882" i="6"/>
  <c r="M881" i="6"/>
  <c r="M880" i="6"/>
  <c r="M879" i="6"/>
  <c r="M878" i="6"/>
  <c r="M877" i="6"/>
  <c r="M876" i="6"/>
  <c r="M875" i="6"/>
  <c r="M874" i="6"/>
  <c r="M873" i="6"/>
  <c r="M872" i="6"/>
  <c r="M871" i="6"/>
  <c r="M870" i="6"/>
  <c r="M869" i="6"/>
  <c r="M868" i="6"/>
  <c r="M867" i="6"/>
  <c r="M866" i="6"/>
  <c r="M865" i="6"/>
  <c r="M864" i="6"/>
  <c r="M863" i="6"/>
  <c r="M862" i="6"/>
  <c r="M861" i="6"/>
  <c r="M860" i="6"/>
  <c r="M859" i="6"/>
  <c r="M858" i="6"/>
  <c r="M857" i="6"/>
  <c r="M856" i="6"/>
  <c r="M855" i="6"/>
  <c r="M854" i="6"/>
  <c r="M853" i="6"/>
  <c r="M852" i="6"/>
  <c r="M851" i="6"/>
  <c r="M850" i="6"/>
  <c r="M849" i="6"/>
  <c r="M848" i="6"/>
  <c r="M847" i="6"/>
  <c r="M846" i="6"/>
  <c r="M845" i="6"/>
  <c r="M844" i="6"/>
  <c r="M843" i="6"/>
  <c r="M842" i="6"/>
  <c r="M841" i="6"/>
  <c r="M840" i="6"/>
  <c r="M839" i="6"/>
  <c r="M838" i="6"/>
  <c r="M837" i="6"/>
  <c r="M836" i="6"/>
  <c r="M835" i="6"/>
  <c r="M834" i="6"/>
  <c r="M833" i="6"/>
  <c r="M832" i="6"/>
  <c r="M831" i="6"/>
  <c r="M830" i="6"/>
  <c r="M829" i="6"/>
  <c r="M828" i="6"/>
  <c r="M827" i="6"/>
  <c r="M826" i="6"/>
  <c r="M825" i="6"/>
  <c r="M824" i="6"/>
  <c r="M823" i="6"/>
  <c r="M822" i="6"/>
  <c r="M821" i="6"/>
  <c r="M820" i="6"/>
  <c r="M819" i="6"/>
  <c r="M818" i="6"/>
  <c r="M817" i="6"/>
  <c r="M816" i="6"/>
  <c r="M815" i="6"/>
  <c r="M814" i="6"/>
  <c r="M813" i="6"/>
  <c r="M812" i="6"/>
  <c r="M811" i="6"/>
  <c r="M810" i="6"/>
  <c r="M809" i="6"/>
  <c r="M808" i="6"/>
  <c r="M807" i="6"/>
  <c r="M806" i="6"/>
  <c r="M805" i="6"/>
  <c r="M804" i="6"/>
  <c r="M803" i="6"/>
  <c r="M802" i="6"/>
  <c r="M801" i="6"/>
  <c r="M800" i="6"/>
  <c r="M799" i="6"/>
  <c r="M785" i="6"/>
  <c r="M784" i="6"/>
  <c r="M783" i="6"/>
  <c r="M782" i="6"/>
  <c r="M781" i="6"/>
  <c r="M780" i="6"/>
  <c r="M779" i="6"/>
  <c r="M778" i="6"/>
  <c r="M777" i="6"/>
  <c r="M776" i="6"/>
  <c r="M775" i="6"/>
  <c r="M774" i="6"/>
  <c r="M773" i="6"/>
  <c r="M772" i="6"/>
  <c r="M771" i="6"/>
  <c r="M770" i="6"/>
  <c r="M769" i="6"/>
  <c r="M768" i="6"/>
  <c r="M767" i="6"/>
  <c r="M766" i="6"/>
  <c r="M765" i="6"/>
  <c r="M764" i="6"/>
  <c r="M763" i="6"/>
  <c r="M762" i="6"/>
  <c r="M761" i="6"/>
  <c r="M760" i="6"/>
  <c r="M759" i="6"/>
  <c r="M758" i="6"/>
  <c r="M757" i="6"/>
  <c r="M756" i="6"/>
  <c r="M755" i="6"/>
  <c r="M754" i="6"/>
  <c r="M753" i="6"/>
  <c r="M752" i="6"/>
  <c r="M751" i="6"/>
  <c r="M750" i="6"/>
  <c r="M749" i="6"/>
  <c r="M748" i="6"/>
  <c r="M747" i="6"/>
  <c r="M746" i="6"/>
  <c r="M745" i="6"/>
  <c r="M744" i="6"/>
  <c r="M743" i="6"/>
  <c r="M742" i="6"/>
  <c r="M741" i="6"/>
  <c r="M740" i="6"/>
  <c r="M739" i="6"/>
  <c r="M738" i="6"/>
  <c r="M737" i="6"/>
  <c r="M736" i="6"/>
  <c r="M735" i="6"/>
  <c r="M734" i="6"/>
  <c r="M733" i="6"/>
  <c r="M732" i="6"/>
  <c r="M731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73" i="6"/>
  <c r="M672" i="6"/>
  <c r="M671" i="6"/>
  <c r="M670" i="6"/>
  <c r="M669" i="6"/>
  <c r="M668" i="6"/>
  <c r="M667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L4929" i="6"/>
  <c r="L4928" i="6"/>
  <c r="L4927" i="6"/>
  <c r="L4926" i="6"/>
  <c r="L4925" i="6"/>
  <c r="L4924" i="6"/>
  <c r="L4923" i="6"/>
  <c r="L4922" i="6"/>
  <c r="L4921" i="6"/>
  <c r="L4920" i="6"/>
  <c r="L4919" i="6"/>
  <c r="L4918" i="6"/>
  <c r="L4917" i="6"/>
  <c r="L4916" i="6"/>
  <c r="L4915" i="6"/>
  <c r="L4914" i="6"/>
  <c r="L4913" i="6"/>
  <c r="L4912" i="6"/>
  <c r="L4911" i="6"/>
  <c r="L4910" i="6"/>
  <c r="L4909" i="6"/>
  <c r="L4908" i="6"/>
  <c r="L4907" i="6"/>
  <c r="L4906" i="6"/>
  <c r="L4905" i="6"/>
  <c r="L4904" i="6"/>
  <c r="L4903" i="6"/>
  <c r="L4902" i="6"/>
  <c r="L4901" i="6"/>
  <c r="L4900" i="6"/>
  <c r="L4899" i="6"/>
  <c r="L4898" i="6"/>
  <c r="L4897" i="6"/>
  <c r="L4896" i="6"/>
  <c r="L4895" i="6"/>
  <c r="L4894" i="6"/>
  <c r="L4893" i="6"/>
  <c r="L4892" i="6"/>
  <c r="L4891" i="6"/>
  <c r="L4890" i="6"/>
  <c r="L4889" i="6"/>
  <c r="L4888" i="6"/>
  <c r="L4887" i="6"/>
  <c r="L4886" i="6"/>
  <c r="L4885" i="6"/>
  <c r="L4884" i="6"/>
  <c r="L4883" i="6"/>
  <c r="L4882" i="6"/>
  <c r="L4881" i="6"/>
  <c r="L4880" i="6"/>
  <c r="L4879" i="6"/>
  <c r="L4878" i="6"/>
  <c r="L4877" i="6"/>
  <c r="L4876" i="6"/>
  <c r="L4875" i="6"/>
  <c r="L4874" i="6"/>
  <c r="L4873" i="6"/>
  <c r="L4872" i="6"/>
  <c r="L4871" i="6"/>
  <c r="L4870" i="6"/>
  <c r="L4869" i="6"/>
  <c r="L4868" i="6"/>
  <c r="L4867" i="6"/>
  <c r="L4866" i="6"/>
  <c r="L4865" i="6"/>
  <c r="L4864" i="6"/>
  <c r="L4863" i="6"/>
  <c r="L4862" i="6"/>
  <c r="L4861" i="6"/>
  <c r="L4860" i="6"/>
  <c r="L4859" i="6"/>
  <c r="L4858" i="6"/>
  <c r="L4857" i="6"/>
  <c r="L4856" i="6"/>
  <c r="L4855" i="6"/>
  <c r="L4854" i="6"/>
  <c r="L4853" i="6"/>
  <c r="L4852" i="6"/>
  <c r="L4851" i="6"/>
  <c r="L4850" i="6"/>
  <c r="L4849" i="6"/>
  <c r="L4848" i="6"/>
  <c r="L4847" i="6"/>
  <c r="L4846" i="6"/>
  <c r="L4845" i="6"/>
  <c r="L4844" i="6"/>
  <c r="L4843" i="6"/>
  <c r="L4842" i="6"/>
  <c r="L4841" i="6"/>
  <c r="L4840" i="6"/>
  <c r="L4839" i="6"/>
  <c r="L4838" i="6"/>
  <c r="L4837" i="6"/>
  <c r="L4836" i="6"/>
  <c r="L4835" i="6"/>
  <c r="L4834" i="6"/>
  <c r="L4833" i="6"/>
  <c r="L4832" i="6"/>
  <c r="L4831" i="6"/>
  <c r="L4817" i="6"/>
  <c r="L4816" i="6"/>
  <c r="L4815" i="6"/>
  <c r="L4814" i="6"/>
  <c r="L4813" i="6"/>
  <c r="L4812" i="6"/>
  <c r="L4811" i="6"/>
  <c r="L4810" i="6"/>
  <c r="L4809" i="6"/>
  <c r="L4808" i="6"/>
  <c r="L4807" i="6"/>
  <c r="L4806" i="6"/>
  <c r="L4805" i="6"/>
  <c r="L4804" i="6"/>
  <c r="L4803" i="6"/>
  <c r="L4802" i="6"/>
  <c r="L4801" i="6"/>
  <c r="L4800" i="6"/>
  <c r="L4799" i="6"/>
  <c r="L4798" i="6"/>
  <c r="L4797" i="6"/>
  <c r="L4796" i="6"/>
  <c r="L4795" i="6"/>
  <c r="L4794" i="6"/>
  <c r="L4793" i="6"/>
  <c r="L4792" i="6"/>
  <c r="L4791" i="6"/>
  <c r="L4790" i="6"/>
  <c r="L4789" i="6"/>
  <c r="L4788" i="6"/>
  <c r="L4787" i="6"/>
  <c r="L4786" i="6"/>
  <c r="L4785" i="6"/>
  <c r="L4784" i="6"/>
  <c r="L4783" i="6"/>
  <c r="L4782" i="6"/>
  <c r="L4781" i="6"/>
  <c r="L4780" i="6"/>
  <c r="L4779" i="6"/>
  <c r="L4778" i="6"/>
  <c r="L4777" i="6"/>
  <c r="L4776" i="6"/>
  <c r="L4775" i="6"/>
  <c r="L4774" i="6"/>
  <c r="L4773" i="6"/>
  <c r="L4772" i="6"/>
  <c r="L4771" i="6"/>
  <c r="L4770" i="6"/>
  <c r="L4769" i="6"/>
  <c r="L4768" i="6"/>
  <c r="L4767" i="6"/>
  <c r="L4766" i="6"/>
  <c r="L4765" i="6"/>
  <c r="L4764" i="6"/>
  <c r="L4763" i="6"/>
  <c r="L4762" i="6"/>
  <c r="L4761" i="6"/>
  <c r="L4760" i="6"/>
  <c r="L4759" i="6"/>
  <c r="L4758" i="6"/>
  <c r="L4757" i="6"/>
  <c r="L4756" i="6"/>
  <c r="L4755" i="6"/>
  <c r="L4754" i="6"/>
  <c r="L4753" i="6"/>
  <c r="L4752" i="6"/>
  <c r="L4751" i="6"/>
  <c r="L4750" i="6"/>
  <c r="L4749" i="6"/>
  <c r="L4748" i="6"/>
  <c r="L4747" i="6"/>
  <c r="L4746" i="6"/>
  <c r="L4745" i="6"/>
  <c r="L4744" i="6"/>
  <c r="L4743" i="6"/>
  <c r="L4742" i="6"/>
  <c r="L4741" i="6"/>
  <c r="L4740" i="6"/>
  <c r="L4739" i="6"/>
  <c r="L4738" i="6"/>
  <c r="L4737" i="6"/>
  <c r="L4736" i="6"/>
  <c r="L4735" i="6"/>
  <c r="L4734" i="6"/>
  <c r="L4733" i="6"/>
  <c r="L4732" i="6"/>
  <c r="L4731" i="6"/>
  <c r="L4730" i="6"/>
  <c r="L4729" i="6"/>
  <c r="L4728" i="6"/>
  <c r="L4727" i="6"/>
  <c r="L4726" i="6"/>
  <c r="L4725" i="6"/>
  <c r="L4724" i="6"/>
  <c r="L4723" i="6"/>
  <c r="L4722" i="6"/>
  <c r="L4721" i="6"/>
  <c r="L4720" i="6"/>
  <c r="L4719" i="6"/>
  <c r="L4705" i="6"/>
  <c r="L4704" i="6"/>
  <c r="L4703" i="6"/>
  <c r="L4702" i="6"/>
  <c r="L4701" i="6"/>
  <c r="L4700" i="6"/>
  <c r="L4699" i="6"/>
  <c r="L4698" i="6"/>
  <c r="L4697" i="6"/>
  <c r="L4696" i="6"/>
  <c r="L4695" i="6"/>
  <c r="L4694" i="6"/>
  <c r="L4693" i="6"/>
  <c r="L4692" i="6"/>
  <c r="L4691" i="6"/>
  <c r="L4690" i="6"/>
  <c r="L4689" i="6"/>
  <c r="L4688" i="6"/>
  <c r="L4687" i="6"/>
  <c r="L4686" i="6"/>
  <c r="L4685" i="6"/>
  <c r="L4684" i="6"/>
  <c r="L4683" i="6"/>
  <c r="L4682" i="6"/>
  <c r="L4681" i="6"/>
  <c r="L4680" i="6"/>
  <c r="L4679" i="6"/>
  <c r="L4678" i="6"/>
  <c r="L4677" i="6"/>
  <c r="L4676" i="6"/>
  <c r="L4675" i="6"/>
  <c r="L4674" i="6"/>
  <c r="L4673" i="6"/>
  <c r="L4672" i="6"/>
  <c r="L4671" i="6"/>
  <c r="L4670" i="6"/>
  <c r="L4669" i="6"/>
  <c r="L4668" i="6"/>
  <c r="L4667" i="6"/>
  <c r="L4666" i="6"/>
  <c r="L4665" i="6"/>
  <c r="L4664" i="6"/>
  <c r="L4663" i="6"/>
  <c r="L4662" i="6"/>
  <c r="L4661" i="6"/>
  <c r="L4660" i="6"/>
  <c r="L4659" i="6"/>
  <c r="L4658" i="6"/>
  <c r="L4657" i="6"/>
  <c r="L4656" i="6"/>
  <c r="L4655" i="6"/>
  <c r="L4654" i="6"/>
  <c r="L4653" i="6"/>
  <c r="L4652" i="6"/>
  <c r="L4651" i="6"/>
  <c r="L4650" i="6"/>
  <c r="L4649" i="6"/>
  <c r="L4648" i="6"/>
  <c r="L4647" i="6"/>
  <c r="L4646" i="6"/>
  <c r="L4645" i="6"/>
  <c r="L4644" i="6"/>
  <c r="L4643" i="6"/>
  <c r="L4642" i="6"/>
  <c r="L4641" i="6"/>
  <c r="L4640" i="6"/>
  <c r="L4639" i="6"/>
  <c r="L4638" i="6"/>
  <c r="L4637" i="6"/>
  <c r="L4636" i="6"/>
  <c r="L4635" i="6"/>
  <c r="L4634" i="6"/>
  <c r="L4633" i="6"/>
  <c r="L4632" i="6"/>
  <c r="L4631" i="6"/>
  <c r="L4630" i="6"/>
  <c r="L4629" i="6"/>
  <c r="L4628" i="6"/>
  <c r="L4627" i="6"/>
  <c r="L4626" i="6"/>
  <c r="L4625" i="6"/>
  <c r="L4624" i="6"/>
  <c r="L4623" i="6"/>
  <c r="L4622" i="6"/>
  <c r="L4621" i="6"/>
  <c r="L4620" i="6"/>
  <c r="L4619" i="6"/>
  <c r="L4618" i="6"/>
  <c r="L4617" i="6"/>
  <c r="L4616" i="6"/>
  <c r="L4615" i="6"/>
  <c r="L4614" i="6"/>
  <c r="L4613" i="6"/>
  <c r="L4612" i="6"/>
  <c r="L4611" i="6"/>
  <c r="L4610" i="6"/>
  <c r="L4609" i="6"/>
  <c r="L4608" i="6"/>
  <c r="L4607" i="6"/>
  <c r="L4481" i="6"/>
  <c r="L4480" i="6"/>
  <c r="L4479" i="6"/>
  <c r="L4478" i="6"/>
  <c r="L4477" i="6"/>
  <c r="L4476" i="6"/>
  <c r="L4475" i="6"/>
  <c r="L4474" i="6"/>
  <c r="L4473" i="6"/>
  <c r="L4472" i="6"/>
  <c r="L4471" i="6"/>
  <c r="L4470" i="6"/>
  <c r="L4469" i="6"/>
  <c r="L4468" i="6"/>
  <c r="L4467" i="6"/>
  <c r="L4466" i="6"/>
  <c r="L4465" i="6"/>
  <c r="L4464" i="6"/>
  <c r="L4463" i="6"/>
  <c r="L4462" i="6"/>
  <c r="L4461" i="6"/>
  <c r="L4460" i="6"/>
  <c r="L4459" i="6"/>
  <c r="L4458" i="6"/>
  <c r="L4457" i="6"/>
  <c r="L4456" i="6"/>
  <c r="L4455" i="6"/>
  <c r="L4454" i="6"/>
  <c r="L4453" i="6"/>
  <c r="L4452" i="6"/>
  <c r="L4451" i="6"/>
  <c r="L4450" i="6"/>
  <c r="L4449" i="6"/>
  <c r="L4448" i="6"/>
  <c r="L4447" i="6"/>
  <c r="L4446" i="6"/>
  <c r="L4445" i="6"/>
  <c r="L4444" i="6"/>
  <c r="L4443" i="6"/>
  <c r="L4442" i="6"/>
  <c r="L4441" i="6"/>
  <c r="L4440" i="6"/>
  <c r="L4439" i="6"/>
  <c r="L4438" i="6"/>
  <c r="L4437" i="6"/>
  <c r="L4436" i="6"/>
  <c r="L4435" i="6"/>
  <c r="L4434" i="6"/>
  <c r="L4433" i="6"/>
  <c r="L4432" i="6"/>
  <c r="L4431" i="6"/>
  <c r="L4430" i="6"/>
  <c r="L4429" i="6"/>
  <c r="L4428" i="6"/>
  <c r="L4427" i="6"/>
  <c r="L4426" i="6"/>
  <c r="L4425" i="6"/>
  <c r="L4424" i="6"/>
  <c r="L4423" i="6"/>
  <c r="L4422" i="6"/>
  <c r="L4421" i="6"/>
  <c r="L4420" i="6"/>
  <c r="L4419" i="6"/>
  <c r="L4418" i="6"/>
  <c r="L4417" i="6"/>
  <c r="L4416" i="6"/>
  <c r="L4415" i="6"/>
  <c r="L4414" i="6"/>
  <c r="L4413" i="6"/>
  <c r="L4412" i="6"/>
  <c r="L4411" i="6"/>
  <c r="L4410" i="6"/>
  <c r="L4409" i="6"/>
  <c r="L4408" i="6"/>
  <c r="L4407" i="6"/>
  <c r="L4406" i="6"/>
  <c r="L4405" i="6"/>
  <c r="L4404" i="6"/>
  <c r="L4403" i="6"/>
  <c r="L4402" i="6"/>
  <c r="L4401" i="6"/>
  <c r="L4400" i="6"/>
  <c r="L4399" i="6"/>
  <c r="L4398" i="6"/>
  <c r="L4397" i="6"/>
  <c r="L4396" i="6"/>
  <c r="L4395" i="6"/>
  <c r="L4394" i="6"/>
  <c r="L4393" i="6"/>
  <c r="L4392" i="6"/>
  <c r="L4391" i="6"/>
  <c r="L4390" i="6"/>
  <c r="L4389" i="6"/>
  <c r="L4388" i="6"/>
  <c r="L4387" i="6"/>
  <c r="L4386" i="6"/>
  <c r="L4385" i="6"/>
  <c r="L4384" i="6"/>
  <c r="L4383" i="6"/>
  <c r="L4369" i="6"/>
  <c r="L4368" i="6"/>
  <c r="L4367" i="6"/>
  <c r="L4366" i="6"/>
  <c r="L4365" i="6"/>
  <c r="L4364" i="6"/>
  <c r="L4363" i="6"/>
  <c r="L4362" i="6"/>
  <c r="L4361" i="6"/>
  <c r="L4360" i="6"/>
  <c r="L4359" i="6"/>
  <c r="L4358" i="6"/>
  <c r="L4357" i="6"/>
  <c r="L4356" i="6"/>
  <c r="L4355" i="6"/>
  <c r="L4354" i="6"/>
  <c r="L4353" i="6"/>
  <c r="L4352" i="6"/>
  <c r="L4351" i="6"/>
  <c r="L4350" i="6"/>
  <c r="L4349" i="6"/>
  <c r="L4348" i="6"/>
  <c r="L4347" i="6"/>
  <c r="L4346" i="6"/>
  <c r="L4345" i="6"/>
  <c r="L4344" i="6"/>
  <c r="L4343" i="6"/>
  <c r="L4342" i="6"/>
  <c r="L4341" i="6"/>
  <c r="L4340" i="6"/>
  <c r="L4339" i="6"/>
  <c r="L4338" i="6"/>
  <c r="L4337" i="6"/>
  <c r="L4336" i="6"/>
  <c r="L4335" i="6"/>
  <c r="L4334" i="6"/>
  <c r="L4333" i="6"/>
  <c r="L4332" i="6"/>
  <c r="L4331" i="6"/>
  <c r="L4330" i="6"/>
  <c r="L4329" i="6"/>
  <c r="L4328" i="6"/>
  <c r="L4327" i="6"/>
  <c r="L4326" i="6"/>
  <c r="L4325" i="6"/>
  <c r="L4324" i="6"/>
  <c r="L4323" i="6"/>
  <c r="L4322" i="6"/>
  <c r="L4321" i="6"/>
  <c r="L4320" i="6"/>
  <c r="L4319" i="6"/>
  <c r="L4318" i="6"/>
  <c r="L4317" i="6"/>
  <c r="L4316" i="6"/>
  <c r="L4315" i="6"/>
  <c r="L4314" i="6"/>
  <c r="L4313" i="6"/>
  <c r="L4312" i="6"/>
  <c r="L4311" i="6"/>
  <c r="L4310" i="6"/>
  <c r="L4309" i="6"/>
  <c r="L4308" i="6"/>
  <c r="L4307" i="6"/>
  <c r="L4306" i="6"/>
  <c r="L4305" i="6"/>
  <c r="L4304" i="6"/>
  <c r="L4303" i="6"/>
  <c r="L4302" i="6"/>
  <c r="L4301" i="6"/>
  <c r="L4300" i="6"/>
  <c r="L4299" i="6"/>
  <c r="L4298" i="6"/>
  <c r="L4297" i="6"/>
  <c r="L4296" i="6"/>
  <c r="L4295" i="6"/>
  <c r="L4294" i="6"/>
  <c r="L4293" i="6"/>
  <c r="L4292" i="6"/>
  <c r="L4291" i="6"/>
  <c r="L4290" i="6"/>
  <c r="L4289" i="6"/>
  <c r="L4288" i="6"/>
  <c r="L4287" i="6"/>
  <c r="L4286" i="6"/>
  <c r="L4285" i="6"/>
  <c r="L4284" i="6"/>
  <c r="L4283" i="6"/>
  <c r="L4282" i="6"/>
  <c r="L4281" i="6"/>
  <c r="L4280" i="6"/>
  <c r="L4279" i="6"/>
  <c r="L4278" i="6"/>
  <c r="L4277" i="6"/>
  <c r="L4276" i="6"/>
  <c r="L4275" i="6"/>
  <c r="L4274" i="6"/>
  <c r="L4273" i="6"/>
  <c r="L4272" i="6"/>
  <c r="L4271" i="6"/>
  <c r="L4257" i="6"/>
  <c r="L4256" i="6"/>
  <c r="L4255" i="6"/>
  <c r="L4254" i="6"/>
  <c r="L4253" i="6"/>
  <c r="L4252" i="6"/>
  <c r="L4251" i="6"/>
  <c r="L4250" i="6"/>
  <c r="L4249" i="6"/>
  <c r="L4248" i="6"/>
  <c r="L4247" i="6"/>
  <c r="L4246" i="6"/>
  <c r="L4245" i="6"/>
  <c r="L4244" i="6"/>
  <c r="L4243" i="6"/>
  <c r="L4242" i="6"/>
  <c r="L4241" i="6"/>
  <c r="L4240" i="6"/>
  <c r="L4239" i="6"/>
  <c r="L4238" i="6"/>
  <c r="L4237" i="6"/>
  <c r="L4236" i="6"/>
  <c r="L4235" i="6"/>
  <c r="L4234" i="6"/>
  <c r="L4233" i="6"/>
  <c r="L4232" i="6"/>
  <c r="L4231" i="6"/>
  <c r="L4230" i="6"/>
  <c r="L4229" i="6"/>
  <c r="L4228" i="6"/>
  <c r="L4227" i="6"/>
  <c r="L4226" i="6"/>
  <c r="L4225" i="6"/>
  <c r="L4224" i="6"/>
  <c r="L4223" i="6"/>
  <c r="L4222" i="6"/>
  <c r="L4221" i="6"/>
  <c r="L4220" i="6"/>
  <c r="L4219" i="6"/>
  <c r="L4218" i="6"/>
  <c r="L4217" i="6"/>
  <c r="L4216" i="6"/>
  <c r="L4215" i="6"/>
  <c r="L4214" i="6"/>
  <c r="L4213" i="6"/>
  <c r="L4212" i="6"/>
  <c r="L4211" i="6"/>
  <c r="L4210" i="6"/>
  <c r="L4209" i="6"/>
  <c r="L4208" i="6"/>
  <c r="L4207" i="6"/>
  <c r="L4206" i="6"/>
  <c r="L4205" i="6"/>
  <c r="L4204" i="6"/>
  <c r="L4203" i="6"/>
  <c r="L4202" i="6"/>
  <c r="L4201" i="6"/>
  <c r="L4200" i="6"/>
  <c r="L4199" i="6"/>
  <c r="L4198" i="6"/>
  <c r="L4197" i="6"/>
  <c r="L4196" i="6"/>
  <c r="L4195" i="6"/>
  <c r="L4194" i="6"/>
  <c r="L4193" i="6"/>
  <c r="L4192" i="6"/>
  <c r="L4191" i="6"/>
  <c r="L4190" i="6"/>
  <c r="L4189" i="6"/>
  <c r="L4188" i="6"/>
  <c r="L4187" i="6"/>
  <c r="L4186" i="6"/>
  <c r="L4185" i="6"/>
  <c r="L4184" i="6"/>
  <c r="L4183" i="6"/>
  <c r="L4182" i="6"/>
  <c r="L4181" i="6"/>
  <c r="L4180" i="6"/>
  <c r="L4179" i="6"/>
  <c r="L4178" i="6"/>
  <c r="L4177" i="6"/>
  <c r="L4176" i="6"/>
  <c r="L4175" i="6"/>
  <c r="L4174" i="6"/>
  <c r="L4173" i="6"/>
  <c r="L4172" i="6"/>
  <c r="L4171" i="6"/>
  <c r="L4170" i="6"/>
  <c r="L4169" i="6"/>
  <c r="L4168" i="6"/>
  <c r="L4167" i="6"/>
  <c r="L4166" i="6"/>
  <c r="L4165" i="6"/>
  <c r="L4164" i="6"/>
  <c r="L4163" i="6"/>
  <c r="L4162" i="6"/>
  <c r="L4161" i="6"/>
  <c r="L4160" i="6"/>
  <c r="L4159" i="6"/>
  <c r="L4033" i="6"/>
  <c r="L4032" i="6"/>
  <c r="L4031" i="6"/>
  <c r="L4030" i="6"/>
  <c r="L4029" i="6"/>
  <c r="L4028" i="6"/>
  <c r="L4027" i="6"/>
  <c r="L4026" i="6"/>
  <c r="L4025" i="6"/>
  <c r="L4024" i="6"/>
  <c r="L4023" i="6"/>
  <c r="L4022" i="6"/>
  <c r="L4021" i="6"/>
  <c r="L4020" i="6"/>
  <c r="L4019" i="6"/>
  <c r="L4018" i="6"/>
  <c r="L4017" i="6"/>
  <c r="L4016" i="6"/>
  <c r="L4015" i="6"/>
  <c r="L4014" i="6"/>
  <c r="L4013" i="6"/>
  <c r="L4012" i="6"/>
  <c r="L4011" i="6"/>
  <c r="L4010" i="6"/>
  <c r="L4009" i="6"/>
  <c r="L4008" i="6"/>
  <c r="L4007" i="6"/>
  <c r="L4006" i="6"/>
  <c r="L4005" i="6"/>
  <c r="L4004" i="6"/>
  <c r="L4003" i="6"/>
  <c r="L4002" i="6"/>
  <c r="L4001" i="6"/>
  <c r="L4000" i="6"/>
  <c r="L3999" i="6"/>
  <c r="L3998" i="6"/>
  <c r="L3997" i="6"/>
  <c r="L3996" i="6"/>
  <c r="L3995" i="6"/>
  <c r="L3994" i="6"/>
  <c r="L3993" i="6"/>
  <c r="L3992" i="6"/>
  <c r="L3991" i="6"/>
  <c r="L3990" i="6"/>
  <c r="L3989" i="6"/>
  <c r="L3988" i="6"/>
  <c r="L3987" i="6"/>
  <c r="L3986" i="6"/>
  <c r="L3985" i="6"/>
  <c r="L3984" i="6"/>
  <c r="L3983" i="6"/>
  <c r="L3982" i="6"/>
  <c r="L3981" i="6"/>
  <c r="L3980" i="6"/>
  <c r="L3979" i="6"/>
  <c r="L3978" i="6"/>
  <c r="L3977" i="6"/>
  <c r="L3976" i="6"/>
  <c r="L3975" i="6"/>
  <c r="L3974" i="6"/>
  <c r="L3973" i="6"/>
  <c r="L3972" i="6"/>
  <c r="L3971" i="6"/>
  <c r="L3970" i="6"/>
  <c r="L3969" i="6"/>
  <c r="L3968" i="6"/>
  <c r="L3967" i="6"/>
  <c r="L3966" i="6"/>
  <c r="L3965" i="6"/>
  <c r="L3964" i="6"/>
  <c r="L3963" i="6"/>
  <c r="L3962" i="6"/>
  <c r="L3961" i="6"/>
  <c r="L3960" i="6"/>
  <c r="L3959" i="6"/>
  <c r="L3958" i="6"/>
  <c r="L3957" i="6"/>
  <c r="L3956" i="6"/>
  <c r="L3955" i="6"/>
  <c r="L3954" i="6"/>
  <c r="L3953" i="6"/>
  <c r="L3952" i="6"/>
  <c r="L3951" i="6"/>
  <c r="L3950" i="6"/>
  <c r="L3949" i="6"/>
  <c r="L3948" i="6"/>
  <c r="L3947" i="6"/>
  <c r="L3946" i="6"/>
  <c r="L3945" i="6"/>
  <c r="L3944" i="6"/>
  <c r="L3943" i="6"/>
  <c r="L3942" i="6"/>
  <c r="L3941" i="6"/>
  <c r="L3940" i="6"/>
  <c r="L3939" i="6"/>
  <c r="L3938" i="6"/>
  <c r="L3937" i="6"/>
  <c r="L3936" i="6"/>
  <c r="L3935" i="6"/>
  <c r="L3921" i="6"/>
  <c r="L3920" i="6"/>
  <c r="L3919" i="6"/>
  <c r="L3918" i="6"/>
  <c r="L3917" i="6"/>
  <c r="L3916" i="6"/>
  <c r="L3915" i="6"/>
  <c r="L3914" i="6"/>
  <c r="L3913" i="6"/>
  <c r="L3912" i="6"/>
  <c r="L3911" i="6"/>
  <c r="L3910" i="6"/>
  <c r="L3909" i="6"/>
  <c r="L3908" i="6"/>
  <c r="L3907" i="6"/>
  <c r="L3906" i="6"/>
  <c r="L3905" i="6"/>
  <c r="L3904" i="6"/>
  <c r="L3903" i="6"/>
  <c r="L3902" i="6"/>
  <c r="L3901" i="6"/>
  <c r="L3900" i="6"/>
  <c r="L3899" i="6"/>
  <c r="L3898" i="6"/>
  <c r="L3897" i="6"/>
  <c r="L3896" i="6"/>
  <c r="L3895" i="6"/>
  <c r="L3894" i="6"/>
  <c r="L3893" i="6"/>
  <c r="L3892" i="6"/>
  <c r="L3891" i="6"/>
  <c r="L3890" i="6"/>
  <c r="L3889" i="6"/>
  <c r="L3888" i="6"/>
  <c r="L3887" i="6"/>
  <c r="L3886" i="6"/>
  <c r="L3885" i="6"/>
  <c r="L3884" i="6"/>
  <c r="L3883" i="6"/>
  <c r="L3882" i="6"/>
  <c r="L3881" i="6"/>
  <c r="L3880" i="6"/>
  <c r="L3879" i="6"/>
  <c r="L3878" i="6"/>
  <c r="L3877" i="6"/>
  <c r="L3876" i="6"/>
  <c r="L3875" i="6"/>
  <c r="L3874" i="6"/>
  <c r="L3873" i="6"/>
  <c r="L3872" i="6"/>
  <c r="L3871" i="6"/>
  <c r="L3870" i="6"/>
  <c r="L3869" i="6"/>
  <c r="L3868" i="6"/>
  <c r="L3867" i="6"/>
  <c r="L3866" i="6"/>
  <c r="L3865" i="6"/>
  <c r="L3864" i="6"/>
  <c r="L3863" i="6"/>
  <c r="L3862" i="6"/>
  <c r="L3861" i="6"/>
  <c r="L3860" i="6"/>
  <c r="L3859" i="6"/>
  <c r="L3858" i="6"/>
  <c r="L3857" i="6"/>
  <c r="L3856" i="6"/>
  <c r="L3855" i="6"/>
  <c r="L3854" i="6"/>
  <c r="L3853" i="6"/>
  <c r="L3852" i="6"/>
  <c r="L3851" i="6"/>
  <c r="L3850" i="6"/>
  <c r="L3849" i="6"/>
  <c r="L3848" i="6"/>
  <c r="L3847" i="6"/>
  <c r="L3846" i="6"/>
  <c r="L3845" i="6"/>
  <c r="L3844" i="6"/>
  <c r="L3843" i="6"/>
  <c r="L3842" i="6"/>
  <c r="L3841" i="6"/>
  <c r="L3840" i="6"/>
  <c r="L3839" i="6"/>
  <c r="L3838" i="6"/>
  <c r="L3837" i="6"/>
  <c r="L3836" i="6"/>
  <c r="L3835" i="6"/>
  <c r="L3834" i="6"/>
  <c r="L3833" i="6"/>
  <c r="L3832" i="6"/>
  <c r="L3831" i="6"/>
  <c r="L3830" i="6"/>
  <c r="L3829" i="6"/>
  <c r="L3828" i="6"/>
  <c r="L3827" i="6"/>
  <c r="L3826" i="6"/>
  <c r="L3825" i="6"/>
  <c r="L3824" i="6"/>
  <c r="L3823" i="6"/>
  <c r="L3809" i="6"/>
  <c r="L3808" i="6"/>
  <c r="L3807" i="6"/>
  <c r="L3806" i="6"/>
  <c r="L3805" i="6"/>
  <c r="L3804" i="6"/>
  <c r="L3803" i="6"/>
  <c r="L3802" i="6"/>
  <c r="L3801" i="6"/>
  <c r="L3800" i="6"/>
  <c r="L3799" i="6"/>
  <c r="L3798" i="6"/>
  <c r="L3797" i="6"/>
  <c r="L3796" i="6"/>
  <c r="L3795" i="6"/>
  <c r="L3794" i="6"/>
  <c r="L3793" i="6"/>
  <c r="L3792" i="6"/>
  <c r="L3791" i="6"/>
  <c r="L3790" i="6"/>
  <c r="L3789" i="6"/>
  <c r="L3788" i="6"/>
  <c r="L3787" i="6"/>
  <c r="L3786" i="6"/>
  <c r="L3785" i="6"/>
  <c r="L3784" i="6"/>
  <c r="L3783" i="6"/>
  <c r="L3782" i="6"/>
  <c r="L3781" i="6"/>
  <c r="L3780" i="6"/>
  <c r="L3779" i="6"/>
  <c r="L3778" i="6"/>
  <c r="L3777" i="6"/>
  <c r="L3776" i="6"/>
  <c r="L3775" i="6"/>
  <c r="L3774" i="6"/>
  <c r="L3773" i="6"/>
  <c r="L3772" i="6"/>
  <c r="L3771" i="6"/>
  <c r="L3770" i="6"/>
  <c r="L3769" i="6"/>
  <c r="L3768" i="6"/>
  <c r="L3767" i="6"/>
  <c r="L3766" i="6"/>
  <c r="L3765" i="6"/>
  <c r="L3764" i="6"/>
  <c r="L3763" i="6"/>
  <c r="L3762" i="6"/>
  <c r="L3761" i="6"/>
  <c r="L3760" i="6"/>
  <c r="L3759" i="6"/>
  <c r="L3758" i="6"/>
  <c r="L3757" i="6"/>
  <c r="L3756" i="6"/>
  <c r="L3755" i="6"/>
  <c r="L3754" i="6"/>
  <c r="L3753" i="6"/>
  <c r="L3752" i="6"/>
  <c r="L3751" i="6"/>
  <c r="L3750" i="6"/>
  <c r="L3749" i="6"/>
  <c r="L3748" i="6"/>
  <c r="L3747" i="6"/>
  <c r="L3746" i="6"/>
  <c r="L3745" i="6"/>
  <c r="L3744" i="6"/>
  <c r="L3743" i="6"/>
  <c r="L3742" i="6"/>
  <c r="L3741" i="6"/>
  <c r="L3740" i="6"/>
  <c r="L3739" i="6"/>
  <c r="L3738" i="6"/>
  <c r="L3737" i="6"/>
  <c r="L3736" i="6"/>
  <c r="L3735" i="6"/>
  <c r="L3734" i="6"/>
  <c r="L3733" i="6"/>
  <c r="L3732" i="6"/>
  <c r="L3731" i="6"/>
  <c r="L3730" i="6"/>
  <c r="L3729" i="6"/>
  <c r="L3728" i="6"/>
  <c r="L3727" i="6"/>
  <c r="L3726" i="6"/>
  <c r="L3725" i="6"/>
  <c r="L3724" i="6"/>
  <c r="L3723" i="6"/>
  <c r="L3722" i="6"/>
  <c r="L3721" i="6"/>
  <c r="L3720" i="6"/>
  <c r="L3719" i="6"/>
  <c r="L3718" i="6"/>
  <c r="L3717" i="6"/>
  <c r="L3716" i="6"/>
  <c r="L3715" i="6"/>
  <c r="L3714" i="6"/>
  <c r="L3713" i="6"/>
  <c r="L3712" i="6"/>
  <c r="L3711" i="6"/>
  <c r="L3585" i="6"/>
  <c r="L3584" i="6"/>
  <c r="L3583" i="6"/>
  <c r="L3582" i="6"/>
  <c r="L3581" i="6"/>
  <c r="L3580" i="6"/>
  <c r="L3579" i="6"/>
  <c r="L3578" i="6"/>
  <c r="L3577" i="6"/>
  <c r="L3576" i="6"/>
  <c r="L3575" i="6"/>
  <c r="L3574" i="6"/>
  <c r="L3573" i="6"/>
  <c r="L3572" i="6"/>
  <c r="L3571" i="6"/>
  <c r="L3570" i="6"/>
  <c r="L3569" i="6"/>
  <c r="L3568" i="6"/>
  <c r="L3567" i="6"/>
  <c r="L3566" i="6"/>
  <c r="L3565" i="6"/>
  <c r="L3564" i="6"/>
  <c r="L3563" i="6"/>
  <c r="L3562" i="6"/>
  <c r="L3561" i="6"/>
  <c r="L3560" i="6"/>
  <c r="L3559" i="6"/>
  <c r="L3558" i="6"/>
  <c r="L3557" i="6"/>
  <c r="L3556" i="6"/>
  <c r="L3555" i="6"/>
  <c r="L3554" i="6"/>
  <c r="L3553" i="6"/>
  <c r="L3552" i="6"/>
  <c r="L3551" i="6"/>
  <c r="L3550" i="6"/>
  <c r="L3549" i="6"/>
  <c r="L3548" i="6"/>
  <c r="L3547" i="6"/>
  <c r="L3546" i="6"/>
  <c r="L3545" i="6"/>
  <c r="L3544" i="6"/>
  <c r="L3543" i="6"/>
  <c r="L3542" i="6"/>
  <c r="L3541" i="6"/>
  <c r="L3540" i="6"/>
  <c r="L3539" i="6"/>
  <c r="L3538" i="6"/>
  <c r="L3537" i="6"/>
  <c r="L3536" i="6"/>
  <c r="L3535" i="6"/>
  <c r="L3534" i="6"/>
  <c r="L3533" i="6"/>
  <c r="L3532" i="6"/>
  <c r="L3531" i="6"/>
  <c r="L3530" i="6"/>
  <c r="L3529" i="6"/>
  <c r="L3528" i="6"/>
  <c r="L3527" i="6"/>
  <c r="L3526" i="6"/>
  <c r="L3525" i="6"/>
  <c r="L3524" i="6"/>
  <c r="L3523" i="6"/>
  <c r="L3522" i="6"/>
  <c r="L3521" i="6"/>
  <c r="L3520" i="6"/>
  <c r="L3519" i="6"/>
  <c r="L3518" i="6"/>
  <c r="L3517" i="6"/>
  <c r="L3516" i="6"/>
  <c r="L3515" i="6"/>
  <c r="L3514" i="6"/>
  <c r="L3513" i="6"/>
  <c r="L3512" i="6"/>
  <c r="L3511" i="6"/>
  <c r="L3510" i="6"/>
  <c r="L3509" i="6"/>
  <c r="L3508" i="6"/>
  <c r="L3507" i="6"/>
  <c r="L3506" i="6"/>
  <c r="L3505" i="6"/>
  <c r="L3504" i="6"/>
  <c r="L3503" i="6"/>
  <c r="L3502" i="6"/>
  <c r="L3501" i="6"/>
  <c r="L3500" i="6"/>
  <c r="L3499" i="6"/>
  <c r="L3498" i="6"/>
  <c r="L3497" i="6"/>
  <c r="L3496" i="6"/>
  <c r="L3495" i="6"/>
  <c r="L3494" i="6"/>
  <c r="L3493" i="6"/>
  <c r="L3492" i="6"/>
  <c r="L3491" i="6"/>
  <c r="L3490" i="6"/>
  <c r="L3489" i="6"/>
  <c r="L3488" i="6"/>
  <c r="L3487" i="6"/>
  <c r="L3473" i="6"/>
  <c r="L3472" i="6"/>
  <c r="L3471" i="6"/>
  <c r="L3470" i="6"/>
  <c r="L3469" i="6"/>
  <c r="L3468" i="6"/>
  <c r="L3467" i="6"/>
  <c r="L3466" i="6"/>
  <c r="L3465" i="6"/>
  <c r="L3464" i="6"/>
  <c r="L3463" i="6"/>
  <c r="L3462" i="6"/>
  <c r="L3461" i="6"/>
  <c r="L3460" i="6"/>
  <c r="L3459" i="6"/>
  <c r="L3458" i="6"/>
  <c r="L3457" i="6"/>
  <c r="L3456" i="6"/>
  <c r="L3455" i="6"/>
  <c r="L3454" i="6"/>
  <c r="L3453" i="6"/>
  <c r="L3452" i="6"/>
  <c r="L3451" i="6"/>
  <c r="L3450" i="6"/>
  <c r="L3449" i="6"/>
  <c r="L3448" i="6"/>
  <c r="L3447" i="6"/>
  <c r="L3446" i="6"/>
  <c r="L3445" i="6"/>
  <c r="L3444" i="6"/>
  <c r="L3443" i="6"/>
  <c r="L3442" i="6"/>
  <c r="L3441" i="6"/>
  <c r="L3440" i="6"/>
  <c r="L3439" i="6"/>
  <c r="L3438" i="6"/>
  <c r="L3437" i="6"/>
  <c r="L3436" i="6"/>
  <c r="L3435" i="6"/>
  <c r="L3434" i="6"/>
  <c r="L3433" i="6"/>
  <c r="L3432" i="6"/>
  <c r="L3431" i="6"/>
  <c r="L3430" i="6"/>
  <c r="L3429" i="6"/>
  <c r="L3428" i="6"/>
  <c r="L3427" i="6"/>
  <c r="L3426" i="6"/>
  <c r="L3425" i="6"/>
  <c r="L3424" i="6"/>
  <c r="L3423" i="6"/>
  <c r="L3422" i="6"/>
  <c r="L3421" i="6"/>
  <c r="L3420" i="6"/>
  <c r="L3419" i="6"/>
  <c r="L3418" i="6"/>
  <c r="L3417" i="6"/>
  <c r="L3416" i="6"/>
  <c r="L3415" i="6"/>
  <c r="L3414" i="6"/>
  <c r="L3413" i="6"/>
  <c r="L3412" i="6"/>
  <c r="L3411" i="6"/>
  <c r="L3410" i="6"/>
  <c r="L3409" i="6"/>
  <c r="L3408" i="6"/>
  <c r="L3407" i="6"/>
  <c r="L3406" i="6"/>
  <c r="L3405" i="6"/>
  <c r="L3404" i="6"/>
  <c r="L3403" i="6"/>
  <c r="L3402" i="6"/>
  <c r="L3401" i="6"/>
  <c r="L3400" i="6"/>
  <c r="L3399" i="6"/>
  <c r="L3398" i="6"/>
  <c r="L3397" i="6"/>
  <c r="L3396" i="6"/>
  <c r="L3395" i="6"/>
  <c r="L3394" i="6"/>
  <c r="L3393" i="6"/>
  <c r="L3392" i="6"/>
  <c r="L3391" i="6"/>
  <c r="L3390" i="6"/>
  <c r="L3389" i="6"/>
  <c r="L3388" i="6"/>
  <c r="L3387" i="6"/>
  <c r="L3386" i="6"/>
  <c r="L3385" i="6"/>
  <c r="L3384" i="6"/>
  <c r="L3383" i="6"/>
  <c r="L3382" i="6"/>
  <c r="L3381" i="6"/>
  <c r="L3380" i="6"/>
  <c r="L3379" i="6"/>
  <c r="L3378" i="6"/>
  <c r="L3377" i="6"/>
  <c r="L3376" i="6"/>
  <c r="L3375" i="6"/>
  <c r="L3361" i="6"/>
  <c r="L3360" i="6"/>
  <c r="L3359" i="6"/>
  <c r="L3358" i="6"/>
  <c r="L3357" i="6"/>
  <c r="L3356" i="6"/>
  <c r="L3355" i="6"/>
  <c r="L3354" i="6"/>
  <c r="L3353" i="6"/>
  <c r="L3352" i="6"/>
  <c r="L3351" i="6"/>
  <c r="L3350" i="6"/>
  <c r="L3349" i="6"/>
  <c r="L3348" i="6"/>
  <c r="L3347" i="6"/>
  <c r="L3346" i="6"/>
  <c r="L3345" i="6"/>
  <c r="L3344" i="6"/>
  <c r="L3343" i="6"/>
  <c r="L3342" i="6"/>
  <c r="L3341" i="6"/>
  <c r="L3340" i="6"/>
  <c r="L3339" i="6"/>
  <c r="L3338" i="6"/>
  <c r="L3337" i="6"/>
  <c r="L3336" i="6"/>
  <c r="L3335" i="6"/>
  <c r="L3334" i="6"/>
  <c r="L3333" i="6"/>
  <c r="L3332" i="6"/>
  <c r="L3331" i="6"/>
  <c r="L3330" i="6"/>
  <c r="L3329" i="6"/>
  <c r="L3328" i="6"/>
  <c r="L3327" i="6"/>
  <c r="L3326" i="6"/>
  <c r="L3325" i="6"/>
  <c r="L3324" i="6"/>
  <c r="L3323" i="6"/>
  <c r="L3322" i="6"/>
  <c r="L3321" i="6"/>
  <c r="L3320" i="6"/>
  <c r="L3319" i="6"/>
  <c r="L3318" i="6"/>
  <c r="L3317" i="6"/>
  <c r="L3316" i="6"/>
  <c r="L3315" i="6"/>
  <c r="L3314" i="6"/>
  <c r="L3313" i="6"/>
  <c r="L3312" i="6"/>
  <c r="L3311" i="6"/>
  <c r="L3310" i="6"/>
  <c r="L3309" i="6"/>
  <c r="L3308" i="6"/>
  <c r="L3307" i="6"/>
  <c r="L3306" i="6"/>
  <c r="L3305" i="6"/>
  <c r="L3304" i="6"/>
  <c r="L3303" i="6"/>
  <c r="L3302" i="6"/>
  <c r="L3301" i="6"/>
  <c r="L3300" i="6"/>
  <c r="L3299" i="6"/>
  <c r="L3298" i="6"/>
  <c r="L3297" i="6"/>
  <c r="L3296" i="6"/>
  <c r="L3295" i="6"/>
  <c r="L3294" i="6"/>
  <c r="L3293" i="6"/>
  <c r="L3292" i="6"/>
  <c r="L3291" i="6"/>
  <c r="L3290" i="6"/>
  <c r="L3289" i="6"/>
  <c r="L3288" i="6"/>
  <c r="L3287" i="6"/>
  <c r="L3286" i="6"/>
  <c r="L3285" i="6"/>
  <c r="L3284" i="6"/>
  <c r="L3283" i="6"/>
  <c r="L3282" i="6"/>
  <c r="L3281" i="6"/>
  <c r="L3280" i="6"/>
  <c r="L3279" i="6"/>
  <c r="L3278" i="6"/>
  <c r="L3277" i="6"/>
  <c r="L3276" i="6"/>
  <c r="L3275" i="6"/>
  <c r="L3274" i="6"/>
  <c r="L3273" i="6"/>
  <c r="L3272" i="6"/>
  <c r="L3271" i="6"/>
  <c r="L3270" i="6"/>
  <c r="L3269" i="6"/>
  <c r="L3268" i="6"/>
  <c r="L3267" i="6"/>
  <c r="L3266" i="6"/>
  <c r="L3265" i="6"/>
  <c r="L3264" i="6"/>
  <c r="L3263" i="6"/>
  <c r="L3137" i="6"/>
  <c r="L3136" i="6"/>
  <c r="L3135" i="6"/>
  <c r="L3134" i="6"/>
  <c r="L3133" i="6"/>
  <c r="L3132" i="6"/>
  <c r="L3131" i="6"/>
  <c r="L3130" i="6"/>
  <c r="L3129" i="6"/>
  <c r="L3128" i="6"/>
  <c r="L3127" i="6"/>
  <c r="L3126" i="6"/>
  <c r="L3125" i="6"/>
  <c r="L3124" i="6"/>
  <c r="L3123" i="6"/>
  <c r="L3122" i="6"/>
  <c r="L3121" i="6"/>
  <c r="L3120" i="6"/>
  <c r="L3119" i="6"/>
  <c r="L3118" i="6"/>
  <c r="L3117" i="6"/>
  <c r="L3116" i="6"/>
  <c r="L3115" i="6"/>
  <c r="L3114" i="6"/>
  <c r="L3113" i="6"/>
  <c r="L3112" i="6"/>
  <c r="L3111" i="6"/>
  <c r="L3110" i="6"/>
  <c r="L3109" i="6"/>
  <c r="L3108" i="6"/>
  <c r="L3107" i="6"/>
  <c r="L3106" i="6"/>
  <c r="L3105" i="6"/>
  <c r="L3104" i="6"/>
  <c r="L3103" i="6"/>
  <c r="L3102" i="6"/>
  <c r="L3101" i="6"/>
  <c r="L3100" i="6"/>
  <c r="L3099" i="6"/>
  <c r="L3098" i="6"/>
  <c r="L3097" i="6"/>
  <c r="L3096" i="6"/>
  <c r="L3095" i="6"/>
  <c r="L3094" i="6"/>
  <c r="L3093" i="6"/>
  <c r="L3092" i="6"/>
  <c r="L3091" i="6"/>
  <c r="L3090" i="6"/>
  <c r="L3089" i="6"/>
  <c r="L3088" i="6"/>
  <c r="L3087" i="6"/>
  <c r="L3086" i="6"/>
  <c r="L3085" i="6"/>
  <c r="L3084" i="6"/>
  <c r="L3083" i="6"/>
  <c r="L3082" i="6"/>
  <c r="L3081" i="6"/>
  <c r="L3080" i="6"/>
  <c r="L3079" i="6"/>
  <c r="L3078" i="6"/>
  <c r="L3077" i="6"/>
  <c r="L3076" i="6"/>
  <c r="L3075" i="6"/>
  <c r="L3074" i="6"/>
  <c r="L3073" i="6"/>
  <c r="L3072" i="6"/>
  <c r="L3071" i="6"/>
  <c r="L3070" i="6"/>
  <c r="L3069" i="6"/>
  <c r="L3068" i="6"/>
  <c r="L3067" i="6"/>
  <c r="L3066" i="6"/>
  <c r="L3065" i="6"/>
  <c r="L3064" i="6"/>
  <c r="L3063" i="6"/>
  <c r="L3062" i="6"/>
  <c r="L3061" i="6"/>
  <c r="L3060" i="6"/>
  <c r="L3059" i="6"/>
  <c r="L3058" i="6"/>
  <c r="L3057" i="6"/>
  <c r="L3056" i="6"/>
  <c r="L3055" i="6"/>
  <c r="L3054" i="6"/>
  <c r="L3053" i="6"/>
  <c r="L3052" i="6"/>
  <c r="L3051" i="6"/>
  <c r="L3050" i="6"/>
  <c r="L3049" i="6"/>
  <c r="L3048" i="6"/>
  <c r="L3047" i="6"/>
  <c r="L3046" i="6"/>
  <c r="L3045" i="6"/>
  <c r="L3044" i="6"/>
  <c r="L3043" i="6"/>
  <c r="L3042" i="6"/>
  <c r="L3041" i="6"/>
  <c r="L3040" i="6"/>
  <c r="L3039" i="6"/>
  <c r="L3025" i="6"/>
  <c r="L3024" i="6"/>
  <c r="L3023" i="6"/>
  <c r="L3022" i="6"/>
  <c r="L3021" i="6"/>
  <c r="L3020" i="6"/>
  <c r="L3019" i="6"/>
  <c r="L3018" i="6"/>
  <c r="L3017" i="6"/>
  <c r="L3016" i="6"/>
  <c r="L3015" i="6"/>
  <c r="L3014" i="6"/>
  <c r="L3013" i="6"/>
  <c r="L3012" i="6"/>
  <c r="L3011" i="6"/>
  <c r="L3010" i="6"/>
  <c r="L3009" i="6"/>
  <c r="L3008" i="6"/>
  <c r="L3007" i="6"/>
  <c r="L3006" i="6"/>
  <c r="L3005" i="6"/>
  <c r="L3004" i="6"/>
  <c r="L3003" i="6"/>
  <c r="L3002" i="6"/>
  <c r="L3001" i="6"/>
  <c r="L3000" i="6"/>
  <c r="L2999" i="6"/>
  <c r="L2998" i="6"/>
  <c r="L2997" i="6"/>
  <c r="L2996" i="6"/>
  <c r="L2995" i="6"/>
  <c r="L2994" i="6"/>
  <c r="L2993" i="6"/>
  <c r="L2992" i="6"/>
  <c r="L2991" i="6"/>
  <c r="L2990" i="6"/>
  <c r="L2989" i="6"/>
  <c r="L2988" i="6"/>
  <c r="L2987" i="6"/>
  <c r="L2986" i="6"/>
  <c r="L2985" i="6"/>
  <c r="L2984" i="6"/>
  <c r="L2983" i="6"/>
  <c r="L2982" i="6"/>
  <c r="L2981" i="6"/>
  <c r="L2980" i="6"/>
  <c r="L2979" i="6"/>
  <c r="L2978" i="6"/>
  <c r="L2977" i="6"/>
  <c r="L2976" i="6"/>
  <c r="L2975" i="6"/>
  <c r="L2974" i="6"/>
  <c r="L2973" i="6"/>
  <c r="L2972" i="6"/>
  <c r="L2971" i="6"/>
  <c r="L2970" i="6"/>
  <c r="L2969" i="6"/>
  <c r="L2968" i="6"/>
  <c r="L2967" i="6"/>
  <c r="L2966" i="6"/>
  <c r="L2965" i="6"/>
  <c r="L2964" i="6"/>
  <c r="L2963" i="6"/>
  <c r="L2962" i="6"/>
  <c r="L2961" i="6"/>
  <c r="L2960" i="6"/>
  <c r="L2959" i="6"/>
  <c r="L2958" i="6"/>
  <c r="L2957" i="6"/>
  <c r="L2956" i="6"/>
  <c r="L2955" i="6"/>
  <c r="L2954" i="6"/>
  <c r="L2953" i="6"/>
  <c r="L2952" i="6"/>
  <c r="L2951" i="6"/>
  <c r="L2950" i="6"/>
  <c r="L2949" i="6"/>
  <c r="L2948" i="6"/>
  <c r="L2947" i="6"/>
  <c r="L2946" i="6"/>
  <c r="L2945" i="6"/>
  <c r="L2944" i="6"/>
  <c r="L2943" i="6"/>
  <c r="L2942" i="6"/>
  <c r="L2941" i="6"/>
  <c r="L2940" i="6"/>
  <c r="L2939" i="6"/>
  <c r="L2938" i="6"/>
  <c r="L2937" i="6"/>
  <c r="L2936" i="6"/>
  <c r="L2935" i="6"/>
  <c r="L2934" i="6"/>
  <c r="L2933" i="6"/>
  <c r="L2932" i="6"/>
  <c r="L2931" i="6"/>
  <c r="L2930" i="6"/>
  <c r="L2929" i="6"/>
  <c r="L2928" i="6"/>
  <c r="L2927" i="6"/>
  <c r="L2913" i="6"/>
  <c r="L2912" i="6"/>
  <c r="L2911" i="6"/>
  <c r="L2910" i="6"/>
  <c r="L2909" i="6"/>
  <c r="L2908" i="6"/>
  <c r="L2907" i="6"/>
  <c r="L2906" i="6"/>
  <c r="L2905" i="6"/>
  <c r="L2904" i="6"/>
  <c r="L2903" i="6"/>
  <c r="L2902" i="6"/>
  <c r="L2901" i="6"/>
  <c r="L2900" i="6"/>
  <c r="L2899" i="6"/>
  <c r="L2898" i="6"/>
  <c r="L2897" i="6"/>
  <c r="L2896" i="6"/>
  <c r="L2895" i="6"/>
  <c r="L2894" i="6"/>
  <c r="L2893" i="6"/>
  <c r="L2892" i="6"/>
  <c r="L2891" i="6"/>
  <c r="L2890" i="6"/>
  <c r="L2889" i="6"/>
  <c r="L2888" i="6"/>
  <c r="L2887" i="6"/>
  <c r="L2886" i="6"/>
  <c r="L2885" i="6"/>
  <c r="L2884" i="6"/>
  <c r="L2883" i="6"/>
  <c r="L2882" i="6"/>
  <c r="L2881" i="6"/>
  <c r="L2880" i="6"/>
  <c r="L2879" i="6"/>
  <c r="L2878" i="6"/>
  <c r="L2877" i="6"/>
  <c r="L2876" i="6"/>
  <c r="L2875" i="6"/>
  <c r="L2874" i="6"/>
  <c r="L2873" i="6"/>
  <c r="L2872" i="6"/>
  <c r="L2871" i="6"/>
  <c r="L2870" i="6"/>
  <c r="L2869" i="6"/>
  <c r="L2868" i="6"/>
  <c r="L2867" i="6"/>
  <c r="L2866" i="6"/>
  <c r="L2865" i="6"/>
  <c r="L2864" i="6"/>
  <c r="L2863" i="6"/>
  <c r="L2862" i="6"/>
  <c r="L2861" i="6"/>
  <c r="L2860" i="6"/>
  <c r="L2859" i="6"/>
  <c r="L2858" i="6"/>
  <c r="L2857" i="6"/>
  <c r="L2856" i="6"/>
  <c r="L2855" i="6"/>
  <c r="L2854" i="6"/>
  <c r="L2853" i="6"/>
  <c r="L2852" i="6"/>
  <c r="L2851" i="6"/>
  <c r="L2850" i="6"/>
  <c r="L2849" i="6"/>
  <c r="L2848" i="6"/>
  <c r="L2847" i="6"/>
  <c r="L2846" i="6"/>
  <c r="L2845" i="6"/>
  <c r="L2844" i="6"/>
  <c r="L2843" i="6"/>
  <c r="L2842" i="6"/>
  <c r="L2841" i="6"/>
  <c r="L2840" i="6"/>
  <c r="L2839" i="6"/>
  <c r="L2838" i="6"/>
  <c r="L2837" i="6"/>
  <c r="L2836" i="6"/>
  <c r="L2835" i="6"/>
  <c r="L2834" i="6"/>
  <c r="L2833" i="6"/>
  <c r="L2832" i="6"/>
  <c r="L2831" i="6"/>
  <c r="L2830" i="6"/>
  <c r="L2829" i="6"/>
  <c r="L2828" i="6"/>
  <c r="L2827" i="6"/>
  <c r="L2826" i="6"/>
  <c r="L2825" i="6"/>
  <c r="L2824" i="6"/>
  <c r="L2823" i="6"/>
  <c r="L2822" i="6"/>
  <c r="L2821" i="6"/>
  <c r="L2820" i="6"/>
  <c r="L2819" i="6"/>
  <c r="L2818" i="6"/>
  <c r="L2817" i="6"/>
  <c r="L2816" i="6"/>
  <c r="L2815" i="6"/>
  <c r="L2689" i="6"/>
  <c r="L2688" i="6"/>
  <c r="L2687" i="6"/>
  <c r="L2686" i="6"/>
  <c r="L2685" i="6"/>
  <c r="L2684" i="6"/>
  <c r="L2683" i="6"/>
  <c r="L2682" i="6"/>
  <c r="L2681" i="6"/>
  <c r="L2680" i="6"/>
  <c r="L2679" i="6"/>
  <c r="L2678" i="6"/>
  <c r="L2677" i="6"/>
  <c r="L2676" i="6"/>
  <c r="L2675" i="6"/>
  <c r="L2674" i="6"/>
  <c r="L2673" i="6"/>
  <c r="L2672" i="6"/>
  <c r="L2671" i="6"/>
  <c r="L2670" i="6"/>
  <c r="L2669" i="6"/>
  <c r="L2668" i="6"/>
  <c r="L2667" i="6"/>
  <c r="L2666" i="6"/>
  <c r="L2665" i="6"/>
  <c r="L2664" i="6"/>
  <c r="L2663" i="6"/>
  <c r="L2662" i="6"/>
  <c r="L2661" i="6"/>
  <c r="L2660" i="6"/>
  <c r="L2659" i="6"/>
  <c r="L2658" i="6"/>
  <c r="L2657" i="6"/>
  <c r="L2656" i="6"/>
  <c r="L2655" i="6"/>
  <c r="L2654" i="6"/>
  <c r="L2653" i="6"/>
  <c r="L2652" i="6"/>
  <c r="L2651" i="6"/>
  <c r="L2650" i="6"/>
  <c r="L2649" i="6"/>
  <c r="L2648" i="6"/>
  <c r="L2647" i="6"/>
  <c r="L2646" i="6"/>
  <c r="L2645" i="6"/>
  <c r="L2644" i="6"/>
  <c r="L2643" i="6"/>
  <c r="L2642" i="6"/>
  <c r="L2641" i="6"/>
  <c r="L2640" i="6"/>
  <c r="L2639" i="6"/>
  <c r="L2638" i="6"/>
  <c r="L2637" i="6"/>
  <c r="L2636" i="6"/>
  <c r="L2635" i="6"/>
  <c r="L2634" i="6"/>
  <c r="L2633" i="6"/>
  <c r="L2632" i="6"/>
  <c r="L2631" i="6"/>
  <c r="L2630" i="6"/>
  <c r="L2629" i="6"/>
  <c r="L2628" i="6"/>
  <c r="L2627" i="6"/>
  <c r="L2626" i="6"/>
  <c r="L2625" i="6"/>
  <c r="L2624" i="6"/>
  <c r="L2623" i="6"/>
  <c r="L2622" i="6"/>
  <c r="L2621" i="6"/>
  <c r="L2620" i="6"/>
  <c r="L2619" i="6"/>
  <c r="L2618" i="6"/>
  <c r="L2617" i="6"/>
  <c r="L2616" i="6"/>
  <c r="L2615" i="6"/>
  <c r="L2614" i="6"/>
  <c r="L2613" i="6"/>
  <c r="L2612" i="6"/>
  <c r="L2611" i="6"/>
  <c r="L2610" i="6"/>
  <c r="L2609" i="6"/>
  <c r="L2608" i="6"/>
  <c r="L2607" i="6"/>
  <c r="L2606" i="6"/>
  <c r="L2605" i="6"/>
  <c r="L2604" i="6"/>
  <c r="L2603" i="6"/>
  <c r="L2602" i="6"/>
  <c r="L2601" i="6"/>
  <c r="L2600" i="6"/>
  <c r="L2599" i="6"/>
  <c r="L2598" i="6"/>
  <c r="L2597" i="6"/>
  <c r="L2596" i="6"/>
  <c r="L2595" i="6"/>
  <c r="L2594" i="6"/>
  <c r="L2593" i="6"/>
  <c r="L2592" i="6"/>
  <c r="L2591" i="6"/>
  <c r="L2577" i="6"/>
  <c r="L2576" i="6"/>
  <c r="L2575" i="6"/>
  <c r="L2574" i="6"/>
  <c r="L2573" i="6"/>
  <c r="L2572" i="6"/>
  <c r="L2571" i="6"/>
  <c r="L2570" i="6"/>
  <c r="L2569" i="6"/>
  <c r="L2568" i="6"/>
  <c r="L2567" i="6"/>
  <c r="L2566" i="6"/>
  <c r="L2565" i="6"/>
  <c r="L2564" i="6"/>
  <c r="L2563" i="6"/>
  <c r="L2562" i="6"/>
  <c r="L2561" i="6"/>
  <c r="L2560" i="6"/>
  <c r="L2559" i="6"/>
  <c r="L2558" i="6"/>
  <c r="L2557" i="6"/>
  <c r="L2556" i="6"/>
  <c r="L2555" i="6"/>
  <c r="L2554" i="6"/>
  <c r="L2553" i="6"/>
  <c r="L2552" i="6"/>
  <c r="L2551" i="6"/>
  <c r="L2550" i="6"/>
  <c r="L2549" i="6"/>
  <c r="L2548" i="6"/>
  <c r="L2547" i="6"/>
  <c r="L2546" i="6"/>
  <c r="L2545" i="6"/>
  <c r="L2544" i="6"/>
  <c r="L2543" i="6"/>
  <c r="L2542" i="6"/>
  <c r="L2541" i="6"/>
  <c r="L2540" i="6"/>
  <c r="L2539" i="6"/>
  <c r="L2538" i="6"/>
  <c r="L2537" i="6"/>
  <c r="L2536" i="6"/>
  <c r="L2535" i="6"/>
  <c r="L2534" i="6"/>
  <c r="L2533" i="6"/>
  <c r="L2532" i="6"/>
  <c r="L2531" i="6"/>
  <c r="L2530" i="6"/>
  <c r="L2529" i="6"/>
  <c r="L2528" i="6"/>
  <c r="L2527" i="6"/>
  <c r="L2526" i="6"/>
  <c r="L2525" i="6"/>
  <c r="L2524" i="6"/>
  <c r="L2523" i="6"/>
  <c r="L2522" i="6"/>
  <c r="L2521" i="6"/>
  <c r="L2520" i="6"/>
  <c r="L2519" i="6"/>
  <c r="L2518" i="6"/>
  <c r="L2517" i="6"/>
  <c r="L2516" i="6"/>
  <c r="L2515" i="6"/>
  <c r="L2514" i="6"/>
  <c r="L2513" i="6"/>
  <c r="L2512" i="6"/>
  <c r="L2511" i="6"/>
  <c r="L2510" i="6"/>
  <c r="L2509" i="6"/>
  <c r="L2508" i="6"/>
  <c r="L2507" i="6"/>
  <c r="L2506" i="6"/>
  <c r="L2505" i="6"/>
  <c r="L2504" i="6"/>
  <c r="L2503" i="6"/>
  <c r="L2502" i="6"/>
  <c r="L2501" i="6"/>
  <c r="L2500" i="6"/>
  <c r="L2499" i="6"/>
  <c r="L2498" i="6"/>
  <c r="L2497" i="6"/>
  <c r="L2496" i="6"/>
  <c r="L2495" i="6"/>
  <c r="L2494" i="6"/>
  <c r="L2493" i="6"/>
  <c r="L2492" i="6"/>
  <c r="L2491" i="6"/>
  <c r="L2490" i="6"/>
  <c r="L2489" i="6"/>
  <c r="L2488" i="6"/>
  <c r="L2487" i="6"/>
  <c r="L2486" i="6"/>
  <c r="L2485" i="6"/>
  <c r="L2484" i="6"/>
  <c r="L2483" i="6"/>
  <c r="L2482" i="6"/>
  <c r="L2481" i="6"/>
  <c r="L2480" i="6"/>
  <c r="L2479" i="6"/>
  <c r="L2465" i="6"/>
  <c r="L2464" i="6"/>
  <c r="L2463" i="6"/>
  <c r="L2462" i="6"/>
  <c r="L2461" i="6"/>
  <c r="L2460" i="6"/>
  <c r="L2459" i="6"/>
  <c r="L2458" i="6"/>
  <c r="L2457" i="6"/>
  <c r="L2456" i="6"/>
  <c r="L2455" i="6"/>
  <c r="L2454" i="6"/>
  <c r="L2453" i="6"/>
  <c r="L2452" i="6"/>
  <c r="L2451" i="6"/>
  <c r="L2450" i="6"/>
  <c r="L2449" i="6"/>
  <c r="L2448" i="6"/>
  <c r="L2447" i="6"/>
  <c r="L2446" i="6"/>
  <c r="L2445" i="6"/>
  <c r="L2444" i="6"/>
  <c r="L2443" i="6"/>
  <c r="L2442" i="6"/>
  <c r="L2441" i="6"/>
  <c r="L2440" i="6"/>
  <c r="L2439" i="6"/>
  <c r="L2438" i="6"/>
  <c r="L2437" i="6"/>
  <c r="L2436" i="6"/>
  <c r="L2435" i="6"/>
  <c r="L2434" i="6"/>
  <c r="L2433" i="6"/>
  <c r="L2432" i="6"/>
  <c r="L2431" i="6"/>
  <c r="L2430" i="6"/>
  <c r="L2429" i="6"/>
  <c r="L2428" i="6"/>
  <c r="L2427" i="6"/>
  <c r="L2426" i="6"/>
  <c r="L2425" i="6"/>
  <c r="L2424" i="6"/>
  <c r="L2423" i="6"/>
  <c r="L2422" i="6"/>
  <c r="L2421" i="6"/>
  <c r="L2420" i="6"/>
  <c r="L2419" i="6"/>
  <c r="L2418" i="6"/>
  <c r="L2417" i="6"/>
  <c r="L2416" i="6"/>
  <c r="L2415" i="6"/>
  <c r="L2414" i="6"/>
  <c r="L2413" i="6"/>
  <c r="L2412" i="6"/>
  <c r="L2411" i="6"/>
  <c r="L2410" i="6"/>
  <c r="L2409" i="6"/>
  <c r="L2408" i="6"/>
  <c r="L2407" i="6"/>
  <c r="L2406" i="6"/>
  <c r="L2405" i="6"/>
  <c r="L2404" i="6"/>
  <c r="L2403" i="6"/>
  <c r="L2402" i="6"/>
  <c r="L2401" i="6"/>
  <c r="L2400" i="6"/>
  <c r="L2399" i="6"/>
  <c r="L2398" i="6"/>
  <c r="L2397" i="6"/>
  <c r="L2396" i="6"/>
  <c r="L2395" i="6"/>
  <c r="L2394" i="6"/>
  <c r="L2393" i="6"/>
  <c r="L2392" i="6"/>
  <c r="L2391" i="6"/>
  <c r="L2390" i="6"/>
  <c r="L2389" i="6"/>
  <c r="L2388" i="6"/>
  <c r="L2387" i="6"/>
  <c r="L2386" i="6"/>
  <c r="L2385" i="6"/>
  <c r="L2384" i="6"/>
  <c r="L2383" i="6"/>
  <c r="L2382" i="6"/>
  <c r="L2381" i="6"/>
  <c r="L2380" i="6"/>
  <c r="L2379" i="6"/>
  <c r="L2378" i="6"/>
  <c r="L2377" i="6"/>
  <c r="L2376" i="6"/>
  <c r="L2375" i="6"/>
  <c r="L2374" i="6"/>
  <c r="L2373" i="6"/>
  <c r="L2372" i="6"/>
  <c r="L2371" i="6"/>
  <c r="L2370" i="6"/>
  <c r="L2369" i="6"/>
  <c r="L2368" i="6"/>
  <c r="L2367" i="6"/>
  <c r="L2241" i="6"/>
  <c r="L2240" i="6"/>
  <c r="L2239" i="6"/>
  <c r="L2238" i="6"/>
  <c r="L2237" i="6"/>
  <c r="L2236" i="6"/>
  <c r="L2235" i="6"/>
  <c r="L2234" i="6"/>
  <c r="L2233" i="6"/>
  <c r="L2232" i="6"/>
  <c r="L2231" i="6"/>
  <c r="L2230" i="6"/>
  <c r="L2229" i="6"/>
  <c r="L2228" i="6"/>
  <c r="L2227" i="6"/>
  <c r="L2226" i="6"/>
  <c r="L2225" i="6"/>
  <c r="L2224" i="6"/>
  <c r="L2223" i="6"/>
  <c r="L2222" i="6"/>
  <c r="L2221" i="6"/>
  <c r="L2220" i="6"/>
  <c r="L2219" i="6"/>
  <c r="L2218" i="6"/>
  <c r="L2217" i="6"/>
  <c r="L2216" i="6"/>
  <c r="L2215" i="6"/>
  <c r="L2214" i="6"/>
  <c r="L2213" i="6"/>
  <c r="L2212" i="6"/>
  <c r="L2211" i="6"/>
  <c r="L2210" i="6"/>
  <c r="L2209" i="6"/>
  <c r="L2208" i="6"/>
  <c r="L2207" i="6"/>
  <c r="L2206" i="6"/>
  <c r="L2205" i="6"/>
  <c r="L2204" i="6"/>
  <c r="L2203" i="6"/>
  <c r="L2202" i="6"/>
  <c r="L2201" i="6"/>
  <c r="L2200" i="6"/>
  <c r="L2199" i="6"/>
  <c r="L2198" i="6"/>
  <c r="L2197" i="6"/>
  <c r="L2196" i="6"/>
  <c r="L2195" i="6"/>
  <c r="L2194" i="6"/>
  <c r="L2193" i="6"/>
  <c r="L2192" i="6"/>
  <c r="L2191" i="6"/>
  <c r="L2190" i="6"/>
  <c r="L2189" i="6"/>
  <c r="L2188" i="6"/>
  <c r="L2187" i="6"/>
  <c r="L2186" i="6"/>
  <c r="L2185" i="6"/>
  <c r="L2184" i="6"/>
  <c r="L2183" i="6"/>
  <c r="L2182" i="6"/>
  <c r="L2181" i="6"/>
  <c r="L2180" i="6"/>
  <c r="L2179" i="6"/>
  <c r="L2178" i="6"/>
  <c r="L2177" i="6"/>
  <c r="L2176" i="6"/>
  <c r="L2175" i="6"/>
  <c r="L2174" i="6"/>
  <c r="L2173" i="6"/>
  <c r="L2172" i="6"/>
  <c r="L2171" i="6"/>
  <c r="L2170" i="6"/>
  <c r="L2169" i="6"/>
  <c r="L2168" i="6"/>
  <c r="L2167" i="6"/>
  <c r="L2166" i="6"/>
  <c r="L2165" i="6"/>
  <c r="L2164" i="6"/>
  <c r="L2163" i="6"/>
  <c r="L2162" i="6"/>
  <c r="L2161" i="6"/>
  <c r="L2160" i="6"/>
  <c r="L2159" i="6"/>
  <c r="L2158" i="6"/>
  <c r="L2157" i="6"/>
  <c r="L2156" i="6"/>
  <c r="L2155" i="6"/>
  <c r="L2154" i="6"/>
  <c r="L2153" i="6"/>
  <c r="L2152" i="6"/>
  <c r="L2151" i="6"/>
  <c r="L2150" i="6"/>
  <c r="L2149" i="6"/>
  <c r="L2148" i="6"/>
  <c r="L2147" i="6"/>
  <c r="L2146" i="6"/>
  <c r="L2145" i="6"/>
  <c r="L2144" i="6"/>
  <c r="L2143" i="6"/>
  <c r="L2129" i="6"/>
  <c r="L2128" i="6"/>
  <c r="L2127" i="6"/>
  <c r="L2126" i="6"/>
  <c r="L2125" i="6"/>
  <c r="L2124" i="6"/>
  <c r="L2123" i="6"/>
  <c r="L2122" i="6"/>
  <c r="L2121" i="6"/>
  <c r="L2120" i="6"/>
  <c r="L2119" i="6"/>
  <c r="L2118" i="6"/>
  <c r="L2117" i="6"/>
  <c r="L2116" i="6"/>
  <c r="L2115" i="6"/>
  <c r="L2114" i="6"/>
  <c r="L2113" i="6"/>
  <c r="L2112" i="6"/>
  <c r="L2111" i="6"/>
  <c r="L2110" i="6"/>
  <c r="L2109" i="6"/>
  <c r="L2108" i="6"/>
  <c r="L2107" i="6"/>
  <c r="L2106" i="6"/>
  <c r="L2105" i="6"/>
  <c r="L2104" i="6"/>
  <c r="L2103" i="6"/>
  <c r="L2102" i="6"/>
  <c r="L2101" i="6"/>
  <c r="L2100" i="6"/>
  <c r="L2099" i="6"/>
  <c r="L2098" i="6"/>
  <c r="L2097" i="6"/>
  <c r="L2096" i="6"/>
  <c r="L2095" i="6"/>
  <c r="L2094" i="6"/>
  <c r="L2093" i="6"/>
  <c r="L2092" i="6"/>
  <c r="L2091" i="6"/>
  <c r="L2090" i="6"/>
  <c r="L2089" i="6"/>
  <c r="L2088" i="6"/>
  <c r="L2087" i="6"/>
  <c r="L2086" i="6"/>
  <c r="L2085" i="6"/>
  <c r="L2084" i="6"/>
  <c r="L2083" i="6"/>
  <c r="L2082" i="6"/>
  <c r="L2081" i="6"/>
  <c r="L2080" i="6"/>
  <c r="L2079" i="6"/>
  <c r="L2078" i="6"/>
  <c r="L2077" i="6"/>
  <c r="L2076" i="6"/>
  <c r="L2075" i="6"/>
  <c r="L2074" i="6"/>
  <c r="L2073" i="6"/>
  <c r="L2072" i="6"/>
  <c r="L2071" i="6"/>
  <c r="L2070" i="6"/>
  <c r="L2069" i="6"/>
  <c r="L2068" i="6"/>
  <c r="L2067" i="6"/>
  <c r="L2066" i="6"/>
  <c r="L2065" i="6"/>
  <c r="L2064" i="6"/>
  <c r="L2063" i="6"/>
  <c r="L2062" i="6"/>
  <c r="L2061" i="6"/>
  <c r="L2060" i="6"/>
  <c r="L2059" i="6"/>
  <c r="L2058" i="6"/>
  <c r="L2057" i="6"/>
  <c r="L2056" i="6"/>
  <c r="L2055" i="6"/>
  <c r="L2054" i="6"/>
  <c r="L2053" i="6"/>
  <c r="L2052" i="6"/>
  <c r="L2051" i="6"/>
  <c r="L2050" i="6"/>
  <c r="L2049" i="6"/>
  <c r="L2048" i="6"/>
  <c r="L2047" i="6"/>
  <c r="L2046" i="6"/>
  <c r="L2045" i="6"/>
  <c r="L2044" i="6"/>
  <c r="L2043" i="6"/>
  <c r="L2042" i="6"/>
  <c r="L2041" i="6"/>
  <c r="L2040" i="6"/>
  <c r="L2039" i="6"/>
  <c r="L2038" i="6"/>
  <c r="L2037" i="6"/>
  <c r="L2036" i="6"/>
  <c r="L2035" i="6"/>
  <c r="L2034" i="6"/>
  <c r="L2033" i="6"/>
  <c r="L2032" i="6"/>
  <c r="L2031" i="6"/>
  <c r="L2017" i="6"/>
  <c r="L2016" i="6"/>
  <c r="L2015" i="6"/>
  <c r="L2014" i="6"/>
  <c r="L2013" i="6"/>
  <c r="L2012" i="6"/>
  <c r="L2011" i="6"/>
  <c r="L2010" i="6"/>
  <c r="L2009" i="6"/>
  <c r="L2008" i="6"/>
  <c r="L2007" i="6"/>
  <c r="L2006" i="6"/>
  <c r="L2005" i="6"/>
  <c r="L2004" i="6"/>
  <c r="L2003" i="6"/>
  <c r="L2002" i="6"/>
  <c r="L2001" i="6"/>
  <c r="L2000" i="6"/>
  <c r="L1999" i="6"/>
  <c r="L1998" i="6"/>
  <c r="L1997" i="6"/>
  <c r="L1996" i="6"/>
  <c r="L1995" i="6"/>
  <c r="L1994" i="6"/>
  <c r="L1993" i="6"/>
  <c r="L1992" i="6"/>
  <c r="L1991" i="6"/>
  <c r="L1990" i="6"/>
  <c r="L1989" i="6"/>
  <c r="L1988" i="6"/>
  <c r="L1987" i="6"/>
  <c r="L1986" i="6"/>
  <c r="L1985" i="6"/>
  <c r="L1984" i="6"/>
  <c r="L1983" i="6"/>
  <c r="L1982" i="6"/>
  <c r="L1981" i="6"/>
  <c r="L1980" i="6"/>
  <c r="L1979" i="6"/>
  <c r="L1978" i="6"/>
  <c r="L1977" i="6"/>
  <c r="L1976" i="6"/>
  <c r="L1975" i="6"/>
  <c r="L1974" i="6"/>
  <c r="L1973" i="6"/>
  <c r="L1972" i="6"/>
  <c r="L1971" i="6"/>
  <c r="L1970" i="6"/>
  <c r="L1969" i="6"/>
  <c r="L1968" i="6"/>
  <c r="L1967" i="6"/>
  <c r="L1966" i="6"/>
  <c r="L1965" i="6"/>
  <c r="L1964" i="6"/>
  <c r="L1963" i="6"/>
  <c r="L1962" i="6"/>
  <c r="L1961" i="6"/>
  <c r="L1960" i="6"/>
  <c r="L1959" i="6"/>
  <c r="L1958" i="6"/>
  <c r="L1957" i="6"/>
  <c r="L1956" i="6"/>
  <c r="L1955" i="6"/>
  <c r="L1954" i="6"/>
  <c r="L1953" i="6"/>
  <c r="L1952" i="6"/>
  <c r="L1951" i="6"/>
  <c r="L1950" i="6"/>
  <c r="L1949" i="6"/>
  <c r="L1948" i="6"/>
  <c r="L1947" i="6"/>
  <c r="L1946" i="6"/>
  <c r="L1945" i="6"/>
  <c r="L1944" i="6"/>
  <c r="L1943" i="6"/>
  <c r="L1942" i="6"/>
  <c r="L1941" i="6"/>
  <c r="L1940" i="6"/>
  <c r="L1939" i="6"/>
  <c r="L1938" i="6"/>
  <c r="L1937" i="6"/>
  <c r="L1936" i="6"/>
  <c r="L1935" i="6"/>
  <c r="L1934" i="6"/>
  <c r="L1933" i="6"/>
  <c r="L1932" i="6"/>
  <c r="L1931" i="6"/>
  <c r="L1930" i="6"/>
  <c r="L1929" i="6"/>
  <c r="L1928" i="6"/>
  <c r="L1927" i="6"/>
  <c r="L1926" i="6"/>
  <c r="L1925" i="6"/>
  <c r="L1924" i="6"/>
  <c r="L1923" i="6"/>
  <c r="L1922" i="6"/>
  <c r="L1921" i="6"/>
  <c r="L1920" i="6"/>
  <c r="L1919" i="6"/>
  <c r="L1793" i="6"/>
  <c r="L1792" i="6"/>
  <c r="L1791" i="6"/>
  <c r="L1790" i="6"/>
  <c r="L1789" i="6"/>
  <c r="L1788" i="6"/>
  <c r="L1787" i="6"/>
  <c r="L1786" i="6"/>
  <c r="L1785" i="6"/>
  <c r="L1784" i="6"/>
  <c r="L1783" i="6"/>
  <c r="L1782" i="6"/>
  <c r="L1781" i="6"/>
  <c r="L1780" i="6"/>
  <c r="L1779" i="6"/>
  <c r="L1778" i="6"/>
  <c r="L1777" i="6"/>
  <c r="L1776" i="6"/>
  <c r="L1775" i="6"/>
  <c r="L1774" i="6"/>
  <c r="L1773" i="6"/>
  <c r="L1772" i="6"/>
  <c r="L1771" i="6"/>
  <c r="L1770" i="6"/>
  <c r="L1769" i="6"/>
  <c r="L1768" i="6"/>
  <c r="L1767" i="6"/>
  <c r="L1766" i="6"/>
  <c r="L1765" i="6"/>
  <c r="L1764" i="6"/>
  <c r="L1763" i="6"/>
  <c r="L1762" i="6"/>
  <c r="L1761" i="6"/>
  <c r="L1760" i="6"/>
  <c r="L1759" i="6"/>
  <c r="L1758" i="6"/>
  <c r="L1757" i="6"/>
  <c r="L1756" i="6"/>
  <c r="L1755" i="6"/>
  <c r="L1754" i="6"/>
  <c r="L1753" i="6"/>
  <c r="L1752" i="6"/>
  <c r="L1751" i="6"/>
  <c r="L1750" i="6"/>
  <c r="L1749" i="6"/>
  <c r="L1748" i="6"/>
  <c r="L1747" i="6"/>
  <c r="L1746" i="6"/>
  <c r="L1745" i="6"/>
  <c r="L1744" i="6"/>
  <c r="L1743" i="6"/>
  <c r="L1742" i="6"/>
  <c r="L1741" i="6"/>
  <c r="L1740" i="6"/>
  <c r="L1739" i="6"/>
  <c r="L1738" i="6"/>
  <c r="L1737" i="6"/>
  <c r="L1736" i="6"/>
  <c r="L1735" i="6"/>
  <c r="L1734" i="6"/>
  <c r="L1733" i="6"/>
  <c r="L1732" i="6"/>
  <c r="L1731" i="6"/>
  <c r="L1730" i="6"/>
  <c r="L1729" i="6"/>
  <c r="L1728" i="6"/>
  <c r="L1727" i="6"/>
  <c r="L1726" i="6"/>
  <c r="L1725" i="6"/>
  <c r="L1724" i="6"/>
  <c r="L1723" i="6"/>
  <c r="L1722" i="6"/>
  <c r="L1721" i="6"/>
  <c r="L1720" i="6"/>
  <c r="L1719" i="6"/>
  <c r="L1718" i="6"/>
  <c r="L1717" i="6"/>
  <c r="L1716" i="6"/>
  <c r="L1715" i="6"/>
  <c r="L1714" i="6"/>
  <c r="L1713" i="6"/>
  <c r="L1712" i="6"/>
  <c r="L1711" i="6"/>
  <c r="L1710" i="6"/>
  <c r="L1709" i="6"/>
  <c r="L1708" i="6"/>
  <c r="L1707" i="6"/>
  <c r="L1706" i="6"/>
  <c r="L1705" i="6"/>
  <c r="L1704" i="6"/>
  <c r="L1703" i="6"/>
  <c r="L1702" i="6"/>
  <c r="L1701" i="6"/>
  <c r="L1700" i="6"/>
  <c r="L1699" i="6"/>
  <c r="L1698" i="6"/>
  <c r="L1697" i="6"/>
  <c r="L1696" i="6"/>
  <c r="L1695" i="6"/>
  <c r="L1681" i="6"/>
  <c r="L1680" i="6"/>
  <c r="L1679" i="6"/>
  <c r="L1678" i="6"/>
  <c r="L1677" i="6"/>
  <c r="L1676" i="6"/>
  <c r="L1675" i="6"/>
  <c r="L1674" i="6"/>
  <c r="L1673" i="6"/>
  <c r="L1672" i="6"/>
  <c r="L1671" i="6"/>
  <c r="L1670" i="6"/>
  <c r="L1669" i="6"/>
  <c r="L1668" i="6"/>
  <c r="L1667" i="6"/>
  <c r="L1666" i="6"/>
  <c r="L1665" i="6"/>
  <c r="L1664" i="6"/>
  <c r="L1663" i="6"/>
  <c r="L1662" i="6"/>
  <c r="L1661" i="6"/>
  <c r="L1660" i="6"/>
  <c r="L1659" i="6"/>
  <c r="L1658" i="6"/>
  <c r="L1657" i="6"/>
  <c r="L1656" i="6"/>
  <c r="L1655" i="6"/>
  <c r="L1654" i="6"/>
  <c r="L1653" i="6"/>
  <c r="L1652" i="6"/>
  <c r="L1651" i="6"/>
  <c r="L1650" i="6"/>
  <c r="L1649" i="6"/>
  <c r="L1648" i="6"/>
  <c r="L1647" i="6"/>
  <c r="L1646" i="6"/>
  <c r="L1645" i="6"/>
  <c r="L1644" i="6"/>
  <c r="L1643" i="6"/>
  <c r="L1642" i="6"/>
  <c r="L1641" i="6"/>
  <c r="L1640" i="6"/>
  <c r="L1639" i="6"/>
  <c r="L1638" i="6"/>
  <c r="L1637" i="6"/>
  <c r="L1636" i="6"/>
  <c r="L1635" i="6"/>
  <c r="L1634" i="6"/>
  <c r="L1633" i="6"/>
  <c r="L1632" i="6"/>
  <c r="L1631" i="6"/>
  <c r="L1630" i="6"/>
  <c r="L1629" i="6"/>
  <c r="L1628" i="6"/>
  <c r="L1627" i="6"/>
  <c r="L1626" i="6"/>
  <c r="L1625" i="6"/>
  <c r="L1624" i="6"/>
  <c r="L1623" i="6"/>
  <c r="L1622" i="6"/>
  <c r="L1621" i="6"/>
  <c r="L1620" i="6"/>
  <c r="L1619" i="6"/>
  <c r="L1618" i="6"/>
  <c r="L1617" i="6"/>
  <c r="L1616" i="6"/>
  <c r="L1615" i="6"/>
  <c r="L1614" i="6"/>
  <c r="L1613" i="6"/>
  <c r="L1612" i="6"/>
  <c r="L1611" i="6"/>
  <c r="L1610" i="6"/>
  <c r="L1609" i="6"/>
  <c r="L1608" i="6"/>
  <c r="L1607" i="6"/>
  <c r="L1606" i="6"/>
  <c r="L1605" i="6"/>
  <c r="L1604" i="6"/>
  <c r="L1603" i="6"/>
  <c r="L1602" i="6"/>
  <c r="L1601" i="6"/>
  <c r="L1600" i="6"/>
  <c r="L1599" i="6"/>
  <c r="L1598" i="6"/>
  <c r="L1597" i="6"/>
  <c r="L1596" i="6"/>
  <c r="L1595" i="6"/>
  <c r="L1594" i="6"/>
  <c r="L1593" i="6"/>
  <c r="L1592" i="6"/>
  <c r="L1591" i="6"/>
  <c r="L1590" i="6"/>
  <c r="L1589" i="6"/>
  <c r="L1588" i="6"/>
  <c r="L1587" i="6"/>
  <c r="L1586" i="6"/>
  <c r="L1585" i="6"/>
  <c r="L1584" i="6"/>
  <c r="L1583" i="6"/>
  <c r="L1569" i="6"/>
  <c r="L1568" i="6"/>
  <c r="L1567" i="6"/>
  <c r="L1566" i="6"/>
  <c r="L1565" i="6"/>
  <c r="L1564" i="6"/>
  <c r="L1563" i="6"/>
  <c r="L1562" i="6"/>
  <c r="L1561" i="6"/>
  <c r="L1560" i="6"/>
  <c r="L1559" i="6"/>
  <c r="L1558" i="6"/>
  <c r="L1557" i="6"/>
  <c r="L1556" i="6"/>
  <c r="L1555" i="6"/>
  <c r="L1554" i="6"/>
  <c r="L1553" i="6"/>
  <c r="L1552" i="6"/>
  <c r="L1551" i="6"/>
  <c r="L1550" i="6"/>
  <c r="L1549" i="6"/>
  <c r="L1548" i="6"/>
  <c r="L1547" i="6"/>
  <c r="L1546" i="6"/>
  <c r="L1545" i="6"/>
  <c r="L1544" i="6"/>
  <c r="L1543" i="6"/>
  <c r="L1542" i="6"/>
  <c r="L1541" i="6"/>
  <c r="L1540" i="6"/>
  <c r="L1539" i="6"/>
  <c r="L1538" i="6"/>
  <c r="L1537" i="6"/>
  <c r="L1536" i="6"/>
  <c r="L1535" i="6"/>
  <c r="L1534" i="6"/>
  <c r="L1533" i="6"/>
  <c r="L1532" i="6"/>
  <c r="L1531" i="6"/>
  <c r="L1530" i="6"/>
  <c r="L1529" i="6"/>
  <c r="L1528" i="6"/>
  <c r="L1527" i="6"/>
  <c r="L1526" i="6"/>
  <c r="L1525" i="6"/>
  <c r="L1524" i="6"/>
  <c r="L1523" i="6"/>
  <c r="L1522" i="6"/>
  <c r="L1521" i="6"/>
  <c r="L1520" i="6"/>
  <c r="L1519" i="6"/>
  <c r="L1518" i="6"/>
  <c r="L1517" i="6"/>
  <c r="L1516" i="6"/>
  <c r="L1515" i="6"/>
  <c r="L1514" i="6"/>
  <c r="L1513" i="6"/>
  <c r="L1512" i="6"/>
  <c r="L1511" i="6"/>
  <c r="L1510" i="6"/>
  <c r="L1509" i="6"/>
  <c r="L1508" i="6"/>
  <c r="L1507" i="6"/>
  <c r="L1506" i="6"/>
  <c r="L1505" i="6"/>
  <c r="L1504" i="6"/>
  <c r="L1503" i="6"/>
  <c r="L1502" i="6"/>
  <c r="L1501" i="6"/>
  <c r="L1500" i="6"/>
  <c r="L1499" i="6"/>
  <c r="L1498" i="6"/>
  <c r="L1497" i="6"/>
  <c r="L1496" i="6"/>
  <c r="L1495" i="6"/>
  <c r="L1494" i="6"/>
  <c r="L1493" i="6"/>
  <c r="L1492" i="6"/>
  <c r="L1491" i="6"/>
  <c r="L1490" i="6"/>
  <c r="L1489" i="6"/>
  <c r="L1488" i="6"/>
  <c r="L1487" i="6"/>
  <c r="L1486" i="6"/>
  <c r="L1485" i="6"/>
  <c r="L1484" i="6"/>
  <c r="L1483" i="6"/>
  <c r="L1482" i="6"/>
  <c r="L1481" i="6"/>
  <c r="L1480" i="6"/>
  <c r="L1479" i="6"/>
  <c r="L1478" i="6"/>
  <c r="L1477" i="6"/>
  <c r="L1476" i="6"/>
  <c r="L1475" i="6"/>
  <c r="L1474" i="6"/>
  <c r="L1473" i="6"/>
  <c r="L1472" i="6"/>
  <c r="L1471" i="6"/>
  <c r="L1345" i="6"/>
  <c r="L1344" i="6"/>
  <c r="L1343" i="6"/>
  <c r="L1342" i="6"/>
  <c r="L1341" i="6"/>
  <c r="L1340" i="6"/>
  <c r="L1339" i="6"/>
  <c r="L1338" i="6"/>
  <c r="L1337" i="6"/>
  <c r="L1336" i="6"/>
  <c r="L1335" i="6"/>
  <c r="L1334" i="6"/>
  <c r="L1333" i="6"/>
  <c r="L1332" i="6"/>
  <c r="L1331" i="6"/>
  <c r="L1330" i="6"/>
  <c r="L1329" i="6"/>
  <c r="L1328" i="6"/>
  <c r="L1327" i="6"/>
  <c r="L1326" i="6"/>
  <c r="L1325" i="6"/>
  <c r="L1324" i="6"/>
  <c r="L1323" i="6"/>
  <c r="L1322" i="6"/>
  <c r="L1321" i="6"/>
  <c r="L1320" i="6"/>
  <c r="L1319" i="6"/>
  <c r="L1318" i="6"/>
  <c r="L1317" i="6"/>
  <c r="L1316" i="6"/>
  <c r="L1315" i="6"/>
  <c r="L1314" i="6"/>
  <c r="L1313" i="6"/>
  <c r="L1312" i="6"/>
  <c r="L1311" i="6"/>
  <c r="L1310" i="6"/>
  <c r="L1309" i="6"/>
  <c r="L1308" i="6"/>
  <c r="L1307" i="6"/>
  <c r="L1306" i="6"/>
  <c r="L1305" i="6"/>
  <c r="L1304" i="6"/>
  <c r="L1303" i="6"/>
  <c r="L1302" i="6"/>
  <c r="L1301" i="6"/>
  <c r="L1300" i="6"/>
  <c r="L1299" i="6"/>
  <c r="L1298" i="6"/>
  <c r="L1297" i="6"/>
  <c r="L1296" i="6"/>
  <c r="L1295" i="6"/>
  <c r="L1294" i="6"/>
  <c r="L1293" i="6"/>
  <c r="L1292" i="6"/>
  <c r="L1291" i="6"/>
  <c r="L1290" i="6"/>
  <c r="L1289" i="6"/>
  <c r="L1288" i="6"/>
  <c r="L1287" i="6"/>
  <c r="L1286" i="6"/>
  <c r="L1285" i="6"/>
  <c r="L1284" i="6"/>
  <c r="L1283" i="6"/>
  <c r="L1282" i="6"/>
  <c r="L1281" i="6"/>
  <c r="L1280" i="6"/>
  <c r="L1279" i="6"/>
  <c r="L1278" i="6"/>
  <c r="L1277" i="6"/>
  <c r="L1276" i="6"/>
  <c r="L1275" i="6"/>
  <c r="L1274" i="6"/>
  <c r="L1273" i="6"/>
  <c r="L1272" i="6"/>
  <c r="L1271" i="6"/>
  <c r="L1270" i="6"/>
  <c r="L1269" i="6"/>
  <c r="L1268" i="6"/>
  <c r="L1267" i="6"/>
  <c r="L1266" i="6"/>
  <c r="L1265" i="6"/>
  <c r="L1264" i="6"/>
  <c r="L1263" i="6"/>
  <c r="L1262" i="6"/>
  <c r="L1261" i="6"/>
  <c r="L1260" i="6"/>
  <c r="L1259" i="6"/>
  <c r="L1258" i="6"/>
  <c r="L1257" i="6"/>
  <c r="L1256" i="6"/>
  <c r="L1255" i="6"/>
  <c r="L1254" i="6"/>
  <c r="L1253" i="6"/>
  <c r="L1252" i="6"/>
  <c r="L1251" i="6"/>
  <c r="L1250" i="6"/>
  <c r="L1249" i="6"/>
  <c r="L1248" i="6"/>
  <c r="L1247" i="6"/>
  <c r="L1233" i="6"/>
  <c r="L1232" i="6"/>
  <c r="L1231" i="6"/>
  <c r="L1230" i="6"/>
  <c r="L1229" i="6"/>
  <c r="L1228" i="6"/>
  <c r="L1227" i="6"/>
  <c r="L1226" i="6"/>
  <c r="L1225" i="6"/>
  <c r="L1224" i="6"/>
  <c r="L1223" i="6"/>
  <c r="L1222" i="6"/>
  <c r="L1221" i="6"/>
  <c r="L1220" i="6"/>
  <c r="L1219" i="6"/>
  <c r="L1218" i="6"/>
  <c r="L1217" i="6"/>
  <c r="L1216" i="6"/>
  <c r="L1215" i="6"/>
  <c r="L1214" i="6"/>
  <c r="L1213" i="6"/>
  <c r="L1212" i="6"/>
  <c r="L1211" i="6"/>
  <c r="L1210" i="6"/>
  <c r="L1209" i="6"/>
  <c r="L1208" i="6"/>
  <c r="L1207" i="6"/>
  <c r="L1206" i="6"/>
  <c r="L1205" i="6"/>
  <c r="L1204" i="6"/>
  <c r="L1203" i="6"/>
  <c r="L1202" i="6"/>
  <c r="L1201" i="6"/>
  <c r="L1200" i="6"/>
  <c r="L1199" i="6"/>
  <c r="L1198" i="6"/>
  <c r="L1197" i="6"/>
  <c r="L1196" i="6"/>
  <c r="L1195" i="6"/>
  <c r="L1194" i="6"/>
  <c r="L1193" i="6"/>
  <c r="L1192" i="6"/>
  <c r="L1191" i="6"/>
  <c r="L1190" i="6"/>
  <c r="L1189" i="6"/>
  <c r="L1188" i="6"/>
  <c r="L1187" i="6"/>
  <c r="L1186" i="6"/>
  <c r="L1185" i="6"/>
  <c r="L1184" i="6"/>
  <c r="L1183" i="6"/>
  <c r="L1182" i="6"/>
  <c r="L1181" i="6"/>
  <c r="L1180" i="6"/>
  <c r="L1179" i="6"/>
  <c r="L1178" i="6"/>
  <c r="L1177" i="6"/>
  <c r="L1176" i="6"/>
  <c r="L1175" i="6"/>
  <c r="L1174" i="6"/>
  <c r="L1173" i="6"/>
  <c r="L1172" i="6"/>
  <c r="L1171" i="6"/>
  <c r="L1170" i="6"/>
  <c r="L1169" i="6"/>
  <c r="L1168" i="6"/>
  <c r="L1167" i="6"/>
  <c r="L1166" i="6"/>
  <c r="L1165" i="6"/>
  <c r="L1164" i="6"/>
  <c r="L1163" i="6"/>
  <c r="L1162" i="6"/>
  <c r="L1161" i="6"/>
  <c r="L1160" i="6"/>
  <c r="L1159" i="6"/>
  <c r="L1158" i="6"/>
  <c r="L1157" i="6"/>
  <c r="L1156" i="6"/>
  <c r="L1155" i="6"/>
  <c r="L1154" i="6"/>
  <c r="L1153" i="6"/>
  <c r="L1152" i="6"/>
  <c r="L1151" i="6"/>
  <c r="L1150" i="6"/>
  <c r="L1149" i="6"/>
  <c r="L1148" i="6"/>
  <c r="L1147" i="6"/>
  <c r="L1146" i="6"/>
  <c r="L1145" i="6"/>
  <c r="L1144" i="6"/>
  <c r="L1143" i="6"/>
  <c r="L1142" i="6"/>
  <c r="L1141" i="6"/>
  <c r="L1140" i="6"/>
  <c r="L1139" i="6"/>
  <c r="L1138" i="6"/>
  <c r="L1137" i="6"/>
  <c r="L1136" i="6"/>
  <c r="L1135" i="6"/>
  <c r="L1121" i="6"/>
  <c r="L1120" i="6"/>
  <c r="L1119" i="6"/>
  <c r="L1118" i="6"/>
  <c r="L1117" i="6"/>
  <c r="L1116" i="6"/>
  <c r="L1115" i="6"/>
  <c r="L1114" i="6"/>
  <c r="L1113" i="6"/>
  <c r="L1112" i="6"/>
  <c r="L1111" i="6"/>
  <c r="L1110" i="6"/>
  <c r="L1109" i="6"/>
  <c r="L1108" i="6"/>
  <c r="L1107" i="6"/>
  <c r="L1106" i="6"/>
  <c r="L1105" i="6"/>
  <c r="L1104" i="6"/>
  <c r="L1103" i="6"/>
  <c r="L1102" i="6"/>
  <c r="L1101" i="6"/>
  <c r="L1100" i="6"/>
  <c r="L1099" i="6"/>
  <c r="L1098" i="6"/>
  <c r="L1097" i="6"/>
  <c r="L1096" i="6"/>
  <c r="L1095" i="6"/>
  <c r="L1094" i="6"/>
  <c r="L1093" i="6"/>
  <c r="L1092" i="6"/>
  <c r="L1091" i="6"/>
  <c r="L1090" i="6"/>
  <c r="L1089" i="6"/>
  <c r="L1088" i="6"/>
  <c r="L1087" i="6"/>
  <c r="L1086" i="6"/>
  <c r="L1085" i="6"/>
  <c r="L1084" i="6"/>
  <c r="L1083" i="6"/>
  <c r="L1082" i="6"/>
  <c r="L1081" i="6"/>
  <c r="L1080" i="6"/>
  <c r="L1079" i="6"/>
  <c r="L1078" i="6"/>
  <c r="L1077" i="6"/>
  <c r="L1076" i="6"/>
  <c r="L1075" i="6"/>
  <c r="L1074" i="6"/>
  <c r="L1073" i="6"/>
  <c r="L1072" i="6"/>
  <c r="L1071" i="6"/>
  <c r="L1070" i="6"/>
  <c r="L1069" i="6"/>
  <c r="L1068" i="6"/>
  <c r="L1067" i="6"/>
  <c r="L1066" i="6"/>
  <c r="L1065" i="6"/>
  <c r="L1064" i="6"/>
  <c r="L1063" i="6"/>
  <c r="L1062" i="6"/>
  <c r="L1061" i="6"/>
  <c r="L1060" i="6"/>
  <c r="L1059" i="6"/>
  <c r="L1058" i="6"/>
  <c r="L1057" i="6"/>
  <c r="L1056" i="6"/>
  <c r="L1055" i="6"/>
  <c r="L1054" i="6"/>
  <c r="L1053" i="6"/>
  <c r="L1052" i="6"/>
  <c r="L1051" i="6"/>
  <c r="L1050" i="6"/>
  <c r="L1049" i="6"/>
  <c r="L1048" i="6"/>
  <c r="L1047" i="6"/>
  <c r="L1046" i="6"/>
  <c r="L1045" i="6"/>
  <c r="L1044" i="6"/>
  <c r="L1043" i="6"/>
  <c r="L1042" i="6"/>
  <c r="L1041" i="6"/>
  <c r="L1040" i="6"/>
  <c r="L1039" i="6"/>
  <c r="L1038" i="6"/>
  <c r="L1037" i="6"/>
  <c r="L1036" i="6"/>
  <c r="L1035" i="6"/>
  <c r="L1034" i="6"/>
  <c r="L1033" i="6"/>
  <c r="L1032" i="6"/>
  <c r="L1031" i="6"/>
  <c r="L1030" i="6"/>
  <c r="L1029" i="6"/>
  <c r="L1028" i="6"/>
  <c r="L1027" i="6"/>
  <c r="L1026" i="6"/>
  <c r="L1025" i="6"/>
  <c r="L1024" i="6"/>
  <c r="L1023" i="6"/>
  <c r="L897" i="6"/>
  <c r="L896" i="6"/>
  <c r="L895" i="6"/>
  <c r="L894" i="6"/>
  <c r="L893" i="6"/>
  <c r="L892" i="6"/>
  <c r="L891" i="6"/>
  <c r="L890" i="6"/>
  <c r="L889" i="6"/>
  <c r="L888" i="6"/>
  <c r="L887" i="6"/>
  <c r="L886" i="6"/>
  <c r="L885" i="6"/>
  <c r="L884" i="6"/>
  <c r="L883" i="6"/>
  <c r="L882" i="6"/>
  <c r="L881" i="6"/>
  <c r="L880" i="6"/>
  <c r="L879" i="6"/>
  <c r="L878" i="6"/>
  <c r="L877" i="6"/>
  <c r="L876" i="6"/>
  <c r="L875" i="6"/>
  <c r="L874" i="6"/>
  <c r="L873" i="6"/>
  <c r="L872" i="6"/>
  <c r="L871" i="6"/>
  <c r="L870" i="6"/>
  <c r="L869" i="6"/>
  <c r="L868" i="6"/>
  <c r="L867" i="6"/>
  <c r="L866" i="6"/>
  <c r="L865" i="6"/>
  <c r="L864" i="6"/>
  <c r="L863" i="6"/>
  <c r="L862" i="6"/>
  <c r="L861" i="6"/>
  <c r="L860" i="6"/>
  <c r="L859" i="6"/>
  <c r="L858" i="6"/>
  <c r="L857" i="6"/>
  <c r="L856" i="6"/>
  <c r="L855" i="6"/>
  <c r="L854" i="6"/>
  <c r="L853" i="6"/>
  <c r="L852" i="6"/>
  <c r="L851" i="6"/>
  <c r="L850" i="6"/>
  <c r="L849" i="6"/>
  <c r="L848" i="6"/>
  <c r="L847" i="6"/>
  <c r="L846" i="6"/>
  <c r="L845" i="6"/>
  <c r="L844" i="6"/>
  <c r="L843" i="6"/>
  <c r="L842" i="6"/>
  <c r="L841" i="6"/>
  <c r="L840" i="6"/>
  <c r="L839" i="6"/>
  <c r="L838" i="6"/>
  <c r="L837" i="6"/>
  <c r="L836" i="6"/>
  <c r="L835" i="6"/>
  <c r="L834" i="6"/>
  <c r="L833" i="6"/>
  <c r="L832" i="6"/>
  <c r="L831" i="6"/>
  <c r="L830" i="6"/>
  <c r="L829" i="6"/>
  <c r="L828" i="6"/>
  <c r="L827" i="6"/>
  <c r="L826" i="6"/>
  <c r="L825" i="6"/>
  <c r="L824" i="6"/>
  <c r="L823" i="6"/>
  <c r="L822" i="6"/>
  <c r="L821" i="6"/>
  <c r="L820" i="6"/>
  <c r="L819" i="6"/>
  <c r="L818" i="6"/>
  <c r="L817" i="6"/>
  <c r="L816" i="6"/>
  <c r="L815" i="6"/>
  <c r="L814" i="6"/>
  <c r="L813" i="6"/>
  <c r="L812" i="6"/>
  <c r="L811" i="6"/>
  <c r="L810" i="6"/>
  <c r="L809" i="6"/>
  <c r="L808" i="6"/>
  <c r="L807" i="6"/>
  <c r="L806" i="6"/>
  <c r="L805" i="6"/>
  <c r="L804" i="6"/>
  <c r="L803" i="6"/>
  <c r="L802" i="6"/>
  <c r="L801" i="6"/>
  <c r="L800" i="6"/>
  <c r="L799" i="6"/>
  <c r="L785" i="6"/>
  <c r="L784" i="6"/>
  <c r="L783" i="6"/>
  <c r="L782" i="6"/>
  <c r="L781" i="6"/>
  <c r="L780" i="6"/>
  <c r="L779" i="6"/>
  <c r="L778" i="6"/>
  <c r="L777" i="6"/>
  <c r="L776" i="6"/>
  <c r="L775" i="6"/>
  <c r="L774" i="6"/>
  <c r="L773" i="6"/>
  <c r="L772" i="6"/>
  <c r="L771" i="6"/>
  <c r="L770" i="6"/>
  <c r="L769" i="6"/>
  <c r="L768" i="6"/>
  <c r="L767" i="6"/>
  <c r="L766" i="6"/>
  <c r="L765" i="6"/>
  <c r="L764" i="6"/>
  <c r="L763" i="6"/>
  <c r="L762" i="6"/>
  <c r="L761" i="6"/>
  <c r="L760" i="6"/>
  <c r="L759" i="6"/>
  <c r="L758" i="6"/>
  <c r="L757" i="6"/>
  <c r="L756" i="6"/>
  <c r="L755" i="6"/>
  <c r="L754" i="6"/>
  <c r="L753" i="6"/>
  <c r="L752" i="6"/>
  <c r="L751" i="6"/>
  <c r="L750" i="6"/>
  <c r="L749" i="6"/>
  <c r="L748" i="6"/>
  <c r="L747" i="6"/>
  <c r="L746" i="6"/>
  <c r="L745" i="6"/>
  <c r="L744" i="6"/>
  <c r="L743" i="6"/>
  <c r="L742" i="6"/>
  <c r="L741" i="6"/>
  <c r="L740" i="6"/>
  <c r="L739" i="6"/>
  <c r="L738" i="6"/>
  <c r="L737" i="6"/>
  <c r="L736" i="6"/>
  <c r="L735" i="6"/>
  <c r="L734" i="6"/>
  <c r="L733" i="6"/>
  <c r="L732" i="6"/>
  <c r="L731" i="6"/>
  <c r="L730" i="6"/>
  <c r="L729" i="6"/>
  <c r="L728" i="6"/>
  <c r="L727" i="6"/>
  <c r="L726" i="6"/>
  <c r="L725" i="6"/>
  <c r="L724" i="6"/>
  <c r="L723" i="6"/>
  <c r="L722" i="6"/>
  <c r="L721" i="6"/>
  <c r="L720" i="6"/>
  <c r="L719" i="6"/>
  <c r="L718" i="6"/>
  <c r="L717" i="6"/>
  <c r="L716" i="6"/>
  <c r="L715" i="6"/>
  <c r="L714" i="6"/>
  <c r="L713" i="6"/>
  <c r="L712" i="6"/>
  <c r="L711" i="6"/>
  <c r="L710" i="6"/>
  <c r="L709" i="6"/>
  <c r="L708" i="6"/>
  <c r="L707" i="6"/>
  <c r="L706" i="6"/>
  <c r="L705" i="6"/>
  <c r="L704" i="6"/>
  <c r="L703" i="6"/>
  <c r="L702" i="6"/>
  <c r="L701" i="6"/>
  <c r="L700" i="6"/>
  <c r="L699" i="6"/>
  <c r="L698" i="6"/>
  <c r="L697" i="6"/>
  <c r="L696" i="6"/>
  <c r="L695" i="6"/>
  <c r="L694" i="6"/>
  <c r="L693" i="6"/>
  <c r="L692" i="6"/>
  <c r="L691" i="6"/>
  <c r="L690" i="6"/>
  <c r="L689" i="6"/>
  <c r="L688" i="6"/>
  <c r="L687" i="6"/>
  <c r="L673" i="6"/>
  <c r="L672" i="6"/>
  <c r="L671" i="6"/>
  <c r="L670" i="6"/>
  <c r="L669" i="6"/>
  <c r="L668" i="6"/>
  <c r="L667" i="6"/>
  <c r="L666" i="6"/>
  <c r="L665" i="6"/>
  <c r="L664" i="6"/>
  <c r="L663" i="6"/>
  <c r="L662" i="6"/>
  <c r="L661" i="6"/>
  <c r="L660" i="6"/>
  <c r="L659" i="6"/>
  <c r="L658" i="6"/>
  <c r="L657" i="6"/>
  <c r="L656" i="6"/>
  <c r="L655" i="6"/>
  <c r="L654" i="6"/>
  <c r="L653" i="6"/>
  <c r="L652" i="6"/>
  <c r="L651" i="6"/>
  <c r="L650" i="6"/>
  <c r="L649" i="6"/>
  <c r="L648" i="6"/>
  <c r="L647" i="6"/>
  <c r="L646" i="6"/>
  <c r="L645" i="6"/>
  <c r="L644" i="6"/>
  <c r="L643" i="6"/>
  <c r="L642" i="6"/>
  <c r="L641" i="6"/>
  <c r="L640" i="6"/>
  <c r="L639" i="6"/>
  <c r="L638" i="6"/>
  <c r="L637" i="6"/>
  <c r="L636" i="6"/>
  <c r="L635" i="6"/>
  <c r="L634" i="6"/>
  <c r="L633" i="6"/>
  <c r="L632" i="6"/>
  <c r="L631" i="6"/>
  <c r="L630" i="6"/>
  <c r="L629" i="6"/>
  <c r="L628" i="6"/>
  <c r="L627" i="6"/>
  <c r="L626" i="6"/>
  <c r="L625" i="6"/>
  <c r="L624" i="6"/>
  <c r="L623" i="6"/>
  <c r="L622" i="6"/>
  <c r="L621" i="6"/>
  <c r="L620" i="6"/>
  <c r="L619" i="6"/>
  <c r="L618" i="6"/>
  <c r="L617" i="6"/>
  <c r="L616" i="6"/>
  <c r="L615" i="6"/>
  <c r="L614" i="6"/>
  <c r="L613" i="6"/>
  <c r="L612" i="6"/>
  <c r="L611" i="6"/>
  <c r="L610" i="6"/>
  <c r="L609" i="6"/>
  <c r="L608" i="6"/>
  <c r="L607" i="6"/>
  <c r="L606" i="6"/>
  <c r="L605" i="6"/>
  <c r="L604" i="6"/>
  <c r="L603" i="6"/>
  <c r="L602" i="6"/>
  <c r="L601" i="6"/>
  <c r="L600" i="6"/>
  <c r="L599" i="6"/>
  <c r="L598" i="6"/>
  <c r="L597" i="6"/>
  <c r="L596" i="6"/>
  <c r="L595" i="6"/>
  <c r="L594" i="6"/>
  <c r="L593" i="6"/>
  <c r="L592" i="6"/>
  <c r="L591" i="6"/>
  <c r="L590" i="6"/>
  <c r="L589" i="6"/>
  <c r="L588" i="6"/>
  <c r="L587" i="6"/>
  <c r="L586" i="6"/>
  <c r="L585" i="6"/>
  <c r="L584" i="6"/>
  <c r="L583" i="6"/>
  <c r="L582" i="6"/>
  <c r="L581" i="6"/>
  <c r="L580" i="6"/>
  <c r="L579" i="6"/>
  <c r="L578" i="6"/>
  <c r="L577" i="6"/>
  <c r="L576" i="6"/>
  <c r="L575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M127" i="6"/>
  <c r="L127" i="6"/>
  <c r="M4830" i="6"/>
  <c r="M4829" i="6"/>
  <c r="M4828" i="6"/>
  <c r="M4827" i="6"/>
  <c r="M4826" i="6"/>
  <c r="M4825" i="6"/>
  <c r="M4824" i="6"/>
  <c r="M4823" i="6"/>
  <c r="M4822" i="6"/>
  <c r="M4821" i="6"/>
  <c r="M4820" i="6"/>
  <c r="M4819" i="6"/>
  <c r="M4718" i="6"/>
  <c r="M4717" i="6"/>
  <c r="M4716" i="6"/>
  <c r="M4715" i="6"/>
  <c r="M4714" i="6"/>
  <c r="M4713" i="6"/>
  <c r="M4712" i="6"/>
  <c r="M4711" i="6"/>
  <c r="M4710" i="6"/>
  <c r="M4709" i="6"/>
  <c r="M4708" i="6"/>
  <c r="M4707" i="6"/>
  <c r="M4606" i="6"/>
  <c r="M4605" i="6"/>
  <c r="M4604" i="6"/>
  <c r="M4603" i="6"/>
  <c r="M4602" i="6"/>
  <c r="M4601" i="6"/>
  <c r="M4600" i="6"/>
  <c r="M4599" i="6"/>
  <c r="M4598" i="6"/>
  <c r="M4597" i="6"/>
  <c r="M4596" i="6"/>
  <c r="M4595" i="6"/>
  <c r="M4382" i="6"/>
  <c r="M4381" i="6"/>
  <c r="M4380" i="6"/>
  <c r="M4379" i="6"/>
  <c r="M4378" i="6"/>
  <c r="M4377" i="6"/>
  <c r="M4376" i="6"/>
  <c r="M4375" i="6"/>
  <c r="M4374" i="6"/>
  <c r="M4373" i="6"/>
  <c r="M4372" i="6"/>
  <c r="M4371" i="6"/>
  <c r="M4270" i="6"/>
  <c r="M4269" i="6"/>
  <c r="M4268" i="6"/>
  <c r="M4267" i="6"/>
  <c r="M4266" i="6"/>
  <c r="M4265" i="6"/>
  <c r="M4264" i="6"/>
  <c r="M4263" i="6"/>
  <c r="M4262" i="6"/>
  <c r="M4261" i="6"/>
  <c r="M4260" i="6"/>
  <c r="M4259" i="6"/>
  <c r="M4158" i="6"/>
  <c r="M4157" i="6"/>
  <c r="M4156" i="6"/>
  <c r="M4155" i="6"/>
  <c r="M4154" i="6"/>
  <c r="M4153" i="6"/>
  <c r="M4152" i="6"/>
  <c r="M4151" i="6"/>
  <c r="M4150" i="6"/>
  <c r="M4149" i="6"/>
  <c r="M4148" i="6"/>
  <c r="M4147" i="6"/>
  <c r="M3934" i="6"/>
  <c r="M3933" i="6"/>
  <c r="M3932" i="6"/>
  <c r="M3931" i="6"/>
  <c r="M3930" i="6"/>
  <c r="M3929" i="6"/>
  <c r="M3928" i="6"/>
  <c r="M3927" i="6"/>
  <c r="M3926" i="6"/>
  <c r="M3925" i="6"/>
  <c r="M3924" i="6"/>
  <c r="M3923" i="6"/>
  <c r="M3822" i="6"/>
  <c r="M3821" i="6"/>
  <c r="M3820" i="6"/>
  <c r="M3819" i="6"/>
  <c r="M3818" i="6"/>
  <c r="M3817" i="6"/>
  <c r="M3816" i="6"/>
  <c r="M3815" i="6"/>
  <c r="M3814" i="6"/>
  <c r="M3813" i="6"/>
  <c r="M3812" i="6"/>
  <c r="M3811" i="6"/>
  <c r="M3710" i="6"/>
  <c r="M3709" i="6"/>
  <c r="M3708" i="6"/>
  <c r="M3707" i="6"/>
  <c r="M3706" i="6"/>
  <c r="M3705" i="6"/>
  <c r="M3704" i="6"/>
  <c r="M3703" i="6"/>
  <c r="M3702" i="6"/>
  <c r="M3701" i="6"/>
  <c r="M3700" i="6"/>
  <c r="M3699" i="6"/>
  <c r="M3486" i="6"/>
  <c r="M3485" i="6"/>
  <c r="M3484" i="6"/>
  <c r="M3483" i="6"/>
  <c r="M3482" i="6"/>
  <c r="M3481" i="6"/>
  <c r="M3480" i="6"/>
  <c r="M3479" i="6"/>
  <c r="M3478" i="6"/>
  <c r="M3477" i="6"/>
  <c r="M3476" i="6"/>
  <c r="M3475" i="6"/>
  <c r="M3374" i="6"/>
  <c r="M3373" i="6"/>
  <c r="M3372" i="6"/>
  <c r="M3371" i="6"/>
  <c r="M3370" i="6"/>
  <c r="M3369" i="6"/>
  <c r="M3368" i="6"/>
  <c r="M3367" i="6"/>
  <c r="M3366" i="6"/>
  <c r="M3365" i="6"/>
  <c r="M3364" i="6"/>
  <c r="M3363" i="6"/>
  <c r="M3262" i="6"/>
  <c r="M3261" i="6"/>
  <c r="M3260" i="6"/>
  <c r="M3259" i="6"/>
  <c r="M3258" i="6"/>
  <c r="M3257" i="6"/>
  <c r="M3256" i="6"/>
  <c r="M3255" i="6"/>
  <c r="M3254" i="6"/>
  <c r="M3253" i="6"/>
  <c r="M3252" i="6"/>
  <c r="M3251" i="6"/>
  <c r="M3038" i="6"/>
  <c r="M3037" i="6"/>
  <c r="M3036" i="6"/>
  <c r="M3035" i="6"/>
  <c r="M3034" i="6"/>
  <c r="M3033" i="6"/>
  <c r="M3032" i="6"/>
  <c r="M3031" i="6"/>
  <c r="M3030" i="6"/>
  <c r="M3029" i="6"/>
  <c r="M3028" i="6"/>
  <c r="M3027" i="6"/>
  <c r="M2926" i="6"/>
  <c r="M2925" i="6"/>
  <c r="M2924" i="6"/>
  <c r="M2923" i="6"/>
  <c r="M2922" i="6"/>
  <c r="M2921" i="6"/>
  <c r="M2920" i="6"/>
  <c r="M2919" i="6"/>
  <c r="M2918" i="6"/>
  <c r="M2917" i="6"/>
  <c r="M2916" i="6"/>
  <c r="M2915" i="6"/>
  <c r="M2814" i="6"/>
  <c r="M2813" i="6"/>
  <c r="M2812" i="6"/>
  <c r="M2811" i="6"/>
  <c r="M2810" i="6"/>
  <c r="M2809" i="6"/>
  <c r="M2808" i="6"/>
  <c r="M2807" i="6"/>
  <c r="M2806" i="6"/>
  <c r="M2805" i="6"/>
  <c r="M2804" i="6"/>
  <c r="M2803" i="6"/>
  <c r="M2590" i="6"/>
  <c r="M2589" i="6"/>
  <c r="M2588" i="6"/>
  <c r="M2587" i="6"/>
  <c r="M2586" i="6"/>
  <c r="M2585" i="6"/>
  <c r="M2584" i="6"/>
  <c r="M2583" i="6"/>
  <c r="M2582" i="6"/>
  <c r="M2581" i="6"/>
  <c r="M2580" i="6"/>
  <c r="M2579" i="6"/>
  <c r="M2478" i="6"/>
  <c r="M2477" i="6"/>
  <c r="M2476" i="6"/>
  <c r="M2475" i="6"/>
  <c r="M2474" i="6"/>
  <c r="M2473" i="6"/>
  <c r="M2472" i="6"/>
  <c r="M2471" i="6"/>
  <c r="M2470" i="6"/>
  <c r="M2469" i="6"/>
  <c r="M2468" i="6"/>
  <c r="M2467" i="6"/>
  <c r="M2366" i="6"/>
  <c r="M2365" i="6"/>
  <c r="M2364" i="6"/>
  <c r="M2363" i="6"/>
  <c r="M2362" i="6"/>
  <c r="M2361" i="6"/>
  <c r="M2360" i="6"/>
  <c r="M2359" i="6"/>
  <c r="M2358" i="6"/>
  <c r="M2357" i="6"/>
  <c r="M2356" i="6"/>
  <c r="M2355" i="6"/>
  <c r="M2142" i="6"/>
  <c r="M2141" i="6"/>
  <c r="M2140" i="6"/>
  <c r="M2139" i="6"/>
  <c r="M2138" i="6"/>
  <c r="M2137" i="6"/>
  <c r="M2136" i="6"/>
  <c r="M2135" i="6"/>
  <c r="M2134" i="6"/>
  <c r="M2133" i="6"/>
  <c r="M2132" i="6"/>
  <c r="M2131" i="6"/>
  <c r="M2030" i="6"/>
  <c r="M2029" i="6"/>
  <c r="M2028" i="6"/>
  <c r="M2027" i="6"/>
  <c r="M2026" i="6"/>
  <c r="M2025" i="6"/>
  <c r="M2024" i="6"/>
  <c r="M2023" i="6"/>
  <c r="M2022" i="6"/>
  <c r="M2021" i="6"/>
  <c r="M2020" i="6"/>
  <c r="M2019" i="6"/>
  <c r="M1918" i="6"/>
  <c r="M1917" i="6"/>
  <c r="M1916" i="6"/>
  <c r="M1915" i="6"/>
  <c r="M1914" i="6"/>
  <c r="M1913" i="6"/>
  <c r="M1912" i="6"/>
  <c r="M1911" i="6"/>
  <c r="M1910" i="6"/>
  <c r="M1909" i="6"/>
  <c r="M1908" i="6"/>
  <c r="M1907" i="6"/>
  <c r="M1694" i="6"/>
  <c r="M1693" i="6"/>
  <c r="M1692" i="6"/>
  <c r="M1691" i="6"/>
  <c r="M1690" i="6"/>
  <c r="M1689" i="6"/>
  <c r="M1688" i="6"/>
  <c r="M1687" i="6"/>
  <c r="M1686" i="6"/>
  <c r="M1685" i="6"/>
  <c r="M1684" i="6"/>
  <c r="M1683" i="6"/>
  <c r="M1582" i="6"/>
  <c r="M1581" i="6"/>
  <c r="M1580" i="6"/>
  <c r="M1579" i="6"/>
  <c r="M1578" i="6"/>
  <c r="M1577" i="6"/>
  <c r="M1576" i="6"/>
  <c r="M1575" i="6"/>
  <c r="M1574" i="6"/>
  <c r="M1573" i="6"/>
  <c r="M1572" i="6"/>
  <c r="M1571" i="6"/>
  <c r="M1470" i="6"/>
  <c r="M1469" i="6"/>
  <c r="M1468" i="6"/>
  <c r="M1467" i="6"/>
  <c r="M1466" i="6"/>
  <c r="M1465" i="6"/>
  <c r="M1464" i="6"/>
  <c r="M1463" i="6"/>
  <c r="M1462" i="6"/>
  <c r="M1461" i="6"/>
  <c r="M1460" i="6"/>
  <c r="M1459" i="6"/>
  <c r="M1246" i="6"/>
  <c r="M1245" i="6"/>
  <c r="M1244" i="6"/>
  <c r="M1243" i="6"/>
  <c r="M1242" i="6"/>
  <c r="M1241" i="6"/>
  <c r="M1240" i="6"/>
  <c r="M1239" i="6"/>
  <c r="M1238" i="6"/>
  <c r="M1237" i="6"/>
  <c r="M1236" i="6"/>
  <c r="M1235" i="6"/>
  <c r="M1134" i="6"/>
  <c r="M1133" i="6"/>
  <c r="M1132" i="6"/>
  <c r="M1131" i="6"/>
  <c r="M1130" i="6"/>
  <c r="M1129" i="6"/>
  <c r="M1128" i="6"/>
  <c r="M1127" i="6"/>
  <c r="M1126" i="6"/>
  <c r="M1125" i="6"/>
  <c r="M1124" i="6"/>
  <c r="M1123" i="6"/>
  <c r="M1022" i="6"/>
  <c r="M1021" i="6"/>
  <c r="M1020" i="6"/>
  <c r="M1019" i="6"/>
  <c r="M1018" i="6"/>
  <c r="M1017" i="6"/>
  <c r="M1016" i="6"/>
  <c r="M1015" i="6"/>
  <c r="M1014" i="6"/>
  <c r="M1013" i="6"/>
  <c r="M1012" i="6"/>
  <c r="M1011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686" i="6"/>
  <c r="M685" i="6"/>
  <c r="M684" i="6"/>
  <c r="M683" i="6"/>
  <c r="M682" i="6"/>
  <c r="M681" i="6"/>
  <c r="M680" i="6"/>
  <c r="M679" i="6"/>
  <c r="M678" i="6"/>
  <c r="M677" i="6"/>
  <c r="M676" i="6"/>
  <c r="M6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126" i="6"/>
  <c r="M125" i="6"/>
  <c r="M124" i="6"/>
  <c r="M123" i="6"/>
  <c r="M122" i="6"/>
  <c r="M121" i="6"/>
  <c r="M120" i="6"/>
  <c r="M119" i="6"/>
  <c r="M118" i="6"/>
  <c r="M117" i="6"/>
  <c r="M116" i="6"/>
  <c r="L4830" i="6"/>
  <c r="L4829" i="6"/>
  <c r="L4828" i="6"/>
  <c r="L4827" i="6"/>
  <c r="L4826" i="6"/>
  <c r="L4825" i="6"/>
  <c r="L4824" i="6"/>
  <c r="L4823" i="6"/>
  <c r="L4822" i="6"/>
  <c r="L4821" i="6"/>
  <c r="L4820" i="6"/>
  <c r="L4819" i="6"/>
  <c r="L4718" i="6"/>
  <c r="L4717" i="6"/>
  <c r="L4716" i="6"/>
  <c r="L4715" i="6"/>
  <c r="L4714" i="6"/>
  <c r="L4713" i="6"/>
  <c r="L4712" i="6"/>
  <c r="L4711" i="6"/>
  <c r="L4710" i="6"/>
  <c r="L4709" i="6"/>
  <c r="L4708" i="6"/>
  <c r="L4707" i="6"/>
  <c r="L4606" i="6"/>
  <c r="L4605" i="6"/>
  <c r="L4604" i="6"/>
  <c r="L4603" i="6"/>
  <c r="L4602" i="6"/>
  <c r="L4601" i="6"/>
  <c r="L4600" i="6"/>
  <c r="L4599" i="6"/>
  <c r="L4598" i="6"/>
  <c r="L4597" i="6"/>
  <c r="L4596" i="6"/>
  <c r="L4595" i="6"/>
  <c r="L4382" i="6"/>
  <c r="L4381" i="6"/>
  <c r="L4380" i="6"/>
  <c r="L4379" i="6"/>
  <c r="L4378" i="6"/>
  <c r="L4377" i="6"/>
  <c r="L4376" i="6"/>
  <c r="L4375" i="6"/>
  <c r="L4374" i="6"/>
  <c r="L4373" i="6"/>
  <c r="L4372" i="6"/>
  <c r="L4371" i="6"/>
  <c r="L4270" i="6"/>
  <c r="L4269" i="6"/>
  <c r="L4268" i="6"/>
  <c r="L4267" i="6"/>
  <c r="L4266" i="6"/>
  <c r="L4265" i="6"/>
  <c r="L4264" i="6"/>
  <c r="L4263" i="6"/>
  <c r="L4262" i="6"/>
  <c r="L4261" i="6"/>
  <c r="L4260" i="6"/>
  <c r="L4259" i="6"/>
  <c r="L4158" i="6"/>
  <c r="L4157" i="6"/>
  <c r="L4156" i="6"/>
  <c r="L4155" i="6"/>
  <c r="L4154" i="6"/>
  <c r="L4153" i="6"/>
  <c r="L4152" i="6"/>
  <c r="L4151" i="6"/>
  <c r="L4150" i="6"/>
  <c r="L4149" i="6"/>
  <c r="L4148" i="6"/>
  <c r="L4147" i="6"/>
  <c r="L3934" i="6"/>
  <c r="L3933" i="6"/>
  <c r="L3932" i="6"/>
  <c r="L3931" i="6"/>
  <c r="L3930" i="6"/>
  <c r="L3929" i="6"/>
  <c r="L3928" i="6"/>
  <c r="L3927" i="6"/>
  <c r="L3926" i="6"/>
  <c r="L3925" i="6"/>
  <c r="L3924" i="6"/>
  <c r="L3923" i="6"/>
  <c r="L3822" i="6"/>
  <c r="L3821" i="6"/>
  <c r="L3820" i="6"/>
  <c r="L3819" i="6"/>
  <c r="L3818" i="6"/>
  <c r="L3817" i="6"/>
  <c r="L3816" i="6"/>
  <c r="L3815" i="6"/>
  <c r="L3814" i="6"/>
  <c r="L3813" i="6"/>
  <c r="L3812" i="6"/>
  <c r="L3811" i="6"/>
  <c r="L3710" i="6"/>
  <c r="L3709" i="6"/>
  <c r="L3708" i="6"/>
  <c r="L3707" i="6"/>
  <c r="L3706" i="6"/>
  <c r="L3705" i="6"/>
  <c r="L3704" i="6"/>
  <c r="L3703" i="6"/>
  <c r="L3702" i="6"/>
  <c r="L3701" i="6"/>
  <c r="L3700" i="6"/>
  <c r="L3699" i="6"/>
  <c r="L3486" i="6"/>
  <c r="L3485" i="6"/>
  <c r="L3484" i="6"/>
  <c r="L3483" i="6"/>
  <c r="L3482" i="6"/>
  <c r="L3481" i="6"/>
  <c r="L3480" i="6"/>
  <c r="L3479" i="6"/>
  <c r="L3478" i="6"/>
  <c r="L3477" i="6"/>
  <c r="L3476" i="6"/>
  <c r="L3475" i="6"/>
  <c r="L3374" i="6"/>
  <c r="L3373" i="6"/>
  <c r="L3372" i="6"/>
  <c r="L3371" i="6"/>
  <c r="L3370" i="6"/>
  <c r="L3369" i="6"/>
  <c r="L3368" i="6"/>
  <c r="L3367" i="6"/>
  <c r="L3366" i="6"/>
  <c r="L3365" i="6"/>
  <c r="L3364" i="6"/>
  <c r="L3363" i="6"/>
  <c r="L3262" i="6"/>
  <c r="L3261" i="6"/>
  <c r="L3260" i="6"/>
  <c r="L3259" i="6"/>
  <c r="L3258" i="6"/>
  <c r="L3257" i="6"/>
  <c r="L3256" i="6"/>
  <c r="L3255" i="6"/>
  <c r="L3254" i="6"/>
  <c r="L3253" i="6"/>
  <c r="L3252" i="6"/>
  <c r="L3251" i="6"/>
  <c r="L3038" i="6"/>
  <c r="L3037" i="6"/>
  <c r="L3036" i="6"/>
  <c r="L3035" i="6"/>
  <c r="L3034" i="6"/>
  <c r="L3033" i="6"/>
  <c r="L3032" i="6"/>
  <c r="L3031" i="6"/>
  <c r="L3030" i="6"/>
  <c r="L3029" i="6"/>
  <c r="L3028" i="6"/>
  <c r="L3027" i="6"/>
  <c r="L2926" i="6"/>
  <c r="L2925" i="6"/>
  <c r="L2924" i="6"/>
  <c r="L2923" i="6"/>
  <c r="L2922" i="6"/>
  <c r="L2921" i="6"/>
  <c r="L2920" i="6"/>
  <c r="L2919" i="6"/>
  <c r="L2918" i="6"/>
  <c r="L2917" i="6"/>
  <c r="L2916" i="6"/>
  <c r="L2915" i="6"/>
  <c r="L2814" i="6"/>
  <c r="L2813" i="6"/>
  <c r="L2812" i="6"/>
  <c r="L2811" i="6"/>
  <c r="L2810" i="6"/>
  <c r="L2809" i="6"/>
  <c r="L2808" i="6"/>
  <c r="L2807" i="6"/>
  <c r="L2806" i="6"/>
  <c r="L2805" i="6"/>
  <c r="L2804" i="6"/>
  <c r="L2803" i="6"/>
  <c r="L2590" i="6"/>
  <c r="L2589" i="6"/>
  <c r="L2588" i="6"/>
  <c r="L2587" i="6"/>
  <c r="L2586" i="6"/>
  <c r="L2585" i="6"/>
  <c r="L2584" i="6"/>
  <c r="L2583" i="6"/>
  <c r="L2582" i="6"/>
  <c r="L2581" i="6"/>
  <c r="L2580" i="6"/>
  <c r="L2579" i="6"/>
  <c r="L2478" i="6"/>
  <c r="L2477" i="6"/>
  <c r="L2476" i="6"/>
  <c r="L2475" i="6"/>
  <c r="L2474" i="6"/>
  <c r="L2473" i="6"/>
  <c r="L2472" i="6"/>
  <c r="L2471" i="6"/>
  <c r="L2470" i="6"/>
  <c r="L2469" i="6"/>
  <c r="L2468" i="6"/>
  <c r="L2467" i="6"/>
  <c r="L2366" i="6"/>
  <c r="L2365" i="6"/>
  <c r="L2364" i="6"/>
  <c r="L2363" i="6"/>
  <c r="L2362" i="6"/>
  <c r="L2361" i="6"/>
  <c r="L2360" i="6"/>
  <c r="L2359" i="6"/>
  <c r="L2358" i="6"/>
  <c r="L2357" i="6"/>
  <c r="L2356" i="6"/>
  <c r="L2355" i="6"/>
  <c r="L2142" i="6"/>
  <c r="L2141" i="6"/>
  <c r="L2140" i="6"/>
  <c r="L2139" i="6"/>
  <c r="L2138" i="6"/>
  <c r="L2137" i="6"/>
  <c r="L2136" i="6"/>
  <c r="L2135" i="6"/>
  <c r="L2134" i="6"/>
  <c r="L2133" i="6"/>
  <c r="L2132" i="6"/>
  <c r="L2131" i="6"/>
  <c r="L2030" i="6"/>
  <c r="L2029" i="6"/>
  <c r="L2028" i="6"/>
  <c r="L2027" i="6"/>
  <c r="L2026" i="6"/>
  <c r="L2025" i="6"/>
  <c r="L2024" i="6"/>
  <c r="L2023" i="6"/>
  <c r="L2022" i="6"/>
  <c r="L2021" i="6"/>
  <c r="L2020" i="6"/>
  <c r="L2019" i="6"/>
  <c r="L1918" i="6"/>
  <c r="L1917" i="6"/>
  <c r="L1916" i="6"/>
  <c r="L1915" i="6"/>
  <c r="L1914" i="6"/>
  <c r="L1913" i="6"/>
  <c r="L1912" i="6"/>
  <c r="L1911" i="6"/>
  <c r="L1910" i="6"/>
  <c r="L1909" i="6"/>
  <c r="L1908" i="6"/>
  <c r="L1907" i="6"/>
  <c r="L1694" i="6"/>
  <c r="L1693" i="6"/>
  <c r="L1692" i="6"/>
  <c r="L1691" i="6"/>
  <c r="L1690" i="6"/>
  <c r="L1689" i="6"/>
  <c r="L1688" i="6"/>
  <c r="L1687" i="6"/>
  <c r="L1686" i="6"/>
  <c r="L1685" i="6"/>
  <c r="L1684" i="6"/>
  <c r="L1683" i="6"/>
  <c r="L1582" i="6"/>
  <c r="L1581" i="6"/>
  <c r="L1580" i="6"/>
  <c r="L1579" i="6"/>
  <c r="L1578" i="6"/>
  <c r="L1577" i="6"/>
  <c r="L1576" i="6"/>
  <c r="L1575" i="6"/>
  <c r="L1574" i="6"/>
  <c r="L1573" i="6"/>
  <c r="L1572" i="6"/>
  <c r="L1571" i="6"/>
  <c r="L1470" i="6"/>
  <c r="L1469" i="6"/>
  <c r="L1468" i="6"/>
  <c r="L1467" i="6"/>
  <c r="L1466" i="6"/>
  <c r="L1465" i="6"/>
  <c r="L1464" i="6"/>
  <c r="L1463" i="6"/>
  <c r="L1462" i="6"/>
  <c r="L1461" i="6"/>
  <c r="L1460" i="6"/>
  <c r="L1459" i="6"/>
  <c r="L1246" i="6"/>
  <c r="L1245" i="6"/>
  <c r="L1244" i="6"/>
  <c r="L1243" i="6"/>
  <c r="L1242" i="6"/>
  <c r="L1241" i="6"/>
  <c r="L1240" i="6"/>
  <c r="L1239" i="6"/>
  <c r="L1238" i="6"/>
  <c r="L1237" i="6"/>
  <c r="L1236" i="6"/>
  <c r="L1235" i="6"/>
  <c r="L1134" i="6"/>
  <c r="L1133" i="6"/>
  <c r="L1132" i="6"/>
  <c r="L1131" i="6"/>
  <c r="L1130" i="6"/>
  <c r="L1129" i="6"/>
  <c r="L1128" i="6"/>
  <c r="L1127" i="6"/>
  <c r="L1126" i="6"/>
  <c r="L1125" i="6"/>
  <c r="L1124" i="6"/>
  <c r="L1123" i="6"/>
  <c r="L1022" i="6"/>
  <c r="L1021" i="6"/>
  <c r="L1020" i="6"/>
  <c r="L1019" i="6"/>
  <c r="L1018" i="6"/>
  <c r="L1017" i="6"/>
  <c r="L1016" i="6"/>
  <c r="L1015" i="6"/>
  <c r="L1014" i="6"/>
  <c r="L1013" i="6"/>
  <c r="L1012" i="6"/>
  <c r="L1011" i="6"/>
  <c r="L798" i="6"/>
  <c r="L797" i="6"/>
  <c r="L796" i="6"/>
  <c r="L795" i="6"/>
  <c r="L794" i="6"/>
  <c r="L793" i="6"/>
  <c r="L792" i="6"/>
  <c r="L791" i="6"/>
  <c r="L790" i="6"/>
  <c r="L789" i="6"/>
  <c r="L788" i="6"/>
  <c r="L787" i="6"/>
  <c r="L686" i="6"/>
  <c r="L685" i="6"/>
  <c r="L684" i="6"/>
  <c r="L683" i="6"/>
  <c r="L682" i="6"/>
  <c r="L681" i="6"/>
  <c r="L680" i="6"/>
  <c r="L679" i="6"/>
  <c r="L678" i="6"/>
  <c r="L677" i="6"/>
  <c r="L676" i="6"/>
  <c r="L675" i="6"/>
  <c r="L574" i="6"/>
  <c r="L573" i="6"/>
  <c r="L572" i="6"/>
  <c r="L571" i="6"/>
  <c r="L570" i="6"/>
  <c r="L569" i="6"/>
  <c r="L568" i="6"/>
  <c r="L567" i="6"/>
  <c r="L566" i="6"/>
  <c r="L565" i="6"/>
  <c r="L564" i="6"/>
  <c r="L563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126" i="6"/>
  <c r="L125" i="6"/>
  <c r="L124" i="6"/>
  <c r="L123" i="6"/>
  <c r="L122" i="6"/>
  <c r="L121" i="6"/>
  <c r="L120" i="6"/>
  <c r="L119" i="6"/>
  <c r="L118" i="6"/>
  <c r="L117" i="6"/>
  <c r="L116" i="6"/>
  <c r="M115" i="6"/>
  <c r="L115" i="6"/>
  <c r="L3" i="6"/>
  <c r="L4" i="6"/>
  <c r="L5" i="6"/>
  <c r="L6" i="6"/>
  <c r="L7" i="6"/>
  <c r="L8" i="6"/>
  <c r="L9" i="6"/>
  <c r="L10" i="6"/>
  <c r="L11" i="6"/>
  <c r="L12" i="6"/>
  <c r="L13" i="6"/>
  <c r="L4593" i="6"/>
  <c r="L4592" i="6"/>
  <c r="L4591" i="6"/>
  <c r="L4590" i="6"/>
  <c r="L4589" i="6"/>
  <c r="L4588" i="6"/>
  <c r="L4587" i="6"/>
  <c r="L4586" i="6"/>
  <c r="L4585" i="6"/>
  <c r="L4584" i="6"/>
  <c r="L4583" i="6"/>
  <c r="L4582" i="6"/>
  <c r="L4581" i="6"/>
  <c r="L4580" i="6"/>
  <c r="L4579" i="6"/>
  <c r="L4578" i="6"/>
  <c r="L4577" i="6"/>
  <c r="L4576" i="6"/>
  <c r="L4575" i="6"/>
  <c r="L4574" i="6"/>
  <c r="L4573" i="6"/>
  <c r="L4572" i="6"/>
  <c r="L4571" i="6"/>
  <c r="L4570" i="6"/>
  <c r="L4569" i="6"/>
  <c r="L4568" i="6"/>
  <c r="L4567" i="6"/>
  <c r="L4566" i="6"/>
  <c r="L4565" i="6"/>
  <c r="L4564" i="6"/>
  <c r="L4563" i="6"/>
  <c r="L4562" i="6"/>
  <c r="L4561" i="6"/>
  <c r="L4560" i="6"/>
  <c r="L4559" i="6"/>
  <c r="L4558" i="6"/>
  <c r="L4557" i="6"/>
  <c r="L4556" i="6"/>
  <c r="L4555" i="6"/>
  <c r="L4554" i="6"/>
  <c r="L4553" i="6"/>
  <c r="L4552" i="6"/>
  <c r="L4551" i="6"/>
  <c r="L4550" i="6"/>
  <c r="L4549" i="6"/>
  <c r="L4548" i="6"/>
  <c r="L4547" i="6"/>
  <c r="L4546" i="6"/>
  <c r="L4545" i="6"/>
  <c r="L4544" i="6"/>
  <c r="L4543" i="6"/>
  <c r="L4542" i="6"/>
  <c r="L4541" i="6"/>
  <c r="L4540" i="6"/>
  <c r="L4539" i="6"/>
  <c r="L4538" i="6"/>
  <c r="L4537" i="6"/>
  <c r="L4536" i="6"/>
  <c r="L4535" i="6"/>
  <c r="L4534" i="6"/>
  <c r="L4533" i="6"/>
  <c r="L4532" i="6"/>
  <c r="L4531" i="6"/>
  <c r="L4530" i="6"/>
  <c r="L4529" i="6"/>
  <c r="L4528" i="6"/>
  <c r="L4527" i="6"/>
  <c r="L4526" i="6"/>
  <c r="L4525" i="6"/>
  <c r="L4524" i="6"/>
  <c r="L4523" i="6"/>
  <c r="L4522" i="6"/>
  <c r="L4521" i="6"/>
  <c r="L4520" i="6"/>
  <c r="L4519" i="6"/>
  <c r="L4518" i="6"/>
  <c r="L4517" i="6"/>
  <c r="L4516" i="6"/>
  <c r="L4515" i="6"/>
  <c r="L4514" i="6"/>
  <c r="L4513" i="6"/>
  <c r="L4512" i="6"/>
  <c r="L4511" i="6"/>
  <c r="L4510" i="6"/>
  <c r="L4509" i="6"/>
  <c r="L4508" i="6"/>
  <c r="L4507" i="6"/>
  <c r="L4506" i="6"/>
  <c r="L4505" i="6"/>
  <c r="L4504" i="6"/>
  <c r="L4503" i="6"/>
  <c r="L4502" i="6"/>
  <c r="L4501" i="6"/>
  <c r="L4500" i="6"/>
  <c r="L4499" i="6"/>
  <c r="L4498" i="6"/>
  <c r="L4497" i="6"/>
  <c r="L4496" i="6"/>
  <c r="L4495" i="6"/>
  <c r="L4145" i="6"/>
  <c r="L4144" i="6"/>
  <c r="L4143" i="6"/>
  <c r="L4142" i="6"/>
  <c r="L4141" i="6"/>
  <c r="L4140" i="6"/>
  <c r="L4139" i="6"/>
  <c r="L4138" i="6"/>
  <c r="L4137" i="6"/>
  <c r="L4136" i="6"/>
  <c r="L4135" i="6"/>
  <c r="L4134" i="6"/>
  <c r="L4133" i="6"/>
  <c r="L4132" i="6"/>
  <c r="L4131" i="6"/>
  <c r="L4130" i="6"/>
  <c r="L4129" i="6"/>
  <c r="L4128" i="6"/>
  <c r="L4127" i="6"/>
  <c r="L4126" i="6"/>
  <c r="L4125" i="6"/>
  <c r="L4124" i="6"/>
  <c r="L4123" i="6"/>
  <c r="L4122" i="6"/>
  <c r="L4121" i="6"/>
  <c r="L4120" i="6"/>
  <c r="L4119" i="6"/>
  <c r="L4118" i="6"/>
  <c r="L4117" i="6"/>
  <c r="L4116" i="6"/>
  <c r="L4115" i="6"/>
  <c r="L4114" i="6"/>
  <c r="L4113" i="6"/>
  <c r="L4112" i="6"/>
  <c r="L4111" i="6"/>
  <c r="L4110" i="6"/>
  <c r="L4109" i="6"/>
  <c r="L4108" i="6"/>
  <c r="L4107" i="6"/>
  <c r="L4106" i="6"/>
  <c r="L4105" i="6"/>
  <c r="L4104" i="6"/>
  <c r="L4103" i="6"/>
  <c r="L4102" i="6"/>
  <c r="L4101" i="6"/>
  <c r="L4100" i="6"/>
  <c r="L4099" i="6"/>
  <c r="L4098" i="6"/>
  <c r="L4097" i="6"/>
  <c r="L4096" i="6"/>
  <c r="L4095" i="6"/>
  <c r="L4094" i="6"/>
  <c r="L4093" i="6"/>
  <c r="L4092" i="6"/>
  <c r="L4091" i="6"/>
  <c r="L4090" i="6"/>
  <c r="L4089" i="6"/>
  <c r="L4088" i="6"/>
  <c r="L4087" i="6"/>
  <c r="L4086" i="6"/>
  <c r="L4085" i="6"/>
  <c r="L4084" i="6"/>
  <c r="L4083" i="6"/>
  <c r="L4082" i="6"/>
  <c r="L4081" i="6"/>
  <c r="L4080" i="6"/>
  <c r="L4079" i="6"/>
  <c r="L4078" i="6"/>
  <c r="L4077" i="6"/>
  <c r="L4076" i="6"/>
  <c r="L4075" i="6"/>
  <c r="L4074" i="6"/>
  <c r="L4073" i="6"/>
  <c r="L4072" i="6"/>
  <c r="L4071" i="6"/>
  <c r="L4070" i="6"/>
  <c r="L4069" i="6"/>
  <c r="L4068" i="6"/>
  <c r="L4067" i="6"/>
  <c r="L4066" i="6"/>
  <c r="L4065" i="6"/>
  <c r="L4064" i="6"/>
  <c r="L4063" i="6"/>
  <c r="L4062" i="6"/>
  <c r="L4061" i="6"/>
  <c r="L4060" i="6"/>
  <c r="L4059" i="6"/>
  <c r="L4058" i="6"/>
  <c r="L4057" i="6"/>
  <c r="L4056" i="6"/>
  <c r="L4055" i="6"/>
  <c r="L4054" i="6"/>
  <c r="L4053" i="6"/>
  <c r="L4052" i="6"/>
  <c r="L4051" i="6"/>
  <c r="L4050" i="6"/>
  <c r="L4049" i="6"/>
  <c r="L4048" i="6"/>
  <c r="L4047" i="6"/>
  <c r="L3697" i="6"/>
  <c r="L3696" i="6"/>
  <c r="L3695" i="6"/>
  <c r="L3694" i="6"/>
  <c r="L3693" i="6"/>
  <c r="L3692" i="6"/>
  <c r="L3691" i="6"/>
  <c r="L3690" i="6"/>
  <c r="L3689" i="6"/>
  <c r="L3688" i="6"/>
  <c r="L3687" i="6"/>
  <c r="L3686" i="6"/>
  <c r="L3685" i="6"/>
  <c r="L3684" i="6"/>
  <c r="L3683" i="6"/>
  <c r="L3682" i="6"/>
  <c r="L3681" i="6"/>
  <c r="L3680" i="6"/>
  <c r="L3679" i="6"/>
  <c r="L3678" i="6"/>
  <c r="L3677" i="6"/>
  <c r="L3676" i="6"/>
  <c r="L3675" i="6"/>
  <c r="L3674" i="6"/>
  <c r="L3673" i="6"/>
  <c r="L3672" i="6"/>
  <c r="L3671" i="6"/>
  <c r="L3670" i="6"/>
  <c r="L3669" i="6"/>
  <c r="L3668" i="6"/>
  <c r="L3667" i="6"/>
  <c r="L3666" i="6"/>
  <c r="L3665" i="6"/>
  <c r="L3664" i="6"/>
  <c r="L3663" i="6"/>
  <c r="L3662" i="6"/>
  <c r="L3661" i="6"/>
  <c r="L3660" i="6"/>
  <c r="L3659" i="6"/>
  <c r="L3658" i="6"/>
  <c r="L3657" i="6"/>
  <c r="L3656" i="6"/>
  <c r="L3655" i="6"/>
  <c r="L3654" i="6"/>
  <c r="L3653" i="6"/>
  <c r="L3652" i="6"/>
  <c r="L3651" i="6"/>
  <c r="L3650" i="6"/>
  <c r="L3649" i="6"/>
  <c r="L3648" i="6"/>
  <c r="L3647" i="6"/>
  <c r="L3646" i="6"/>
  <c r="L3645" i="6"/>
  <c r="L3644" i="6"/>
  <c r="L3643" i="6"/>
  <c r="L3642" i="6"/>
  <c r="L3641" i="6"/>
  <c r="L3640" i="6"/>
  <c r="L3639" i="6"/>
  <c r="L3638" i="6"/>
  <c r="L3637" i="6"/>
  <c r="L3636" i="6"/>
  <c r="L3635" i="6"/>
  <c r="L3634" i="6"/>
  <c r="L3633" i="6"/>
  <c r="L3632" i="6"/>
  <c r="L3631" i="6"/>
  <c r="L3630" i="6"/>
  <c r="L3629" i="6"/>
  <c r="L3628" i="6"/>
  <c r="L3627" i="6"/>
  <c r="L3626" i="6"/>
  <c r="L3625" i="6"/>
  <c r="L3624" i="6"/>
  <c r="L3623" i="6"/>
  <c r="L3622" i="6"/>
  <c r="L3621" i="6"/>
  <c r="L3620" i="6"/>
  <c r="L3619" i="6"/>
  <c r="L3618" i="6"/>
  <c r="L3617" i="6"/>
  <c r="L3616" i="6"/>
  <c r="L3615" i="6"/>
  <c r="L3614" i="6"/>
  <c r="L3613" i="6"/>
  <c r="L3612" i="6"/>
  <c r="L3611" i="6"/>
  <c r="L3610" i="6"/>
  <c r="L3609" i="6"/>
  <c r="L3608" i="6"/>
  <c r="L3607" i="6"/>
  <c r="L3606" i="6"/>
  <c r="L3605" i="6"/>
  <c r="L3604" i="6"/>
  <c r="L3603" i="6"/>
  <c r="L3602" i="6"/>
  <c r="L3601" i="6"/>
  <c r="L3600" i="6"/>
  <c r="L3599" i="6"/>
  <c r="L3249" i="6"/>
  <c r="L3248" i="6"/>
  <c r="L3247" i="6"/>
  <c r="L3246" i="6"/>
  <c r="L3245" i="6"/>
  <c r="L3244" i="6"/>
  <c r="L3243" i="6"/>
  <c r="L3242" i="6"/>
  <c r="L3241" i="6"/>
  <c r="L3240" i="6"/>
  <c r="L3239" i="6"/>
  <c r="L3238" i="6"/>
  <c r="L3237" i="6"/>
  <c r="L3236" i="6"/>
  <c r="L3235" i="6"/>
  <c r="L3234" i="6"/>
  <c r="L3233" i="6"/>
  <c r="L3232" i="6"/>
  <c r="L3231" i="6"/>
  <c r="L3230" i="6"/>
  <c r="L3229" i="6"/>
  <c r="L3228" i="6"/>
  <c r="L3227" i="6"/>
  <c r="L3226" i="6"/>
  <c r="L3225" i="6"/>
  <c r="L3224" i="6"/>
  <c r="L3223" i="6"/>
  <c r="L3222" i="6"/>
  <c r="L3221" i="6"/>
  <c r="L3220" i="6"/>
  <c r="L3219" i="6"/>
  <c r="L3218" i="6"/>
  <c r="L3217" i="6"/>
  <c r="L3216" i="6"/>
  <c r="L3215" i="6"/>
  <c r="L3214" i="6"/>
  <c r="L3213" i="6"/>
  <c r="L3212" i="6"/>
  <c r="L3211" i="6"/>
  <c r="L3210" i="6"/>
  <c r="L3209" i="6"/>
  <c r="L3208" i="6"/>
  <c r="L3207" i="6"/>
  <c r="L3206" i="6"/>
  <c r="L3205" i="6"/>
  <c r="L3204" i="6"/>
  <c r="L3203" i="6"/>
  <c r="L3202" i="6"/>
  <c r="L3201" i="6"/>
  <c r="L3200" i="6"/>
  <c r="L3199" i="6"/>
  <c r="L3198" i="6"/>
  <c r="L3197" i="6"/>
  <c r="L3196" i="6"/>
  <c r="L3195" i="6"/>
  <c r="L3194" i="6"/>
  <c r="L3193" i="6"/>
  <c r="L3192" i="6"/>
  <c r="L3191" i="6"/>
  <c r="L3190" i="6"/>
  <c r="L3189" i="6"/>
  <c r="L3188" i="6"/>
  <c r="L3187" i="6"/>
  <c r="L3186" i="6"/>
  <c r="L3185" i="6"/>
  <c r="L3184" i="6"/>
  <c r="L3183" i="6"/>
  <c r="L3182" i="6"/>
  <c r="L3181" i="6"/>
  <c r="L3180" i="6"/>
  <c r="L3179" i="6"/>
  <c r="L3178" i="6"/>
  <c r="L3177" i="6"/>
  <c r="L3176" i="6"/>
  <c r="L3175" i="6"/>
  <c r="L3174" i="6"/>
  <c r="L3173" i="6"/>
  <c r="L3172" i="6"/>
  <c r="L3171" i="6"/>
  <c r="L3170" i="6"/>
  <c r="L3169" i="6"/>
  <c r="L3168" i="6"/>
  <c r="L3167" i="6"/>
  <c r="L3166" i="6"/>
  <c r="L3165" i="6"/>
  <c r="L3164" i="6"/>
  <c r="L3163" i="6"/>
  <c r="L3162" i="6"/>
  <c r="L3161" i="6"/>
  <c r="L3160" i="6"/>
  <c r="L3159" i="6"/>
  <c r="L3158" i="6"/>
  <c r="L3157" i="6"/>
  <c r="L3156" i="6"/>
  <c r="L3155" i="6"/>
  <c r="L3154" i="6"/>
  <c r="L3153" i="6"/>
  <c r="L3152" i="6"/>
  <c r="L3151" i="6"/>
  <c r="L2801" i="6"/>
  <c r="L2800" i="6"/>
  <c r="L2799" i="6"/>
  <c r="L2798" i="6"/>
  <c r="L2797" i="6"/>
  <c r="L2796" i="6"/>
  <c r="L2795" i="6"/>
  <c r="L2794" i="6"/>
  <c r="L2793" i="6"/>
  <c r="L2792" i="6"/>
  <c r="L2791" i="6"/>
  <c r="L2790" i="6"/>
  <c r="L2789" i="6"/>
  <c r="L2788" i="6"/>
  <c r="L2787" i="6"/>
  <c r="L2786" i="6"/>
  <c r="L2785" i="6"/>
  <c r="L2784" i="6"/>
  <c r="L2783" i="6"/>
  <c r="L2782" i="6"/>
  <c r="L2781" i="6"/>
  <c r="L2780" i="6"/>
  <c r="L2779" i="6"/>
  <c r="L2778" i="6"/>
  <c r="L2777" i="6"/>
  <c r="L2776" i="6"/>
  <c r="L2775" i="6"/>
  <c r="L2774" i="6"/>
  <c r="L2773" i="6"/>
  <c r="L2772" i="6"/>
  <c r="L2771" i="6"/>
  <c r="L2770" i="6"/>
  <c r="L2769" i="6"/>
  <c r="L2768" i="6"/>
  <c r="L2767" i="6"/>
  <c r="L2766" i="6"/>
  <c r="L2765" i="6"/>
  <c r="L2764" i="6"/>
  <c r="L2763" i="6"/>
  <c r="L2762" i="6"/>
  <c r="L2761" i="6"/>
  <c r="L2760" i="6"/>
  <c r="L2759" i="6"/>
  <c r="L2758" i="6"/>
  <c r="L2757" i="6"/>
  <c r="L2756" i="6"/>
  <c r="L2755" i="6"/>
  <c r="L2754" i="6"/>
  <c r="L2753" i="6"/>
  <c r="L2752" i="6"/>
  <c r="L2751" i="6"/>
  <c r="L2750" i="6"/>
  <c r="L2749" i="6"/>
  <c r="L2748" i="6"/>
  <c r="L2747" i="6"/>
  <c r="L2746" i="6"/>
  <c r="L2745" i="6"/>
  <c r="L2744" i="6"/>
  <c r="L2743" i="6"/>
  <c r="L2742" i="6"/>
  <c r="L2741" i="6"/>
  <c r="L2740" i="6"/>
  <c r="L2739" i="6"/>
  <c r="L2738" i="6"/>
  <c r="L2737" i="6"/>
  <c r="L2736" i="6"/>
  <c r="L2735" i="6"/>
  <c r="L2734" i="6"/>
  <c r="L2733" i="6"/>
  <c r="L2732" i="6"/>
  <c r="L2731" i="6"/>
  <c r="L2730" i="6"/>
  <c r="L2729" i="6"/>
  <c r="L2728" i="6"/>
  <c r="L2727" i="6"/>
  <c r="L2726" i="6"/>
  <c r="L2725" i="6"/>
  <c r="L2724" i="6"/>
  <c r="L2723" i="6"/>
  <c r="L2722" i="6"/>
  <c r="L2721" i="6"/>
  <c r="L2720" i="6"/>
  <c r="L2719" i="6"/>
  <c r="L2718" i="6"/>
  <c r="L2717" i="6"/>
  <c r="L2716" i="6"/>
  <c r="L2715" i="6"/>
  <c r="L2714" i="6"/>
  <c r="L2713" i="6"/>
  <c r="L2712" i="6"/>
  <c r="L2711" i="6"/>
  <c r="L2710" i="6"/>
  <c r="L2709" i="6"/>
  <c r="L2708" i="6"/>
  <c r="L2707" i="6"/>
  <c r="L2706" i="6"/>
  <c r="L2705" i="6"/>
  <c r="L2704" i="6"/>
  <c r="L2703" i="6"/>
  <c r="L2353" i="6"/>
  <c r="L2352" i="6"/>
  <c r="L2351" i="6"/>
  <c r="L2350" i="6"/>
  <c r="L2349" i="6"/>
  <c r="L2348" i="6"/>
  <c r="L2347" i="6"/>
  <c r="L2346" i="6"/>
  <c r="L2345" i="6"/>
  <c r="L2344" i="6"/>
  <c r="L2343" i="6"/>
  <c r="L2342" i="6"/>
  <c r="L2341" i="6"/>
  <c r="L2340" i="6"/>
  <c r="L2339" i="6"/>
  <c r="L2338" i="6"/>
  <c r="L2337" i="6"/>
  <c r="L2336" i="6"/>
  <c r="L2335" i="6"/>
  <c r="L2334" i="6"/>
  <c r="L2333" i="6"/>
  <c r="L2332" i="6"/>
  <c r="L2331" i="6"/>
  <c r="L2330" i="6"/>
  <c r="L2329" i="6"/>
  <c r="L2328" i="6"/>
  <c r="L2327" i="6"/>
  <c r="L2326" i="6"/>
  <c r="L2325" i="6"/>
  <c r="L2324" i="6"/>
  <c r="L2323" i="6"/>
  <c r="L2322" i="6"/>
  <c r="L2321" i="6"/>
  <c r="L2320" i="6"/>
  <c r="L2319" i="6"/>
  <c r="L2318" i="6"/>
  <c r="L2317" i="6"/>
  <c r="L2316" i="6"/>
  <c r="L2315" i="6"/>
  <c r="L2314" i="6"/>
  <c r="L2313" i="6"/>
  <c r="L2312" i="6"/>
  <c r="L2311" i="6"/>
  <c r="L2310" i="6"/>
  <c r="L2309" i="6"/>
  <c r="L2308" i="6"/>
  <c r="L2307" i="6"/>
  <c r="L2306" i="6"/>
  <c r="L2305" i="6"/>
  <c r="L2304" i="6"/>
  <c r="L2303" i="6"/>
  <c r="L2302" i="6"/>
  <c r="L2301" i="6"/>
  <c r="L2300" i="6"/>
  <c r="L2299" i="6"/>
  <c r="L2298" i="6"/>
  <c r="L2297" i="6"/>
  <c r="L2296" i="6"/>
  <c r="L2295" i="6"/>
  <c r="L2294" i="6"/>
  <c r="L2293" i="6"/>
  <c r="L2292" i="6"/>
  <c r="L2291" i="6"/>
  <c r="L2290" i="6"/>
  <c r="L2289" i="6"/>
  <c r="L2288" i="6"/>
  <c r="L2287" i="6"/>
  <c r="L2286" i="6"/>
  <c r="L2285" i="6"/>
  <c r="L2284" i="6"/>
  <c r="L2283" i="6"/>
  <c r="L2282" i="6"/>
  <c r="L2281" i="6"/>
  <c r="L2280" i="6"/>
  <c r="L2279" i="6"/>
  <c r="L2278" i="6"/>
  <c r="L2277" i="6"/>
  <c r="L2276" i="6"/>
  <c r="L2275" i="6"/>
  <c r="L2274" i="6"/>
  <c r="L2273" i="6"/>
  <c r="L2272" i="6"/>
  <c r="L2271" i="6"/>
  <c r="L2270" i="6"/>
  <c r="L2269" i="6"/>
  <c r="L2268" i="6"/>
  <c r="L2267" i="6"/>
  <c r="L2266" i="6"/>
  <c r="L2265" i="6"/>
  <c r="L2264" i="6"/>
  <c r="L2263" i="6"/>
  <c r="L2262" i="6"/>
  <c r="L2261" i="6"/>
  <c r="L2260" i="6"/>
  <c r="L2259" i="6"/>
  <c r="L2258" i="6"/>
  <c r="L2257" i="6"/>
  <c r="L2256" i="6"/>
  <c r="L2255" i="6"/>
  <c r="L1905" i="6"/>
  <c r="L1904" i="6"/>
  <c r="L1903" i="6"/>
  <c r="L1902" i="6"/>
  <c r="L1901" i="6"/>
  <c r="L1900" i="6"/>
  <c r="L1899" i="6"/>
  <c r="L1898" i="6"/>
  <c r="L1897" i="6"/>
  <c r="L1896" i="6"/>
  <c r="L1895" i="6"/>
  <c r="L1894" i="6"/>
  <c r="L1893" i="6"/>
  <c r="L1892" i="6"/>
  <c r="L1891" i="6"/>
  <c r="L1890" i="6"/>
  <c r="L1889" i="6"/>
  <c r="L1888" i="6"/>
  <c r="L1887" i="6"/>
  <c r="L1886" i="6"/>
  <c r="L1885" i="6"/>
  <c r="L1884" i="6"/>
  <c r="L1883" i="6"/>
  <c r="L1882" i="6"/>
  <c r="L1881" i="6"/>
  <c r="L1880" i="6"/>
  <c r="L1879" i="6"/>
  <c r="L1878" i="6"/>
  <c r="L1877" i="6"/>
  <c r="L1876" i="6"/>
  <c r="L1875" i="6"/>
  <c r="L1874" i="6"/>
  <c r="L1873" i="6"/>
  <c r="L1872" i="6"/>
  <c r="L1871" i="6"/>
  <c r="L1870" i="6"/>
  <c r="L1869" i="6"/>
  <c r="L1868" i="6"/>
  <c r="L1867" i="6"/>
  <c r="L1866" i="6"/>
  <c r="L1865" i="6"/>
  <c r="L1864" i="6"/>
  <c r="L1863" i="6"/>
  <c r="L1862" i="6"/>
  <c r="L1861" i="6"/>
  <c r="L1860" i="6"/>
  <c r="L1859" i="6"/>
  <c r="L1858" i="6"/>
  <c r="L1857" i="6"/>
  <c r="L1856" i="6"/>
  <c r="L1855" i="6"/>
  <c r="L1854" i="6"/>
  <c r="L1853" i="6"/>
  <c r="L1852" i="6"/>
  <c r="L1851" i="6"/>
  <c r="L1850" i="6"/>
  <c r="L1849" i="6"/>
  <c r="L1848" i="6"/>
  <c r="L1847" i="6"/>
  <c r="L1846" i="6"/>
  <c r="L1845" i="6"/>
  <c r="L1844" i="6"/>
  <c r="L1843" i="6"/>
  <c r="L1842" i="6"/>
  <c r="L1841" i="6"/>
  <c r="L1840" i="6"/>
  <c r="L1839" i="6"/>
  <c r="L1838" i="6"/>
  <c r="L1837" i="6"/>
  <c r="L1836" i="6"/>
  <c r="L1835" i="6"/>
  <c r="L1834" i="6"/>
  <c r="L1833" i="6"/>
  <c r="L1832" i="6"/>
  <c r="L1831" i="6"/>
  <c r="L1830" i="6"/>
  <c r="L1829" i="6"/>
  <c r="L1828" i="6"/>
  <c r="L1827" i="6"/>
  <c r="L1826" i="6"/>
  <c r="L1825" i="6"/>
  <c r="L1824" i="6"/>
  <c r="L1823" i="6"/>
  <c r="L1822" i="6"/>
  <c r="L1821" i="6"/>
  <c r="L1820" i="6"/>
  <c r="L1819" i="6"/>
  <c r="L1818" i="6"/>
  <c r="L1817" i="6"/>
  <c r="L1816" i="6"/>
  <c r="L1815" i="6"/>
  <c r="L1814" i="6"/>
  <c r="L1813" i="6"/>
  <c r="L1812" i="6"/>
  <c r="L1811" i="6"/>
  <c r="L1810" i="6"/>
  <c r="L1809" i="6"/>
  <c r="L1808" i="6"/>
  <c r="L1807" i="6"/>
  <c r="L1457" i="6"/>
  <c r="L1456" i="6"/>
  <c r="L1455" i="6"/>
  <c r="L1454" i="6"/>
  <c r="L1453" i="6"/>
  <c r="L1452" i="6"/>
  <c r="L1451" i="6"/>
  <c r="L1450" i="6"/>
  <c r="L1449" i="6"/>
  <c r="L1448" i="6"/>
  <c r="L1447" i="6"/>
  <c r="L1446" i="6"/>
  <c r="L1445" i="6"/>
  <c r="L1444" i="6"/>
  <c r="L1443" i="6"/>
  <c r="L1442" i="6"/>
  <c r="L1441" i="6"/>
  <c r="L1440" i="6"/>
  <c r="L1439" i="6"/>
  <c r="L1438" i="6"/>
  <c r="L1437" i="6"/>
  <c r="L1436" i="6"/>
  <c r="L1435" i="6"/>
  <c r="L1434" i="6"/>
  <c r="L1433" i="6"/>
  <c r="L1432" i="6"/>
  <c r="L1431" i="6"/>
  <c r="L1430" i="6"/>
  <c r="L1429" i="6"/>
  <c r="L1428" i="6"/>
  <c r="L1427" i="6"/>
  <c r="L1426" i="6"/>
  <c r="L1425" i="6"/>
  <c r="L1424" i="6"/>
  <c r="L1423" i="6"/>
  <c r="L1422" i="6"/>
  <c r="L1421" i="6"/>
  <c r="L1420" i="6"/>
  <c r="L1419" i="6"/>
  <c r="L1418" i="6"/>
  <c r="L1417" i="6"/>
  <c r="L1416" i="6"/>
  <c r="L1415" i="6"/>
  <c r="L1414" i="6"/>
  <c r="L1413" i="6"/>
  <c r="L1412" i="6"/>
  <c r="L1411" i="6"/>
  <c r="L1410" i="6"/>
  <c r="L1409" i="6"/>
  <c r="L1408" i="6"/>
  <c r="L1407" i="6"/>
  <c r="L1406" i="6"/>
  <c r="L1405" i="6"/>
  <c r="L1404" i="6"/>
  <c r="L1403" i="6"/>
  <c r="L1402" i="6"/>
  <c r="L1401" i="6"/>
  <c r="L1400" i="6"/>
  <c r="L1399" i="6"/>
  <c r="L1398" i="6"/>
  <c r="L1397" i="6"/>
  <c r="L1396" i="6"/>
  <c r="L1395" i="6"/>
  <c r="L1394" i="6"/>
  <c r="L1393" i="6"/>
  <c r="L1392" i="6"/>
  <c r="L1391" i="6"/>
  <c r="L1390" i="6"/>
  <c r="L1389" i="6"/>
  <c r="L1388" i="6"/>
  <c r="L1387" i="6"/>
  <c r="L1386" i="6"/>
  <c r="L1385" i="6"/>
  <c r="L1384" i="6"/>
  <c r="L1383" i="6"/>
  <c r="L1382" i="6"/>
  <c r="L1381" i="6"/>
  <c r="L1380" i="6"/>
  <c r="L1379" i="6"/>
  <c r="L1378" i="6"/>
  <c r="L1377" i="6"/>
  <c r="L1376" i="6"/>
  <c r="L1375" i="6"/>
  <c r="L1374" i="6"/>
  <c r="L1373" i="6"/>
  <c r="L1372" i="6"/>
  <c r="L1371" i="6"/>
  <c r="L1370" i="6"/>
  <c r="L1369" i="6"/>
  <c r="L1368" i="6"/>
  <c r="L1367" i="6"/>
  <c r="L1366" i="6"/>
  <c r="L1365" i="6"/>
  <c r="L1364" i="6"/>
  <c r="L1363" i="6"/>
  <c r="L1362" i="6"/>
  <c r="L1361" i="6"/>
  <c r="L1360" i="6"/>
  <c r="L1359" i="6"/>
  <c r="L1009" i="6"/>
  <c r="L1008" i="6"/>
  <c r="L1007" i="6"/>
  <c r="L1006" i="6"/>
  <c r="L1005" i="6"/>
  <c r="L1004" i="6"/>
  <c r="L1003" i="6"/>
  <c r="L1002" i="6"/>
  <c r="L1001" i="6"/>
  <c r="L1000" i="6"/>
  <c r="L999" i="6"/>
  <c r="L998" i="6"/>
  <c r="L997" i="6"/>
  <c r="L996" i="6"/>
  <c r="L995" i="6"/>
  <c r="L994" i="6"/>
  <c r="L993" i="6"/>
  <c r="L992" i="6"/>
  <c r="L991" i="6"/>
  <c r="L990" i="6"/>
  <c r="L989" i="6"/>
  <c r="L988" i="6"/>
  <c r="L987" i="6"/>
  <c r="L986" i="6"/>
  <c r="L985" i="6"/>
  <c r="L984" i="6"/>
  <c r="L983" i="6"/>
  <c r="L982" i="6"/>
  <c r="L981" i="6"/>
  <c r="L980" i="6"/>
  <c r="L979" i="6"/>
  <c r="L978" i="6"/>
  <c r="L977" i="6"/>
  <c r="L976" i="6"/>
  <c r="L975" i="6"/>
  <c r="L974" i="6"/>
  <c r="L973" i="6"/>
  <c r="L972" i="6"/>
  <c r="L971" i="6"/>
  <c r="L970" i="6"/>
  <c r="L969" i="6"/>
  <c r="L968" i="6"/>
  <c r="L967" i="6"/>
  <c r="L966" i="6"/>
  <c r="L965" i="6"/>
  <c r="L964" i="6"/>
  <c r="L963" i="6"/>
  <c r="L962" i="6"/>
  <c r="L961" i="6"/>
  <c r="L960" i="6"/>
  <c r="L959" i="6"/>
  <c r="L958" i="6"/>
  <c r="L957" i="6"/>
  <c r="L956" i="6"/>
  <c r="L955" i="6"/>
  <c r="L954" i="6"/>
  <c r="L953" i="6"/>
  <c r="L952" i="6"/>
  <c r="L951" i="6"/>
  <c r="L950" i="6"/>
  <c r="L949" i="6"/>
  <c r="L948" i="6"/>
  <c r="L947" i="6"/>
  <c r="L946" i="6"/>
  <c r="L945" i="6"/>
  <c r="L944" i="6"/>
  <c r="L943" i="6"/>
  <c r="L942" i="6"/>
  <c r="L941" i="6"/>
  <c r="L940" i="6"/>
  <c r="L939" i="6"/>
  <c r="L938" i="6"/>
  <c r="L937" i="6"/>
  <c r="L936" i="6"/>
  <c r="L935" i="6"/>
  <c r="L934" i="6"/>
  <c r="L933" i="6"/>
  <c r="L932" i="6"/>
  <c r="L931" i="6"/>
  <c r="L930" i="6"/>
  <c r="L929" i="6"/>
  <c r="L928" i="6"/>
  <c r="L927" i="6"/>
  <c r="L926" i="6"/>
  <c r="L925" i="6"/>
  <c r="L924" i="6"/>
  <c r="L923" i="6"/>
  <c r="L922" i="6"/>
  <c r="L921" i="6"/>
  <c r="L920" i="6"/>
  <c r="L919" i="6"/>
  <c r="L918" i="6"/>
  <c r="L917" i="6"/>
  <c r="L916" i="6"/>
  <c r="L915" i="6"/>
  <c r="L914" i="6"/>
  <c r="L913" i="6"/>
  <c r="L912" i="6"/>
  <c r="L911" i="6"/>
  <c r="L561" i="6"/>
  <c r="L560" i="6"/>
  <c r="L559" i="6"/>
  <c r="L558" i="6"/>
  <c r="L557" i="6"/>
  <c r="L556" i="6"/>
  <c r="L555" i="6"/>
  <c r="L554" i="6"/>
  <c r="L553" i="6"/>
  <c r="L552" i="6"/>
  <c r="L551" i="6"/>
  <c r="L550" i="6"/>
  <c r="L549" i="6"/>
  <c r="L548" i="6"/>
  <c r="L547" i="6"/>
  <c r="L546" i="6"/>
  <c r="L545" i="6"/>
  <c r="L544" i="6"/>
  <c r="L543" i="6"/>
  <c r="L542" i="6"/>
  <c r="L541" i="6"/>
  <c r="L540" i="6"/>
  <c r="L539" i="6"/>
  <c r="L538" i="6"/>
  <c r="L537" i="6"/>
  <c r="L536" i="6"/>
  <c r="L535" i="6"/>
  <c r="L534" i="6"/>
  <c r="L533" i="6"/>
  <c r="L532" i="6"/>
  <c r="L531" i="6"/>
  <c r="L530" i="6"/>
  <c r="L529" i="6"/>
  <c r="L528" i="6"/>
  <c r="L527" i="6"/>
  <c r="L526" i="6"/>
  <c r="L525" i="6"/>
  <c r="L524" i="6"/>
  <c r="L523" i="6"/>
  <c r="L522" i="6"/>
  <c r="L521" i="6"/>
  <c r="L520" i="6"/>
  <c r="L519" i="6"/>
  <c r="L518" i="6"/>
  <c r="L517" i="6"/>
  <c r="L516" i="6"/>
  <c r="L515" i="6"/>
  <c r="L514" i="6"/>
  <c r="L513" i="6"/>
  <c r="L512" i="6"/>
  <c r="L511" i="6"/>
  <c r="L510" i="6"/>
  <c r="L509" i="6"/>
  <c r="L508" i="6"/>
  <c r="L507" i="6"/>
  <c r="L506" i="6"/>
  <c r="L505" i="6"/>
  <c r="L504" i="6"/>
  <c r="L503" i="6"/>
  <c r="L502" i="6"/>
  <c r="L501" i="6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M15" i="6"/>
  <c r="M4593" i="6"/>
  <c r="M4592" i="6"/>
  <c r="M4591" i="6"/>
  <c r="M4590" i="6"/>
  <c r="M4589" i="6"/>
  <c r="M4588" i="6"/>
  <c r="M4587" i="6"/>
  <c r="M4586" i="6"/>
  <c r="M4585" i="6"/>
  <c r="M4584" i="6"/>
  <c r="M4583" i="6"/>
  <c r="M4582" i="6"/>
  <c r="M4581" i="6"/>
  <c r="M4580" i="6"/>
  <c r="M4579" i="6"/>
  <c r="M4578" i="6"/>
  <c r="M4577" i="6"/>
  <c r="M4576" i="6"/>
  <c r="M4575" i="6"/>
  <c r="M4574" i="6"/>
  <c r="M4573" i="6"/>
  <c r="M4572" i="6"/>
  <c r="M4571" i="6"/>
  <c r="M4570" i="6"/>
  <c r="M4569" i="6"/>
  <c r="M4568" i="6"/>
  <c r="M4567" i="6"/>
  <c r="M4566" i="6"/>
  <c r="M4565" i="6"/>
  <c r="M4564" i="6"/>
  <c r="M4563" i="6"/>
  <c r="M4562" i="6"/>
  <c r="M4561" i="6"/>
  <c r="M4560" i="6"/>
  <c r="M4559" i="6"/>
  <c r="M4558" i="6"/>
  <c r="M4557" i="6"/>
  <c r="M4556" i="6"/>
  <c r="M4555" i="6"/>
  <c r="M4554" i="6"/>
  <c r="M4553" i="6"/>
  <c r="M4552" i="6"/>
  <c r="M4551" i="6"/>
  <c r="M4550" i="6"/>
  <c r="M4549" i="6"/>
  <c r="M4548" i="6"/>
  <c r="M4547" i="6"/>
  <c r="M4546" i="6"/>
  <c r="M4545" i="6"/>
  <c r="M4544" i="6"/>
  <c r="M4543" i="6"/>
  <c r="M4542" i="6"/>
  <c r="M4541" i="6"/>
  <c r="M4540" i="6"/>
  <c r="M4539" i="6"/>
  <c r="M4538" i="6"/>
  <c r="M4537" i="6"/>
  <c r="M4536" i="6"/>
  <c r="M4535" i="6"/>
  <c r="M4534" i="6"/>
  <c r="M4533" i="6"/>
  <c r="M4532" i="6"/>
  <c r="M4531" i="6"/>
  <c r="M4530" i="6"/>
  <c r="M4529" i="6"/>
  <c r="M4528" i="6"/>
  <c r="M4527" i="6"/>
  <c r="M4526" i="6"/>
  <c r="M4525" i="6"/>
  <c r="M4524" i="6"/>
  <c r="M4523" i="6"/>
  <c r="M4522" i="6"/>
  <c r="M4521" i="6"/>
  <c r="M4520" i="6"/>
  <c r="M4519" i="6"/>
  <c r="M4518" i="6"/>
  <c r="M4517" i="6"/>
  <c r="M4516" i="6"/>
  <c r="M4515" i="6"/>
  <c r="M4514" i="6"/>
  <c r="M4513" i="6"/>
  <c r="M4512" i="6"/>
  <c r="M4511" i="6"/>
  <c r="M4510" i="6"/>
  <c r="M4509" i="6"/>
  <c r="M4508" i="6"/>
  <c r="M4507" i="6"/>
  <c r="M4506" i="6"/>
  <c r="M4505" i="6"/>
  <c r="M4504" i="6"/>
  <c r="M4503" i="6"/>
  <c r="M4502" i="6"/>
  <c r="M4501" i="6"/>
  <c r="M4500" i="6"/>
  <c r="M4499" i="6"/>
  <c r="M4498" i="6"/>
  <c r="M4497" i="6"/>
  <c r="M4496" i="6"/>
  <c r="M4495" i="6"/>
  <c r="M4494" i="6"/>
  <c r="M4493" i="6"/>
  <c r="M4492" i="6"/>
  <c r="M4491" i="6"/>
  <c r="M4490" i="6"/>
  <c r="M4489" i="6"/>
  <c r="M4488" i="6"/>
  <c r="M4487" i="6"/>
  <c r="M4486" i="6"/>
  <c r="M4485" i="6"/>
  <c r="M4484" i="6"/>
  <c r="M4483" i="6"/>
  <c r="M4482" i="6"/>
  <c r="M4145" i="6"/>
  <c r="M4144" i="6"/>
  <c r="M4143" i="6"/>
  <c r="M4142" i="6"/>
  <c r="M4141" i="6"/>
  <c r="M4140" i="6"/>
  <c r="M4139" i="6"/>
  <c r="M4138" i="6"/>
  <c r="M4137" i="6"/>
  <c r="M4136" i="6"/>
  <c r="M4135" i="6"/>
  <c r="M4134" i="6"/>
  <c r="M4133" i="6"/>
  <c r="M4132" i="6"/>
  <c r="M4131" i="6"/>
  <c r="M4130" i="6"/>
  <c r="M4129" i="6"/>
  <c r="M4128" i="6"/>
  <c r="M4127" i="6"/>
  <c r="M4126" i="6"/>
  <c r="M4125" i="6"/>
  <c r="M4124" i="6"/>
  <c r="M4123" i="6"/>
  <c r="M4122" i="6"/>
  <c r="M4121" i="6"/>
  <c r="M4120" i="6"/>
  <c r="M4119" i="6"/>
  <c r="M4118" i="6"/>
  <c r="M4117" i="6"/>
  <c r="M4116" i="6"/>
  <c r="M4115" i="6"/>
  <c r="M4114" i="6"/>
  <c r="M4113" i="6"/>
  <c r="M4112" i="6"/>
  <c r="M4111" i="6"/>
  <c r="M4110" i="6"/>
  <c r="M4109" i="6"/>
  <c r="M4108" i="6"/>
  <c r="M4107" i="6"/>
  <c r="M4106" i="6"/>
  <c r="M4105" i="6"/>
  <c r="M4104" i="6"/>
  <c r="M4103" i="6"/>
  <c r="M4102" i="6"/>
  <c r="M4101" i="6"/>
  <c r="M4100" i="6"/>
  <c r="M4099" i="6"/>
  <c r="M4098" i="6"/>
  <c r="M4097" i="6"/>
  <c r="M4096" i="6"/>
  <c r="M4095" i="6"/>
  <c r="M4094" i="6"/>
  <c r="M4093" i="6"/>
  <c r="M4092" i="6"/>
  <c r="M4091" i="6"/>
  <c r="M4090" i="6"/>
  <c r="M4089" i="6"/>
  <c r="M4088" i="6"/>
  <c r="M4087" i="6"/>
  <c r="M4086" i="6"/>
  <c r="M4085" i="6"/>
  <c r="M4084" i="6"/>
  <c r="M4083" i="6"/>
  <c r="M4082" i="6"/>
  <c r="M4081" i="6"/>
  <c r="M4080" i="6"/>
  <c r="M4079" i="6"/>
  <c r="M4078" i="6"/>
  <c r="M4077" i="6"/>
  <c r="M4076" i="6"/>
  <c r="M4075" i="6"/>
  <c r="M4074" i="6"/>
  <c r="M4073" i="6"/>
  <c r="M4072" i="6"/>
  <c r="M4071" i="6"/>
  <c r="M4070" i="6"/>
  <c r="M4069" i="6"/>
  <c r="M4068" i="6"/>
  <c r="M4067" i="6"/>
  <c r="M4066" i="6"/>
  <c r="M4065" i="6"/>
  <c r="M4064" i="6"/>
  <c r="M4063" i="6"/>
  <c r="M4062" i="6"/>
  <c r="M4061" i="6"/>
  <c r="M4060" i="6"/>
  <c r="M4059" i="6"/>
  <c r="M4058" i="6"/>
  <c r="M4057" i="6"/>
  <c r="M4056" i="6"/>
  <c r="M4055" i="6"/>
  <c r="M4054" i="6"/>
  <c r="M4053" i="6"/>
  <c r="M4052" i="6"/>
  <c r="M4051" i="6"/>
  <c r="M4050" i="6"/>
  <c r="M4049" i="6"/>
  <c r="M4048" i="6"/>
  <c r="M4047" i="6"/>
  <c r="M4046" i="6"/>
  <c r="M4045" i="6"/>
  <c r="M4044" i="6"/>
  <c r="M4043" i="6"/>
  <c r="M4042" i="6"/>
  <c r="M4041" i="6"/>
  <c r="M4040" i="6"/>
  <c r="M4039" i="6"/>
  <c r="M4038" i="6"/>
  <c r="M4037" i="6"/>
  <c r="M4036" i="6"/>
  <c r="M4035" i="6"/>
  <c r="M4034" i="6"/>
  <c r="M3697" i="6"/>
  <c r="M3696" i="6"/>
  <c r="M3695" i="6"/>
  <c r="M3694" i="6"/>
  <c r="M3693" i="6"/>
  <c r="M3692" i="6"/>
  <c r="M3691" i="6"/>
  <c r="M3690" i="6"/>
  <c r="M3689" i="6"/>
  <c r="M3688" i="6"/>
  <c r="M3687" i="6"/>
  <c r="M3686" i="6"/>
  <c r="M3685" i="6"/>
  <c r="M3684" i="6"/>
  <c r="M3683" i="6"/>
  <c r="M3682" i="6"/>
  <c r="M3681" i="6"/>
  <c r="M3680" i="6"/>
  <c r="M3679" i="6"/>
  <c r="M3678" i="6"/>
  <c r="M3677" i="6"/>
  <c r="M3676" i="6"/>
  <c r="M3675" i="6"/>
  <c r="M3674" i="6"/>
  <c r="M3673" i="6"/>
  <c r="M3672" i="6"/>
  <c r="M3671" i="6"/>
  <c r="M3670" i="6"/>
  <c r="M3669" i="6"/>
  <c r="M3668" i="6"/>
  <c r="M3667" i="6"/>
  <c r="M3666" i="6"/>
  <c r="M3665" i="6"/>
  <c r="M3664" i="6"/>
  <c r="M3663" i="6"/>
  <c r="M3662" i="6"/>
  <c r="M3661" i="6"/>
  <c r="M3660" i="6"/>
  <c r="M3659" i="6"/>
  <c r="M3658" i="6"/>
  <c r="M3657" i="6"/>
  <c r="M3656" i="6"/>
  <c r="M3655" i="6"/>
  <c r="M3654" i="6"/>
  <c r="M3653" i="6"/>
  <c r="M3652" i="6"/>
  <c r="M3651" i="6"/>
  <c r="M3650" i="6"/>
  <c r="M3649" i="6"/>
  <c r="M3648" i="6"/>
  <c r="M3647" i="6"/>
  <c r="M3646" i="6"/>
  <c r="M3645" i="6"/>
  <c r="M3644" i="6"/>
  <c r="M3643" i="6"/>
  <c r="M3642" i="6"/>
  <c r="M3641" i="6"/>
  <c r="M3640" i="6"/>
  <c r="M3639" i="6"/>
  <c r="M3638" i="6"/>
  <c r="M3637" i="6"/>
  <c r="M3636" i="6"/>
  <c r="M3635" i="6"/>
  <c r="M3634" i="6"/>
  <c r="M3633" i="6"/>
  <c r="M3632" i="6"/>
  <c r="M3631" i="6"/>
  <c r="M3630" i="6"/>
  <c r="M3629" i="6"/>
  <c r="M3628" i="6"/>
  <c r="M3627" i="6"/>
  <c r="M3626" i="6"/>
  <c r="M3625" i="6"/>
  <c r="M3624" i="6"/>
  <c r="M3623" i="6"/>
  <c r="M3622" i="6"/>
  <c r="M3621" i="6"/>
  <c r="M3620" i="6"/>
  <c r="M3619" i="6"/>
  <c r="M3618" i="6"/>
  <c r="M3617" i="6"/>
  <c r="M3616" i="6"/>
  <c r="M3615" i="6"/>
  <c r="M3614" i="6"/>
  <c r="M3613" i="6"/>
  <c r="M3612" i="6"/>
  <c r="M3611" i="6"/>
  <c r="M3610" i="6"/>
  <c r="M3609" i="6"/>
  <c r="M3608" i="6"/>
  <c r="M3607" i="6"/>
  <c r="M3606" i="6"/>
  <c r="M3605" i="6"/>
  <c r="M3604" i="6"/>
  <c r="M3603" i="6"/>
  <c r="M3602" i="6"/>
  <c r="M3601" i="6"/>
  <c r="M3600" i="6"/>
  <c r="M3599" i="6"/>
  <c r="M3598" i="6"/>
  <c r="M3597" i="6"/>
  <c r="M3596" i="6"/>
  <c r="M3595" i="6"/>
  <c r="M3594" i="6"/>
  <c r="M3593" i="6"/>
  <c r="M3592" i="6"/>
  <c r="M3591" i="6"/>
  <c r="M3590" i="6"/>
  <c r="M3589" i="6"/>
  <c r="M3588" i="6"/>
  <c r="M3587" i="6"/>
  <c r="M3586" i="6"/>
  <c r="M3249" i="6"/>
  <c r="M3248" i="6"/>
  <c r="M3247" i="6"/>
  <c r="M3246" i="6"/>
  <c r="M3245" i="6"/>
  <c r="M3244" i="6"/>
  <c r="M3243" i="6"/>
  <c r="M3242" i="6"/>
  <c r="M3241" i="6"/>
  <c r="M3240" i="6"/>
  <c r="M3239" i="6"/>
  <c r="M3238" i="6"/>
  <c r="M3237" i="6"/>
  <c r="M3236" i="6"/>
  <c r="M3235" i="6"/>
  <c r="M3234" i="6"/>
  <c r="M3233" i="6"/>
  <c r="M3232" i="6"/>
  <c r="M3231" i="6"/>
  <c r="M3230" i="6"/>
  <c r="M3229" i="6"/>
  <c r="M3228" i="6"/>
  <c r="M3227" i="6"/>
  <c r="M3226" i="6"/>
  <c r="M3225" i="6"/>
  <c r="M3224" i="6"/>
  <c r="M3223" i="6"/>
  <c r="M3222" i="6"/>
  <c r="M3221" i="6"/>
  <c r="M3220" i="6"/>
  <c r="M3219" i="6"/>
  <c r="M3218" i="6"/>
  <c r="M3217" i="6"/>
  <c r="M3216" i="6"/>
  <c r="M3215" i="6"/>
  <c r="M3214" i="6"/>
  <c r="M3213" i="6"/>
  <c r="M3212" i="6"/>
  <c r="M3211" i="6"/>
  <c r="M3210" i="6"/>
  <c r="M3209" i="6"/>
  <c r="M3208" i="6"/>
  <c r="M3207" i="6"/>
  <c r="M3206" i="6"/>
  <c r="M3205" i="6"/>
  <c r="M3204" i="6"/>
  <c r="M3203" i="6"/>
  <c r="M3202" i="6"/>
  <c r="M3201" i="6"/>
  <c r="M3200" i="6"/>
  <c r="M3199" i="6"/>
  <c r="M3198" i="6"/>
  <c r="M3197" i="6"/>
  <c r="M3196" i="6"/>
  <c r="M3195" i="6"/>
  <c r="M3194" i="6"/>
  <c r="M3193" i="6"/>
  <c r="M3192" i="6"/>
  <c r="M3191" i="6"/>
  <c r="M3190" i="6"/>
  <c r="M3189" i="6"/>
  <c r="M3188" i="6"/>
  <c r="M3187" i="6"/>
  <c r="M3186" i="6"/>
  <c r="M3185" i="6"/>
  <c r="M3184" i="6"/>
  <c r="M3183" i="6"/>
  <c r="M3182" i="6"/>
  <c r="M3181" i="6"/>
  <c r="M3180" i="6"/>
  <c r="M3179" i="6"/>
  <c r="M3178" i="6"/>
  <c r="M3177" i="6"/>
  <c r="M3176" i="6"/>
  <c r="M3175" i="6"/>
  <c r="M3174" i="6"/>
  <c r="M3173" i="6"/>
  <c r="M3172" i="6"/>
  <c r="M3171" i="6"/>
  <c r="M3170" i="6"/>
  <c r="M3169" i="6"/>
  <c r="M3168" i="6"/>
  <c r="M3167" i="6"/>
  <c r="M3166" i="6"/>
  <c r="M3165" i="6"/>
  <c r="M3164" i="6"/>
  <c r="M3163" i="6"/>
  <c r="M3162" i="6"/>
  <c r="M3161" i="6"/>
  <c r="M3160" i="6"/>
  <c r="M3159" i="6"/>
  <c r="M3158" i="6"/>
  <c r="M3157" i="6"/>
  <c r="M3156" i="6"/>
  <c r="M3155" i="6"/>
  <c r="M3154" i="6"/>
  <c r="M3153" i="6"/>
  <c r="M3152" i="6"/>
  <c r="M3151" i="6"/>
  <c r="M3150" i="6"/>
  <c r="M3149" i="6"/>
  <c r="M3148" i="6"/>
  <c r="M3147" i="6"/>
  <c r="M3146" i="6"/>
  <c r="M3145" i="6"/>
  <c r="M3144" i="6"/>
  <c r="M3143" i="6"/>
  <c r="M3142" i="6"/>
  <c r="M3141" i="6"/>
  <c r="M3140" i="6"/>
  <c r="M3139" i="6"/>
  <c r="M3138" i="6"/>
  <c r="M2801" i="6"/>
  <c r="M2800" i="6"/>
  <c r="M2799" i="6"/>
  <c r="M2798" i="6"/>
  <c r="M2797" i="6"/>
  <c r="M2796" i="6"/>
  <c r="M2795" i="6"/>
  <c r="M2794" i="6"/>
  <c r="M2793" i="6"/>
  <c r="M2792" i="6"/>
  <c r="M2791" i="6"/>
  <c r="M2790" i="6"/>
  <c r="M2789" i="6"/>
  <c r="M2788" i="6"/>
  <c r="M2787" i="6"/>
  <c r="M2786" i="6"/>
  <c r="M2785" i="6"/>
  <c r="M2784" i="6"/>
  <c r="M2783" i="6"/>
  <c r="M2782" i="6"/>
  <c r="M2781" i="6"/>
  <c r="M2780" i="6"/>
  <c r="M2779" i="6"/>
  <c r="M2778" i="6"/>
  <c r="M2777" i="6"/>
  <c r="M2776" i="6"/>
  <c r="M2775" i="6"/>
  <c r="M2774" i="6"/>
  <c r="M2773" i="6"/>
  <c r="M2772" i="6"/>
  <c r="M2771" i="6"/>
  <c r="M2770" i="6"/>
  <c r="M2769" i="6"/>
  <c r="M2768" i="6"/>
  <c r="M2767" i="6"/>
  <c r="M2766" i="6"/>
  <c r="M2765" i="6"/>
  <c r="M2764" i="6"/>
  <c r="M2763" i="6"/>
  <c r="M2762" i="6"/>
  <c r="M2761" i="6"/>
  <c r="M2760" i="6"/>
  <c r="M2759" i="6"/>
  <c r="M2758" i="6"/>
  <c r="M2757" i="6"/>
  <c r="M2756" i="6"/>
  <c r="M2755" i="6"/>
  <c r="M2754" i="6"/>
  <c r="M2753" i="6"/>
  <c r="M2752" i="6"/>
  <c r="M2751" i="6"/>
  <c r="M2750" i="6"/>
  <c r="M2749" i="6"/>
  <c r="M2748" i="6"/>
  <c r="M2747" i="6"/>
  <c r="M2746" i="6"/>
  <c r="M2745" i="6"/>
  <c r="M2744" i="6"/>
  <c r="M2743" i="6"/>
  <c r="M2742" i="6"/>
  <c r="M2741" i="6"/>
  <c r="M2740" i="6"/>
  <c r="M2739" i="6"/>
  <c r="M2738" i="6"/>
  <c r="M2737" i="6"/>
  <c r="M2736" i="6"/>
  <c r="M2735" i="6"/>
  <c r="M2734" i="6"/>
  <c r="M2733" i="6"/>
  <c r="M2732" i="6"/>
  <c r="M2731" i="6"/>
  <c r="M2730" i="6"/>
  <c r="M2729" i="6"/>
  <c r="M2728" i="6"/>
  <c r="M2727" i="6"/>
  <c r="M2726" i="6"/>
  <c r="M2725" i="6"/>
  <c r="M2724" i="6"/>
  <c r="M2723" i="6"/>
  <c r="M2722" i="6"/>
  <c r="M2721" i="6"/>
  <c r="M2720" i="6"/>
  <c r="M2719" i="6"/>
  <c r="M2718" i="6"/>
  <c r="M2717" i="6"/>
  <c r="M2716" i="6"/>
  <c r="M2715" i="6"/>
  <c r="M2714" i="6"/>
  <c r="M2713" i="6"/>
  <c r="M2712" i="6"/>
  <c r="M2711" i="6"/>
  <c r="M2710" i="6"/>
  <c r="M2709" i="6"/>
  <c r="M2708" i="6"/>
  <c r="M2707" i="6"/>
  <c r="M2706" i="6"/>
  <c r="M2705" i="6"/>
  <c r="M2704" i="6"/>
  <c r="M2703" i="6"/>
  <c r="M2702" i="6"/>
  <c r="M2701" i="6"/>
  <c r="M2700" i="6"/>
  <c r="M2699" i="6"/>
  <c r="M2698" i="6"/>
  <c r="M2697" i="6"/>
  <c r="M2696" i="6"/>
  <c r="M2695" i="6"/>
  <c r="M2694" i="6"/>
  <c r="M2693" i="6"/>
  <c r="M2692" i="6"/>
  <c r="M2691" i="6"/>
  <c r="M2690" i="6"/>
  <c r="M2353" i="6"/>
  <c r="M2352" i="6"/>
  <c r="M2351" i="6"/>
  <c r="M2350" i="6"/>
  <c r="M2349" i="6"/>
  <c r="M2348" i="6"/>
  <c r="M2347" i="6"/>
  <c r="M2346" i="6"/>
  <c r="M2345" i="6"/>
  <c r="M2344" i="6"/>
  <c r="M2343" i="6"/>
  <c r="M2342" i="6"/>
  <c r="M2341" i="6"/>
  <c r="M2340" i="6"/>
  <c r="M2339" i="6"/>
  <c r="M2338" i="6"/>
  <c r="M2337" i="6"/>
  <c r="M2336" i="6"/>
  <c r="M2335" i="6"/>
  <c r="M2334" i="6"/>
  <c r="M2333" i="6"/>
  <c r="M2332" i="6"/>
  <c r="M2331" i="6"/>
  <c r="M2330" i="6"/>
  <c r="M2329" i="6"/>
  <c r="M2328" i="6"/>
  <c r="M2327" i="6"/>
  <c r="M2326" i="6"/>
  <c r="M2325" i="6"/>
  <c r="M2324" i="6"/>
  <c r="M2323" i="6"/>
  <c r="M2322" i="6"/>
  <c r="M2321" i="6"/>
  <c r="M2320" i="6"/>
  <c r="M2319" i="6"/>
  <c r="M2318" i="6"/>
  <c r="M2317" i="6"/>
  <c r="M2316" i="6"/>
  <c r="M2315" i="6"/>
  <c r="M2314" i="6"/>
  <c r="M2313" i="6"/>
  <c r="M2312" i="6"/>
  <c r="M2311" i="6"/>
  <c r="M2310" i="6"/>
  <c r="M2309" i="6"/>
  <c r="M2308" i="6"/>
  <c r="M2307" i="6"/>
  <c r="M2306" i="6"/>
  <c r="M2305" i="6"/>
  <c r="M2304" i="6"/>
  <c r="M2303" i="6"/>
  <c r="M2302" i="6"/>
  <c r="M2301" i="6"/>
  <c r="M2300" i="6"/>
  <c r="M2299" i="6"/>
  <c r="M2298" i="6"/>
  <c r="M2297" i="6"/>
  <c r="M2296" i="6"/>
  <c r="M2295" i="6"/>
  <c r="M2294" i="6"/>
  <c r="M2293" i="6"/>
  <c r="M2292" i="6"/>
  <c r="M2291" i="6"/>
  <c r="M2290" i="6"/>
  <c r="M2289" i="6"/>
  <c r="M2288" i="6"/>
  <c r="M2287" i="6"/>
  <c r="M2286" i="6"/>
  <c r="M2285" i="6"/>
  <c r="M2284" i="6"/>
  <c r="M2283" i="6"/>
  <c r="M2282" i="6"/>
  <c r="M2281" i="6"/>
  <c r="M2280" i="6"/>
  <c r="M2279" i="6"/>
  <c r="M2278" i="6"/>
  <c r="M2277" i="6"/>
  <c r="M2276" i="6"/>
  <c r="M2275" i="6"/>
  <c r="M2274" i="6"/>
  <c r="M2273" i="6"/>
  <c r="M2272" i="6"/>
  <c r="M2271" i="6"/>
  <c r="M2270" i="6"/>
  <c r="M2269" i="6"/>
  <c r="M2268" i="6"/>
  <c r="M2267" i="6"/>
  <c r="M2266" i="6"/>
  <c r="M2265" i="6"/>
  <c r="M2264" i="6"/>
  <c r="M2263" i="6"/>
  <c r="M2262" i="6"/>
  <c r="M2261" i="6"/>
  <c r="M2260" i="6"/>
  <c r="M2259" i="6"/>
  <c r="M2258" i="6"/>
  <c r="M2257" i="6"/>
  <c r="M2256" i="6"/>
  <c r="M2255" i="6"/>
  <c r="M2254" i="6"/>
  <c r="M2253" i="6"/>
  <c r="M2252" i="6"/>
  <c r="M2251" i="6"/>
  <c r="M2250" i="6"/>
  <c r="M2249" i="6"/>
  <c r="M2248" i="6"/>
  <c r="M2247" i="6"/>
  <c r="M2246" i="6"/>
  <c r="M2245" i="6"/>
  <c r="M2244" i="6"/>
  <c r="M2243" i="6"/>
  <c r="M2242" i="6"/>
  <c r="M1905" i="6"/>
  <c r="M1904" i="6"/>
  <c r="M1903" i="6"/>
  <c r="M1902" i="6"/>
  <c r="M1901" i="6"/>
  <c r="M1900" i="6"/>
  <c r="M1899" i="6"/>
  <c r="M1898" i="6"/>
  <c r="M1897" i="6"/>
  <c r="M1896" i="6"/>
  <c r="M1895" i="6"/>
  <c r="M1894" i="6"/>
  <c r="M1893" i="6"/>
  <c r="M1892" i="6"/>
  <c r="M1891" i="6"/>
  <c r="M1890" i="6"/>
  <c r="M1889" i="6"/>
  <c r="M1888" i="6"/>
  <c r="M1887" i="6"/>
  <c r="M1886" i="6"/>
  <c r="M1885" i="6"/>
  <c r="M1884" i="6"/>
  <c r="M1883" i="6"/>
  <c r="M1882" i="6"/>
  <c r="M1881" i="6"/>
  <c r="M1880" i="6"/>
  <c r="M1879" i="6"/>
  <c r="M1878" i="6"/>
  <c r="M1877" i="6"/>
  <c r="M1876" i="6"/>
  <c r="M1875" i="6"/>
  <c r="M1874" i="6"/>
  <c r="M1873" i="6"/>
  <c r="M1872" i="6"/>
  <c r="M1871" i="6"/>
  <c r="M1870" i="6"/>
  <c r="M1869" i="6"/>
  <c r="M1868" i="6"/>
  <c r="M1867" i="6"/>
  <c r="M1866" i="6"/>
  <c r="M1865" i="6"/>
  <c r="M1864" i="6"/>
  <c r="M1863" i="6"/>
  <c r="M1862" i="6"/>
  <c r="M1861" i="6"/>
  <c r="M1860" i="6"/>
  <c r="M1859" i="6"/>
  <c r="M1858" i="6"/>
  <c r="M1857" i="6"/>
  <c r="M1856" i="6"/>
  <c r="M1855" i="6"/>
  <c r="M1854" i="6"/>
  <c r="M1853" i="6"/>
  <c r="M1852" i="6"/>
  <c r="M1851" i="6"/>
  <c r="M1850" i="6"/>
  <c r="M1849" i="6"/>
  <c r="M1848" i="6"/>
  <c r="M1847" i="6"/>
  <c r="M1846" i="6"/>
  <c r="M1845" i="6"/>
  <c r="M1844" i="6"/>
  <c r="M1843" i="6"/>
  <c r="M1842" i="6"/>
  <c r="M1841" i="6"/>
  <c r="M1840" i="6"/>
  <c r="M1839" i="6"/>
  <c r="M1838" i="6"/>
  <c r="M1837" i="6"/>
  <c r="M1836" i="6"/>
  <c r="M1835" i="6"/>
  <c r="M1834" i="6"/>
  <c r="M1833" i="6"/>
  <c r="M1832" i="6"/>
  <c r="M1831" i="6"/>
  <c r="M1830" i="6"/>
  <c r="M1829" i="6"/>
  <c r="M1828" i="6"/>
  <c r="M1827" i="6"/>
  <c r="M1826" i="6"/>
  <c r="M1825" i="6"/>
  <c r="M1824" i="6"/>
  <c r="M1823" i="6"/>
  <c r="M1822" i="6"/>
  <c r="M1821" i="6"/>
  <c r="M1820" i="6"/>
  <c r="M1819" i="6"/>
  <c r="M1818" i="6"/>
  <c r="M1817" i="6"/>
  <c r="M1816" i="6"/>
  <c r="M1815" i="6"/>
  <c r="M1814" i="6"/>
  <c r="M1813" i="6"/>
  <c r="M1812" i="6"/>
  <c r="M1811" i="6"/>
  <c r="M1810" i="6"/>
  <c r="M1809" i="6"/>
  <c r="M1808" i="6"/>
  <c r="M1807" i="6"/>
  <c r="M1806" i="6"/>
  <c r="M1805" i="6"/>
  <c r="M1804" i="6"/>
  <c r="M1803" i="6"/>
  <c r="M1802" i="6"/>
  <c r="M1801" i="6"/>
  <c r="M1800" i="6"/>
  <c r="M1799" i="6"/>
  <c r="M1798" i="6"/>
  <c r="M1797" i="6"/>
  <c r="M1796" i="6"/>
  <c r="M1795" i="6"/>
  <c r="M1794" i="6"/>
  <c r="M1457" i="6"/>
  <c r="M1456" i="6"/>
  <c r="M1455" i="6"/>
  <c r="M1454" i="6"/>
  <c r="M1453" i="6"/>
  <c r="M1452" i="6"/>
  <c r="M1451" i="6"/>
  <c r="M1450" i="6"/>
  <c r="M1449" i="6"/>
  <c r="M1448" i="6"/>
  <c r="M1447" i="6"/>
  <c r="M1446" i="6"/>
  <c r="M1445" i="6"/>
  <c r="M1444" i="6"/>
  <c r="M1443" i="6"/>
  <c r="M1442" i="6"/>
  <c r="M1441" i="6"/>
  <c r="M1440" i="6"/>
  <c r="M1439" i="6"/>
  <c r="M1438" i="6"/>
  <c r="M1437" i="6"/>
  <c r="M1436" i="6"/>
  <c r="M1435" i="6"/>
  <c r="M1434" i="6"/>
  <c r="M1433" i="6"/>
  <c r="M1432" i="6"/>
  <c r="M1431" i="6"/>
  <c r="M1430" i="6"/>
  <c r="M1429" i="6"/>
  <c r="M1428" i="6"/>
  <c r="M1427" i="6"/>
  <c r="M1426" i="6"/>
  <c r="M1425" i="6"/>
  <c r="M1424" i="6"/>
  <c r="M1423" i="6"/>
  <c r="M1422" i="6"/>
  <c r="M1421" i="6"/>
  <c r="M1420" i="6"/>
  <c r="M1419" i="6"/>
  <c r="M1418" i="6"/>
  <c r="M1417" i="6"/>
  <c r="M1416" i="6"/>
  <c r="M1415" i="6"/>
  <c r="M1414" i="6"/>
  <c r="M1413" i="6"/>
  <c r="M1412" i="6"/>
  <c r="M1411" i="6"/>
  <c r="M1410" i="6"/>
  <c r="M1409" i="6"/>
  <c r="M1408" i="6"/>
  <c r="M1407" i="6"/>
  <c r="M1406" i="6"/>
  <c r="M1405" i="6"/>
  <c r="M1404" i="6"/>
  <c r="M1403" i="6"/>
  <c r="M1402" i="6"/>
  <c r="M1401" i="6"/>
  <c r="M1400" i="6"/>
  <c r="M1399" i="6"/>
  <c r="M1398" i="6"/>
  <c r="M1397" i="6"/>
  <c r="M1396" i="6"/>
  <c r="M1395" i="6"/>
  <c r="M1394" i="6"/>
  <c r="M1393" i="6"/>
  <c r="M1392" i="6"/>
  <c r="M1391" i="6"/>
  <c r="M1390" i="6"/>
  <c r="M1389" i="6"/>
  <c r="M1388" i="6"/>
  <c r="M1387" i="6"/>
  <c r="M1386" i="6"/>
  <c r="M1385" i="6"/>
  <c r="M1384" i="6"/>
  <c r="M1383" i="6"/>
  <c r="M1382" i="6"/>
  <c r="M1381" i="6"/>
  <c r="M1380" i="6"/>
  <c r="M1379" i="6"/>
  <c r="M1378" i="6"/>
  <c r="M1377" i="6"/>
  <c r="M1376" i="6"/>
  <c r="M1375" i="6"/>
  <c r="M1374" i="6"/>
  <c r="M1373" i="6"/>
  <c r="M1372" i="6"/>
  <c r="M1371" i="6"/>
  <c r="M1370" i="6"/>
  <c r="M1369" i="6"/>
  <c r="M1368" i="6"/>
  <c r="M1367" i="6"/>
  <c r="M1366" i="6"/>
  <c r="M1365" i="6"/>
  <c r="M1364" i="6"/>
  <c r="M1363" i="6"/>
  <c r="M1362" i="6"/>
  <c r="M1361" i="6"/>
  <c r="M1360" i="6"/>
  <c r="M1359" i="6"/>
  <c r="M1358" i="6"/>
  <c r="M1357" i="6"/>
  <c r="M1356" i="6"/>
  <c r="M1355" i="6"/>
  <c r="M1354" i="6"/>
  <c r="M1353" i="6"/>
  <c r="M1352" i="6"/>
  <c r="M1351" i="6"/>
  <c r="M1350" i="6"/>
  <c r="M1349" i="6"/>
  <c r="M1348" i="6"/>
  <c r="M1347" i="6"/>
  <c r="M1346" i="6"/>
  <c r="M1009" i="6"/>
  <c r="M1008" i="6"/>
  <c r="M1007" i="6"/>
  <c r="M1006" i="6"/>
  <c r="M1005" i="6"/>
  <c r="M1004" i="6"/>
  <c r="M1003" i="6"/>
  <c r="M1002" i="6"/>
  <c r="M1001" i="6"/>
  <c r="M1000" i="6"/>
  <c r="M999" i="6"/>
  <c r="M998" i="6"/>
  <c r="M997" i="6"/>
  <c r="M996" i="6"/>
  <c r="M995" i="6"/>
  <c r="M994" i="6"/>
  <c r="M993" i="6"/>
  <c r="M992" i="6"/>
  <c r="M991" i="6"/>
  <c r="M990" i="6"/>
  <c r="M989" i="6"/>
  <c r="M988" i="6"/>
  <c r="M987" i="6"/>
  <c r="M986" i="6"/>
  <c r="M985" i="6"/>
  <c r="M984" i="6"/>
  <c r="M983" i="6"/>
  <c r="M982" i="6"/>
  <c r="M981" i="6"/>
  <c r="M980" i="6"/>
  <c r="M979" i="6"/>
  <c r="M978" i="6"/>
  <c r="M977" i="6"/>
  <c r="M976" i="6"/>
  <c r="M975" i="6"/>
  <c r="M974" i="6"/>
  <c r="M973" i="6"/>
  <c r="M972" i="6"/>
  <c r="M971" i="6"/>
  <c r="M970" i="6"/>
  <c r="M969" i="6"/>
  <c r="M968" i="6"/>
  <c r="M967" i="6"/>
  <c r="M966" i="6"/>
  <c r="M965" i="6"/>
  <c r="M964" i="6"/>
  <c r="M963" i="6"/>
  <c r="M962" i="6"/>
  <c r="M961" i="6"/>
  <c r="M960" i="6"/>
  <c r="M959" i="6"/>
  <c r="M958" i="6"/>
  <c r="M957" i="6"/>
  <c r="M956" i="6"/>
  <c r="M955" i="6"/>
  <c r="M954" i="6"/>
  <c r="M953" i="6"/>
  <c r="M952" i="6"/>
  <c r="M951" i="6"/>
  <c r="M950" i="6"/>
  <c r="M949" i="6"/>
  <c r="M948" i="6"/>
  <c r="M947" i="6"/>
  <c r="M946" i="6"/>
  <c r="M945" i="6"/>
  <c r="M944" i="6"/>
  <c r="M943" i="6"/>
  <c r="M942" i="6"/>
  <c r="M941" i="6"/>
  <c r="M940" i="6"/>
  <c r="M939" i="6"/>
  <c r="M938" i="6"/>
  <c r="M937" i="6"/>
  <c r="M936" i="6"/>
  <c r="M935" i="6"/>
  <c r="M934" i="6"/>
  <c r="M933" i="6"/>
  <c r="M932" i="6"/>
  <c r="M931" i="6"/>
  <c r="M930" i="6"/>
  <c r="M929" i="6"/>
  <c r="M928" i="6"/>
  <c r="M927" i="6"/>
  <c r="M926" i="6"/>
  <c r="M925" i="6"/>
  <c r="M924" i="6"/>
  <c r="M923" i="6"/>
  <c r="M922" i="6"/>
  <c r="M921" i="6"/>
  <c r="M920" i="6"/>
  <c r="M919" i="6"/>
  <c r="M918" i="6"/>
  <c r="M917" i="6"/>
  <c r="M916" i="6"/>
  <c r="M915" i="6"/>
  <c r="M914" i="6"/>
  <c r="M913" i="6"/>
  <c r="M912" i="6"/>
  <c r="M911" i="6"/>
  <c r="M910" i="6"/>
  <c r="M909" i="6"/>
  <c r="M908" i="6"/>
  <c r="M907" i="6"/>
  <c r="M906" i="6"/>
  <c r="M905" i="6"/>
  <c r="M904" i="6"/>
  <c r="M903" i="6"/>
  <c r="M902" i="6"/>
  <c r="M901" i="6"/>
  <c r="M900" i="6"/>
  <c r="M899" i="6"/>
  <c r="M898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4" i="6"/>
  <c r="M13" i="6"/>
  <c r="M12" i="6"/>
  <c r="M11" i="6"/>
  <c r="M10" i="6"/>
  <c r="M9" i="6"/>
  <c r="M8" i="6"/>
  <c r="M7" i="6"/>
  <c r="M6" i="6"/>
  <c r="M5" i="6"/>
  <c r="M4" i="6"/>
  <c r="M2" i="6"/>
  <c r="L4494" i="6"/>
  <c r="L4493" i="6"/>
  <c r="L4492" i="6"/>
  <c r="L4491" i="6"/>
  <c r="L4490" i="6"/>
  <c r="L4489" i="6"/>
  <c r="L4488" i="6"/>
  <c r="L4487" i="6"/>
  <c r="L4486" i="6"/>
  <c r="L4485" i="6"/>
  <c r="L4484" i="6"/>
  <c r="L4483" i="6"/>
  <c r="L4482" i="6"/>
  <c r="L4046" i="6"/>
  <c r="L4045" i="6"/>
  <c r="L4044" i="6"/>
  <c r="L4043" i="6"/>
  <c r="L4042" i="6"/>
  <c r="L4041" i="6"/>
  <c r="L4040" i="6"/>
  <c r="L4039" i="6"/>
  <c r="L4038" i="6"/>
  <c r="L4037" i="6"/>
  <c r="L4036" i="6"/>
  <c r="L4035" i="6"/>
  <c r="L4034" i="6"/>
  <c r="L3598" i="6"/>
  <c r="L3597" i="6"/>
  <c r="L3596" i="6"/>
  <c r="L3595" i="6"/>
  <c r="L3594" i="6"/>
  <c r="L3593" i="6"/>
  <c r="L3592" i="6"/>
  <c r="L3591" i="6"/>
  <c r="L3590" i="6"/>
  <c r="L3589" i="6"/>
  <c r="L3588" i="6"/>
  <c r="L3587" i="6"/>
  <c r="L3586" i="6"/>
  <c r="L3150" i="6"/>
  <c r="L3149" i="6"/>
  <c r="L3148" i="6"/>
  <c r="L3147" i="6"/>
  <c r="L3146" i="6"/>
  <c r="L3145" i="6"/>
  <c r="L3144" i="6"/>
  <c r="L3143" i="6"/>
  <c r="L3142" i="6"/>
  <c r="L3141" i="6"/>
  <c r="L3140" i="6"/>
  <c r="L3139" i="6"/>
  <c r="L3138" i="6"/>
  <c r="L2702" i="6"/>
  <c r="L2701" i="6"/>
  <c r="L2700" i="6"/>
  <c r="L2699" i="6"/>
  <c r="L2698" i="6"/>
  <c r="L2697" i="6"/>
  <c r="L2696" i="6"/>
  <c r="L2695" i="6"/>
  <c r="L2694" i="6"/>
  <c r="L2693" i="6"/>
  <c r="L2692" i="6"/>
  <c r="L2691" i="6"/>
  <c r="L2690" i="6"/>
  <c r="L2254" i="6"/>
  <c r="L2253" i="6"/>
  <c r="L2252" i="6"/>
  <c r="L2251" i="6"/>
  <c r="L2250" i="6"/>
  <c r="L2249" i="6"/>
  <c r="L2248" i="6"/>
  <c r="L2247" i="6"/>
  <c r="L2246" i="6"/>
  <c r="L2245" i="6"/>
  <c r="L2244" i="6"/>
  <c r="L2243" i="6"/>
  <c r="L2242" i="6"/>
  <c r="L1806" i="6"/>
  <c r="L1805" i="6"/>
  <c r="L1804" i="6"/>
  <c r="L1803" i="6"/>
  <c r="L1802" i="6"/>
  <c r="L1801" i="6"/>
  <c r="L1800" i="6"/>
  <c r="L1799" i="6"/>
  <c r="L1798" i="6"/>
  <c r="L1797" i="6"/>
  <c r="L1796" i="6"/>
  <c r="L1795" i="6"/>
  <c r="L1794" i="6"/>
  <c r="L1358" i="6"/>
  <c r="L1357" i="6"/>
  <c r="L1356" i="6"/>
  <c r="L1355" i="6"/>
  <c r="L1354" i="6"/>
  <c r="L1353" i="6"/>
  <c r="L1352" i="6"/>
  <c r="L1351" i="6"/>
  <c r="L1350" i="6"/>
  <c r="L1349" i="6"/>
  <c r="L1348" i="6"/>
  <c r="L1347" i="6"/>
  <c r="L1346" i="6"/>
  <c r="L910" i="6"/>
  <c r="L909" i="6"/>
  <c r="L908" i="6"/>
  <c r="L907" i="6"/>
  <c r="L906" i="6"/>
  <c r="L905" i="6"/>
  <c r="L904" i="6"/>
  <c r="L903" i="6"/>
  <c r="L902" i="6"/>
  <c r="L901" i="6"/>
  <c r="L900" i="6"/>
  <c r="L899" i="6"/>
  <c r="L898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14" i="6"/>
  <c r="L2" i="6"/>
  <c r="N3" i="6"/>
  <c r="M3" i="6"/>
  <c r="K4" i="6"/>
  <c r="N4" i="6" s="1"/>
  <c r="K5" i="6"/>
  <c r="N5" i="6" s="1"/>
  <c r="K6" i="6"/>
  <c r="N6" i="6" s="1"/>
  <c r="K7" i="6"/>
  <c r="N7" i="6" s="1"/>
  <c r="K8" i="6"/>
  <c r="N8" i="6" s="1"/>
  <c r="K9" i="6"/>
  <c r="N9" i="6" s="1"/>
  <c r="K10" i="6"/>
  <c r="N10" i="6" s="1"/>
  <c r="K11" i="6"/>
  <c r="N11" i="6" s="1"/>
  <c r="K12" i="6"/>
  <c r="N12" i="6" s="1"/>
  <c r="K13" i="6"/>
  <c r="N13" i="6" s="1"/>
  <c r="K14" i="6"/>
  <c r="N14" i="6" s="1"/>
  <c r="K15" i="6"/>
  <c r="N15" i="6" s="1"/>
  <c r="K16" i="6"/>
  <c r="N16" i="6" s="1"/>
  <c r="K17" i="6"/>
  <c r="N17" i="6" s="1"/>
  <c r="K18" i="6"/>
  <c r="N18" i="6" s="1"/>
  <c r="K19" i="6"/>
  <c r="N19" i="6" s="1"/>
  <c r="K20" i="6"/>
  <c r="N20" i="6" s="1"/>
  <c r="K21" i="6"/>
  <c r="N21" i="6" s="1"/>
  <c r="K22" i="6"/>
  <c r="N22" i="6" s="1"/>
  <c r="K23" i="6"/>
  <c r="N23" i="6" s="1"/>
  <c r="K24" i="6"/>
  <c r="N24" i="6" s="1"/>
  <c r="K25" i="6"/>
  <c r="N25" i="6" s="1"/>
  <c r="K26" i="6"/>
  <c r="N26" i="6" s="1"/>
  <c r="K27" i="6"/>
  <c r="N27" i="6" s="1"/>
  <c r="K28" i="6"/>
  <c r="N28" i="6" s="1"/>
  <c r="K29" i="6"/>
  <c r="N29" i="6" s="1"/>
  <c r="K30" i="6"/>
  <c r="N30" i="6" s="1"/>
  <c r="K31" i="6"/>
  <c r="N31" i="6" s="1"/>
  <c r="K32" i="6"/>
  <c r="N32" i="6" s="1"/>
  <c r="K33" i="6"/>
  <c r="N33" i="6" s="1"/>
  <c r="K34" i="6"/>
  <c r="N34" i="6" s="1"/>
  <c r="K35" i="6"/>
  <c r="N35" i="6" s="1"/>
  <c r="K36" i="6"/>
  <c r="N36" i="6" s="1"/>
  <c r="K37" i="6"/>
  <c r="N37" i="6" s="1"/>
  <c r="K38" i="6"/>
  <c r="N38" i="6" s="1"/>
  <c r="K39" i="6"/>
  <c r="N39" i="6" s="1"/>
  <c r="K40" i="6"/>
  <c r="N40" i="6" s="1"/>
  <c r="K41" i="6"/>
  <c r="N41" i="6" s="1"/>
  <c r="K42" i="6"/>
  <c r="N42" i="6" s="1"/>
  <c r="K43" i="6"/>
  <c r="N43" i="6" s="1"/>
  <c r="K44" i="6"/>
  <c r="N44" i="6" s="1"/>
  <c r="K45" i="6"/>
  <c r="N45" i="6" s="1"/>
  <c r="K46" i="6"/>
  <c r="N46" i="6" s="1"/>
  <c r="K47" i="6"/>
  <c r="N47" i="6" s="1"/>
  <c r="K48" i="6"/>
  <c r="N48" i="6" s="1"/>
  <c r="K49" i="6"/>
  <c r="N49" i="6" s="1"/>
  <c r="K50" i="6"/>
  <c r="N50" i="6" s="1"/>
  <c r="K51" i="6"/>
  <c r="N51" i="6" s="1"/>
  <c r="K52" i="6"/>
  <c r="N52" i="6" s="1"/>
  <c r="K53" i="6"/>
  <c r="N53" i="6" s="1"/>
  <c r="K54" i="6"/>
  <c r="N54" i="6" s="1"/>
  <c r="K55" i="6"/>
  <c r="N55" i="6" s="1"/>
  <c r="K56" i="6"/>
  <c r="N56" i="6" s="1"/>
  <c r="K57" i="6"/>
  <c r="N57" i="6" s="1"/>
  <c r="K58" i="6"/>
  <c r="N58" i="6" s="1"/>
  <c r="K59" i="6"/>
  <c r="N59" i="6" s="1"/>
  <c r="K60" i="6"/>
  <c r="N60" i="6" s="1"/>
  <c r="K61" i="6"/>
  <c r="N61" i="6" s="1"/>
  <c r="K62" i="6"/>
  <c r="N62" i="6" s="1"/>
  <c r="K63" i="6"/>
  <c r="N63" i="6" s="1"/>
  <c r="K64" i="6"/>
  <c r="N64" i="6" s="1"/>
  <c r="K65" i="6"/>
  <c r="N65" i="6" s="1"/>
  <c r="K66" i="6"/>
  <c r="N66" i="6" s="1"/>
  <c r="K67" i="6"/>
  <c r="N67" i="6" s="1"/>
  <c r="K68" i="6"/>
  <c r="N68" i="6" s="1"/>
  <c r="K69" i="6"/>
  <c r="N69" i="6" s="1"/>
  <c r="K70" i="6"/>
  <c r="N70" i="6" s="1"/>
  <c r="K71" i="6"/>
  <c r="N71" i="6" s="1"/>
  <c r="K72" i="6"/>
  <c r="N72" i="6" s="1"/>
  <c r="K73" i="6"/>
  <c r="N73" i="6" s="1"/>
  <c r="K74" i="6"/>
  <c r="N74" i="6" s="1"/>
  <c r="K75" i="6"/>
  <c r="N75" i="6" s="1"/>
  <c r="K76" i="6"/>
  <c r="N76" i="6" s="1"/>
  <c r="K77" i="6"/>
  <c r="N77" i="6" s="1"/>
  <c r="K78" i="6"/>
  <c r="N78" i="6" s="1"/>
  <c r="K79" i="6"/>
  <c r="N79" i="6" s="1"/>
  <c r="K80" i="6"/>
  <c r="N80" i="6" s="1"/>
  <c r="K81" i="6"/>
  <c r="N81" i="6" s="1"/>
  <c r="K82" i="6"/>
  <c r="N82" i="6" s="1"/>
  <c r="K83" i="6"/>
  <c r="N83" i="6" s="1"/>
  <c r="K84" i="6"/>
  <c r="N84" i="6" s="1"/>
  <c r="K85" i="6"/>
  <c r="N85" i="6" s="1"/>
  <c r="K86" i="6"/>
  <c r="N86" i="6" s="1"/>
  <c r="K87" i="6"/>
  <c r="N87" i="6" s="1"/>
  <c r="K88" i="6"/>
  <c r="N88" i="6" s="1"/>
  <c r="K89" i="6"/>
  <c r="N89" i="6" s="1"/>
  <c r="K90" i="6"/>
  <c r="N90" i="6" s="1"/>
  <c r="K91" i="6"/>
  <c r="N91" i="6" s="1"/>
  <c r="K92" i="6"/>
  <c r="N92" i="6" s="1"/>
  <c r="K93" i="6"/>
  <c r="N93" i="6" s="1"/>
  <c r="K94" i="6"/>
  <c r="N94" i="6" s="1"/>
  <c r="K95" i="6"/>
  <c r="N95" i="6" s="1"/>
  <c r="K96" i="6"/>
  <c r="N96" i="6" s="1"/>
  <c r="K97" i="6"/>
  <c r="N97" i="6" s="1"/>
  <c r="K98" i="6"/>
  <c r="N98" i="6" s="1"/>
  <c r="K99" i="6"/>
  <c r="N99" i="6" s="1"/>
  <c r="K100" i="6"/>
  <c r="N100" i="6" s="1"/>
  <c r="K101" i="6"/>
  <c r="N101" i="6" s="1"/>
  <c r="K102" i="6"/>
  <c r="N102" i="6" s="1"/>
  <c r="K103" i="6"/>
  <c r="N103" i="6" s="1"/>
  <c r="K104" i="6"/>
  <c r="N104" i="6" s="1"/>
  <c r="K105" i="6"/>
  <c r="N105" i="6" s="1"/>
  <c r="K106" i="6"/>
  <c r="N106" i="6" s="1"/>
  <c r="K107" i="6"/>
  <c r="N107" i="6" s="1"/>
  <c r="K108" i="6"/>
  <c r="N108" i="6" s="1"/>
  <c r="K109" i="6"/>
  <c r="N109" i="6" s="1"/>
  <c r="K110" i="6"/>
  <c r="N110" i="6" s="1"/>
  <c r="K111" i="6"/>
  <c r="N111" i="6" s="1"/>
  <c r="K112" i="6"/>
  <c r="N112" i="6" s="1"/>
  <c r="K113" i="6"/>
  <c r="N113" i="6" s="1"/>
  <c r="K114" i="6"/>
  <c r="K115" i="6"/>
  <c r="N115" i="6" s="1"/>
  <c r="K116" i="6"/>
  <c r="N116" i="6" s="1"/>
  <c r="K117" i="6"/>
  <c r="N117" i="6" s="1"/>
  <c r="K118" i="6"/>
  <c r="N118" i="6" s="1"/>
  <c r="K119" i="6"/>
  <c r="N119" i="6" s="1"/>
  <c r="K120" i="6"/>
  <c r="N120" i="6" s="1"/>
  <c r="K121" i="6"/>
  <c r="N121" i="6" s="1"/>
  <c r="K122" i="6"/>
  <c r="N122" i="6" s="1"/>
  <c r="K123" i="6"/>
  <c r="N123" i="6" s="1"/>
  <c r="K124" i="6"/>
  <c r="N124" i="6" s="1"/>
  <c r="K125" i="6"/>
  <c r="N125" i="6" s="1"/>
  <c r="K126" i="6"/>
  <c r="N126" i="6" s="1"/>
  <c r="K127" i="6"/>
  <c r="N127" i="6" s="1"/>
  <c r="K128" i="6"/>
  <c r="N128" i="6" s="1"/>
  <c r="K129" i="6"/>
  <c r="N129" i="6" s="1"/>
  <c r="K130" i="6"/>
  <c r="N130" i="6" s="1"/>
  <c r="K131" i="6"/>
  <c r="N131" i="6" s="1"/>
  <c r="K132" i="6"/>
  <c r="N132" i="6" s="1"/>
  <c r="K133" i="6"/>
  <c r="N133" i="6" s="1"/>
  <c r="K134" i="6"/>
  <c r="N134" i="6" s="1"/>
  <c r="K135" i="6"/>
  <c r="N135" i="6" s="1"/>
  <c r="K136" i="6"/>
  <c r="N136" i="6" s="1"/>
  <c r="K137" i="6"/>
  <c r="N137" i="6" s="1"/>
  <c r="K138" i="6"/>
  <c r="N138" i="6" s="1"/>
  <c r="K139" i="6"/>
  <c r="N139" i="6" s="1"/>
  <c r="K140" i="6"/>
  <c r="N140" i="6" s="1"/>
  <c r="K141" i="6"/>
  <c r="N141" i="6" s="1"/>
  <c r="K142" i="6"/>
  <c r="N142" i="6" s="1"/>
  <c r="K143" i="6"/>
  <c r="N143" i="6" s="1"/>
  <c r="K144" i="6"/>
  <c r="N144" i="6" s="1"/>
  <c r="K145" i="6"/>
  <c r="N145" i="6" s="1"/>
  <c r="K146" i="6"/>
  <c r="N146" i="6" s="1"/>
  <c r="K147" i="6"/>
  <c r="N147" i="6" s="1"/>
  <c r="K148" i="6"/>
  <c r="N148" i="6" s="1"/>
  <c r="K149" i="6"/>
  <c r="N149" i="6" s="1"/>
  <c r="K150" i="6"/>
  <c r="N150" i="6" s="1"/>
  <c r="K151" i="6"/>
  <c r="N151" i="6" s="1"/>
  <c r="K152" i="6"/>
  <c r="N152" i="6" s="1"/>
  <c r="K153" i="6"/>
  <c r="N153" i="6" s="1"/>
  <c r="K154" i="6"/>
  <c r="N154" i="6" s="1"/>
  <c r="K155" i="6"/>
  <c r="N155" i="6" s="1"/>
  <c r="K156" i="6"/>
  <c r="N156" i="6" s="1"/>
  <c r="K157" i="6"/>
  <c r="N157" i="6" s="1"/>
  <c r="K158" i="6"/>
  <c r="N158" i="6" s="1"/>
  <c r="K159" i="6"/>
  <c r="N159" i="6" s="1"/>
  <c r="K160" i="6"/>
  <c r="N160" i="6" s="1"/>
  <c r="K161" i="6"/>
  <c r="N161" i="6" s="1"/>
  <c r="K162" i="6"/>
  <c r="N162" i="6" s="1"/>
  <c r="K163" i="6"/>
  <c r="N163" i="6" s="1"/>
  <c r="K164" i="6"/>
  <c r="N164" i="6" s="1"/>
  <c r="K165" i="6"/>
  <c r="N165" i="6" s="1"/>
  <c r="K166" i="6"/>
  <c r="N166" i="6" s="1"/>
  <c r="K167" i="6"/>
  <c r="N167" i="6" s="1"/>
  <c r="K168" i="6"/>
  <c r="N168" i="6" s="1"/>
  <c r="K169" i="6"/>
  <c r="N169" i="6" s="1"/>
  <c r="K170" i="6"/>
  <c r="N170" i="6" s="1"/>
  <c r="K171" i="6"/>
  <c r="N171" i="6" s="1"/>
  <c r="K172" i="6"/>
  <c r="N172" i="6" s="1"/>
  <c r="K173" i="6"/>
  <c r="N173" i="6" s="1"/>
  <c r="K174" i="6"/>
  <c r="N174" i="6" s="1"/>
  <c r="K175" i="6"/>
  <c r="N175" i="6" s="1"/>
  <c r="K176" i="6"/>
  <c r="N176" i="6" s="1"/>
  <c r="K177" i="6"/>
  <c r="N177" i="6" s="1"/>
  <c r="K178" i="6"/>
  <c r="N178" i="6" s="1"/>
  <c r="K179" i="6"/>
  <c r="N179" i="6" s="1"/>
  <c r="K180" i="6"/>
  <c r="N180" i="6" s="1"/>
  <c r="K181" i="6"/>
  <c r="N181" i="6" s="1"/>
  <c r="K182" i="6"/>
  <c r="N182" i="6" s="1"/>
  <c r="K183" i="6"/>
  <c r="N183" i="6" s="1"/>
  <c r="K184" i="6"/>
  <c r="N184" i="6" s="1"/>
  <c r="K185" i="6"/>
  <c r="N185" i="6" s="1"/>
  <c r="K186" i="6"/>
  <c r="N186" i="6" s="1"/>
  <c r="K187" i="6"/>
  <c r="N187" i="6" s="1"/>
  <c r="K188" i="6"/>
  <c r="N188" i="6" s="1"/>
  <c r="K189" i="6"/>
  <c r="N189" i="6" s="1"/>
  <c r="K190" i="6"/>
  <c r="N190" i="6" s="1"/>
  <c r="K191" i="6"/>
  <c r="N191" i="6" s="1"/>
  <c r="K192" i="6"/>
  <c r="N192" i="6" s="1"/>
  <c r="K193" i="6"/>
  <c r="N193" i="6" s="1"/>
  <c r="K194" i="6"/>
  <c r="N194" i="6" s="1"/>
  <c r="K195" i="6"/>
  <c r="N195" i="6" s="1"/>
  <c r="K196" i="6"/>
  <c r="N196" i="6" s="1"/>
  <c r="K197" i="6"/>
  <c r="N197" i="6" s="1"/>
  <c r="K198" i="6"/>
  <c r="N198" i="6" s="1"/>
  <c r="K199" i="6"/>
  <c r="N199" i="6" s="1"/>
  <c r="K200" i="6"/>
  <c r="N200" i="6" s="1"/>
  <c r="K201" i="6"/>
  <c r="N201" i="6" s="1"/>
  <c r="K202" i="6"/>
  <c r="N202" i="6" s="1"/>
  <c r="K203" i="6"/>
  <c r="N203" i="6" s="1"/>
  <c r="K204" i="6"/>
  <c r="N204" i="6" s="1"/>
  <c r="K205" i="6"/>
  <c r="N205" i="6" s="1"/>
  <c r="K206" i="6"/>
  <c r="N206" i="6" s="1"/>
  <c r="K207" i="6"/>
  <c r="N207" i="6" s="1"/>
  <c r="K208" i="6"/>
  <c r="N208" i="6" s="1"/>
  <c r="K209" i="6"/>
  <c r="N209" i="6" s="1"/>
  <c r="K210" i="6"/>
  <c r="N210" i="6" s="1"/>
  <c r="K211" i="6"/>
  <c r="N211" i="6" s="1"/>
  <c r="K212" i="6"/>
  <c r="N212" i="6" s="1"/>
  <c r="K213" i="6"/>
  <c r="N213" i="6" s="1"/>
  <c r="K214" i="6"/>
  <c r="N214" i="6" s="1"/>
  <c r="K215" i="6"/>
  <c r="N215" i="6" s="1"/>
  <c r="K216" i="6"/>
  <c r="N216" i="6" s="1"/>
  <c r="K217" i="6"/>
  <c r="N217" i="6" s="1"/>
  <c r="K218" i="6"/>
  <c r="N218" i="6" s="1"/>
  <c r="K219" i="6"/>
  <c r="N219" i="6" s="1"/>
  <c r="K220" i="6"/>
  <c r="N220" i="6" s="1"/>
  <c r="K221" i="6"/>
  <c r="N221" i="6" s="1"/>
  <c r="K222" i="6"/>
  <c r="N222" i="6" s="1"/>
  <c r="K223" i="6"/>
  <c r="N223" i="6" s="1"/>
  <c r="K224" i="6"/>
  <c r="N224" i="6" s="1"/>
  <c r="K225" i="6"/>
  <c r="N225" i="6" s="1"/>
  <c r="K226" i="6"/>
  <c r="K227" i="6"/>
  <c r="N227" i="6" s="1"/>
  <c r="K228" i="6"/>
  <c r="N228" i="6" s="1"/>
  <c r="K229" i="6"/>
  <c r="N229" i="6" s="1"/>
  <c r="K230" i="6"/>
  <c r="N230" i="6" s="1"/>
  <c r="K231" i="6"/>
  <c r="N231" i="6" s="1"/>
  <c r="K232" i="6"/>
  <c r="N232" i="6" s="1"/>
  <c r="K233" i="6"/>
  <c r="N233" i="6" s="1"/>
  <c r="K234" i="6"/>
  <c r="N234" i="6" s="1"/>
  <c r="K235" i="6"/>
  <c r="N235" i="6" s="1"/>
  <c r="K236" i="6"/>
  <c r="N236" i="6" s="1"/>
  <c r="K237" i="6"/>
  <c r="N237" i="6" s="1"/>
  <c r="K238" i="6"/>
  <c r="N238" i="6" s="1"/>
  <c r="K239" i="6"/>
  <c r="N239" i="6" s="1"/>
  <c r="K240" i="6"/>
  <c r="N240" i="6" s="1"/>
  <c r="K241" i="6"/>
  <c r="N241" i="6" s="1"/>
  <c r="K242" i="6"/>
  <c r="N242" i="6" s="1"/>
  <c r="K243" i="6"/>
  <c r="N243" i="6" s="1"/>
  <c r="K244" i="6"/>
  <c r="N244" i="6" s="1"/>
  <c r="K245" i="6"/>
  <c r="N245" i="6" s="1"/>
  <c r="K246" i="6"/>
  <c r="N246" i="6" s="1"/>
  <c r="K247" i="6"/>
  <c r="N247" i="6" s="1"/>
  <c r="K248" i="6"/>
  <c r="N248" i="6" s="1"/>
  <c r="K249" i="6"/>
  <c r="N249" i="6" s="1"/>
  <c r="K250" i="6"/>
  <c r="N250" i="6" s="1"/>
  <c r="K251" i="6"/>
  <c r="N251" i="6" s="1"/>
  <c r="K252" i="6"/>
  <c r="N252" i="6" s="1"/>
  <c r="K253" i="6"/>
  <c r="N253" i="6" s="1"/>
  <c r="K254" i="6"/>
  <c r="N254" i="6" s="1"/>
  <c r="K255" i="6"/>
  <c r="N255" i="6" s="1"/>
  <c r="K256" i="6"/>
  <c r="N256" i="6" s="1"/>
  <c r="K257" i="6"/>
  <c r="N257" i="6" s="1"/>
  <c r="K258" i="6"/>
  <c r="N258" i="6" s="1"/>
  <c r="K259" i="6"/>
  <c r="N259" i="6" s="1"/>
  <c r="K260" i="6"/>
  <c r="N260" i="6" s="1"/>
  <c r="K261" i="6"/>
  <c r="N261" i="6" s="1"/>
  <c r="K262" i="6"/>
  <c r="N262" i="6" s="1"/>
  <c r="K263" i="6"/>
  <c r="N263" i="6" s="1"/>
  <c r="K264" i="6"/>
  <c r="N264" i="6" s="1"/>
  <c r="K265" i="6"/>
  <c r="N265" i="6" s="1"/>
  <c r="K266" i="6"/>
  <c r="N266" i="6" s="1"/>
  <c r="K267" i="6"/>
  <c r="N267" i="6" s="1"/>
  <c r="K268" i="6"/>
  <c r="N268" i="6" s="1"/>
  <c r="K269" i="6"/>
  <c r="N269" i="6" s="1"/>
  <c r="K270" i="6"/>
  <c r="N270" i="6" s="1"/>
  <c r="K271" i="6"/>
  <c r="N271" i="6" s="1"/>
  <c r="K272" i="6"/>
  <c r="N272" i="6" s="1"/>
  <c r="K273" i="6"/>
  <c r="N273" i="6" s="1"/>
  <c r="K274" i="6"/>
  <c r="N274" i="6" s="1"/>
  <c r="K275" i="6"/>
  <c r="N275" i="6" s="1"/>
  <c r="K276" i="6"/>
  <c r="N276" i="6" s="1"/>
  <c r="K277" i="6"/>
  <c r="N277" i="6" s="1"/>
  <c r="K278" i="6"/>
  <c r="N278" i="6" s="1"/>
  <c r="K279" i="6"/>
  <c r="N279" i="6" s="1"/>
  <c r="K280" i="6"/>
  <c r="N280" i="6" s="1"/>
  <c r="K281" i="6"/>
  <c r="N281" i="6" s="1"/>
  <c r="K282" i="6"/>
  <c r="N282" i="6" s="1"/>
  <c r="K283" i="6"/>
  <c r="N283" i="6" s="1"/>
  <c r="K284" i="6"/>
  <c r="N284" i="6" s="1"/>
  <c r="K285" i="6"/>
  <c r="N285" i="6" s="1"/>
  <c r="K286" i="6"/>
  <c r="N286" i="6" s="1"/>
  <c r="K287" i="6"/>
  <c r="N287" i="6" s="1"/>
  <c r="K288" i="6"/>
  <c r="N288" i="6" s="1"/>
  <c r="K289" i="6"/>
  <c r="N289" i="6" s="1"/>
  <c r="K290" i="6"/>
  <c r="N290" i="6" s="1"/>
  <c r="K291" i="6"/>
  <c r="N291" i="6" s="1"/>
  <c r="K292" i="6"/>
  <c r="N292" i="6" s="1"/>
  <c r="K293" i="6"/>
  <c r="N293" i="6" s="1"/>
  <c r="K294" i="6"/>
  <c r="N294" i="6" s="1"/>
  <c r="K295" i="6"/>
  <c r="N295" i="6" s="1"/>
  <c r="K296" i="6"/>
  <c r="N296" i="6" s="1"/>
  <c r="K297" i="6"/>
  <c r="N297" i="6" s="1"/>
  <c r="K298" i="6"/>
  <c r="N298" i="6" s="1"/>
  <c r="K299" i="6"/>
  <c r="N299" i="6" s="1"/>
  <c r="K300" i="6"/>
  <c r="N300" i="6" s="1"/>
  <c r="K301" i="6"/>
  <c r="N301" i="6" s="1"/>
  <c r="K302" i="6"/>
  <c r="N302" i="6" s="1"/>
  <c r="K303" i="6"/>
  <c r="N303" i="6" s="1"/>
  <c r="K304" i="6"/>
  <c r="N304" i="6" s="1"/>
  <c r="K305" i="6"/>
  <c r="N305" i="6" s="1"/>
  <c r="K306" i="6"/>
  <c r="N306" i="6" s="1"/>
  <c r="K307" i="6"/>
  <c r="N307" i="6" s="1"/>
  <c r="K308" i="6"/>
  <c r="N308" i="6" s="1"/>
  <c r="K309" i="6"/>
  <c r="N309" i="6" s="1"/>
  <c r="K310" i="6"/>
  <c r="N310" i="6" s="1"/>
  <c r="K311" i="6"/>
  <c r="N311" i="6" s="1"/>
  <c r="K312" i="6"/>
  <c r="N312" i="6" s="1"/>
  <c r="K313" i="6"/>
  <c r="N313" i="6" s="1"/>
  <c r="K314" i="6"/>
  <c r="N314" i="6" s="1"/>
  <c r="K315" i="6"/>
  <c r="N315" i="6" s="1"/>
  <c r="K316" i="6"/>
  <c r="N316" i="6" s="1"/>
  <c r="K317" i="6"/>
  <c r="N317" i="6" s="1"/>
  <c r="K318" i="6"/>
  <c r="N318" i="6" s="1"/>
  <c r="K319" i="6"/>
  <c r="N319" i="6" s="1"/>
  <c r="K320" i="6"/>
  <c r="N320" i="6" s="1"/>
  <c r="K321" i="6"/>
  <c r="N321" i="6" s="1"/>
  <c r="K322" i="6"/>
  <c r="N322" i="6" s="1"/>
  <c r="K323" i="6"/>
  <c r="N323" i="6" s="1"/>
  <c r="K324" i="6"/>
  <c r="N324" i="6" s="1"/>
  <c r="K325" i="6"/>
  <c r="N325" i="6" s="1"/>
  <c r="K326" i="6"/>
  <c r="N326" i="6" s="1"/>
  <c r="K327" i="6"/>
  <c r="N327" i="6" s="1"/>
  <c r="K328" i="6"/>
  <c r="N328" i="6" s="1"/>
  <c r="K329" i="6"/>
  <c r="N329" i="6" s="1"/>
  <c r="K330" i="6"/>
  <c r="N330" i="6" s="1"/>
  <c r="K331" i="6"/>
  <c r="N331" i="6" s="1"/>
  <c r="K332" i="6"/>
  <c r="N332" i="6" s="1"/>
  <c r="K333" i="6"/>
  <c r="N333" i="6" s="1"/>
  <c r="K334" i="6"/>
  <c r="N334" i="6" s="1"/>
  <c r="K335" i="6"/>
  <c r="N335" i="6" s="1"/>
  <c r="K336" i="6"/>
  <c r="N336" i="6" s="1"/>
  <c r="K337" i="6"/>
  <c r="N337" i="6" s="1"/>
  <c r="K338" i="6"/>
  <c r="K339" i="6"/>
  <c r="N339" i="6" s="1"/>
  <c r="K340" i="6"/>
  <c r="N340" i="6" s="1"/>
  <c r="K341" i="6"/>
  <c r="N341" i="6" s="1"/>
  <c r="K342" i="6"/>
  <c r="N342" i="6" s="1"/>
  <c r="K343" i="6"/>
  <c r="N343" i="6" s="1"/>
  <c r="K344" i="6"/>
  <c r="N344" i="6" s="1"/>
  <c r="K345" i="6"/>
  <c r="N345" i="6" s="1"/>
  <c r="K346" i="6"/>
  <c r="N346" i="6" s="1"/>
  <c r="K347" i="6"/>
  <c r="N347" i="6" s="1"/>
  <c r="K348" i="6"/>
  <c r="N348" i="6" s="1"/>
  <c r="K349" i="6"/>
  <c r="N349" i="6" s="1"/>
  <c r="K350" i="6"/>
  <c r="N350" i="6" s="1"/>
  <c r="K351" i="6"/>
  <c r="N351" i="6" s="1"/>
  <c r="K352" i="6"/>
  <c r="N352" i="6" s="1"/>
  <c r="K353" i="6"/>
  <c r="N353" i="6" s="1"/>
  <c r="K354" i="6"/>
  <c r="N354" i="6" s="1"/>
  <c r="K355" i="6"/>
  <c r="N355" i="6" s="1"/>
  <c r="K356" i="6"/>
  <c r="N356" i="6" s="1"/>
  <c r="K357" i="6"/>
  <c r="N357" i="6" s="1"/>
  <c r="K358" i="6"/>
  <c r="N358" i="6" s="1"/>
  <c r="K359" i="6"/>
  <c r="N359" i="6" s="1"/>
  <c r="K360" i="6"/>
  <c r="N360" i="6" s="1"/>
  <c r="K361" i="6"/>
  <c r="N361" i="6" s="1"/>
  <c r="K362" i="6"/>
  <c r="N362" i="6" s="1"/>
  <c r="K363" i="6"/>
  <c r="N363" i="6" s="1"/>
  <c r="K364" i="6"/>
  <c r="N364" i="6" s="1"/>
  <c r="K365" i="6"/>
  <c r="N365" i="6" s="1"/>
  <c r="K366" i="6"/>
  <c r="N366" i="6" s="1"/>
  <c r="K367" i="6"/>
  <c r="N367" i="6" s="1"/>
  <c r="K368" i="6"/>
  <c r="N368" i="6" s="1"/>
  <c r="K369" i="6"/>
  <c r="N369" i="6" s="1"/>
  <c r="K370" i="6"/>
  <c r="N370" i="6" s="1"/>
  <c r="K371" i="6"/>
  <c r="N371" i="6" s="1"/>
  <c r="K372" i="6"/>
  <c r="N372" i="6" s="1"/>
  <c r="K373" i="6"/>
  <c r="N373" i="6" s="1"/>
  <c r="K374" i="6"/>
  <c r="N374" i="6" s="1"/>
  <c r="K375" i="6"/>
  <c r="N375" i="6" s="1"/>
  <c r="K376" i="6"/>
  <c r="N376" i="6" s="1"/>
  <c r="K377" i="6"/>
  <c r="N377" i="6" s="1"/>
  <c r="K378" i="6"/>
  <c r="N378" i="6" s="1"/>
  <c r="K379" i="6"/>
  <c r="N379" i="6" s="1"/>
  <c r="K380" i="6"/>
  <c r="N380" i="6" s="1"/>
  <c r="K381" i="6"/>
  <c r="N381" i="6" s="1"/>
  <c r="K382" i="6"/>
  <c r="N382" i="6" s="1"/>
  <c r="K383" i="6"/>
  <c r="N383" i="6" s="1"/>
  <c r="K384" i="6"/>
  <c r="N384" i="6" s="1"/>
  <c r="K385" i="6"/>
  <c r="N385" i="6" s="1"/>
  <c r="K386" i="6"/>
  <c r="N386" i="6" s="1"/>
  <c r="K387" i="6"/>
  <c r="N387" i="6" s="1"/>
  <c r="K388" i="6"/>
  <c r="N388" i="6" s="1"/>
  <c r="K389" i="6"/>
  <c r="N389" i="6" s="1"/>
  <c r="K390" i="6"/>
  <c r="N390" i="6" s="1"/>
  <c r="K391" i="6"/>
  <c r="N391" i="6" s="1"/>
  <c r="K392" i="6"/>
  <c r="N392" i="6" s="1"/>
  <c r="K393" i="6"/>
  <c r="N393" i="6" s="1"/>
  <c r="K394" i="6"/>
  <c r="N394" i="6" s="1"/>
  <c r="K395" i="6"/>
  <c r="N395" i="6" s="1"/>
  <c r="K396" i="6"/>
  <c r="N396" i="6" s="1"/>
  <c r="K397" i="6"/>
  <c r="N397" i="6" s="1"/>
  <c r="K398" i="6"/>
  <c r="N398" i="6" s="1"/>
  <c r="K399" i="6"/>
  <c r="N399" i="6" s="1"/>
  <c r="K400" i="6"/>
  <c r="N400" i="6" s="1"/>
  <c r="K401" i="6"/>
  <c r="N401" i="6" s="1"/>
  <c r="K402" i="6"/>
  <c r="N402" i="6" s="1"/>
  <c r="K403" i="6"/>
  <c r="N403" i="6" s="1"/>
  <c r="K404" i="6"/>
  <c r="N404" i="6" s="1"/>
  <c r="K405" i="6"/>
  <c r="N405" i="6" s="1"/>
  <c r="K406" i="6"/>
  <c r="N406" i="6" s="1"/>
  <c r="K407" i="6"/>
  <c r="N407" i="6" s="1"/>
  <c r="K408" i="6"/>
  <c r="N408" i="6" s="1"/>
  <c r="K409" i="6"/>
  <c r="N409" i="6" s="1"/>
  <c r="K410" i="6"/>
  <c r="N410" i="6" s="1"/>
  <c r="K411" i="6"/>
  <c r="N411" i="6" s="1"/>
  <c r="K412" i="6"/>
  <c r="N412" i="6" s="1"/>
  <c r="K413" i="6"/>
  <c r="N413" i="6" s="1"/>
  <c r="K414" i="6"/>
  <c r="N414" i="6" s="1"/>
  <c r="K415" i="6"/>
  <c r="N415" i="6" s="1"/>
  <c r="K416" i="6"/>
  <c r="N416" i="6" s="1"/>
  <c r="K417" i="6"/>
  <c r="N417" i="6" s="1"/>
  <c r="K418" i="6"/>
  <c r="N418" i="6" s="1"/>
  <c r="K419" i="6"/>
  <c r="N419" i="6" s="1"/>
  <c r="K420" i="6"/>
  <c r="N420" i="6" s="1"/>
  <c r="K421" i="6"/>
  <c r="N421" i="6" s="1"/>
  <c r="K422" i="6"/>
  <c r="N422" i="6" s="1"/>
  <c r="K423" i="6"/>
  <c r="N423" i="6" s="1"/>
  <c r="K424" i="6"/>
  <c r="N424" i="6" s="1"/>
  <c r="K425" i="6"/>
  <c r="N425" i="6" s="1"/>
  <c r="K426" i="6"/>
  <c r="N426" i="6" s="1"/>
  <c r="K427" i="6"/>
  <c r="N427" i="6" s="1"/>
  <c r="K428" i="6"/>
  <c r="N428" i="6" s="1"/>
  <c r="K429" i="6"/>
  <c r="N429" i="6" s="1"/>
  <c r="K430" i="6"/>
  <c r="N430" i="6" s="1"/>
  <c r="K431" i="6"/>
  <c r="N431" i="6" s="1"/>
  <c r="K432" i="6"/>
  <c r="N432" i="6" s="1"/>
  <c r="K433" i="6"/>
  <c r="N433" i="6" s="1"/>
  <c r="K434" i="6"/>
  <c r="N434" i="6" s="1"/>
  <c r="K435" i="6"/>
  <c r="N435" i="6" s="1"/>
  <c r="K436" i="6"/>
  <c r="N436" i="6" s="1"/>
  <c r="K437" i="6"/>
  <c r="N437" i="6" s="1"/>
  <c r="K438" i="6"/>
  <c r="N438" i="6" s="1"/>
  <c r="K439" i="6"/>
  <c r="N439" i="6" s="1"/>
  <c r="K440" i="6"/>
  <c r="N440" i="6" s="1"/>
  <c r="K441" i="6"/>
  <c r="N441" i="6" s="1"/>
  <c r="K442" i="6"/>
  <c r="N442" i="6" s="1"/>
  <c r="K443" i="6"/>
  <c r="N443" i="6" s="1"/>
  <c r="K444" i="6"/>
  <c r="N444" i="6" s="1"/>
  <c r="K445" i="6"/>
  <c r="N445" i="6" s="1"/>
  <c r="K446" i="6"/>
  <c r="N446" i="6" s="1"/>
  <c r="K447" i="6"/>
  <c r="N447" i="6" s="1"/>
  <c r="K448" i="6"/>
  <c r="N448" i="6" s="1"/>
  <c r="K449" i="6"/>
  <c r="N449" i="6" s="1"/>
  <c r="K450" i="6"/>
  <c r="N450" i="6" s="1"/>
  <c r="K451" i="6"/>
  <c r="N451" i="6" s="1"/>
  <c r="K452" i="6"/>
  <c r="N452" i="6" s="1"/>
  <c r="K453" i="6"/>
  <c r="N453" i="6" s="1"/>
  <c r="K454" i="6"/>
  <c r="N454" i="6" s="1"/>
  <c r="K455" i="6"/>
  <c r="N455" i="6" s="1"/>
  <c r="K456" i="6"/>
  <c r="N456" i="6" s="1"/>
  <c r="K457" i="6"/>
  <c r="N457" i="6" s="1"/>
  <c r="K458" i="6"/>
  <c r="N458" i="6" s="1"/>
  <c r="K459" i="6"/>
  <c r="N459" i="6" s="1"/>
  <c r="K460" i="6"/>
  <c r="N460" i="6" s="1"/>
  <c r="K461" i="6"/>
  <c r="N461" i="6" s="1"/>
  <c r="K462" i="6"/>
  <c r="N462" i="6" s="1"/>
  <c r="K463" i="6"/>
  <c r="N463" i="6" s="1"/>
  <c r="K464" i="6"/>
  <c r="N464" i="6" s="1"/>
  <c r="K465" i="6"/>
  <c r="N465" i="6" s="1"/>
  <c r="K466" i="6"/>
  <c r="N466" i="6" s="1"/>
  <c r="K467" i="6"/>
  <c r="N467" i="6" s="1"/>
  <c r="K468" i="6"/>
  <c r="N468" i="6" s="1"/>
  <c r="K469" i="6"/>
  <c r="N469" i="6" s="1"/>
  <c r="K470" i="6"/>
  <c r="N470" i="6" s="1"/>
  <c r="K471" i="6"/>
  <c r="N471" i="6" s="1"/>
  <c r="K472" i="6"/>
  <c r="N472" i="6" s="1"/>
  <c r="K473" i="6"/>
  <c r="N473" i="6" s="1"/>
  <c r="K474" i="6"/>
  <c r="N474" i="6" s="1"/>
  <c r="K475" i="6"/>
  <c r="N475" i="6" s="1"/>
  <c r="K476" i="6"/>
  <c r="N476" i="6" s="1"/>
  <c r="K477" i="6"/>
  <c r="N477" i="6" s="1"/>
  <c r="K478" i="6"/>
  <c r="N478" i="6" s="1"/>
  <c r="K479" i="6"/>
  <c r="N479" i="6" s="1"/>
  <c r="K480" i="6"/>
  <c r="N480" i="6" s="1"/>
  <c r="K481" i="6"/>
  <c r="N481" i="6" s="1"/>
  <c r="K482" i="6"/>
  <c r="N482" i="6" s="1"/>
  <c r="K483" i="6"/>
  <c r="N483" i="6" s="1"/>
  <c r="K484" i="6"/>
  <c r="N484" i="6" s="1"/>
  <c r="K485" i="6"/>
  <c r="N485" i="6" s="1"/>
  <c r="K486" i="6"/>
  <c r="N486" i="6" s="1"/>
  <c r="K487" i="6"/>
  <c r="N487" i="6" s="1"/>
  <c r="K488" i="6"/>
  <c r="N488" i="6" s="1"/>
  <c r="K489" i="6"/>
  <c r="N489" i="6" s="1"/>
  <c r="K490" i="6"/>
  <c r="N490" i="6" s="1"/>
  <c r="K491" i="6"/>
  <c r="N491" i="6" s="1"/>
  <c r="K492" i="6"/>
  <c r="N492" i="6" s="1"/>
  <c r="K493" i="6"/>
  <c r="N493" i="6" s="1"/>
  <c r="K494" i="6"/>
  <c r="N494" i="6" s="1"/>
  <c r="K495" i="6"/>
  <c r="N495" i="6" s="1"/>
  <c r="K496" i="6"/>
  <c r="N496" i="6" s="1"/>
  <c r="K497" i="6"/>
  <c r="N497" i="6" s="1"/>
  <c r="K498" i="6"/>
  <c r="N498" i="6" s="1"/>
  <c r="K499" i="6"/>
  <c r="N499" i="6" s="1"/>
  <c r="K500" i="6"/>
  <c r="N500" i="6" s="1"/>
  <c r="K501" i="6"/>
  <c r="N501" i="6" s="1"/>
  <c r="K502" i="6"/>
  <c r="N502" i="6" s="1"/>
  <c r="K503" i="6"/>
  <c r="N503" i="6" s="1"/>
  <c r="K504" i="6"/>
  <c r="N504" i="6" s="1"/>
  <c r="K505" i="6"/>
  <c r="N505" i="6" s="1"/>
  <c r="K506" i="6"/>
  <c r="N506" i="6" s="1"/>
  <c r="K507" i="6"/>
  <c r="N507" i="6" s="1"/>
  <c r="K508" i="6"/>
  <c r="N508" i="6" s="1"/>
  <c r="K509" i="6"/>
  <c r="N509" i="6" s="1"/>
  <c r="K510" i="6"/>
  <c r="N510" i="6" s="1"/>
  <c r="K511" i="6"/>
  <c r="N511" i="6" s="1"/>
  <c r="K512" i="6"/>
  <c r="N512" i="6" s="1"/>
  <c r="K513" i="6"/>
  <c r="N513" i="6" s="1"/>
  <c r="K514" i="6"/>
  <c r="N514" i="6" s="1"/>
  <c r="K515" i="6"/>
  <c r="N515" i="6" s="1"/>
  <c r="K516" i="6"/>
  <c r="N516" i="6" s="1"/>
  <c r="K517" i="6"/>
  <c r="N517" i="6" s="1"/>
  <c r="K518" i="6"/>
  <c r="N518" i="6" s="1"/>
  <c r="K519" i="6"/>
  <c r="N519" i="6" s="1"/>
  <c r="K520" i="6"/>
  <c r="N520" i="6" s="1"/>
  <c r="K521" i="6"/>
  <c r="N521" i="6" s="1"/>
  <c r="K522" i="6"/>
  <c r="N522" i="6" s="1"/>
  <c r="K523" i="6"/>
  <c r="N523" i="6" s="1"/>
  <c r="K524" i="6"/>
  <c r="N524" i="6" s="1"/>
  <c r="K525" i="6"/>
  <c r="N525" i="6" s="1"/>
  <c r="K526" i="6"/>
  <c r="N526" i="6" s="1"/>
  <c r="K527" i="6"/>
  <c r="N527" i="6" s="1"/>
  <c r="K528" i="6"/>
  <c r="N528" i="6" s="1"/>
  <c r="K529" i="6"/>
  <c r="N529" i="6" s="1"/>
  <c r="K530" i="6"/>
  <c r="N530" i="6" s="1"/>
  <c r="K531" i="6"/>
  <c r="N531" i="6" s="1"/>
  <c r="K532" i="6"/>
  <c r="N532" i="6" s="1"/>
  <c r="K533" i="6"/>
  <c r="N533" i="6" s="1"/>
  <c r="K534" i="6"/>
  <c r="N534" i="6" s="1"/>
  <c r="K535" i="6"/>
  <c r="N535" i="6" s="1"/>
  <c r="K536" i="6"/>
  <c r="N536" i="6" s="1"/>
  <c r="K537" i="6"/>
  <c r="N537" i="6" s="1"/>
  <c r="K538" i="6"/>
  <c r="N538" i="6" s="1"/>
  <c r="K539" i="6"/>
  <c r="N539" i="6" s="1"/>
  <c r="K540" i="6"/>
  <c r="N540" i="6" s="1"/>
  <c r="K541" i="6"/>
  <c r="N541" i="6" s="1"/>
  <c r="K542" i="6"/>
  <c r="N542" i="6" s="1"/>
  <c r="K543" i="6"/>
  <c r="N543" i="6" s="1"/>
  <c r="K544" i="6"/>
  <c r="N544" i="6" s="1"/>
  <c r="K545" i="6"/>
  <c r="N545" i="6" s="1"/>
  <c r="K546" i="6"/>
  <c r="N546" i="6" s="1"/>
  <c r="K547" i="6"/>
  <c r="N547" i="6" s="1"/>
  <c r="K548" i="6"/>
  <c r="N548" i="6" s="1"/>
  <c r="K549" i="6"/>
  <c r="N549" i="6" s="1"/>
  <c r="K550" i="6"/>
  <c r="N550" i="6" s="1"/>
  <c r="K551" i="6"/>
  <c r="N551" i="6" s="1"/>
  <c r="K552" i="6"/>
  <c r="N552" i="6" s="1"/>
  <c r="K553" i="6"/>
  <c r="N553" i="6" s="1"/>
  <c r="K554" i="6"/>
  <c r="N554" i="6" s="1"/>
  <c r="K555" i="6"/>
  <c r="N555" i="6" s="1"/>
  <c r="K556" i="6"/>
  <c r="N556" i="6" s="1"/>
  <c r="K557" i="6"/>
  <c r="N557" i="6" s="1"/>
  <c r="K558" i="6"/>
  <c r="N558" i="6" s="1"/>
  <c r="K559" i="6"/>
  <c r="N559" i="6" s="1"/>
  <c r="K560" i="6"/>
  <c r="N560" i="6" s="1"/>
  <c r="K561" i="6"/>
  <c r="N561" i="6" s="1"/>
  <c r="K562" i="6"/>
  <c r="N562" i="6" s="1"/>
  <c r="K563" i="6"/>
  <c r="N563" i="6" s="1"/>
  <c r="K564" i="6"/>
  <c r="N564" i="6" s="1"/>
  <c r="K565" i="6"/>
  <c r="N565" i="6" s="1"/>
  <c r="K566" i="6"/>
  <c r="N566" i="6" s="1"/>
  <c r="K567" i="6"/>
  <c r="N567" i="6" s="1"/>
  <c r="K568" i="6"/>
  <c r="N568" i="6" s="1"/>
  <c r="K569" i="6"/>
  <c r="N569" i="6" s="1"/>
  <c r="K570" i="6"/>
  <c r="N570" i="6" s="1"/>
  <c r="K571" i="6"/>
  <c r="N571" i="6" s="1"/>
  <c r="K572" i="6"/>
  <c r="N572" i="6" s="1"/>
  <c r="K573" i="6"/>
  <c r="N573" i="6" s="1"/>
  <c r="K574" i="6"/>
  <c r="N574" i="6" s="1"/>
  <c r="K575" i="6"/>
  <c r="N575" i="6" s="1"/>
  <c r="K576" i="6"/>
  <c r="N576" i="6" s="1"/>
  <c r="K577" i="6"/>
  <c r="N577" i="6" s="1"/>
  <c r="K578" i="6"/>
  <c r="N578" i="6" s="1"/>
  <c r="K579" i="6"/>
  <c r="N579" i="6" s="1"/>
  <c r="K580" i="6"/>
  <c r="N580" i="6" s="1"/>
  <c r="K581" i="6"/>
  <c r="N581" i="6" s="1"/>
  <c r="K582" i="6"/>
  <c r="N582" i="6" s="1"/>
  <c r="K583" i="6"/>
  <c r="N583" i="6" s="1"/>
  <c r="K584" i="6"/>
  <c r="N584" i="6" s="1"/>
  <c r="K585" i="6"/>
  <c r="N585" i="6" s="1"/>
  <c r="K586" i="6"/>
  <c r="N586" i="6" s="1"/>
  <c r="K587" i="6"/>
  <c r="N587" i="6" s="1"/>
  <c r="K588" i="6"/>
  <c r="N588" i="6" s="1"/>
  <c r="K589" i="6"/>
  <c r="N589" i="6" s="1"/>
  <c r="K590" i="6"/>
  <c r="N590" i="6" s="1"/>
  <c r="K591" i="6"/>
  <c r="N591" i="6" s="1"/>
  <c r="K592" i="6"/>
  <c r="N592" i="6" s="1"/>
  <c r="K593" i="6"/>
  <c r="N593" i="6" s="1"/>
  <c r="K594" i="6"/>
  <c r="N594" i="6" s="1"/>
  <c r="K595" i="6"/>
  <c r="N595" i="6" s="1"/>
  <c r="K596" i="6"/>
  <c r="N596" i="6" s="1"/>
  <c r="K597" i="6"/>
  <c r="N597" i="6" s="1"/>
  <c r="K598" i="6"/>
  <c r="N598" i="6" s="1"/>
  <c r="K599" i="6"/>
  <c r="N599" i="6" s="1"/>
  <c r="K600" i="6"/>
  <c r="N600" i="6" s="1"/>
  <c r="K601" i="6"/>
  <c r="N601" i="6" s="1"/>
  <c r="K602" i="6"/>
  <c r="N602" i="6" s="1"/>
  <c r="K603" i="6"/>
  <c r="N603" i="6" s="1"/>
  <c r="K604" i="6"/>
  <c r="N604" i="6" s="1"/>
  <c r="K605" i="6"/>
  <c r="N605" i="6" s="1"/>
  <c r="K606" i="6"/>
  <c r="N606" i="6" s="1"/>
  <c r="K607" i="6"/>
  <c r="N607" i="6" s="1"/>
  <c r="K608" i="6"/>
  <c r="N608" i="6" s="1"/>
  <c r="K609" i="6"/>
  <c r="N609" i="6" s="1"/>
  <c r="K610" i="6"/>
  <c r="N610" i="6" s="1"/>
  <c r="K611" i="6"/>
  <c r="N611" i="6" s="1"/>
  <c r="K612" i="6"/>
  <c r="N612" i="6" s="1"/>
  <c r="K613" i="6"/>
  <c r="N613" i="6" s="1"/>
  <c r="K614" i="6"/>
  <c r="N614" i="6" s="1"/>
  <c r="K615" i="6"/>
  <c r="N615" i="6" s="1"/>
  <c r="K616" i="6"/>
  <c r="N616" i="6" s="1"/>
  <c r="K617" i="6"/>
  <c r="N617" i="6" s="1"/>
  <c r="K618" i="6"/>
  <c r="N618" i="6" s="1"/>
  <c r="K619" i="6"/>
  <c r="N619" i="6" s="1"/>
  <c r="K620" i="6"/>
  <c r="N620" i="6" s="1"/>
  <c r="K621" i="6"/>
  <c r="N621" i="6" s="1"/>
  <c r="K622" i="6"/>
  <c r="N622" i="6" s="1"/>
  <c r="K623" i="6"/>
  <c r="N623" i="6" s="1"/>
  <c r="K624" i="6"/>
  <c r="N624" i="6" s="1"/>
  <c r="K625" i="6"/>
  <c r="N625" i="6" s="1"/>
  <c r="K626" i="6"/>
  <c r="N626" i="6" s="1"/>
  <c r="K627" i="6"/>
  <c r="N627" i="6" s="1"/>
  <c r="K628" i="6"/>
  <c r="N628" i="6" s="1"/>
  <c r="K629" i="6"/>
  <c r="N629" i="6" s="1"/>
  <c r="K630" i="6"/>
  <c r="N630" i="6" s="1"/>
  <c r="K631" i="6"/>
  <c r="N631" i="6" s="1"/>
  <c r="K632" i="6"/>
  <c r="N632" i="6" s="1"/>
  <c r="K633" i="6"/>
  <c r="N633" i="6" s="1"/>
  <c r="K634" i="6"/>
  <c r="N634" i="6" s="1"/>
  <c r="K635" i="6"/>
  <c r="N635" i="6" s="1"/>
  <c r="K636" i="6"/>
  <c r="N636" i="6" s="1"/>
  <c r="K637" i="6"/>
  <c r="N637" i="6" s="1"/>
  <c r="K638" i="6"/>
  <c r="N638" i="6" s="1"/>
  <c r="K639" i="6"/>
  <c r="N639" i="6" s="1"/>
  <c r="K640" i="6"/>
  <c r="N640" i="6" s="1"/>
  <c r="K641" i="6"/>
  <c r="N641" i="6" s="1"/>
  <c r="K642" i="6"/>
  <c r="N642" i="6" s="1"/>
  <c r="K643" i="6"/>
  <c r="N643" i="6" s="1"/>
  <c r="K644" i="6"/>
  <c r="N644" i="6" s="1"/>
  <c r="K645" i="6"/>
  <c r="N645" i="6" s="1"/>
  <c r="K646" i="6"/>
  <c r="N646" i="6" s="1"/>
  <c r="K647" i="6"/>
  <c r="N647" i="6" s="1"/>
  <c r="K648" i="6"/>
  <c r="N648" i="6" s="1"/>
  <c r="K649" i="6"/>
  <c r="N649" i="6" s="1"/>
  <c r="K650" i="6"/>
  <c r="N650" i="6" s="1"/>
  <c r="K651" i="6"/>
  <c r="N651" i="6" s="1"/>
  <c r="K652" i="6"/>
  <c r="N652" i="6" s="1"/>
  <c r="K653" i="6"/>
  <c r="N653" i="6" s="1"/>
  <c r="K654" i="6"/>
  <c r="N654" i="6" s="1"/>
  <c r="K655" i="6"/>
  <c r="N655" i="6" s="1"/>
  <c r="K656" i="6"/>
  <c r="N656" i="6" s="1"/>
  <c r="K657" i="6"/>
  <c r="N657" i="6" s="1"/>
  <c r="K658" i="6"/>
  <c r="N658" i="6" s="1"/>
  <c r="K659" i="6"/>
  <c r="N659" i="6" s="1"/>
  <c r="K660" i="6"/>
  <c r="N660" i="6" s="1"/>
  <c r="K661" i="6"/>
  <c r="N661" i="6" s="1"/>
  <c r="K662" i="6"/>
  <c r="N662" i="6" s="1"/>
  <c r="K663" i="6"/>
  <c r="N663" i="6" s="1"/>
  <c r="K664" i="6"/>
  <c r="N664" i="6" s="1"/>
  <c r="K665" i="6"/>
  <c r="N665" i="6" s="1"/>
  <c r="K666" i="6"/>
  <c r="N666" i="6" s="1"/>
  <c r="K667" i="6"/>
  <c r="N667" i="6" s="1"/>
  <c r="K668" i="6"/>
  <c r="N668" i="6" s="1"/>
  <c r="K669" i="6"/>
  <c r="N669" i="6" s="1"/>
  <c r="K670" i="6"/>
  <c r="N670" i="6" s="1"/>
  <c r="K671" i="6"/>
  <c r="N671" i="6" s="1"/>
  <c r="K672" i="6"/>
  <c r="N672" i="6" s="1"/>
  <c r="K673" i="6"/>
  <c r="N673" i="6" s="1"/>
  <c r="K674" i="6"/>
  <c r="N674" i="6" s="1"/>
  <c r="K675" i="6"/>
  <c r="N675" i="6" s="1"/>
  <c r="K676" i="6"/>
  <c r="N676" i="6" s="1"/>
  <c r="K677" i="6"/>
  <c r="N677" i="6" s="1"/>
  <c r="K678" i="6"/>
  <c r="N678" i="6" s="1"/>
  <c r="K679" i="6"/>
  <c r="N679" i="6" s="1"/>
  <c r="K680" i="6"/>
  <c r="N680" i="6" s="1"/>
  <c r="K681" i="6"/>
  <c r="N681" i="6" s="1"/>
  <c r="K682" i="6"/>
  <c r="N682" i="6" s="1"/>
  <c r="K683" i="6"/>
  <c r="N683" i="6" s="1"/>
  <c r="K684" i="6"/>
  <c r="N684" i="6" s="1"/>
  <c r="K685" i="6"/>
  <c r="N685" i="6" s="1"/>
  <c r="K686" i="6"/>
  <c r="N686" i="6" s="1"/>
  <c r="K687" i="6"/>
  <c r="N687" i="6" s="1"/>
  <c r="K688" i="6"/>
  <c r="N688" i="6" s="1"/>
  <c r="K689" i="6"/>
  <c r="N689" i="6" s="1"/>
  <c r="K690" i="6"/>
  <c r="N690" i="6" s="1"/>
  <c r="K691" i="6"/>
  <c r="N691" i="6" s="1"/>
  <c r="K692" i="6"/>
  <c r="N692" i="6" s="1"/>
  <c r="K693" i="6"/>
  <c r="N693" i="6" s="1"/>
  <c r="K694" i="6"/>
  <c r="N694" i="6" s="1"/>
  <c r="K695" i="6"/>
  <c r="N695" i="6" s="1"/>
  <c r="K696" i="6"/>
  <c r="N696" i="6" s="1"/>
  <c r="K697" i="6"/>
  <c r="N697" i="6" s="1"/>
  <c r="K698" i="6"/>
  <c r="N698" i="6" s="1"/>
  <c r="K699" i="6"/>
  <c r="N699" i="6" s="1"/>
  <c r="K700" i="6"/>
  <c r="N700" i="6" s="1"/>
  <c r="K701" i="6"/>
  <c r="N701" i="6" s="1"/>
  <c r="K702" i="6"/>
  <c r="N702" i="6" s="1"/>
  <c r="K703" i="6"/>
  <c r="N703" i="6" s="1"/>
  <c r="K704" i="6"/>
  <c r="N704" i="6" s="1"/>
  <c r="K705" i="6"/>
  <c r="N705" i="6" s="1"/>
  <c r="K706" i="6"/>
  <c r="N706" i="6" s="1"/>
  <c r="K707" i="6"/>
  <c r="N707" i="6" s="1"/>
  <c r="K708" i="6"/>
  <c r="N708" i="6" s="1"/>
  <c r="K709" i="6"/>
  <c r="N709" i="6" s="1"/>
  <c r="K710" i="6"/>
  <c r="N710" i="6" s="1"/>
  <c r="K711" i="6"/>
  <c r="N711" i="6" s="1"/>
  <c r="K712" i="6"/>
  <c r="N712" i="6" s="1"/>
  <c r="K713" i="6"/>
  <c r="N713" i="6" s="1"/>
  <c r="K714" i="6"/>
  <c r="N714" i="6" s="1"/>
  <c r="K715" i="6"/>
  <c r="N715" i="6" s="1"/>
  <c r="K716" i="6"/>
  <c r="N716" i="6" s="1"/>
  <c r="K717" i="6"/>
  <c r="N717" i="6" s="1"/>
  <c r="K718" i="6"/>
  <c r="N718" i="6" s="1"/>
  <c r="K719" i="6"/>
  <c r="N719" i="6" s="1"/>
  <c r="K720" i="6"/>
  <c r="N720" i="6" s="1"/>
  <c r="K721" i="6"/>
  <c r="N721" i="6" s="1"/>
  <c r="K722" i="6"/>
  <c r="N722" i="6" s="1"/>
  <c r="K723" i="6"/>
  <c r="N723" i="6" s="1"/>
  <c r="K724" i="6"/>
  <c r="N724" i="6" s="1"/>
  <c r="K725" i="6"/>
  <c r="N725" i="6" s="1"/>
  <c r="K726" i="6"/>
  <c r="N726" i="6" s="1"/>
  <c r="K727" i="6"/>
  <c r="N727" i="6" s="1"/>
  <c r="K728" i="6"/>
  <c r="N728" i="6" s="1"/>
  <c r="K729" i="6"/>
  <c r="N729" i="6" s="1"/>
  <c r="K730" i="6"/>
  <c r="N730" i="6" s="1"/>
  <c r="K731" i="6"/>
  <c r="N731" i="6" s="1"/>
  <c r="K732" i="6"/>
  <c r="N732" i="6" s="1"/>
  <c r="K733" i="6"/>
  <c r="N733" i="6" s="1"/>
  <c r="K734" i="6"/>
  <c r="N734" i="6" s="1"/>
  <c r="K735" i="6"/>
  <c r="N735" i="6" s="1"/>
  <c r="K736" i="6"/>
  <c r="N736" i="6" s="1"/>
  <c r="K737" i="6"/>
  <c r="N737" i="6" s="1"/>
  <c r="K738" i="6"/>
  <c r="N738" i="6" s="1"/>
  <c r="K739" i="6"/>
  <c r="N739" i="6" s="1"/>
  <c r="K740" i="6"/>
  <c r="N740" i="6" s="1"/>
  <c r="K741" i="6"/>
  <c r="N741" i="6" s="1"/>
  <c r="K742" i="6"/>
  <c r="N742" i="6" s="1"/>
  <c r="K743" i="6"/>
  <c r="N743" i="6" s="1"/>
  <c r="K744" i="6"/>
  <c r="N744" i="6" s="1"/>
  <c r="K745" i="6"/>
  <c r="N745" i="6" s="1"/>
  <c r="K746" i="6"/>
  <c r="N746" i="6" s="1"/>
  <c r="K747" i="6"/>
  <c r="N747" i="6" s="1"/>
  <c r="K748" i="6"/>
  <c r="N748" i="6" s="1"/>
  <c r="K749" i="6"/>
  <c r="N749" i="6" s="1"/>
  <c r="K750" i="6"/>
  <c r="N750" i="6" s="1"/>
  <c r="K751" i="6"/>
  <c r="N751" i="6" s="1"/>
  <c r="K752" i="6"/>
  <c r="N752" i="6" s="1"/>
  <c r="K753" i="6"/>
  <c r="N753" i="6" s="1"/>
  <c r="K754" i="6"/>
  <c r="N754" i="6" s="1"/>
  <c r="K755" i="6"/>
  <c r="N755" i="6" s="1"/>
  <c r="K756" i="6"/>
  <c r="N756" i="6" s="1"/>
  <c r="K757" i="6"/>
  <c r="N757" i="6" s="1"/>
  <c r="K758" i="6"/>
  <c r="N758" i="6" s="1"/>
  <c r="K759" i="6"/>
  <c r="N759" i="6" s="1"/>
  <c r="K760" i="6"/>
  <c r="N760" i="6" s="1"/>
  <c r="K761" i="6"/>
  <c r="N761" i="6" s="1"/>
  <c r="K762" i="6"/>
  <c r="N762" i="6" s="1"/>
  <c r="K763" i="6"/>
  <c r="N763" i="6" s="1"/>
  <c r="K764" i="6"/>
  <c r="N764" i="6" s="1"/>
  <c r="K765" i="6"/>
  <c r="N765" i="6" s="1"/>
  <c r="K766" i="6"/>
  <c r="N766" i="6" s="1"/>
  <c r="K767" i="6"/>
  <c r="N767" i="6" s="1"/>
  <c r="K768" i="6"/>
  <c r="N768" i="6" s="1"/>
  <c r="K769" i="6"/>
  <c r="N769" i="6" s="1"/>
  <c r="K770" i="6"/>
  <c r="N770" i="6" s="1"/>
  <c r="K771" i="6"/>
  <c r="N771" i="6" s="1"/>
  <c r="K772" i="6"/>
  <c r="N772" i="6" s="1"/>
  <c r="K773" i="6"/>
  <c r="N773" i="6" s="1"/>
  <c r="K774" i="6"/>
  <c r="N774" i="6" s="1"/>
  <c r="K775" i="6"/>
  <c r="N775" i="6" s="1"/>
  <c r="K776" i="6"/>
  <c r="N776" i="6" s="1"/>
  <c r="K777" i="6"/>
  <c r="N777" i="6" s="1"/>
  <c r="K778" i="6"/>
  <c r="N778" i="6" s="1"/>
  <c r="K779" i="6"/>
  <c r="N779" i="6" s="1"/>
  <c r="K780" i="6"/>
  <c r="N780" i="6" s="1"/>
  <c r="K781" i="6"/>
  <c r="N781" i="6" s="1"/>
  <c r="K782" i="6"/>
  <c r="N782" i="6" s="1"/>
  <c r="K783" i="6"/>
  <c r="N783" i="6" s="1"/>
  <c r="K784" i="6"/>
  <c r="N784" i="6" s="1"/>
  <c r="K785" i="6"/>
  <c r="N785" i="6" s="1"/>
  <c r="K786" i="6"/>
  <c r="N786" i="6" s="1"/>
  <c r="K787" i="6"/>
  <c r="N787" i="6" s="1"/>
  <c r="K788" i="6"/>
  <c r="N788" i="6" s="1"/>
  <c r="K789" i="6"/>
  <c r="N789" i="6" s="1"/>
  <c r="K790" i="6"/>
  <c r="N790" i="6" s="1"/>
  <c r="K791" i="6"/>
  <c r="N791" i="6" s="1"/>
  <c r="K792" i="6"/>
  <c r="N792" i="6" s="1"/>
  <c r="K793" i="6"/>
  <c r="N793" i="6" s="1"/>
  <c r="K794" i="6"/>
  <c r="N794" i="6" s="1"/>
  <c r="K795" i="6"/>
  <c r="N795" i="6" s="1"/>
  <c r="K796" i="6"/>
  <c r="N796" i="6" s="1"/>
  <c r="K797" i="6"/>
  <c r="N797" i="6" s="1"/>
  <c r="K798" i="6"/>
  <c r="N798" i="6" s="1"/>
  <c r="K799" i="6"/>
  <c r="N799" i="6" s="1"/>
  <c r="K800" i="6"/>
  <c r="N800" i="6" s="1"/>
  <c r="K801" i="6"/>
  <c r="N801" i="6" s="1"/>
  <c r="K802" i="6"/>
  <c r="N802" i="6" s="1"/>
  <c r="K803" i="6"/>
  <c r="N803" i="6" s="1"/>
  <c r="K804" i="6"/>
  <c r="N804" i="6" s="1"/>
  <c r="K805" i="6"/>
  <c r="N805" i="6" s="1"/>
  <c r="K806" i="6"/>
  <c r="N806" i="6" s="1"/>
  <c r="K807" i="6"/>
  <c r="N807" i="6" s="1"/>
  <c r="K808" i="6"/>
  <c r="N808" i="6" s="1"/>
  <c r="K809" i="6"/>
  <c r="N809" i="6" s="1"/>
  <c r="K810" i="6"/>
  <c r="N810" i="6" s="1"/>
  <c r="K811" i="6"/>
  <c r="N811" i="6" s="1"/>
  <c r="K812" i="6"/>
  <c r="N812" i="6" s="1"/>
  <c r="K813" i="6"/>
  <c r="N813" i="6" s="1"/>
  <c r="K814" i="6"/>
  <c r="N814" i="6" s="1"/>
  <c r="K815" i="6"/>
  <c r="N815" i="6" s="1"/>
  <c r="K816" i="6"/>
  <c r="N816" i="6" s="1"/>
  <c r="K817" i="6"/>
  <c r="N817" i="6" s="1"/>
  <c r="K818" i="6"/>
  <c r="N818" i="6" s="1"/>
  <c r="K819" i="6"/>
  <c r="N819" i="6" s="1"/>
  <c r="K820" i="6"/>
  <c r="N820" i="6" s="1"/>
  <c r="K821" i="6"/>
  <c r="N821" i="6" s="1"/>
  <c r="K822" i="6"/>
  <c r="N822" i="6" s="1"/>
  <c r="K823" i="6"/>
  <c r="N823" i="6" s="1"/>
  <c r="K824" i="6"/>
  <c r="N824" i="6" s="1"/>
  <c r="K825" i="6"/>
  <c r="N825" i="6" s="1"/>
  <c r="K826" i="6"/>
  <c r="N826" i="6" s="1"/>
  <c r="K827" i="6"/>
  <c r="N827" i="6" s="1"/>
  <c r="K828" i="6"/>
  <c r="N828" i="6" s="1"/>
  <c r="K829" i="6"/>
  <c r="N829" i="6" s="1"/>
  <c r="K830" i="6"/>
  <c r="N830" i="6" s="1"/>
  <c r="K831" i="6"/>
  <c r="N831" i="6" s="1"/>
  <c r="K832" i="6"/>
  <c r="N832" i="6" s="1"/>
  <c r="K833" i="6"/>
  <c r="N833" i="6" s="1"/>
  <c r="K834" i="6"/>
  <c r="N834" i="6" s="1"/>
  <c r="K835" i="6"/>
  <c r="N835" i="6" s="1"/>
  <c r="K836" i="6"/>
  <c r="N836" i="6" s="1"/>
  <c r="K837" i="6"/>
  <c r="N837" i="6" s="1"/>
  <c r="K838" i="6"/>
  <c r="N838" i="6" s="1"/>
  <c r="K839" i="6"/>
  <c r="N839" i="6" s="1"/>
  <c r="K840" i="6"/>
  <c r="N840" i="6" s="1"/>
  <c r="K841" i="6"/>
  <c r="N841" i="6" s="1"/>
  <c r="K842" i="6"/>
  <c r="N842" i="6" s="1"/>
  <c r="K843" i="6"/>
  <c r="N843" i="6" s="1"/>
  <c r="K844" i="6"/>
  <c r="N844" i="6" s="1"/>
  <c r="K845" i="6"/>
  <c r="N845" i="6" s="1"/>
  <c r="K846" i="6"/>
  <c r="N846" i="6" s="1"/>
  <c r="K847" i="6"/>
  <c r="N847" i="6" s="1"/>
  <c r="K848" i="6"/>
  <c r="N848" i="6" s="1"/>
  <c r="K849" i="6"/>
  <c r="N849" i="6" s="1"/>
  <c r="K850" i="6"/>
  <c r="N850" i="6" s="1"/>
  <c r="K851" i="6"/>
  <c r="N851" i="6" s="1"/>
  <c r="K852" i="6"/>
  <c r="N852" i="6" s="1"/>
  <c r="K853" i="6"/>
  <c r="N853" i="6" s="1"/>
  <c r="K854" i="6"/>
  <c r="N854" i="6" s="1"/>
  <c r="K855" i="6"/>
  <c r="N855" i="6" s="1"/>
  <c r="K856" i="6"/>
  <c r="N856" i="6" s="1"/>
  <c r="K857" i="6"/>
  <c r="N857" i="6" s="1"/>
  <c r="K858" i="6"/>
  <c r="N858" i="6" s="1"/>
  <c r="K859" i="6"/>
  <c r="N859" i="6" s="1"/>
  <c r="K860" i="6"/>
  <c r="N860" i="6" s="1"/>
  <c r="K861" i="6"/>
  <c r="N861" i="6" s="1"/>
  <c r="K862" i="6"/>
  <c r="N862" i="6" s="1"/>
  <c r="K863" i="6"/>
  <c r="N863" i="6" s="1"/>
  <c r="K864" i="6"/>
  <c r="N864" i="6" s="1"/>
  <c r="K865" i="6"/>
  <c r="N865" i="6" s="1"/>
  <c r="K866" i="6"/>
  <c r="N866" i="6" s="1"/>
  <c r="K867" i="6"/>
  <c r="N867" i="6" s="1"/>
  <c r="K868" i="6"/>
  <c r="N868" i="6" s="1"/>
  <c r="K869" i="6"/>
  <c r="N869" i="6" s="1"/>
  <c r="K870" i="6"/>
  <c r="N870" i="6" s="1"/>
  <c r="K871" i="6"/>
  <c r="N871" i="6" s="1"/>
  <c r="K872" i="6"/>
  <c r="N872" i="6" s="1"/>
  <c r="K873" i="6"/>
  <c r="N873" i="6" s="1"/>
  <c r="K874" i="6"/>
  <c r="N874" i="6" s="1"/>
  <c r="K875" i="6"/>
  <c r="N875" i="6" s="1"/>
  <c r="K876" i="6"/>
  <c r="N876" i="6" s="1"/>
  <c r="K877" i="6"/>
  <c r="N877" i="6" s="1"/>
  <c r="K878" i="6"/>
  <c r="N878" i="6" s="1"/>
  <c r="K879" i="6"/>
  <c r="N879" i="6" s="1"/>
  <c r="K880" i="6"/>
  <c r="N880" i="6" s="1"/>
  <c r="K881" i="6"/>
  <c r="N881" i="6" s="1"/>
  <c r="K882" i="6"/>
  <c r="N882" i="6" s="1"/>
  <c r="K883" i="6"/>
  <c r="N883" i="6" s="1"/>
  <c r="K884" i="6"/>
  <c r="N884" i="6" s="1"/>
  <c r="K885" i="6"/>
  <c r="N885" i="6" s="1"/>
  <c r="K886" i="6"/>
  <c r="N886" i="6" s="1"/>
  <c r="K887" i="6"/>
  <c r="N887" i="6" s="1"/>
  <c r="K888" i="6"/>
  <c r="N888" i="6" s="1"/>
  <c r="K889" i="6"/>
  <c r="N889" i="6" s="1"/>
  <c r="K890" i="6"/>
  <c r="N890" i="6" s="1"/>
  <c r="K891" i="6"/>
  <c r="N891" i="6" s="1"/>
  <c r="K892" i="6"/>
  <c r="N892" i="6" s="1"/>
  <c r="K893" i="6"/>
  <c r="N893" i="6" s="1"/>
  <c r="K894" i="6"/>
  <c r="N894" i="6" s="1"/>
  <c r="K895" i="6"/>
  <c r="N895" i="6" s="1"/>
  <c r="K896" i="6"/>
  <c r="N896" i="6" s="1"/>
  <c r="K897" i="6"/>
  <c r="N897" i="6" s="1"/>
  <c r="K898" i="6"/>
  <c r="N898" i="6" s="1"/>
  <c r="K899" i="6"/>
  <c r="N899" i="6" s="1"/>
  <c r="K900" i="6"/>
  <c r="N900" i="6" s="1"/>
  <c r="K901" i="6"/>
  <c r="N901" i="6" s="1"/>
  <c r="K902" i="6"/>
  <c r="N902" i="6" s="1"/>
  <c r="K903" i="6"/>
  <c r="N903" i="6" s="1"/>
  <c r="K904" i="6"/>
  <c r="N904" i="6" s="1"/>
  <c r="K905" i="6"/>
  <c r="N905" i="6" s="1"/>
  <c r="K906" i="6"/>
  <c r="N906" i="6" s="1"/>
  <c r="K907" i="6"/>
  <c r="N907" i="6" s="1"/>
  <c r="K908" i="6"/>
  <c r="N908" i="6" s="1"/>
  <c r="K909" i="6"/>
  <c r="N909" i="6" s="1"/>
  <c r="K910" i="6"/>
  <c r="N910" i="6" s="1"/>
  <c r="K911" i="6"/>
  <c r="N911" i="6" s="1"/>
  <c r="K912" i="6"/>
  <c r="N912" i="6" s="1"/>
  <c r="K913" i="6"/>
  <c r="N913" i="6" s="1"/>
  <c r="K914" i="6"/>
  <c r="N914" i="6" s="1"/>
  <c r="K915" i="6"/>
  <c r="N915" i="6" s="1"/>
  <c r="K916" i="6"/>
  <c r="N916" i="6" s="1"/>
  <c r="K917" i="6"/>
  <c r="N917" i="6" s="1"/>
  <c r="K918" i="6"/>
  <c r="N918" i="6" s="1"/>
  <c r="K919" i="6"/>
  <c r="N919" i="6" s="1"/>
  <c r="K920" i="6"/>
  <c r="N920" i="6" s="1"/>
  <c r="K921" i="6"/>
  <c r="N921" i="6" s="1"/>
  <c r="K922" i="6"/>
  <c r="N922" i="6" s="1"/>
  <c r="K923" i="6"/>
  <c r="N923" i="6" s="1"/>
  <c r="K924" i="6"/>
  <c r="N924" i="6" s="1"/>
  <c r="K925" i="6"/>
  <c r="N925" i="6" s="1"/>
  <c r="K926" i="6"/>
  <c r="N926" i="6" s="1"/>
  <c r="K927" i="6"/>
  <c r="N927" i="6" s="1"/>
  <c r="K928" i="6"/>
  <c r="N928" i="6" s="1"/>
  <c r="K929" i="6"/>
  <c r="N929" i="6" s="1"/>
  <c r="K930" i="6"/>
  <c r="N930" i="6" s="1"/>
  <c r="K931" i="6"/>
  <c r="N931" i="6" s="1"/>
  <c r="K932" i="6"/>
  <c r="N932" i="6" s="1"/>
  <c r="K933" i="6"/>
  <c r="N933" i="6" s="1"/>
  <c r="K934" i="6"/>
  <c r="N934" i="6" s="1"/>
  <c r="K935" i="6"/>
  <c r="N935" i="6" s="1"/>
  <c r="K936" i="6"/>
  <c r="N936" i="6" s="1"/>
  <c r="K937" i="6"/>
  <c r="N937" i="6" s="1"/>
  <c r="K938" i="6"/>
  <c r="N938" i="6" s="1"/>
  <c r="K939" i="6"/>
  <c r="N939" i="6" s="1"/>
  <c r="K940" i="6"/>
  <c r="N940" i="6" s="1"/>
  <c r="K941" i="6"/>
  <c r="N941" i="6" s="1"/>
  <c r="K942" i="6"/>
  <c r="N942" i="6" s="1"/>
  <c r="K943" i="6"/>
  <c r="N943" i="6" s="1"/>
  <c r="K944" i="6"/>
  <c r="N944" i="6" s="1"/>
  <c r="K945" i="6"/>
  <c r="N945" i="6" s="1"/>
  <c r="K946" i="6"/>
  <c r="N946" i="6" s="1"/>
  <c r="K947" i="6"/>
  <c r="N947" i="6" s="1"/>
  <c r="K948" i="6"/>
  <c r="N948" i="6" s="1"/>
  <c r="K949" i="6"/>
  <c r="N949" i="6" s="1"/>
  <c r="K950" i="6"/>
  <c r="N950" i="6" s="1"/>
  <c r="K951" i="6"/>
  <c r="N951" i="6" s="1"/>
  <c r="K952" i="6"/>
  <c r="N952" i="6" s="1"/>
  <c r="K953" i="6"/>
  <c r="N953" i="6" s="1"/>
  <c r="K954" i="6"/>
  <c r="N954" i="6" s="1"/>
  <c r="K955" i="6"/>
  <c r="N955" i="6" s="1"/>
  <c r="K956" i="6"/>
  <c r="N956" i="6" s="1"/>
  <c r="K957" i="6"/>
  <c r="N957" i="6" s="1"/>
  <c r="K958" i="6"/>
  <c r="N958" i="6" s="1"/>
  <c r="K959" i="6"/>
  <c r="N959" i="6" s="1"/>
  <c r="K960" i="6"/>
  <c r="N960" i="6" s="1"/>
  <c r="K961" i="6"/>
  <c r="N961" i="6" s="1"/>
  <c r="K962" i="6"/>
  <c r="N962" i="6" s="1"/>
  <c r="K963" i="6"/>
  <c r="N963" i="6" s="1"/>
  <c r="K964" i="6"/>
  <c r="N964" i="6" s="1"/>
  <c r="K965" i="6"/>
  <c r="N965" i="6" s="1"/>
  <c r="K966" i="6"/>
  <c r="N966" i="6" s="1"/>
  <c r="K967" i="6"/>
  <c r="N967" i="6" s="1"/>
  <c r="K968" i="6"/>
  <c r="N968" i="6" s="1"/>
  <c r="K969" i="6"/>
  <c r="N969" i="6" s="1"/>
  <c r="K970" i="6"/>
  <c r="N970" i="6" s="1"/>
  <c r="K971" i="6"/>
  <c r="N971" i="6" s="1"/>
  <c r="K972" i="6"/>
  <c r="N972" i="6" s="1"/>
  <c r="K973" i="6"/>
  <c r="N973" i="6" s="1"/>
  <c r="K974" i="6"/>
  <c r="N974" i="6" s="1"/>
  <c r="K975" i="6"/>
  <c r="N975" i="6" s="1"/>
  <c r="K976" i="6"/>
  <c r="N976" i="6" s="1"/>
  <c r="K977" i="6"/>
  <c r="N977" i="6" s="1"/>
  <c r="K978" i="6"/>
  <c r="N978" i="6" s="1"/>
  <c r="K979" i="6"/>
  <c r="N979" i="6" s="1"/>
  <c r="K980" i="6"/>
  <c r="N980" i="6" s="1"/>
  <c r="K981" i="6"/>
  <c r="N981" i="6" s="1"/>
  <c r="K982" i="6"/>
  <c r="N982" i="6" s="1"/>
  <c r="K983" i="6"/>
  <c r="N983" i="6" s="1"/>
  <c r="K984" i="6"/>
  <c r="N984" i="6" s="1"/>
  <c r="K985" i="6"/>
  <c r="N985" i="6" s="1"/>
  <c r="K986" i="6"/>
  <c r="N986" i="6" s="1"/>
  <c r="K987" i="6"/>
  <c r="N987" i="6" s="1"/>
  <c r="K988" i="6"/>
  <c r="N988" i="6" s="1"/>
  <c r="K989" i="6"/>
  <c r="N989" i="6" s="1"/>
  <c r="K990" i="6"/>
  <c r="N990" i="6" s="1"/>
  <c r="K991" i="6"/>
  <c r="N991" i="6" s="1"/>
  <c r="K992" i="6"/>
  <c r="N992" i="6" s="1"/>
  <c r="K993" i="6"/>
  <c r="N993" i="6" s="1"/>
  <c r="K994" i="6"/>
  <c r="N994" i="6" s="1"/>
  <c r="K995" i="6"/>
  <c r="N995" i="6" s="1"/>
  <c r="K996" i="6"/>
  <c r="N996" i="6" s="1"/>
  <c r="K997" i="6"/>
  <c r="N997" i="6" s="1"/>
  <c r="K998" i="6"/>
  <c r="N998" i="6" s="1"/>
  <c r="K999" i="6"/>
  <c r="N999" i="6" s="1"/>
  <c r="K1000" i="6"/>
  <c r="N1000" i="6" s="1"/>
  <c r="K1001" i="6"/>
  <c r="N1001" i="6" s="1"/>
  <c r="K1002" i="6"/>
  <c r="N1002" i="6" s="1"/>
  <c r="K1003" i="6"/>
  <c r="N1003" i="6" s="1"/>
  <c r="K1004" i="6"/>
  <c r="N1004" i="6" s="1"/>
  <c r="K1005" i="6"/>
  <c r="N1005" i="6" s="1"/>
  <c r="K1006" i="6"/>
  <c r="N1006" i="6" s="1"/>
  <c r="K1007" i="6"/>
  <c r="N1007" i="6" s="1"/>
  <c r="K1008" i="6"/>
  <c r="N1008" i="6" s="1"/>
  <c r="K1009" i="6"/>
  <c r="N1009" i="6" s="1"/>
  <c r="K1010" i="6"/>
  <c r="N1010" i="6" s="1"/>
  <c r="K1011" i="6"/>
  <c r="N1011" i="6" s="1"/>
  <c r="K1012" i="6"/>
  <c r="N1012" i="6" s="1"/>
  <c r="K1013" i="6"/>
  <c r="N1013" i="6" s="1"/>
  <c r="K1014" i="6"/>
  <c r="N1014" i="6" s="1"/>
  <c r="K1015" i="6"/>
  <c r="N1015" i="6" s="1"/>
  <c r="K1016" i="6"/>
  <c r="N1016" i="6" s="1"/>
  <c r="K1017" i="6"/>
  <c r="N1017" i="6" s="1"/>
  <c r="K1018" i="6"/>
  <c r="N1018" i="6" s="1"/>
  <c r="K1019" i="6"/>
  <c r="N1019" i="6" s="1"/>
  <c r="K1020" i="6"/>
  <c r="N1020" i="6" s="1"/>
  <c r="K1021" i="6"/>
  <c r="N1021" i="6" s="1"/>
  <c r="K1022" i="6"/>
  <c r="N1022" i="6" s="1"/>
  <c r="K1023" i="6"/>
  <c r="N1023" i="6" s="1"/>
  <c r="K1024" i="6"/>
  <c r="N1024" i="6" s="1"/>
  <c r="K1025" i="6"/>
  <c r="N1025" i="6" s="1"/>
  <c r="K1026" i="6"/>
  <c r="N1026" i="6" s="1"/>
  <c r="K1027" i="6"/>
  <c r="N1027" i="6" s="1"/>
  <c r="K1028" i="6"/>
  <c r="N1028" i="6" s="1"/>
  <c r="K1029" i="6"/>
  <c r="N1029" i="6" s="1"/>
  <c r="K1030" i="6"/>
  <c r="N1030" i="6" s="1"/>
  <c r="K1031" i="6"/>
  <c r="N1031" i="6" s="1"/>
  <c r="K1032" i="6"/>
  <c r="N1032" i="6" s="1"/>
  <c r="K1033" i="6"/>
  <c r="N1033" i="6" s="1"/>
  <c r="K1034" i="6"/>
  <c r="N1034" i="6" s="1"/>
  <c r="K1035" i="6"/>
  <c r="N1035" i="6" s="1"/>
  <c r="K1036" i="6"/>
  <c r="N1036" i="6" s="1"/>
  <c r="K1037" i="6"/>
  <c r="N1037" i="6" s="1"/>
  <c r="K1038" i="6"/>
  <c r="N1038" i="6" s="1"/>
  <c r="K1039" i="6"/>
  <c r="N1039" i="6" s="1"/>
  <c r="K1040" i="6"/>
  <c r="N1040" i="6" s="1"/>
  <c r="K1041" i="6"/>
  <c r="N1041" i="6" s="1"/>
  <c r="K1042" i="6"/>
  <c r="N1042" i="6" s="1"/>
  <c r="K1043" i="6"/>
  <c r="N1043" i="6" s="1"/>
  <c r="K1044" i="6"/>
  <c r="N1044" i="6" s="1"/>
  <c r="K1045" i="6"/>
  <c r="N1045" i="6" s="1"/>
  <c r="K1046" i="6"/>
  <c r="N1046" i="6" s="1"/>
  <c r="K1047" i="6"/>
  <c r="N1047" i="6" s="1"/>
  <c r="K1048" i="6"/>
  <c r="N1048" i="6" s="1"/>
  <c r="K1049" i="6"/>
  <c r="N1049" i="6" s="1"/>
  <c r="K1050" i="6"/>
  <c r="N1050" i="6" s="1"/>
  <c r="K1051" i="6"/>
  <c r="N1051" i="6" s="1"/>
  <c r="K1052" i="6"/>
  <c r="N1052" i="6" s="1"/>
  <c r="K1053" i="6"/>
  <c r="N1053" i="6" s="1"/>
  <c r="K1054" i="6"/>
  <c r="N1054" i="6" s="1"/>
  <c r="K1055" i="6"/>
  <c r="N1055" i="6" s="1"/>
  <c r="K1056" i="6"/>
  <c r="N1056" i="6" s="1"/>
  <c r="K1057" i="6"/>
  <c r="N1057" i="6" s="1"/>
  <c r="K1058" i="6"/>
  <c r="N1058" i="6" s="1"/>
  <c r="K1059" i="6"/>
  <c r="N1059" i="6" s="1"/>
  <c r="K1060" i="6"/>
  <c r="N1060" i="6" s="1"/>
  <c r="K1061" i="6"/>
  <c r="N1061" i="6" s="1"/>
  <c r="K1062" i="6"/>
  <c r="N1062" i="6" s="1"/>
  <c r="K1063" i="6"/>
  <c r="N1063" i="6" s="1"/>
  <c r="K1064" i="6"/>
  <c r="N1064" i="6" s="1"/>
  <c r="K1065" i="6"/>
  <c r="N1065" i="6" s="1"/>
  <c r="K1066" i="6"/>
  <c r="N1066" i="6" s="1"/>
  <c r="K1067" i="6"/>
  <c r="N1067" i="6" s="1"/>
  <c r="K1068" i="6"/>
  <c r="N1068" i="6" s="1"/>
  <c r="K1069" i="6"/>
  <c r="N1069" i="6" s="1"/>
  <c r="K1070" i="6"/>
  <c r="N1070" i="6" s="1"/>
  <c r="K1071" i="6"/>
  <c r="N1071" i="6" s="1"/>
  <c r="K1072" i="6"/>
  <c r="N1072" i="6" s="1"/>
  <c r="K1073" i="6"/>
  <c r="N1073" i="6" s="1"/>
  <c r="K1074" i="6"/>
  <c r="N1074" i="6" s="1"/>
  <c r="K1075" i="6"/>
  <c r="N1075" i="6" s="1"/>
  <c r="K1076" i="6"/>
  <c r="N1076" i="6" s="1"/>
  <c r="K1077" i="6"/>
  <c r="N1077" i="6" s="1"/>
  <c r="K1078" i="6"/>
  <c r="N1078" i="6" s="1"/>
  <c r="K1079" i="6"/>
  <c r="N1079" i="6" s="1"/>
  <c r="K1080" i="6"/>
  <c r="N1080" i="6" s="1"/>
  <c r="K1081" i="6"/>
  <c r="N1081" i="6" s="1"/>
  <c r="K1082" i="6"/>
  <c r="N1082" i="6" s="1"/>
  <c r="K1083" i="6"/>
  <c r="N1083" i="6" s="1"/>
  <c r="K1084" i="6"/>
  <c r="N1084" i="6" s="1"/>
  <c r="K1085" i="6"/>
  <c r="N1085" i="6" s="1"/>
  <c r="K1086" i="6"/>
  <c r="N1086" i="6" s="1"/>
  <c r="K1087" i="6"/>
  <c r="N1087" i="6" s="1"/>
  <c r="K1088" i="6"/>
  <c r="N1088" i="6" s="1"/>
  <c r="K1089" i="6"/>
  <c r="N1089" i="6" s="1"/>
  <c r="K1090" i="6"/>
  <c r="N1090" i="6" s="1"/>
  <c r="K1091" i="6"/>
  <c r="N1091" i="6" s="1"/>
  <c r="K1092" i="6"/>
  <c r="N1092" i="6" s="1"/>
  <c r="K1093" i="6"/>
  <c r="N1093" i="6" s="1"/>
  <c r="K1094" i="6"/>
  <c r="N1094" i="6" s="1"/>
  <c r="K1095" i="6"/>
  <c r="N1095" i="6" s="1"/>
  <c r="K1096" i="6"/>
  <c r="N1096" i="6" s="1"/>
  <c r="K1097" i="6"/>
  <c r="N1097" i="6" s="1"/>
  <c r="K1098" i="6"/>
  <c r="N1098" i="6" s="1"/>
  <c r="K1099" i="6"/>
  <c r="N1099" i="6" s="1"/>
  <c r="K1100" i="6"/>
  <c r="N1100" i="6" s="1"/>
  <c r="K1101" i="6"/>
  <c r="N1101" i="6" s="1"/>
  <c r="K1102" i="6"/>
  <c r="N1102" i="6" s="1"/>
  <c r="K1103" i="6"/>
  <c r="N1103" i="6" s="1"/>
  <c r="K1104" i="6"/>
  <c r="N1104" i="6" s="1"/>
  <c r="K1105" i="6"/>
  <c r="N1105" i="6" s="1"/>
  <c r="K1106" i="6"/>
  <c r="N1106" i="6" s="1"/>
  <c r="K1107" i="6"/>
  <c r="N1107" i="6" s="1"/>
  <c r="K1108" i="6"/>
  <c r="N1108" i="6" s="1"/>
  <c r="K1109" i="6"/>
  <c r="N1109" i="6" s="1"/>
  <c r="K1110" i="6"/>
  <c r="N1110" i="6" s="1"/>
  <c r="K1111" i="6"/>
  <c r="N1111" i="6" s="1"/>
  <c r="K1112" i="6"/>
  <c r="N1112" i="6" s="1"/>
  <c r="K1113" i="6"/>
  <c r="N1113" i="6" s="1"/>
  <c r="K1114" i="6"/>
  <c r="N1114" i="6" s="1"/>
  <c r="K1115" i="6"/>
  <c r="N1115" i="6" s="1"/>
  <c r="K1116" i="6"/>
  <c r="N1116" i="6" s="1"/>
  <c r="K1117" i="6"/>
  <c r="N1117" i="6" s="1"/>
  <c r="K1118" i="6"/>
  <c r="N1118" i="6" s="1"/>
  <c r="K1119" i="6"/>
  <c r="N1119" i="6" s="1"/>
  <c r="K1120" i="6"/>
  <c r="N1120" i="6" s="1"/>
  <c r="K1121" i="6"/>
  <c r="N1121" i="6" s="1"/>
  <c r="K1122" i="6"/>
  <c r="N1122" i="6" s="1"/>
  <c r="K1123" i="6"/>
  <c r="N1123" i="6" s="1"/>
  <c r="K1124" i="6"/>
  <c r="N1124" i="6" s="1"/>
  <c r="K1125" i="6"/>
  <c r="N1125" i="6" s="1"/>
  <c r="K1126" i="6"/>
  <c r="N1126" i="6" s="1"/>
  <c r="K1127" i="6"/>
  <c r="N1127" i="6" s="1"/>
  <c r="K1128" i="6"/>
  <c r="N1128" i="6" s="1"/>
  <c r="K1129" i="6"/>
  <c r="N1129" i="6" s="1"/>
  <c r="K1130" i="6"/>
  <c r="N1130" i="6" s="1"/>
  <c r="K1131" i="6"/>
  <c r="N1131" i="6" s="1"/>
  <c r="K1132" i="6"/>
  <c r="N1132" i="6" s="1"/>
  <c r="K1133" i="6"/>
  <c r="N1133" i="6" s="1"/>
  <c r="K1134" i="6"/>
  <c r="N1134" i="6" s="1"/>
  <c r="K1135" i="6"/>
  <c r="N1135" i="6" s="1"/>
  <c r="K1136" i="6"/>
  <c r="N1136" i="6" s="1"/>
  <c r="K1137" i="6"/>
  <c r="N1137" i="6" s="1"/>
  <c r="K1138" i="6"/>
  <c r="N1138" i="6" s="1"/>
  <c r="K1139" i="6"/>
  <c r="N1139" i="6" s="1"/>
  <c r="K1140" i="6"/>
  <c r="N1140" i="6" s="1"/>
  <c r="K1141" i="6"/>
  <c r="N1141" i="6" s="1"/>
  <c r="K1142" i="6"/>
  <c r="N1142" i="6" s="1"/>
  <c r="K1143" i="6"/>
  <c r="N1143" i="6" s="1"/>
  <c r="K1144" i="6"/>
  <c r="N1144" i="6" s="1"/>
  <c r="K1145" i="6"/>
  <c r="N1145" i="6" s="1"/>
  <c r="K1146" i="6"/>
  <c r="N1146" i="6" s="1"/>
  <c r="K1147" i="6"/>
  <c r="N1147" i="6" s="1"/>
  <c r="K1148" i="6"/>
  <c r="N1148" i="6" s="1"/>
  <c r="K1149" i="6"/>
  <c r="N1149" i="6" s="1"/>
  <c r="K1150" i="6"/>
  <c r="N1150" i="6" s="1"/>
  <c r="K1151" i="6"/>
  <c r="N1151" i="6" s="1"/>
  <c r="K1152" i="6"/>
  <c r="N1152" i="6" s="1"/>
  <c r="K1153" i="6"/>
  <c r="N1153" i="6" s="1"/>
  <c r="K1154" i="6"/>
  <c r="N1154" i="6" s="1"/>
  <c r="K1155" i="6"/>
  <c r="N1155" i="6" s="1"/>
  <c r="K1156" i="6"/>
  <c r="N1156" i="6" s="1"/>
  <c r="K1157" i="6"/>
  <c r="N1157" i="6" s="1"/>
  <c r="K1158" i="6"/>
  <c r="N1158" i="6" s="1"/>
  <c r="K1159" i="6"/>
  <c r="N1159" i="6" s="1"/>
  <c r="K1160" i="6"/>
  <c r="N1160" i="6" s="1"/>
  <c r="K1161" i="6"/>
  <c r="N1161" i="6" s="1"/>
  <c r="K1162" i="6"/>
  <c r="N1162" i="6" s="1"/>
  <c r="K1163" i="6"/>
  <c r="N1163" i="6" s="1"/>
  <c r="K1164" i="6"/>
  <c r="N1164" i="6" s="1"/>
  <c r="K1165" i="6"/>
  <c r="N1165" i="6" s="1"/>
  <c r="K1166" i="6"/>
  <c r="N1166" i="6" s="1"/>
  <c r="K1167" i="6"/>
  <c r="N1167" i="6" s="1"/>
  <c r="K1168" i="6"/>
  <c r="N1168" i="6" s="1"/>
  <c r="K1169" i="6"/>
  <c r="N1169" i="6" s="1"/>
  <c r="K1170" i="6"/>
  <c r="N1170" i="6" s="1"/>
  <c r="K1171" i="6"/>
  <c r="N1171" i="6" s="1"/>
  <c r="K1172" i="6"/>
  <c r="N1172" i="6" s="1"/>
  <c r="K1173" i="6"/>
  <c r="N1173" i="6" s="1"/>
  <c r="K1174" i="6"/>
  <c r="N1174" i="6" s="1"/>
  <c r="K1175" i="6"/>
  <c r="N1175" i="6" s="1"/>
  <c r="K1176" i="6"/>
  <c r="N1176" i="6" s="1"/>
  <c r="K1177" i="6"/>
  <c r="N1177" i="6" s="1"/>
  <c r="K1178" i="6"/>
  <c r="N1178" i="6" s="1"/>
  <c r="K1179" i="6"/>
  <c r="N1179" i="6" s="1"/>
  <c r="K1180" i="6"/>
  <c r="N1180" i="6" s="1"/>
  <c r="K1181" i="6"/>
  <c r="N1181" i="6" s="1"/>
  <c r="K1182" i="6"/>
  <c r="N1182" i="6" s="1"/>
  <c r="K1183" i="6"/>
  <c r="N1183" i="6" s="1"/>
  <c r="K1184" i="6"/>
  <c r="N1184" i="6" s="1"/>
  <c r="K1185" i="6"/>
  <c r="N1185" i="6" s="1"/>
  <c r="K1186" i="6"/>
  <c r="N1186" i="6" s="1"/>
  <c r="K1187" i="6"/>
  <c r="N1187" i="6" s="1"/>
  <c r="K1188" i="6"/>
  <c r="N1188" i="6" s="1"/>
  <c r="K1189" i="6"/>
  <c r="N1189" i="6" s="1"/>
  <c r="K1190" i="6"/>
  <c r="N1190" i="6" s="1"/>
  <c r="K1191" i="6"/>
  <c r="N1191" i="6" s="1"/>
  <c r="K1192" i="6"/>
  <c r="N1192" i="6" s="1"/>
  <c r="K1193" i="6"/>
  <c r="N1193" i="6" s="1"/>
  <c r="K1194" i="6"/>
  <c r="N1194" i="6" s="1"/>
  <c r="K1195" i="6"/>
  <c r="N1195" i="6" s="1"/>
  <c r="K1196" i="6"/>
  <c r="N1196" i="6" s="1"/>
  <c r="K1197" i="6"/>
  <c r="N1197" i="6" s="1"/>
  <c r="K1198" i="6"/>
  <c r="N1198" i="6" s="1"/>
  <c r="K1199" i="6"/>
  <c r="N1199" i="6" s="1"/>
  <c r="K1200" i="6"/>
  <c r="N1200" i="6" s="1"/>
  <c r="K1201" i="6"/>
  <c r="N1201" i="6" s="1"/>
  <c r="K1202" i="6"/>
  <c r="N1202" i="6" s="1"/>
  <c r="K1203" i="6"/>
  <c r="N1203" i="6" s="1"/>
  <c r="K1204" i="6"/>
  <c r="N1204" i="6" s="1"/>
  <c r="K1205" i="6"/>
  <c r="N1205" i="6" s="1"/>
  <c r="K1206" i="6"/>
  <c r="N1206" i="6" s="1"/>
  <c r="K1207" i="6"/>
  <c r="N1207" i="6" s="1"/>
  <c r="K1208" i="6"/>
  <c r="N1208" i="6" s="1"/>
  <c r="K1209" i="6"/>
  <c r="N1209" i="6" s="1"/>
  <c r="K1210" i="6"/>
  <c r="N1210" i="6" s="1"/>
  <c r="K1211" i="6"/>
  <c r="N1211" i="6" s="1"/>
  <c r="K1212" i="6"/>
  <c r="N1212" i="6" s="1"/>
  <c r="K1213" i="6"/>
  <c r="N1213" i="6" s="1"/>
  <c r="K1214" i="6"/>
  <c r="N1214" i="6" s="1"/>
  <c r="K1215" i="6"/>
  <c r="N1215" i="6" s="1"/>
  <c r="K1216" i="6"/>
  <c r="N1216" i="6" s="1"/>
  <c r="K1217" i="6"/>
  <c r="N1217" i="6" s="1"/>
  <c r="K1218" i="6"/>
  <c r="N1218" i="6" s="1"/>
  <c r="K1219" i="6"/>
  <c r="N1219" i="6" s="1"/>
  <c r="K1220" i="6"/>
  <c r="N1220" i="6" s="1"/>
  <c r="K1221" i="6"/>
  <c r="N1221" i="6" s="1"/>
  <c r="K1222" i="6"/>
  <c r="N1222" i="6" s="1"/>
  <c r="K1223" i="6"/>
  <c r="N1223" i="6" s="1"/>
  <c r="K1224" i="6"/>
  <c r="N1224" i="6" s="1"/>
  <c r="K1225" i="6"/>
  <c r="N1225" i="6" s="1"/>
  <c r="K1226" i="6"/>
  <c r="N1226" i="6" s="1"/>
  <c r="K1227" i="6"/>
  <c r="N1227" i="6" s="1"/>
  <c r="K1228" i="6"/>
  <c r="N1228" i="6" s="1"/>
  <c r="K1229" i="6"/>
  <c r="N1229" i="6" s="1"/>
  <c r="K1230" i="6"/>
  <c r="N1230" i="6" s="1"/>
  <c r="K1231" i="6"/>
  <c r="N1231" i="6" s="1"/>
  <c r="K1232" i="6"/>
  <c r="N1232" i="6" s="1"/>
  <c r="K1233" i="6"/>
  <c r="N1233" i="6" s="1"/>
  <c r="K1234" i="6"/>
  <c r="N1234" i="6" s="1"/>
  <c r="K1235" i="6"/>
  <c r="N1235" i="6" s="1"/>
  <c r="K1236" i="6"/>
  <c r="N1236" i="6" s="1"/>
  <c r="K1237" i="6"/>
  <c r="N1237" i="6" s="1"/>
  <c r="K1238" i="6"/>
  <c r="N1238" i="6" s="1"/>
  <c r="K1239" i="6"/>
  <c r="N1239" i="6" s="1"/>
  <c r="K1240" i="6"/>
  <c r="N1240" i="6" s="1"/>
  <c r="K1241" i="6"/>
  <c r="N1241" i="6" s="1"/>
  <c r="K1242" i="6"/>
  <c r="N1242" i="6" s="1"/>
  <c r="K1243" i="6"/>
  <c r="N1243" i="6" s="1"/>
  <c r="K1244" i="6"/>
  <c r="N1244" i="6" s="1"/>
  <c r="K1245" i="6"/>
  <c r="N1245" i="6" s="1"/>
  <c r="K1246" i="6"/>
  <c r="N1246" i="6" s="1"/>
  <c r="K1247" i="6"/>
  <c r="N1247" i="6" s="1"/>
  <c r="K1248" i="6"/>
  <c r="N1248" i="6" s="1"/>
  <c r="K1249" i="6"/>
  <c r="N1249" i="6" s="1"/>
  <c r="K1250" i="6"/>
  <c r="N1250" i="6" s="1"/>
  <c r="K1251" i="6"/>
  <c r="N1251" i="6" s="1"/>
  <c r="K1252" i="6"/>
  <c r="N1252" i="6" s="1"/>
  <c r="K1253" i="6"/>
  <c r="N1253" i="6" s="1"/>
  <c r="K1254" i="6"/>
  <c r="N1254" i="6" s="1"/>
  <c r="K1255" i="6"/>
  <c r="N1255" i="6" s="1"/>
  <c r="K1256" i="6"/>
  <c r="N1256" i="6" s="1"/>
  <c r="K1257" i="6"/>
  <c r="N1257" i="6" s="1"/>
  <c r="K1258" i="6"/>
  <c r="N1258" i="6" s="1"/>
  <c r="K1259" i="6"/>
  <c r="N1259" i="6" s="1"/>
  <c r="K1260" i="6"/>
  <c r="N1260" i="6" s="1"/>
  <c r="K1261" i="6"/>
  <c r="N1261" i="6" s="1"/>
  <c r="K1262" i="6"/>
  <c r="N1262" i="6" s="1"/>
  <c r="K1263" i="6"/>
  <c r="N1263" i="6" s="1"/>
  <c r="K1264" i="6"/>
  <c r="N1264" i="6" s="1"/>
  <c r="K1265" i="6"/>
  <c r="N1265" i="6" s="1"/>
  <c r="K1266" i="6"/>
  <c r="N1266" i="6" s="1"/>
  <c r="K1267" i="6"/>
  <c r="N1267" i="6" s="1"/>
  <c r="K1268" i="6"/>
  <c r="N1268" i="6" s="1"/>
  <c r="K1269" i="6"/>
  <c r="N1269" i="6" s="1"/>
  <c r="K1270" i="6"/>
  <c r="N1270" i="6" s="1"/>
  <c r="K1271" i="6"/>
  <c r="N1271" i="6" s="1"/>
  <c r="K1272" i="6"/>
  <c r="N1272" i="6" s="1"/>
  <c r="K1273" i="6"/>
  <c r="N1273" i="6" s="1"/>
  <c r="K1274" i="6"/>
  <c r="N1274" i="6" s="1"/>
  <c r="K1275" i="6"/>
  <c r="N1275" i="6" s="1"/>
  <c r="K1276" i="6"/>
  <c r="N1276" i="6" s="1"/>
  <c r="K1277" i="6"/>
  <c r="N1277" i="6" s="1"/>
  <c r="K1278" i="6"/>
  <c r="N1278" i="6" s="1"/>
  <c r="K1279" i="6"/>
  <c r="N1279" i="6" s="1"/>
  <c r="K1280" i="6"/>
  <c r="N1280" i="6" s="1"/>
  <c r="K1281" i="6"/>
  <c r="N1281" i="6" s="1"/>
  <c r="K1282" i="6"/>
  <c r="N1282" i="6" s="1"/>
  <c r="K1283" i="6"/>
  <c r="N1283" i="6" s="1"/>
  <c r="K1284" i="6"/>
  <c r="N1284" i="6" s="1"/>
  <c r="K1285" i="6"/>
  <c r="N1285" i="6" s="1"/>
  <c r="K1286" i="6"/>
  <c r="N1286" i="6" s="1"/>
  <c r="K1287" i="6"/>
  <c r="N1287" i="6" s="1"/>
  <c r="K1288" i="6"/>
  <c r="N1288" i="6" s="1"/>
  <c r="K1289" i="6"/>
  <c r="N1289" i="6" s="1"/>
  <c r="K1290" i="6"/>
  <c r="N1290" i="6" s="1"/>
  <c r="K1291" i="6"/>
  <c r="N1291" i="6" s="1"/>
  <c r="K1292" i="6"/>
  <c r="N1292" i="6" s="1"/>
  <c r="K1293" i="6"/>
  <c r="N1293" i="6" s="1"/>
  <c r="K1294" i="6"/>
  <c r="N1294" i="6" s="1"/>
  <c r="K1295" i="6"/>
  <c r="N1295" i="6" s="1"/>
  <c r="K1296" i="6"/>
  <c r="N1296" i="6" s="1"/>
  <c r="K1297" i="6"/>
  <c r="N1297" i="6" s="1"/>
  <c r="K1298" i="6"/>
  <c r="N1298" i="6" s="1"/>
  <c r="K1299" i="6"/>
  <c r="N1299" i="6" s="1"/>
  <c r="K1300" i="6"/>
  <c r="N1300" i="6" s="1"/>
  <c r="K1301" i="6"/>
  <c r="N1301" i="6" s="1"/>
  <c r="K1302" i="6"/>
  <c r="N1302" i="6" s="1"/>
  <c r="K1303" i="6"/>
  <c r="N1303" i="6" s="1"/>
  <c r="K1304" i="6"/>
  <c r="N1304" i="6" s="1"/>
  <c r="K1305" i="6"/>
  <c r="N1305" i="6" s="1"/>
  <c r="K1306" i="6"/>
  <c r="N1306" i="6" s="1"/>
  <c r="K1307" i="6"/>
  <c r="N1307" i="6" s="1"/>
  <c r="K1308" i="6"/>
  <c r="N1308" i="6" s="1"/>
  <c r="K1309" i="6"/>
  <c r="N1309" i="6" s="1"/>
  <c r="K1310" i="6"/>
  <c r="N1310" i="6" s="1"/>
  <c r="K1311" i="6"/>
  <c r="N1311" i="6" s="1"/>
  <c r="K1312" i="6"/>
  <c r="N1312" i="6" s="1"/>
  <c r="K1313" i="6"/>
  <c r="N1313" i="6" s="1"/>
  <c r="K1314" i="6"/>
  <c r="N1314" i="6" s="1"/>
  <c r="K1315" i="6"/>
  <c r="N1315" i="6" s="1"/>
  <c r="K1316" i="6"/>
  <c r="N1316" i="6" s="1"/>
  <c r="K1317" i="6"/>
  <c r="N1317" i="6" s="1"/>
  <c r="K1318" i="6"/>
  <c r="N1318" i="6" s="1"/>
  <c r="K1319" i="6"/>
  <c r="N1319" i="6" s="1"/>
  <c r="K1320" i="6"/>
  <c r="N1320" i="6" s="1"/>
  <c r="K1321" i="6"/>
  <c r="N1321" i="6" s="1"/>
  <c r="K1322" i="6"/>
  <c r="N1322" i="6" s="1"/>
  <c r="K1323" i="6"/>
  <c r="N1323" i="6" s="1"/>
  <c r="K1324" i="6"/>
  <c r="N1324" i="6" s="1"/>
  <c r="K1325" i="6"/>
  <c r="N1325" i="6" s="1"/>
  <c r="K1326" i="6"/>
  <c r="N1326" i="6" s="1"/>
  <c r="K1327" i="6"/>
  <c r="N1327" i="6" s="1"/>
  <c r="K1328" i="6"/>
  <c r="N1328" i="6" s="1"/>
  <c r="K1329" i="6"/>
  <c r="N1329" i="6" s="1"/>
  <c r="K1330" i="6"/>
  <c r="N1330" i="6" s="1"/>
  <c r="K1331" i="6"/>
  <c r="N1331" i="6" s="1"/>
  <c r="K1332" i="6"/>
  <c r="N1332" i="6" s="1"/>
  <c r="K1333" i="6"/>
  <c r="N1333" i="6" s="1"/>
  <c r="K1334" i="6"/>
  <c r="N1334" i="6" s="1"/>
  <c r="K1335" i="6"/>
  <c r="N1335" i="6" s="1"/>
  <c r="K1336" i="6"/>
  <c r="N1336" i="6" s="1"/>
  <c r="K1337" i="6"/>
  <c r="N1337" i="6" s="1"/>
  <c r="K1338" i="6"/>
  <c r="N1338" i="6" s="1"/>
  <c r="K1339" i="6"/>
  <c r="N1339" i="6" s="1"/>
  <c r="K1340" i="6"/>
  <c r="N1340" i="6" s="1"/>
  <c r="K1341" i="6"/>
  <c r="N1341" i="6" s="1"/>
  <c r="K1342" i="6"/>
  <c r="N1342" i="6" s="1"/>
  <c r="K1343" i="6"/>
  <c r="N1343" i="6" s="1"/>
  <c r="K1344" i="6"/>
  <c r="N1344" i="6" s="1"/>
  <c r="K1345" i="6"/>
  <c r="N1345" i="6" s="1"/>
  <c r="K1346" i="6"/>
  <c r="N1346" i="6" s="1"/>
  <c r="K1347" i="6"/>
  <c r="N1347" i="6" s="1"/>
  <c r="K1348" i="6"/>
  <c r="N1348" i="6" s="1"/>
  <c r="K1349" i="6"/>
  <c r="N1349" i="6" s="1"/>
  <c r="K1350" i="6"/>
  <c r="N1350" i="6" s="1"/>
  <c r="K1351" i="6"/>
  <c r="N1351" i="6" s="1"/>
  <c r="K1352" i="6"/>
  <c r="N1352" i="6" s="1"/>
  <c r="K1353" i="6"/>
  <c r="N1353" i="6" s="1"/>
  <c r="K1354" i="6"/>
  <c r="N1354" i="6" s="1"/>
  <c r="K1355" i="6"/>
  <c r="N1355" i="6" s="1"/>
  <c r="K1356" i="6"/>
  <c r="N1356" i="6" s="1"/>
  <c r="K1357" i="6"/>
  <c r="N1357" i="6" s="1"/>
  <c r="K1358" i="6"/>
  <c r="N1358" i="6" s="1"/>
  <c r="K1359" i="6"/>
  <c r="N1359" i="6" s="1"/>
  <c r="K1360" i="6"/>
  <c r="N1360" i="6" s="1"/>
  <c r="K1361" i="6"/>
  <c r="N1361" i="6" s="1"/>
  <c r="K1362" i="6"/>
  <c r="N1362" i="6" s="1"/>
  <c r="K1363" i="6"/>
  <c r="N1363" i="6" s="1"/>
  <c r="K1364" i="6"/>
  <c r="N1364" i="6" s="1"/>
  <c r="K1365" i="6"/>
  <c r="N1365" i="6" s="1"/>
  <c r="K1366" i="6"/>
  <c r="N1366" i="6" s="1"/>
  <c r="K1367" i="6"/>
  <c r="N1367" i="6" s="1"/>
  <c r="K1368" i="6"/>
  <c r="N1368" i="6" s="1"/>
  <c r="K1369" i="6"/>
  <c r="N1369" i="6" s="1"/>
  <c r="K1370" i="6"/>
  <c r="N1370" i="6" s="1"/>
  <c r="K1371" i="6"/>
  <c r="N1371" i="6" s="1"/>
  <c r="K1372" i="6"/>
  <c r="N1372" i="6" s="1"/>
  <c r="K1373" i="6"/>
  <c r="N1373" i="6" s="1"/>
  <c r="K1374" i="6"/>
  <c r="N1374" i="6" s="1"/>
  <c r="K1375" i="6"/>
  <c r="N1375" i="6" s="1"/>
  <c r="K1376" i="6"/>
  <c r="N1376" i="6" s="1"/>
  <c r="K1377" i="6"/>
  <c r="N1377" i="6" s="1"/>
  <c r="K1378" i="6"/>
  <c r="N1378" i="6" s="1"/>
  <c r="K1379" i="6"/>
  <c r="N1379" i="6" s="1"/>
  <c r="K1380" i="6"/>
  <c r="N1380" i="6" s="1"/>
  <c r="K1381" i="6"/>
  <c r="N1381" i="6" s="1"/>
  <c r="K1382" i="6"/>
  <c r="N1382" i="6" s="1"/>
  <c r="K1383" i="6"/>
  <c r="N1383" i="6" s="1"/>
  <c r="K1384" i="6"/>
  <c r="N1384" i="6" s="1"/>
  <c r="K1385" i="6"/>
  <c r="N1385" i="6" s="1"/>
  <c r="K1386" i="6"/>
  <c r="N1386" i="6" s="1"/>
  <c r="K1387" i="6"/>
  <c r="N1387" i="6" s="1"/>
  <c r="K1388" i="6"/>
  <c r="N1388" i="6" s="1"/>
  <c r="K1389" i="6"/>
  <c r="N1389" i="6" s="1"/>
  <c r="K1390" i="6"/>
  <c r="N1390" i="6" s="1"/>
  <c r="K1391" i="6"/>
  <c r="N1391" i="6" s="1"/>
  <c r="K1392" i="6"/>
  <c r="N1392" i="6" s="1"/>
  <c r="K1393" i="6"/>
  <c r="N1393" i="6" s="1"/>
  <c r="K1394" i="6"/>
  <c r="N1394" i="6" s="1"/>
  <c r="K1395" i="6"/>
  <c r="N1395" i="6" s="1"/>
  <c r="K1396" i="6"/>
  <c r="N1396" i="6" s="1"/>
  <c r="K1397" i="6"/>
  <c r="N1397" i="6" s="1"/>
  <c r="K1398" i="6"/>
  <c r="N1398" i="6" s="1"/>
  <c r="K1399" i="6"/>
  <c r="N1399" i="6" s="1"/>
  <c r="K1400" i="6"/>
  <c r="N1400" i="6" s="1"/>
  <c r="K1401" i="6"/>
  <c r="N1401" i="6" s="1"/>
  <c r="K1402" i="6"/>
  <c r="N1402" i="6" s="1"/>
  <c r="K1403" i="6"/>
  <c r="N1403" i="6" s="1"/>
  <c r="K1404" i="6"/>
  <c r="N1404" i="6" s="1"/>
  <c r="K1405" i="6"/>
  <c r="N1405" i="6" s="1"/>
  <c r="K1406" i="6"/>
  <c r="N1406" i="6" s="1"/>
  <c r="K1407" i="6"/>
  <c r="N1407" i="6" s="1"/>
  <c r="K1408" i="6"/>
  <c r="N1408" i="6" s="1"/>
  <c r="K1409" i="6"/>
  <c r="N1409" i="6" s="1"/>
  <c r="K1410" i="6"/>
  <c r="N1410" i="6" s="1"/>
  <c r="K1411" i="6"/>
  <c r="N1411" i="6" s="1"/>
  <c r="K1412" i="6"/>
  <c r="N1412" i="6" s="1"/>
  <c r="K1413" i="6"/>
  <c r="N1413" i="6" s="1"/>
  <c r="K1414" i="6"/>
  <c r="N1414" i="6" s="1"/>
  <c r="K1415" i="6"/>
  <c r="N1415" i="6" s="1"/>
  <c r="K1416" i="6"/>
  <c r="N1416" i="6" s="1"/>
  <c r="K1417" i="6"/>
  <c r="N1417" i="6" s="1"/>
  <c r="K1418" i="6"/>
  <c r="N1418" i="6" s="1"/>
  <c r="K1419" i="6"/>
  <c r="N1419" i="6" s="1"/>
  <c r="K1420" i="6"/>
  <c r="N1420" i="6" s="1"/>
  <c r="K1421" i="6"/>
  <c r="N1421" i="6" s="1"/>
  <c r="K1422" i="6"/>
  <c r="N1422" i="6" s="1"/>
  <c r="K1423" i="6"/>
  <c r="N1423" i="6" s="1"/>
  <c r="K1424" i="6"/>
  <c r="N1424" i="6" s="1"/>
  <c r="K1425" i="6"/>
  <c r="N1425" i="6" s="1"/>
  <c r="K1426" i="6"/>
  <c r="N1426" i="6" s="1"/>
  <c r="K1427" i="6"/>
  <c r="N1427" i="6" s="1"/>
  <c r="K1428" i="6"/>
  <c r="N1428" i="6" s="1"/>
  <c r="K1429" i="6"/>
  <c r="N1429" i="6" s="1"/>
  <c r="K1430" i="6"/>
  <c r="N1430" i="6" s="1"/>
  <c r="K1431" i="6"/>
  <c r="N1431" i="6" s="1"/>
  <c r="K1432" i="6"/>
  <c r="N1432" i="6" s="1"/>
  <c r="K1433" i="6"/>
  <c r="N1433" i="6" s="1"/>
  <c r="K1434" i="6"/>
  <c r="N1434" i="6" s="1"/>
  <c r="K1435" i="6"/>
  <c r="N1435" i="6" s="1"/>
  <c r="K1436" i="6"/>
  <c r="N1436" i="6" s="1"/>
  <c r="K1437" i="6"/>
  <c r="N1437" i="6" s="1"/>
  <c r="K1438" i="6"/>
  <c r="N1438" i="6" s="1"/>
  <c r="K1439" i="6"/>
  <c r="N1439" i="6" s="1"/>
  <c r="K1440" i="6"/>
  <c r="N1440" i="6" s="1"/>
  <c r="K1441" i="6"/>
  <c r="N1441" i="6" s="1"/>
  <c r="K1442" i="6"/>
  <c r="N1442" i="6" s="1"/>
  <c r="K1443" i="6"/>
  <c r="N1443" i="6" s="1"/>
  <c r="K1444" i="6"/>
  <c r="N1444" i="6" s="1"/>
  <c r="K1445" i="6"/>
  <c r="N1445" i="6" s="1"/>
  <c r="K1446" i="6"/>
  <c r="N1446" i="6" s="1"/>
  <c r="K1447" i="6"/>
  <c r="N1447" i="6" s="1"/>
  <c r="K1448" i="6"/>
  <c r="N1448" i="6" s="1"/>
  <c r="K1449" i="6"/>
  <c r="N1449" i="6" s="1"/>
  <c r="K1450" i="6"/>
  <c r="N1450" i="6" s="1"/>
  <c r="K1451" i="6"/>
  <c r="N1451" i="6" s="1"/>
  <c r="K1452" i="6"/>
  <c r="N1452" i="6" s="1"/>
  <c r="K1453" i="6"/>
  <c r="N1453" i="6" s="1"/>
  <c r="K1454" i="6"/>
  <c r="N1454" i="6" s="1"/>
  <c r="K1455" i="6"/>
  <c r="N1455" i="6" s="1"/>
  <c r="K1456" i="6"/>
  <c r="N1456" i="6" s="1"/>
  <c r="K1457" i="6"/>
  <c r="N1457" i="6" s="1"/>
  <c r="K1458" i="6"/>
  <c r="N1458" i="6" s="1"/>
  <c r="K1459" i="6"/>
  <c r="N1459" i="6" s="1"/>
  <c r="K1460" i="6"/>
  <c r="N1460" i="6" s="1"/>
  <c r="K1461" i="6"/>
  <c r="N1461" i="6" s="1"/>
  <c r="K1462" i="6"/>
  <c r="N1462" i="6" s="1"/>
  <c r="K1463" i="6"/>
  <c r="N1463" i="6" s="1"/>
  <c r="K1464" i="6"/>
  <c r="N1464" i="6" s="1"/>
  <c r="K1465" i="6"/>
  <c r="N1465" i="6" s="1"/>
  <c r="K1466" i="6"/>
  <c r="N1466" i="6" s="1"/>
  <c r="K1467" i="6"/>
  <c r="N1467" i="6" s="1"/>
  <c r="K1468" i="6"/>
  <c r="N1468" i="6" s="1"/>
  <c r="K1469" i="6"/>
  <c r="N1469" i="6" s="1"/>
  <c r="K1470" i="6"/>
  <c r="N1470" i="6" s="1"/>
  <c r="K1471" i="6"/>
  <c r="N1471" i="6" s="1"/>
  <c r="K1472" i="6"/>
  <c r="N1472" i="6" s="1"/>
  <c r="K1473" i="6"/>
  <c r="N1473" i="6" s="1"/>
  <c r="K1474" i="6"/>
  <c r="N1474" i="6" s="1"/>
  <c r="K1475" i="6"/>
  <c r="N1475" i="6" s="1"/>
  <c r="K1476" i="6"/>
  <c r="N1476" i="6" s="1"/>
  <c r="K1477" i="6"/>
  <c r="N1477" i="6" s="1"/>
  <c r="K1478" i="6"/>
  <c r="N1478" i="6" s="1"/>
  <c r="K1479" i="6"/>
  <c r="N1479" i="6" s="1"/>
  <c r="K1480" i="6"/>
  <c r="N1480" i="6" s="1"/>
  <c r="K1481" i="6"/>
  <c r="N1481" i="6" s="1"/>
  <c r="K1482" i="6"/>
  <c r="N1482" i="6" s="1"/>
  <c r="K1483" i="6"/>
  <c r="N1483" i="6" s="1"/>
  <c r="K1484" i="6"/>
  <c r="N1484" i="6" s="1"/>
  <c r="K1485" i="6"/>
  <c r="N1485" i="6" s="1"/>
  <c r="K1486" i="6"/>
  <c r="N1486" i="6" s="1"/>
  <c r="K1487" i="6"/>
  <c r="N1487" i="6" s="1"/>
  <c r="K1488" i="6"/>
  <c r="N1488" i="6" s="1"/>
  <c r="K1489" i="6"/>
  <c r="N1489" i="6" s="1"/>
  <c r="K1490" i="6"/>
  <c r="N1490" i="6" s="1"/>
  <c r="K1491" i="6"/>
  <c r="N1491" i="6" s="1"/>
  <c r="K1492" i="6"/>
  <c r="N1492" i="6" s="1"/>
  <c r="K1493" i="6"/>
  <c r="N1493" i="6" s="1"/>
  <c r="K1494" i="6"/>
  <c r="N1494" i="6" s="1"/>
  <c r="K1495" i="6"/>
  <c r="N1495" i="6" s="1"/>
  <c r="K1496" i="6"/>
  <c r="N1496" i="6" s="1"/>
  <c r="K1497" i="6"/>
  <c r="N1497" i="6" s="1"/>
  <c r="K1498" i="6"/>
  <c r="N1498" i="6" s="1"/>
  <c r="K1499" i="6"/>
  <c r="N1499" i="6" s="1"/>
  <c r="K1500" i="6"/>
  <c r="N1500" i="6" s="1"/>
  <c r="K1501" i="6"/>
  <c r="N1501" i="6" s="1"/>
  <c r="K1502" i="6"/>
  <c r="N1502" i="6" s="1"/>
  <c r="K1503" i="6"/>
  <c r="N1503" i="6" s="1"/>
  <c r="K1504" i="6"/>
  <c r="N1504" i="6" s="1"/>
  <c r="K1505" i="6"/>
  <c r="N1505" i="6" s="1"/>
  <c r="K1506" i="6"/>
  <c r="N1506" i="6" s="1"/>
  <c r="K1507" i="6"/>
  <c r="N1507" i="6" s="1"/>
  <c r="K1508" i="6"/>
  <c r="N1508" i="6" s="1"/>
  <c r="K1509" i="6"/>
  <c r="N1509" i="6" s="1"/>
  <c r="K1510" i="6"/>
  <c r="N1510" i="6" s="1"/>
  <c r="K1511" i="6"/>
  <c r="N1511" i="6" s="1"/>
  <c r="K1512" i="6"/>
  <c r="N1512" i="6" s="1"/>
  <c r="K1513" i="6"/>
  <c r="N1513" i="6" s="1"/>
  <c r="K1514" i="6"/>
  <c r="N1514" i="6" s="1"/>
  <c r="K1515" i="6"/>
  <c r="N1515" i="6" s="1"/>
  <c r="K1516" i="6"/>
  <c r="N1516" i="6" s="1"/>
  <c r="K1517" i="6"/>
  <c r="N1517" i="6" s="1"/>
  <c r="K1518" i="6"/>
  <c r="N1518" i="6" s="1"/>
  <c r="K1519" i="6"/>
  <c r="N1519" i="6" s="1"/>
  <c r="K1520" i="6"/>
  <c r="N1520" i="6" s="1"/>
  <c r="K1521" i="6"/>
  <c r="N1521" i="6" s="1"/>
  <c r="K1522" i="6"/>
  <c r="N1522" i="6" s="1"/>
  <c r="K1523" i="6"/>
  <c r="N1523" i="6" s="1"/>
  <c r="K1524" i="6"/>
  <c r="N1524" i="6" s="1"/>
  <c r="K1525" i="6"/>
  <c r="N1525" i="6" s="1"/>
  <c r="K1526" i="6"/>
  <c r="N1526" i="6" s="1"/>
  <c r="K1527" i="6"/>
  <c r="N1527" i="6" s="1"/>
  <c r="K1528" i="6"/>
  <c r="N1528" i="6" s="1"/>
  <c r="K1529" i="6"/>
  <c r="N1529" i="6" s="1"/>
  <c r="K1530" i="6"/>
  <c r="N1530" i="6" s="1"/>
  <c r="K1531" i="6"/>
  <c r="N1531" i="6" s="1"/>
  <c r="K1532" i="6"/>
  <c r="N1532" i="6" s="1"/>
  <c r="K1533" i="6"/>
  <c r="N1533" i="6" s="1"/>
  <c r="K1534" i="6"/>
  <c r="N1534" i="6" s="1"/>
  <c r="K1535" i="6"/>
  <c r="N1535" i="6" s="1"/>
  <c r="K1536" i="6"/>
  <c r="N1536" i="6" s="1"/>
  <c r="K1537" i="6"/>
  <c r="N1537" i="6" s="1"/>
  <c r="K1538" i="6"/>
  <c r="N1538" i="6" s="1"/>
  <c r="K1539" i="6"/>
  <c r="N1539" i="6" s="1"/>
  <c r="K1540" i="6"/>
  <c r="N1540" i="6" s="1"/>
  <c r="K1541" i="6"/>
  <c r="N1541" i="6" s="1"/>
  <c r="K1542" i="6"/>
  <c r="N1542" i="6" s="1"/>
  <c r="K1543" i="6"/>
  <c r="N1543" i="6" s="1"/>
  <c r="K1544" i="6"/>
  <c r="N1544" i="6" s="1"/>
  <c r="K1545" i="6"/>
  <c r="N1545" i="6" s="1"/>
  <c r="K1546" i="6"/>
  <c r="N1546" i="6" s="1"/>
  <c r="K1547" i="6"/>
  <c r="N1547" i="6" s="1"/>
  <c r="K1548" i="6"/>
  <c r="N1548" i="6" s="1"/>
  <c r="K1549" i="6"/>
  <c r="N1549" i="6" s="1"/>
  <c r="K1550" i="6"/>
  <c r="N1550" i="6" s="1"/>
  <c r="K1551" i="6"/>
  <c r="N1551" i="6" s="1"/>
  <c r="K1552" i="6"/>
  <c r="N1552" i="6" s="1"/>
  <c r="K1553" i="6"/>
  <c r="N1553" i="6" s="1"/>
  <c r="K1554" i="6"/>
  <c r="N1554" i="6" s="1"/>
  <c r="K1555" i="6"/>
  <c r="N1555" i="6" s="1"/>
  <c r="K1556" i="6"/>
  <c r="N1556" i="6" s="1"/>
  <c r="K1557" i="6"/>
  <c r="N1557" i="6" s="1"/>
  <c r="K1558" i="6"/>
  <c r="N1558" i="6" s="1"/>
  <c r="K1559" i="6"/>
  <c r="N1559" i="6" s="1"/>
  <c r="K1560" i="6"/>
  <c r="N1560" i="6" s="1"/>
  <c r="K1561" i="6"/>
  <c r="N1561" i="6" s="1"/>
  <c r="K1562" i="6"/>
  <c r="N1562" i="6" s="1"/>
  <c r="K1563" i="6"/>
  <c r="N1563" i="6" s="1"/>
  <c r="K1564" i="6"/>
  <c r="N1564" i="6" s="1"/>
  <c r="K1565" i="6"/>
  <c r="N1565" i="6" s="1"/>
  <c r="K1566" i="6"/>
  <c r="N1566" i="6" s="1"/>
  <c r="K1567" i="6"/>
  <c r="N1567" i="6" s="1"/>
  <c r="K1568" i="6"/>
  <c r="N1568" i="6" s="1"/>
  <c r="K1569" i="6"/>
  <c r="N1569" i="6" s="1"/>
  <c r="K1570" i="6"/>
  <c r="N1570" i="6" s="1"/>
  <c r="K1571" i="6"/>
  <c r="N1571" i="6" s="1"/>
  <c r="K1572" i="6"/>
  <c r="N1572" i="6" s="1"/>
  <c r="K1573" i="6"/>
  <c r="N1573" i="6" s="1"/>
  <c r="K1574" i="6"/>
  <c r="N1574" i="6" s="1"/>
  <c r="K1575" i="6"/>
  <c r="N1575" i="6" s="1"/>
  <c r="K1576" i="6"/>
  <c r="N1576" i="6" s="1"/>
  <c r="K1577" i="6"/>
  <c r="N1577" i="6" s="1"/>
  <c r="K1578" i="6"/>
  <c r="N1578" i="6" s="1"/>
  <c r="K1579" i="6"/>
  <c r="N1579" i="6" s="1"/>
  <c r="K1580" i="6"/>
  <c r="N1580" i="6" s="1"/>
  <c r="K1581" i="6"/>
  <c r="N1581" i="6" s="1"/>
  <c r="K1582" i="6"/>
  <c r="N1582" i="6" s="1"/>
  <c r="K1583" i="6"/>
  <c r="N1583" i="6" s="1"/>
  <c r="K1584" i="6"/>
  <c r="N1584" i="6" s="1"/>
  <c r="K1585" i="6"/>
  <c r="N1585" i="6" s="1"/>
  <c r="K1586" i="6"/>
  <c r="N1586" i="6" s="1"/>
  <c r="K1587" i="6"/>
  <c r="N1587" i="6" s="1"/>
  <c r="K1588" i="6"/>
  <c r="N1588" i="6" s="1"/>
  <c r="K1589" i="6"/>
  <c r="N1589" i="6" s="1"/>
  <c r="K1590" i="6"/>
  <c r="N1590" i="6" s="1"/>
  <c r="K1591" i="6"/>
  <c r="N1591" i="6" s="1"/>
  <c r="K1592" i="6"/>
  <c r="N1592" i="6" s="1"/>
  <c r="K1593" i="6"/>
  <c r="N1593" i="6" s="1"/>
  <c r="K1594" i="6"/>
  <c r="N1594" i="6" s="1"/>
  <c r="K1595" i="6"/>
  <c r="N1595" i="6" s="1"/>
  <c r="K1596" i="6"/>
  <c r="N1596" i="6" s="1"/>
  <c r="K1597" i="6"/>
  <c r="N1597" i="6" s="1"/>
  <c r="K1598" i="6"/>
  <c r="N1598" i="6" s="1"/>
  <c r="K1599" i="6"/>
  <c r="N1599" i="6" s="1"/>
  <c r="K1600" i="6"/>
  <c r="N1600" i="6" s="1"/>
  <c r="K1601" i="6"/>
  <c r="N1601" i="6" s="1"/>
  <c r="K1602" i="6"/>
  <c r="N1602" i="6" s="1"/>
  <c r="K1603" i="6"/>
  <c r="N1603" i="6" s="1"/>
  <c r="K1604" i="6"/>
  <c r="N1604" i="6" s="1"/>
  <c r="K1605" i="6"/>
  <c r="N1605" i="6" s="1"/>
  <c r="K1606" i="6"/>
  <c r="N1606" i="6" s="1"/>
  <c r="K1607" i="6"/>
  <c r="N1607" i="6" s="1"/>
  <c r="K1608" i="6"/>
  <c r="N1608" i="6" s="1"/>
  <c r="K1609" i="6"/>
  <c r="N1609" i="6" s="1"/>
  <c r="K1610" i="6"/>
  <c r="N1610" i="6" s="1"/>
  <c r="K1611" i="6"/>
  <c r="N1611" i="6" s="1"/>
  <c r="K1612" i="6"/>
  <c r="N1612" i="6" s="1"/>
  <c r="K1613" i="6"/>
  <c r="N1613" i="6" s="1"/>
  <c r="K1614" i="6"/>
  <c r="N1614" i="6" s="1"/>
  <c r="K1615" i="6"/>
  <c r="N1615" i="6" s="1"/>
  <c r="K1616" i="6"/>
  <c r="N1616" i="6" s="1"/>
  <c r="K1617" i="6"/>
  <c r="N1617" i="6" s="1"/>
  <c r="K1618" i="6"/>
  <c r="N1618" i="6" s="1"/>
  <c r="K1619" i="6"/>
  <c r="N1619" i="6" s="1"/>
  <c r="K1620" i="6"/>
  <c r="N1620" i="6" s="1"/>
  <c r="K1621" i="6"/>
  <c r="N1621" i="6" s="1"/>
  <c r="K1622" i="6"/>
  <c r="N1622" i="6" s="1"/>
  <c r="K1623" i="6"/>
  <c r="N1623" i="6" s="1"/>
  <c r="K1624" i="6"/>
  <c r="N1624" i="6" s="1"/>
  <c r="K1625" i="6"/>
  <c r="N1625" i="6" s="1"/>
  <c r="K1626" i="6"/>
  <c r="N1626" i="6" s="1"/>
  <c r="K1627" i="6"/>
  <c r="N1627" i="6" s="1"/>
  <c r="K1628" i="6"/>
  <c r="N1628" i="6" s="1"/>
  <c r="K1629" i="6"/>
  <c r="N1629" i="6" s="1"/>
  <c r="K1630" i="6"/>
  <c r="N1630" i="6" s="1"/>
  <c r="K1631" i="6"/>
  <c r="N1631" i="6" s="1"/>
  <c r="K1632" i="6"/>
  <c r="N1632" i="6" s="1"/>
  <c r="K1633" i="6"/>
  <c r="N1633" i="6" s="1"/>
  <c r="K1634" i="6"/>
  <c r="N1634" i="6" s="1"/>
  <c r="K1635" i="6"/>
  <c r="N1635" i="6" s="1"/>
  <c r="K1636" i="6"/>
  <c r="N1636" i="6" s="1"/>
  <c r="K1637" i="6"/>
  <c r="N1637" i="6" s="1"/>
  <c r="K1638" i="6"/>
  <c r="N1638" i="6" s="1"/>
  <c r="K1639" i="6"/>
  <c r="N1639" i="6" s="1"/>
  <c r="K1640" i="6"/>
  <c r="N1640" i="6" s="1"/>
  <c r="K1641" i="6"/>
  <c r="N1641" i="6" s="1"/>
  <c r="K1642" i="6"/>
  <c r="N1642" i="6" s="1"/>
  <c r="K1643" i="6"/>
  <c r="N1643" i="6" s="1"/>
  <c r="K1644" i="6"/>
  <c r="N1644" i="6" s="1"/>
  <c r="K1645" i="6"/>
  <c r="N1645" i="6" s="1"/>
  <c r="K1646" i="6"/>
  <c r="N1646" i="6" s="1"/>
  <c r="K1647" i="6"/>
  <c r="N1647" i="6" s="1"/>
  <c r="K1648" i="6"/>
  <c r="N1648" i="6" s="1"/>
  <c r="K1649" i="6"/>
  <c r="N1649" i="6" s="1"/>
  <c r="K1650" i="6"/>
  <c r="N1650" i="6" s="1"/>
  <c r="K1651" i="6"/>
  <c r="N1651" i="6" s="1"/>
  <c r="K1652" i="6"/>
  <c r="N1652" i="6" s="1"/>
  <c r="K1653" i="6"/>
  <c r="N1653" i="6" s="1"/>
  <c r="K1654" i="6"/>
  <c r="N1654" i="6" s="1"/>
  <c r="K1655" i="6"/>
  <c r="N1655" i="6" s="1"/>
  <c r="K1656" i="6"/>
  <c r="N1656" i="6" s="1"/>
  <c r="K1657" i="6"/>
  <c r="N1657" i="6" s="1"/>
  <c r="K1658" i="6"/>
  <c r="N1658" i="6" s="1"/>
  <c r="K1659" i="6"/>
  <c r="N1659" i="6" s="1"/>
  <c r="K1660" i="6"/>
  <c r="N1660" i="6" s="1"/>
  <c r="K1661" i="6"/>
  <c r="N1661" i="6" s="1"/>
  <c r="K1662" i="6"/>
  <c r="N1662" i="6" s="1"/>
  <c r="K1663" i="6"/>
  <c r="N1663" i="6" s="1"/>
  <c r="K1664" i="6"/>
  <c r="N1664" i="6" s="1"/>
  <c r="K1665" i="6"/>
  <c r="N1665" i="6" s="1"/>
  <c r="K1666" i="6"/>
  <c r="N1666" i="6" s="1"/>
  <c r="K1667" i="6"/>
  <c r="N1667" i="6" s="1"/>
  <c r="K1668" i="6"/>
  <c r="N1668" i="6" s="1"/>
  <c r="K1669" i="6"/>
  <c r="N1669" i="6" s="1"/>
  <c r="K1670" i="6"/>
  <c r="N1670" i="6" s="1"/>
  <c r="K1671" i="6"/>
  <c r="N1671" i="6" s="1"/>
  <c r="K1672" i="6"/>
  <c r="N1672" i="6" s="1"/>
  <c r="K1673" i="6"/>
  <c r="N1673" i="6" s="1"/>
  <c r="K1674" i="6"/>
  <c r="N1674" i="6" s="1"/>
  <c r="K1675" i="6"/>
  <c r="N1675" i="6" s="1"/>
  <c r="K1676" i="6"/>
  <c r="N1676" i="6" s="1"/>
  <c r="K1677" i="6"/>
  <c r="N1677" i="6" s="1"/>
  <c r="K1678" i="6"/>
  <c r="N1678" i="6" s="1"/>
  <c r="K1679" i="6"/>
  <c r="N1679" i="6" s="1"/>
  <c r="K1680" i="6"/>
  <c r="N1680" i="6" s="1"/>
  <c r="K1681" i="6"/>
  <c r="N1681" i="6" s="1"/>
  <c r="K1682" i="6"/>
  <c r="N1682" i="6" s="1"/>
  <c r="K1683" i="6"/>
  <c r="N1683" i="6" s="1"/>
  <c r="K1684" i="6"/>
  <c r="N1684" i="6" s="1"/>
  <c r="K1685" i="6"/>
  <c r="N1685" i="6" s="1"/>
  <c r="K1686" i="6"/>
  <c r="N1686" i="6" s="1"/>
  <c r="K1687" i="6"/>
  <c r="N1687" i="6" s="1"/>
  <c r="K1688" i="6"/>
  <c r="N1688" i="6" s="1"/>
  <c r="K1689" i="6"/>
  <c r="N1689" i="6" s="1"/>
  <c r="K1690" i="6"/>
  <c r="N1690" i="6" s="1"/>
  <c r="K1691" i="6"/>
  <c r="N1691" i="6" s="1"/>
  <c r="K1692" i="6"/>
  <c r="N1692" i="6" s="1"/>
  <c r="K1693" i="6"/>
  <c r="N1693" i="6" s="1"/>
  <c r="K1694" i="6"/>
  <c r="N1694" i="6" s="1"/>
  <c r="K1695" i="6"/>
  <c r="N1695" i="6" s="1"/>
  <c r="K1696" i="6"/>
  <c r="N1696" i="6" s="1"/>
  <c r="K1697" i="6"/>
  <c r="N1697" i="6" s="1"/>
  <c r="K1698" i="6"/>
  <c r="N1698" i="6" s="1"/>
  <c r="K1699" i="6"/>
  <c r="N1699" i="6" s="1"/>
  <c r="K1700" i="6"/>
  <c r="N1700" i="6" s="1"/>
  <c r="K1701" i="6"/>
  <c r="N1701" i="6" s="1"/>
  <c r="K1702" i="6"/>
  <c r="N1702" i="6" s="1"/>
  <c r="K1703" i="6"/>
  <c r="N1703" i="6" s="1"/>
  <c r="K1704" i="6"/>
  <c r="N1704" i="6" s="1"/>
  <c r="K1705" i="6"/>
  <c r="N1705" i="6" s="1"/>
  <c r="K1706" i="6"/>
  <c r="N1706" i="6" s="1"/>
  <c r="K1707" i="6"/>
  <c r="N1707" i="6" s="1"/>
  <c r="K1708" i="6"/>
  <c r="N1708" i="6" s="1"/>
  <c r="K1709" i="6"/>
  <c r="N1709" i="6" s="1"/>
  <c r="K1710" i="6"/>
  <c r="N1710" i="6" s="1"/>
  <c r="K1711" i="6"/>
  <c r="N1711" i="6" s="1"/>
  <c r="K1712" i="6"/>
  <c r="N1712" i="6" s="1"/>
  <c r="K1713" i="6"/>
  <c r="N1713" i="6" s="1"/>
  <c r="K1714" i="6"/>
  <c r="N1714" i="6" s="1"/>
  <c r="K1715" i="6"/>
  <c r="N1715" i="6" s="1"/>
  <c r="K1716" i="6"/>
  <c r="N1716" i="6" s="1"/>
  <c r="K1717" i="6"/>
  <c r="N1717" i="6" s="1"/>
  <c r="K1718" i="6"/>
  <c r="N1718" i="6" s="1"/>
  <c r="K1719" i="6"/>
  <c r="N1719" i="6" s="1"/>
  <c r="K1720" i="6"/>
  <c r="N1720" i="6" s="1"/>
  <c r="K1721" i="6"/>
  <c r="N1721" i="6" s="1"/>
  <c r="K1722" i="6"/>
  <c r="N1722" i="6" s="1"/>
  <c r="K1723" i="6"/>
  <c r="N1723" i="6" s="1"/>
  <c r="K1724" i="6"/>
  <c r="N1724" i="6" s="1"/>
  <c r="K1725" i="6"/>
  <c r="N1725" i="6" s="1"/>
  <c r="K1726" i="6"/>
  <c r="N1726" i="6" s="1"/>
  <c r="K1727" i="6"/>
  <c r="N1727" i="6" s="1"/>
  <c r="K1728" i="6"/>
  <c r="N1728" i="6" s="1"/>
  <c r="K1729" i="6"/>
  <c r="N1729" i="6" s="1"/>
  <c r="K1730" i="6"/>
  <c r="N1730" i="6" s="1"/>
  <c r="K1731" i="6"/>
  <c r="N1731" i="6" s="1"/>
  <c r="K1732" i="6"/>
  <c r="N1732" i="6" s="1"/>
  <c r="K1733" i="6"/>
  <c r="N1733" i="6" s="1"/>
  <c r="K1734" i="6"/>
  <c r="N1734" i="6" s="1"/>
  <c r="K1735" i="6"/>
  <c r="N1735" i="6" s="1"/>
  <c r="K1736" i="6"/>
  <c r="N1736" i="6" s="1"/>
  <c r="K1737" i="6"/>
  <c r="N1737" i="6" s="1"/>
  <c r="K1738" i="6"/>
  <c r="N1738" i="6" s="1"/>
  <c r="K1739" i="6"/>
  <c r="N1739" i="6" s="1"/>
  <c r="K1740" i="6"/>
  <c r="N1740" i="6" s="1"/>
  <c r="K1741" i="6"/>
  <c r="N1741" i="6" s="1"/>
  <c r="K1742" i="6"/>
  <c r="N1742" i="6" s="1"/>
  <c r="K1743" i="6"/>
  <c r="N1743" i="6" s="1"/>
  <c r="K1744" i="6"/>
  <c r="N1744" i="6" s="1"/>
  <c r="K1745" i="6"/>
  <c r="N1745" i="6" s="1"/>
  <c r="K1746" i="6"/>
  <c r="N1746" i="6" s="1"/>
  <c r="K1747" i="6"/>
  <c r="N1747" i="6" s="1"/>
  <c r="K1748" i="6"/>
  <c r="N1748" i="6" s="1"/>
  <c r="K1749" i="6"/>
  <c r="N1749" i="6" s="1"/>
  <c r="K1750" i="6"/>
  <c r="N1750" i="6" s="1"/>
  <c r="K1751" i="6"/>
  <c r="N1751" i="6" s="1"/>
  <c r="K1752" i="6"/>
  <c r="N1752" i="6" s="1"/>
  <c r="K1753" i="6"/>
  <c r="N1753" i="6" s="1"/>
  <c r="K1754" i="6"/>
  <c r="N1754" i="6" s="1"/>
  <c r="K1755" i="6"/>
  <c r="N1755" i="6" s="1"/>
  <c r="K1756" i="6"/>
  <c r="N1756" i="6" s="1"/>
  <c r="K1757" i="6"/>
  <c r="N1757" i="6" s="1"/>
  <c r="K1758" i="6"/>
  <c r="N1758" i="6" s="1"/>
  <c r="K1759" i="6"/>
  <c r="N1759" i="6" s="1"/>
  <c r="K1760" i="6"/>
  <c r="N1760" i="6" s="1"/>
  <c r="K1761" i="6"/>
  <c r="N1761" i="6" s="1"/>
  <c r="K1762" i="6"/>
  <c r="N1762" i="6" s="1"/>
  <c r="K1763" i="6"/>
  <c r="N1763" i="6" s="1"/>
  <c r="K1764" i="6"/>
  <c r="N1764" i="6" s="1"/>
  <c r="K1765" i="6"/>
  <c r="N1765" i="6" s="1"/>
  <c r="K1766" i="6"/>
  <c r="N1766" i="6" s="1"/>
  <c r="K1767" i="6"/>
  <c r="N1767" i="6" s="1"/>
  <c r="K1768" i="6"/>
  <c r="N1768" i="6" s="1"/>
  <c r="K1769" i="6"/>
  <c r="N1769" i="6" s="1"/>
  <c r="K1770" i="6"/>
  <c r="N1770" i="6" s="1"/>
  <c r="K1771" i="6"/>
  <c r="N1771" i="6" s="1"/>
  <c r="K1772" i="6"/>
  <c r="N1772" i="6" s="1"/>
  <c r="K1773" i="6"/>
  <c r="N1773" i="6" s="1"/>
  <c r="K1774" i="6"/>
  <c r="N1774" i="6" s="1"/>
  <c r="K1775" i="6"/>
  <c r="N1775" i="6" s="1"/>
  <c r="K1776" i="6"/>
  <c r="N1776" i="6" s="1"/>
  <c r="K1777" i="6"/>
  <c r="N1777" i="6" s="1"/>
  <c r="K1778" i="6"/>
  <c r="N1778" i="6" s="1"/>
  <c r="K1779" i="6"/>
  <c r="N1779" i="6" s="1"/>
  <c r="K1780" i="6"/>
  <c r="N1780" i="6" s="1"/>
  <c r="K1781" i="6"/>
  <c r="N1781" i="6" s="1"/>
  <c r="K1782" i="6"/>
  <c r="N1782" i="6" s="1"/>
  <c r="K1783" i="6"/>
  <c r="N1783" i="6" s="1"/>
  <c r="K1784" i="6"/>
  <c r="N1784" i="6" s="1"/>
  <c r="K1785" i="6"/>
  <c r="N1785" i="6" s="1"/>
  <c r="K1786" i="6"/>
  <c r="N1786" i="6" s="1"/>
  <c r="K1787" i="6"/>
  <c r="N1787" i="6" s="1"/>
  <c r="K1788" i="6"/>
  <c r="N1788" i="6" s="1"/>
  <c r="K1789" i="6"/>
  <c r="N1789" i="6" s="1"/>
  <c r="K1790" i="6"/>
  <c r="N1790" i="6" s="1"/>
  <c r="K1791" i="6"/>
  <c r="N1791" i="6" s="1"/>
  <c r="K1792" i="6"/>
  <c r="N1792" i="6" s="1"/>
  <c r="K1793" i="6"/>
  <c r="N1793" i="6" s="1"/>
  <c r="K1794" i="6"/>
  <c r="N1794" i="6" s="1"/>
  <c r="K1795" i="6"/>
  <c r="N1795" i="6" s="1"/>
  <c r="K1796" i="6"/>
  <c r="N1796" i="6" s="1"/>
  <c r="K1797" i="6"/>
  <c r="N1797" i="6" s="1"/>
  <c r="K1798" i="6"/>
  <c r="N1798" i="6" s="1"/>
  <c r="K1799" i="6"/>
  <c r="N1799" i="6" s="1"/>
  <c r="K1800" i="6"/>
  <c r="N1800" i="6" s="1"/>
  <c r="K1801" i="6"/>
  <c r="N1801" i="6" s="1"/>
  <c r="K1802" i="6"/>
  <c r="N1802" i="6" s="1"/>
  <c r="K1803" i="6"/>
  <c r="N1803" i="6" s="1"/>
  <c r="K1804" i="6"/>
  <c r="N1804" i="6" s="1"/>
  <c r="K1805" i="6"/>
  <c r="N1805" i="6" s="1"/>
  <c r="K1806" i="6"/>
  <c r="N1806" i="6" s="1"/>
  <c r="K1807" i="6"/>
  <c r="N1807" i="6" s="1"/>
  <c r="K1808" i="6"/>
  <c r="N1808" i="6" s="1"/>
  <c r="K1809" i="6"/>
  <c r="N1809" i="6" s="1"/>
  <c r="K1810" i="6"/>
  <c r="N1810" i="6" s="1"/>
  <c r="K1811" i="6"/>
  <c r="N1811" i="6" s="1"/>
  <c r="K1812" i="6"/>
  <c r="N1812" i="6" s="1"/>
  <c r="K1813" i="6"/>
  <c r="N1813" i="6" s="1"/>
  <c r="K1814" i="6"/>
  <c r="N1814" i="6" s="1"/>
  <c r="K1815" i="6"/>
  <c r="N1815" i="6" s="1"/>
  <c r="K1816" i="6"/>
  <c r="N1816" i="6" s="1"/>
  <c r="K1817" i="6"/>
  <c r="N1817" i="6" s="1"/>
  <c r="K1818" i="6"/>
  <c r="N1818" i="6" s="1"/>
  <c r="K1819" i="6"/>
  <c r="N1819" i="6" s="1"/>
  <c r="K1820" i="6"/>
  <c r="N1820" i="6" s="1"/>
  <c r="K1821" i="6"/>
  <c r="N1821" i="6" s="1"/>
  <c r="K1822" i="6"/>
  <c r="N1822" i="6" s="1"/>
  <c r="K1823" i="6"/>
  <c r="N1823" i="6" s="1"/>
  <c r="K1824" i="6"/>
  <c r="N1824" i="6" s="1"/>
  <c r="K1825" i="6"/>
  <c r="N1825" i="6" s="1"/>
  <c r="K1826" i="6"/>
  <c r="N1826" i="6" s="1"/>
  <c r="K1827" i="6"/>
  <c r="N1827" i="6" s="1"/>
  <c r="K1828" i="6"/>
  <c r="N1828" i="6" s="1"/>
  <c r="K1829" i="6"/>
  <c r="N1829" i="6" s="1"/>
  <c r="K1830" i="6"/>
  <c r="N1830" i="6" s="1"/>
  <c r="K1831" i="6"/>
  <c r="N1831" i="6" s="1"/>
  <c r="K1832" i="6"/>
  <c r="N1832" i="6" s="1"/>
  <c r="K1833" i="6"/>
  <c r="N1833" i="6" s="1"/>
  <c r="K1834" i="6"/>
  <c r="N1834" i="6" s="1"/>
  <c r="K1835" i="6"/>
  <c r="N1835" i="6" s="1"/>
  <c r="K1836" i="6"/>
  <c r="N1836" i="6" s="1"/>
  <c r="K1837" i="6"/>
  <c r="N1837" i="6" s="1"/>
  <c r="K1838" i="6"/>
  <c r="N1838" i="6" s="1"/>
  <c r="K1839" i="6"/>
  <c r="N1839" i="6" s="1"/>
  <c r="K1840" i="6"/>
  <c r="N1840" i="6" s="1"/>
  <c r="K1841" i="6"/>
  <c r="N1841" i="6" s="1"/>
  <c r="K1842" i="6"/>
  <c r="N1842" i="6" s="1"/>
  <c r="K1843" i="6"/>
  <c r="N1843" i="6" s="1"/>
  <c r="K1844" i="6"/>
  <c r="N1844" i="6" s="1"/>
  <c r="K1845" i="6"/>
  <c r="N1845" i="6" s="1"/>
  <c r="K1846" i="6"/>
  <c r="N1846" i="6" s="1"/>
  <c r="K1847" i="6"/>
  <c r="N1847" i="6" s="1"/>
  <c r="K1848" i="6"/>
  <c r="N1848" i="6" s="1"/>
  <c r="K1849" i="6"/>
  <c r="N1849" i="6" s="1"/>
  <c r="K1850" i="6"/>
  <c r="N1850" i="6" s="1"/>
  <c r="K1851" i="6"/>
  <c r="N1851" i="6" s="1"/>
  <c r="K1852" i="6"/>
  <c r="N1852" i="6" s="1"/>
  <c r="K1853" i="6"/>
  <c r="N1853" i="6" s="1"/>
  <c r="K1854" i="6"/>
  <c r="N1854" i="6" s="1"/>
  <c r="K1855" i="6"/>
  <c r="N1855" i="6" s="1"/>
  <c r="K1856" i="6"/>
  <c r="N1856" i="6" s="1"/>
  <c r="K1857" i="6"/>
  <c r="N1857" i="6" s="1"/>
  <c r="K1858" i="6"/>
  <c r="N1858" i="6" s="1"/>
  <c r="K1859" i="6"/>
  <c r="N1859" i="6" s="1"/>
  <c r="K1860" i="6"/>
  <c r="N1860" i="6" s="1"/>
  <c r="K1861" i="6"/>
  <c r="N1861" i="6" s="1"/>
  <c r="K1862" i="6"/>
  <c r="N1862" i="6" s="1"/>
  <c r="K1863" i="6"/>
  <c r="N1863" i="6" s="1"/>
  <c r="K1864" i="6"/>
  <c r="N1864" i="6" s="1"/>
  <c r="K1865" i="6"/>
  <c r="N1865" i="6" s="1"/>
  <c r="K1866" i="6"/>
  <c r="N1866" i="6" s="1"/>
  <c r="K1867" i="6"/>
  <c r="N1867" i="6" s="1"/>
  <c r="K1868" i="6"/>
  <c r="N1868" i="6" s="1"/>
  <c r="K1869" i="6"/>
  <c r="N1869" i="6" s="1"/>
  <c r="K1870" i="6"/>
  <c r="N1870" i="6" s="1"/>
  <c r="K1871" i="6"/>
  <c r="N1871" i="6" s="1"/>
  <c r="K1872" i="6"/>
  <c r="N1872" i="6" s="1"/>
  <c r="K1873" i="6"/>
  <c r="N1873" i="6" s="1"/>
  <c r="K1874" i="6"/>
  <c r="N1874" i="6" s="1"/>
  <c r="K1875" i="6"/>
  <c r="N1875" i="6" s="1"/>
  <c r="K1876" i="6"/>
  <c r="N1876" i="6" s="1"/>
  <c r="K1877" i="6"/>
  <c r="N1877" i="6" s="1"/>
  <c r="K1878" i="6"/>
  <c r="N1878" i="6" s="1"/>
  <c r="K1879" i="6"/>
  <c r="N1879" i="6" s="1"/>
  <c r="K1880" i="6"/>
  <c r="N1880" i="6" s="1"/>
  <c r="K1881" i="6"/>
  <c r="N1881" i="6" s="1"/>
  <c r="K1882" i="6"/>
  <c r="N1882" i="6" s="1"/>
  <c r="K1883" i="6"/>
  <c r="N1883" i="6" s="1"/>
  <c r="K1884" i="6"/>
  <c r="N1884" i="6" s="1"/>
  <c r="K1885" i="6"/>
  <c r="N1885" i="6" s="1"/>
  <c r="K1886" i="6"/>
  <c r="N1886" i="6" s="1"/>
  <c r="K1887" i="6"/>
  <c r="N1887" i="6" s="1"/>
  <c r="K1888" i="6"/>
  <c r="N1888" i="6" s="1"/>
  <c r="K1889" i="6"/>
  <c r="N1889" i="6" s="1"/>
  <c r="K1890" i="6"/>
  <c r="N1890" i="6" s="1"/>
  <c r="K1891" i="6"/>
  <c r="N1891" i="6" s="1"/>
  <c r="K1892" i="6"/>
  <c r="N1892" i="6" s="1"/>
  <c r="K1893" i="6"/>
  <c r="N1893" i="6" s="1"/>
  <c r="K1894" i="6"/>
  <c r="N1894" i="6" s="1"/>
  <c r="K1895" i="6"/>
  <c r="N1895" i="6" s="1"/>
  <c r="K1896" i="6"/>
  <c r="N1896" i="6" s="1"/>
  <c r="K1897" i="6"/>
  <c r="N1897" i="6" s="1"/>
  <c r="K1898" i="6"/>
  <c r="N1898" i="6" s="1"/>
  <c r="K1899" i="6"/>
  <c r="N1899" i="6" s="1"/>
  <c r="K1900" i="6"/>
  <c r="N1900" i="6" s="1"/>
  <c r="K1901" i="6"/>
  <c r="N1901" i="6" s="1"/>
  <c r="K1902" i="6"/>
  <c r="N1902" i="6" s="1"/>
  <c r="K1903" i="6"/>
  <c r="N1903" i="6" s="1"/>
  <c r="K1904" i="6"/>
  <c r="N1904" i="6" s="1"/>
  <c r="K1905" i="6"/>
  <c r="N1905" i="6" s="1"/>
  <c r="K1906" i="6"/>
  <c r="N1906" i="6" s="1"/>
  <c r="K1907" i="6"/>
  <c r="N1907" i="6" s="1"/>
  <c r="K1908" i="6"/>
  <c r="N1908" i="6" s="1"/>
  <c r="K1909" i="6"/>
  <c r="N1909" i="6" s="1"/>
  <c r="K1910" i="6"/>
  <c r="N1910" i="6" s="1"/>
  <c r="K1911" i="6"/>
  <c r="N1911" i="6" s="1"/>
  <c r="K1912" i="6"/>
  <c r="N1912" i="6" s="1"/>
  <c r="K1913" i="6"/>
  <c r="N1913" i="6" s="1"/>
  <c r="K1914" i="6"/>
  <c r="N1914" i="6" s="1"/>
  <c r="K1915" i="6"/>
  <c r="N1915" i="6" s="1"/>
  <c r="K1916" i="6"/>
  <c r="N1916" i="6" s="1"/>
  <c r="K1917" i="6"/>
  <c r="N1917" i="6" s="1"/>
  <c r="K1918" i="6"/>
  <c r="N1918" i="6" s="1"/>
  <c r="K1919" i="6"/>
  <c r="N1919" i="6" s="1"/>
  <c r="K1920" i="6"/>
  <c r="N1920" i="6" s="1"/>
  <c r="K1921" i="6"/>
  <c r="N1921" i="6" s="1"/>
  <c r="K1922" i="6"/>
  <c r="N1922" i="6" s="1"/>
  <c r="K1923" i="6"/>
  <c r="N1923" i="6" s="1"/>
  <c r="K1924" i="6"/>
  <c r="N1924" i="6" s="1"/>
  <c r="K1925" i="6"/>
  <c r="N1925" i="6" s="1"/>
  <c r="K1926" i="6"/>
  <c r="N1926" i="6" s="1"/>
  <c r="K1927" i="6"/>
  <c r="N1927" i="6" s="1"/>
  <c r="K1928" i="6"/>
  <c r="N1928" i="6" s="1"/>
  <c r="K1929" i="6"/>
  <c r="N1929" i="6" s="1"/>
  <c r="K1930" i="6"/>
  <c r="N1930" i="6" s="1"/>
  <c r="K1931" i="6"/>
  <c r="N1931" i="6" s="1"/>
  <c r="K1932" i="6"/>
  <c r="N1932" i="6" s="1"/>
  <c r="K1933" i="6"/>
  <c r="N1933" i="6" s="1"/>
  <c r="K1934" i="6"/>
  <c r="N1934" i="6" s="1"/>
  <c r="K1935" i="6"/>
  <c r="N1935" i="6" s="1"/>
  <c r="K1936" i="6"/>
  <c r="N1936" i="6" s="1"/>
  <c r="K1937" i="6"/>
  <c r="N1937" i="6" s="1"/>
  <c r="K1938" i="6"/>
  <c r="N1938" i="6" s="1"/>
  <c r="K1939" i="6"/>
  <c r="N1939" i="6" s="1"/>
  <c r="K1940" i="6"/>
  <c r="N1940" i="6" s="1"/>
  <c r="K1941" i="6"/>
  <c r="N1941" i="6" s="1"/>
  <c r="K1942" i="6"/>
  <c r="N1942" i="6" s="1"/>
  <c r="K1943" i="6"/>
  <c r="N1943" i="6" s="1"/>
  <c r="K1944" i="6"/>
  <c r="N1944" i="6" s="1"/>
  <c r="K1945" i="6"/>
  <c r="N1945" i="6" s="1"/>
  <c r="K1946" i="6"/>
  <c r="N1946" i="6" s="1"/>
  <c r="K1947" i="6"/>
  <c r="N1947" i="6" s="1"/>
  <c r="K1948" i="6"/>
  <c r="N1948" i="6" s="1"/>
  <c r="K1949" i="6"/>
  <c r="N1949" i="6" s="1"/>
  <c r="K1950" i="6"/>
  <c r="N1950" i="6" s="1"/>
  <c r="K1951" i="6"/>
  <c r="N1951" i="6" s="1"/>
  <c r="K1952" i="6"/>
  <c r="N1952" i="6" s="1"/>
  <c r="K1953" i="6"/>
  <c r="N1953" i="6" s="1"/>
  <c r="K1954" i="6"/>
  <c r="N1954" i="6" s="1"/>
  <c r="K1955" i="6"/>
  <c r="N1955" i="6" s="1"/>
  <c r="K1956" i="6"/>
  <c r="N1956" i="6" s="1"/>
  <c r="K1957" i="6"/>
  <c r="N1957" i="6" s="1"/>
  <c r="K1958" i="6"/>
  <c r="N1958" i="6" s="1"/>
  <c r="K1959" i="6"/>
  <c r="N1959" i="6" s="1"/>
  <c r="K1960" i="6"/>
  <c r="N1960" i="6" s="1"/>
  <c r="K1961" i="6"/>
  <c r="N1961" i="6" s="1"/>
  <c r="K1962" i="6"/>
  <c r="N1962" i="6" s="1"/>
  <c r="K1963" i="6"/>
  <c r="N1963" i="6" s="1"/>
  <c r="K1964" i="6"/>
  <c r="N1964" i="6" s="1"/>
  <c r="K1965" i="6"/>
  <c r="N1965" i="6" s="1"/>
  <c r="K1966" i="6"/>
  <c r="N1966" i="6" s="1"/>
  <c r="K1967" i="6"/>
  <c r="N1967" i="6" s="1"/>
  <c r="K1968" i="6"/>
  <c r="N1968" i="6" s="1"/>
  <c r="K1969" i="6"/>
  <c r="N1969" i="6" s="1"/>
  <c r="K1970" i="6"/>
  <c r="N1970" i="6" s="1"/>
  <c r="K1971" i="6"/>
  <c r="N1971" i="6" s="1"/>
  <c r="K1972" i="6"/>
  <c r="N1972" i="6" s="1"/>
  <c r="K1973" i="6"/>
  <c r="N1973" i="6" s="1"/>
  <c r="K1974" i="6"/>
  <c r="N1974" i="6" s="1"/>
  <c r="K1975" i="6"/>
  <c r="N1975" i="6" s="1"/>
  <c r="K1976" i="6"/>
  <c r="N1976" i="6" s="1"/>
  <c r="K1977" i="6"/>
  <c r="N1977" i="6" s="1"/>
  <c r="K1978" i="6"/>
  <c r="N1978" i="6" s="1"/>
  <c r="K1979" i="6"/>
  <c r="N1979" i="6" s="1"/>
  <c r="K1980" i="6"/>
  <c r="N1980" i="6" s="1"/>
  <c r="K1981" i="6"/>
  <c r="N1981" i="6" s="1"/>
  <c r="K1982" i="6"/>
  <c r="N1982" i="6" s="1"/>
  <c r="K1983" i="6"/>
  <c r="N1983" i="6" s="1"/>
  <c r="K1984" i="6"/>
  <c r="N1984" i="6" s="1"/>
  <c r="K1985" i="6"/>
  <c r="N1985" i="6" s="1"/>
  <c r="K1986" i="6"/>
  <c r="N1986" i="6" s="1"/>
  <c r="K1987" i="6"/>
  <c r="N1987" i="6" s="1"/>
  <c r="K1988" i="6"/>
  <c r="N1988" i="6" s="1"/>
  <c r="K1989" i="6"/>
  <c r="N1989" i="6" s="1"/>
  <c r="K1990" i="6"/>
  <c r="N1990" i="6" s="1"/>
  <c r="K1991" i="6"/>
  <c r="N1991" i="6" s="1"/>
  <c r="K1992" i="6"/>
  <c r="N1992" i="6" s="1"/>
  <c r="K1993" i="6"/>
  <c r="N1993" i="6" s="1"/>
  <c r="K1994" i="6"/>
  <c r="N1994" i="6" s="1"/>
  <c r="K1995" i="6"/>
  <c r="N1995" i="6" s="1"/>
  <c r="K1996" i="6"/>
  <c r="N1996" i="6" s="1"/>
  <c r="K1997" i="6"/>
  <c r="N1997" i="6" s="1"/>
  <c r="K1998" i="6"/>
  <c r="N1998" i="6" s="1"/>
  <c r="K1999" i="6"/>
  <c r="N1999" i="6" s="1"/>
  <c r="K2000" i="6"/>
  <c r="N2000" i="6" s="1"/>
  <c r="K2001" i="6"/>
  <c r="N2001" i="6" s="1"/>
  <c r="K2002" i="6"/>
  <c r="N2002" i="6" s="1"/>
  <c r="K2003" i="6"/>
  <c r="N2003" i="6" s="1"/>
  <c r="K2004" i="6"/>
  <c r="N2004" i="6" s="1"/>
  <c r="K2005" i="6"/>
  <c r="N2005" i="6" s="1"/>
  <c r="K2006" i="6"/>
  <c r="N2006" i="6" s="1"/>
  <c r="K2007" i="6"/>
  <c r="N2007" i="6" s="1"/>
  <c r="K2008" i="6"/>
  <c r="N2008" i="6" s="1"/>
  <c r="K2009" i="6"/>
  <c r="N2009" i="6" s="1"/>
  <c r="K2010" i="6"/>
  <c r="N2010" i="6" s="1"/>
  <c r="K2011" i="6"/>
  <c r="N2011" i="6" s="1"/>
  <c r="K2012" i="6"/>
  <c r="N2012" i="6" s="1"/>
  <c r="K2013" i="6"/>
  <c r="N2013" i="6" s="1"/>
  <c r="K2014" i="6"/>
  <c r="N2014" i="6" s="1"/>
  <c r="K2015" i="6"/>
  <c r="N2015" i="6" s="1"/>
  <c r="K2016" i="6"/>
  <c r="N2016" i="6" s="1"/>
  <c r="K2017" i="6"/>
  <c r="N2017" i="6" s="1"/>
  <c r="K2018" i="6"/>
  <c r="N2018" i="6" s="1"/>
  <c r="K2019" i="6"/>
  <c r="N2019" i="6" s="1"/>
  <c r="K2020" i="6"/>
  <c r="N2020" i="6" s="1"/>
  <c r="K2021" i="6"/>
  <c r="N2021" i="6" s="1"/>
  <c r="K2022" i="6"/>
  <c r="N2022" i="6" s="1"/>
  <c r="K2023" i="6"/>
  <c r="N2023" i="6" s="1"/>
  <c r="K2024" i="6"/>
  <c r="N2024" i="6" s="1"/>
  <c r="K2025" i="6"/>
  <c r="N2025" i="6" s="1"/>
  <c r="K2026" i="6"/>
  <c r="N2026" i="6" s="1"/>
  <c r="K2027" i="6"/>
  <c r="N2027" i="6" s="1"/>
  <c r="K2028" i="6"/>
  <c r="N2028" i="6" s="1"/>
  <c r="K2029" i="6"/>
  <c r="N2029" i="6" s="1"/>
  <c r="K2030" i="6"/>
  <c r="N2030" i="6" s="1"/>
  <c r="K2031" i="6"/>
  <c r="N2031" i="6" s="1"/>
  <c r="K2032" i="6"/>
  <c r="N2032" i="6" s="1"/>
  <c r="K2033" i="6"/>
  <c r="N2033" i="6" s="1"/>
  <c r="K2034" i="6"/>
  <c r="N2034" i="6" s="1"/>
  <c r="K2035" i="6"/>
  <c r="N2035" i="6" s="1"/>
  <c r="K2036" i="6"/>
  <c r="N2036" i="6" s="1"/>
  <c r="K2037" i="6"/>
  <c r="N2037" i="6" s="1"/>
  <c r="K2038" i="6"/>
  <c r="N2038" i="6" s="1"/>
  <c r="K2039" i="6"/>
  <c r="N2039" i="6" s="1"/>
  <c r="K2040" i="6"/>
  <c r="N2040" i="6" s="1"/>
  <c r="K2041" i="6"/>
  <c r="N2041" i="6" s="1"/>
  <c r="K2042" i="6"/>
  <c r="N2042" i="6" s="1"/>
  <c r="K2043" i="6"/>
  <c r="N2043" i="6" s="1"/>
  <c r="K2044" i="6"/>
  <c r="N2044" i="6" s="1"/>
  <c r="K2045" i="6"/>
  <c r="N2045" i="6" s="1"/>
  <c r="K2046" i="6"/>
  <c r="N2046" i="6" s="1"/>
  <c r="K2047" i="6"/>
  <c r="N2047" i="6" s="1"/>
  <c r="K2048" i="6"/>
  <c r="N2048" i="6" s="1"/>
  <c r="K2049" i="6"/>
  <c r="N2049" i="6" s="1"/>
  <c r="K2050" i="6"/>
  <c r="N2050" i="6" s="1"/>
  <c r="K2051" i="6"/>
  <c r="N2051" i="6" s="1"/>
  <c r="K2052" i="6"/>
  <c r="N2052" i="6" s="1"/>
  <c r="K2053" i="6"/>
  <c r="N2053" i="6" s="1"/>
  <c r="K2054" i="6"/>
  <c r="N2054" i="6" s="1"/>
  <c r="K2055" i="6"/>
  <c r="N2055" i="6" s="1"/>
  <c r="K2056" i="6"/>
  <c r="N2056" i="6" s="1"/>
  <c r="K2057" i="6"/>
  <c r="N2057" i="6" s="1"/>
  <c r="K2058" i="6"/>
  <c r="N2058" i="6" s="1"/>
  <c r="K2059" i="6"/>
  <c r="N2059" i="6" s="1"/>
  <c r="K2060" i="6"/>
  <c r="N2060" i="6" s="1"/>
  <c r="K2061" i="6"/>
  <c r="N2061" i="6" s="1"/>
  <c r="K2062" i="6"/>
  <c r="N2062" i="6" s="1"/>
  <c r="K2063" i="6"/>
  <c r="N2063" i="6" s="1"/>
  <c r="K2064" i="6"/>
  <c r="N2064" i="6" s="1"/>
  <c r="K2065" i="6"/>
  <c r="N2065" i="6" s="1"/>
  <c r="K2066" i="6"/>
  <c r="N2066" i="6" s="1"/>
  <c r="K2067" i="6"/>
  <c r="N2067" i="6" s="1"/>
  <c r="K2068" i="6"/>
  <c r="N2068" i="6" s="1"/>
  <c r="K2069" i="6"/>
  <c r="N2069" i="6" s="1"/>
  <c r="K2070" i="6"/>
  <c r="N2070" i="6" s="1"/>
  <c r="K2071" i="6"/>
  <c r="N2071" i="6" s="1"/>
  <c r="K2072" i="6"/>
  <c r="N2072" i="6" s="1"/>
  <c r="K2073" i="6"/>
  <c r="N2073" i="6" s="1"/>
  <c r="K2074" i="6"/>
  <c r="N2074" i="6" s="1"/>
  <c r="K2075" i="6"/>
  <c r="N2075" i="6" s="1"/>
  <c r="K2076" i="6"/>
  <c r="N2076" i="6" s="1"/>
  <c r="K2077" i="6"/>
  <c r="N2077" i="6" s="1"/>
  <c r="K2078" i="6"/>
  <c r="N2078" i="6" s="1"/>
  <c r="K2079" i="6"/>
  <c r="N2079" i="6" s="1"/>
  <c r="K2080" i="6"/>
  <c r="N2080" i="6" s="1"/>
  <c r="K2081" i="6"/>
  <c r="N2081" i="6" s="1"/>
  <c r="K2082" i="6"/>
  <c r="N2082" i="6" s="1"/>
  <c r="K2083" i="6"/>
  <c r="N2083" i="6" s="1"/>
  <c r="K2084" i="6"/>
  <c r="N2084" i="6" s="1"/>
  <c r="K2085" i="6"/>
  <c r="N2085" i="6" s="1"/>
  <c r="K2086" i="6"/>
  <c r="N2086" i="6" s="1"/>
  <c r="K2087" i="6"/>
  <c r="N2087" i="6" s="1"/>
  <c r="K2088" i="6"/>
  <c r="N2088" i="6" s="1"/>
  <c r="K2089" i="6"/>
  <c r="N2089" i="6" s="1"/>
  <c r="K2090" i="6"/>
  <c r="N2090" i="6" s="1"/>
  <c r="K2091" i="6"/>
  <c r="N2091" i="6" s="1"/>
  <c r="K2092" i="6"/>
  <c r="N2092" i="6" s="1"/>
  <c r="K2093" i="6"/>
  <c r="N2093" i="6" s="1"/>
  <c r="K2094" i="6"/>
  <c r="N2094" i="6" s="1"/>
  <c r="K2095" i="6"/>
  <c r="N2095" i="6" s="1"/>
  <c r="K2096" i="6"/>
  <c r="N2096" i="6" s="1"/>
  <c r="K2097" i="6"/>
  <c r="N2097" i="6" s="1"/>
  <c r="K2098" i="6"/>
  <c r="N2098" i="6" s="1"/>
  <c r="K2099" i="6"/>
  <c r="N2099" i="6" s="1"/>
  <c r="K2100" i="6"/>
  <c r="N2100" i="6" s="1"/>
  <c r="K2101" i="6"/>
  <c r="N2101" i="6" s="1"/>
  <c r="K2102" i="6"/>
  <c r="N2102" i="6" s="1"/>
  <c r="K2103" i="6"/>
  <c r="N2103" i="6" s="1"/>
  <c r="K2104" i="6"/>
  <c r="N2104" i="6" s="1"/>
  <c r="K2105" i="6"/>
  <c r="N2105" i="6" s="1"/>
  <c r="K2106" i="6"/>
  <c r="N2106" i="6" s="1"/>
  <c r="K2107" i="6"/>
  <c r="N2107" i="6" s="1"/>
  <c r="K2108" i="6"/>
  <c r="N2108" i="6" s="1"/>
  <c r="K2109" i="6"/>
  <c r="N2109" i="6" s="1"/>
  <c r="K2110" i="6"/>
  <c r="N2110" i="6" s="1"/>
  <c r="K2111" i="6"/>
  <c r="N2111" i="6" s="1"/>
  <c r="K2112" i="6"/>
  <c r="N2112" i="6" s="1"/>
  <c r="K2113" i="6"/>
  <c r="N2113" i="6" s="1"/>
  <c r="K2114" i="6"/>
  <c r="N2114" i="6" s="1"/>
  <c r="K2115" i="6"/>
  <c r="N2115" i="6" s="1"/>
  <c r="K2116" i="6"/>
  <c r="N2116" i="6" s="1"/>
  <c r="K2117" i="6"/>
  <c r="N2117" i="6" s="1"/>
  <c r="K2118" i="6"/>
  <c r="N2118" i="6" s="1"/>
  <c r="K2119" i="6"/>
  <c r="N2119" i="6" s="1"/>
  <c r="K2120" i="6"/>
  <c r="N2120" i="6" s="1"/>
  <c r="K2121" i="6"/>
  <c r="N2121" i="6" s="1"/>
  <c r="K2122" i="6"/>
  <c r="N2122" i="6" s="1"/>
  <c r="K2123" i="6"/>
  <c r="N2123" i="6" s="1"/>
  <c r="K2124" i="6"/>
  <c r="N2124" i="6" s="1"/>
  <c r="K2125" i="6"/>
  <c r="N2125" i="6" s="1"/>
  <c r="K2126" i="6"/>
  <c r="N2126" i="6" s="1"/>
  <c r="K2127" i="6"/>
  <c r="N2127" i="6" s="1"/>
  <c r="K2128" i="6"/>
  <c r="N2128" i="6" s="1"/>
  <c r="K2129" i="6"/>
  <c r="N2129" i="6" s="1"/>
  <c r="K2130" i="6"/>
  <c r="N2130" i="6" s="1"/>
  <c r="K2131" i="6"/>
  <c r="N2131" i="6" s="1"/>
  <c r="K2132" i="6"/>
  <c r="N2132" i="6" s="1"/>
  <c r="K2133" i="6"/>
  <c r="N2133" i="6" s="1"/>
  <c r="K2134" i="6"/>
  <c r="N2134" i="6" s="1"/>
  <c r="K2135" i="6"/>
  <c r="N2135" i="6" s="1"/>
  <c r="K2136" i="6"/>
  <c r="N2136" i="6" s="1"/>
  <c r="K2137" i="6"/>
  <c r="N2137" i="6" s="1"/>
  <c r="K2138" i="6"/>
  <c r="N2138" i="6" s="1"/>
  <c r="K2139" i="6"/>
  <c r="N2139" i="6" s="1"/>
  <c r="K2140" i="6"/>
  <c r="N2140" i="6" s="1"/>
  <c r="K2141" i="6"/>
  <c r="N2141" i="6" s="1"/>
  <c r="K2142" i="6"/>
  <c r="N2142" i="6" s="1"/>
  <c r="K2143" i="6"/>
  <c r="N2143" i="6" s="1"/>
  <c r="K2144" i="6"/>
  <c r="N2144" i="6" s="1"/>
  <c r="K2145" i="6"/>
  <c r="N2145" i="6" s="1"/>
  <c r="K2146" i="6"/>
  <c r="N2146" i="6" s="1"/>
  <c r="K2147" i="6"/>
  <c r="N2147" i="6" s="1"/>
  <c r="K2148" i="6"/>
  <c r="N2148" i="6" s="1"/>
  <c r="K2149" i="6"/>
  <c r="N2149" i="6" s="1"/>
  <c r="K2150" i="6"/>
  <c r="N2150" i="6" s="1"/>
  <c r="K2151" i="6"/>
  <c r="N2151" i="6" s="1"/>
  <c r="K2152" i="6"/>
  <c r="N2152" i="6" s="1"/>
  <c r="K2153" i="6"/>
  <c r="N2153" i="6" s="1"/>
  <c r="K2154" i="6"/>
  <c r="N2154" i="6" s="1"/>
  <c r="K2155" i="6"/>
  <c r="N2155" i="6" s="1"/>
  <c r="K2156" i="6"/>
  <c r="N2156" i="6" s="1"/>
  <c r="K2157" i="6"/>
  <c r="N2157" i="6" s="1"/>
  <c r="K2158" i="6"/>
  <c r="N2158" i="6" s="1"/>
  <c r="K2159" i="6"/>
  <c r="N2159" i="6" s="1"/>
  <c r="K2160" i="6"/>
  <c r="N2160" i="6" s="1"/>
  <c r="K2161" i="6"/>
  <c r="N2161" i="6" s="1"/>
  <c r="K2162" i="6"/>
  <c r="N2162" i="6" s="1"/>
  <c r="K2163" i="6"/>
  <c r="N2163" i="6" s="1"/>
  <c r="K2164" i="6"/>
  <c r="N2164" i="6" s="1"/>
  <c r="K2165" i="6"/>
  <c r="N2165" i="6" s="1"/>
  <c r="K2166" i="6"/>
  <c r="N2166" i="6" s="1"/>
  <c r="K2167" i="6"/>
  <c r="N2167" i="6" s="1"/>
  <c r="K2168" i="6"/>
  <c r="N2168" i="6" s="1"/>
  <c r="K2169" i="6"/>
  <c r="N2169" i="6" s="1"/>
  <c r="K2170" i="6"/>
  <c r="N2170" i="6" s="1"/>
  <c r="K2171" i="6"/>
  <c r="N2171" i="6" s="1"/>
  <c r="K2172" i="6"/>
  <c r="N2172" i="6" s="1"/>
  <c r="K2173" i="6"/>
  <c r="N2173" i="6" s="1"/>
  <c r="K2174" i="6"/>
  <c r="N2174" i="6" s="1"/>
  <c r="K2175" i="6"/>
  <c r="N2175" i="6" s="1"/>
  <c r="K2176" i="6"/>
  <c r="N2176" i="6" s="1"/>
  <c r="K2177" i="6"/>
  <c r="N2177" i="6" s="1"/>
  <c r="K2178" i="6"/>
  <c r="N2178" i="6" s="1"/>
  <c r="K2179" i="6"/>
  <c r="N2179" i="6" s="1"/>
  <c r="K2180" i="6"/>
  <c r="N2180" i="6" s="1"/>
  <c r="K2181" i="6"/>
  <c r="N2181" i="6" s="1"/>
  <c r="K2182" i="6"/>
  <c r="N2182" i="6" s="1"/>
  <c r="K2183" i="6"/>
  <c r="N2183" i="6" s="1"/>
  <c r="K2184" i="6"/>
  <c r="N2184" i="6" s="1"/>
  <c r="K2185" i="6"/>
  <c r="N2185" i="6" s="1"/>
  <c r="K2186" i="6"/>
  <c r="N2186" i="6" s="1"/>
  <c r="K2187" i="6"/>
  <c r="N2187" i="6" s="1"/>
  <c r="K2188" i="6"/>
  <c r="N2188" i="6" s="1"/>
  <c r="K2189" i="6"/>
  <c r="N2189" i="6" s="1"/>
  <c r="K2190" i="6"/>
  <c r="N2190" i="6" s="1"/>
  <c r="K2191" i="6"/>
  <c r="N2191" i="6" s="1"/>
  <c r="K2192" i="6"/>
  <c r="N2192" i="6" s="1"/>
  <c r="K2193" i="6"/>
  <c r="N2193" i="6" s="1"/>
  <c r="K2194" i="6"/>
  <c r="N2194" i="6" s="1"/>
  <c r="K2195" i="6"/>
  <c r="N2195" i="6" s="1"/>
  <c r="K2196" i="6"/>
  <c r="N2196" i="6" s="1"/>
  <c r="K2197" i="6"/>
  <c r="N2197" i="6" s="1"/>
  <c r="K2198" i="6"/>
  <c r="N2198" i="6" s="1"/>
  <c r="K2199" i="6"/>
  <c r="N2199" i="6" s="1"/>
  <c r="K2200" i="6"/>
  <c r="N2200" i="6" s="1"/>
  <c r="K2201" i="6"/>
  <c r="N2201" i="6" s="1"/>
  <c r="K2202" i="6"/>
  <c r="N2202" i="6" s="1"/>
  <c r="K2203" i="6"/>
  <c r="N2203" i="6" s="1"/>
  <c r="K2204" i="6"/>
  <c r="N2204" i="6" s="1"/>
  <c r="K2205" i="6"/>
  <c r="N2205" i="6" s="1"/>
  <c r="K2206" i="6"/>
  <c r="N2206" i="6" s="1"/>
  <c r="K2207" i="6"/>
  <c r="N2207" i="6" s="1"/>
  <c r="K2208" i="6"/>
  <c r="N2208" i="6" s="1"/>
  <c r="K2209" i="6"/>
  <c r="N2209" i="6" s="1"/>
  <c r="K2210" i="6"/>
  <c r="N2210" i="6" s="1"/>
  <c r="K2211" i="6"/>
  <c r="N2211" i="6" s="1"/>
  <c r="K2212" i="6"/>
  <c r="N2212" i="6" s="1"/>
  <c r="K2213" i="6"/>
  <c r="N2213" i="6" s="1"/>
  <c r="K2214" i="6"/>
  <c r="N2214" i="6" s="1"/>
  <c r="K2215" i="6"/>
  <c r="N2215" i="6" s="1"/>
  <c r="K2216" i="6"/>
  <c r="N2216" i="6" s="1"/>
  <c r="K2217" i="6"/>
  <c r="N2217" i="6" s="1"/>
  <c r="K2218" i="6"/>
  <c r="N2218" i="6" s="1"/>
  <c r="K2219" i="6"/>
  <c r="N2219" i="6" s="1"/>
  <c r="K2220" i="6"/>
  <c r="N2220" i="6" s="1"/>
  <c r="K2221" i="6"/>
  <c r="N2221" i="6" s="1"/>
  <c r="K2222" i="6"/>
  <c r="N2222" i="6" s="1"/>
  <c r="K2223" i="6"/>
  <c r="N2223" i="6" s="1"/>
  <c r="K2224" i="6"/>
  <c r="N2224" i="6" s="1"/>
  <c r="K2225" i="6"/>
  <c r="N2225" i="6" s="1"/>
  <c r="K2226" i="6"/>
  <c r="N2226" i="6" s="1"/>
  <c r="K2227" i="6"/>
  <c r="N2227" i="6" s="1"/>
  <c r="K2228" i="6"/>
  <c r="N2228" i="6" s="1"/>
  <c r="K2229" i="6"/>
  <c r="N2229" i="6" s="1"/>
  <c r="K2230" i="6"/>
  <c r="N2230" i="6" s="1"/>
  <c r="K2231" i="6"/>
  <c r="N2231" i="6" s="1"/>
  <c r="K2232" i="6"/>
  <c r="N2232" i="6" s="1"/>
  <c r="K2233" i="6"/>
  <c r="N2233" i="6" s="1"/>
  <c r="K2234" i="6"/>
  <c r="N2234" i="6" s="1"/>
  <c r="K2235" i="6"/>
  <c r="N2235" i="6" s="1"/>
  <c r="K2236" i="6"/>
  <c r="N2236" i="6" s="1"/>
  <c r="K2237" i="6"/>
  <c r="N2237" i="6" s="1"/>
  <c r="K2238" i="6"/>
  <c r="N2238" i="6" s="1"/>
  <c r="K2239" i="6"/>
  <c r="N2239" i="6" s="1"/>
  <c r="K2240" i="6"/>
  <c r="N2240" i="6" s="1"/>
  <c r="K2241" i="6"/>
  <c r="N2241" i="6" s="1"/>
  <c r="K2242" i="6"/>
  <c r="N2242" i="6" s="1"/>
  <c r="K2243" i="6"/>
  <c r="N2243" i="6" s="1"/>
  <c r="K2244" i="6"/>
  <c r="N2244" i="6" s="1"/>
  <c r="K2245" i="6"/>
  <c r="N2245" i="6" s="1"/>
  <c r="K2246" i="6"/>
  <c r="N2246" i="6" s="1"/>
  <c r="K2247" i="6"/>
  <c r="N2247" i="6" s="1"/>
  <c r="K2248" i="6"/>
  <c r="N2248" i="6" s="1"/>
  <c r="K2249" i="6"/>
  <c r="N2249" i="6" s="1"/>
  <c r="K2250" i="6"/>
  <c r="N2250" i="6" s="1"/>
  <c r="K2251" i="6"/>
  <c r="N2251" i="6" s="1"/>
  <c r="K2252" i="6"/>
  <c r="N2252" i="6" s="1"/>
  <c r="K2253" i="6"/>
  <c r="N2253" i="6" s="1"/>
  <c r="K2254" i="6"/>
  <c r="N2254" i="6" s="1"/>
  <c r="K2255" i="6"/>
  <c r="N2255" i="6" s="1"/>
  <c r="K2256" i="6"/>
  <c r="N2256" i="6" s="1"/>
  <c r="K2257" i="6"/>
  <c r="N2257" i="6" s="1"/>
  <c r="K2258" i="6"/>
  <c r="N2258" i="6" s="1"/>
  <c r="K2259" i="6"/>
  <c r="N2259" i="6" s="1"/>
  <c r="K2260" i="6"/>
  <c r="N2260" i="6" s="1"/>
  <c r="K2261" i="6"/>
  <c r="N2261" i="6" s="1"/>
  <c r="K2262" i="6"/>
  <c r="N2262" i="6" s="1"/>
  <c r="K2263" i="6"/>
  <c r="N2263" i="6" s="1"/>
  <c r="K2264" i="6"/>
  <c r="N2264" i="6" s="1"/>
  <c r="K2265" i="6"/>
  <c r="N2265" i="6" s="1"/>
  <c r="K2266" i="6"/>
  <c r="N2266" i="6" s="1"/>
  <c r="K2267" i="6"/>
  <c r="N2267" i="6" s="1"/>
  <c r="K2268" i="6"/>
  <c r="N2268" i="6" s="1"/>
  <c r="K2269" i="6"/>
  <c r="N2269" i="6" s="1"/>
  <c r="K2270" i="6"/>
  <c r="N2270" i="6" s="1"/>
  <c r="K2271" i="6"/>
  <c r="N2271" i="6" s="1"/>
  <c r="K2272" i="6"/>
  <c r="N2272" i="6" s="1"/>
  <c r="K2273" i="6"/>
  <c r="N2273" i="6" s="1"/>
  <c r="K2274" i="6"/>
  <c r="N2274" i="6" s="1"/>
  <c r="K2275" i="6"/>
  <c r="N2275" i="6" s="1"/>
  <c r="K2276" i="6"/>
  <c r="N2276" i="6" s="1"/>
  <c r="K2277" i="6"/>
  <c r="N2277" i="6" s="1"/>
  <c r="K2278" i="6"/>
  <c r="N2278" i="6" s="1"/>
  <c r="K2279" i="6"/>
  <c r="N2279" i="6" s="1"/>
  <c r="K2280" i="6"/>
  <c r="N2280" i="6" s="1"/>
  <c r="K2281" i="6"/>
  <c r="N2281" i="6" s="1"/>
  <c r="K2282" i="6"/>
  <c r="N2282" i="6" s="1"/>
  <c r="K2283" i="6"/>
  <c r="N2283" i="6" s="1"/>
  <c r="K2284" i="6"/>
  <c r="N2284" i="6" s="1"/>
  <c r="K2285" i="6"/>
  <c r="N2285" i="6" s="1"/>
  <c r="K2286" i="6"/>
  <c r="N2286" i="6" s="1"/>
  <c r="K2287" i="6"/>
  <c r="N2287" i="6" s="1"/>
  <c r="K2288" i="6"/>
  <c r="N2288" i="6" s="1"/>
  <c r="K2289" i="6"/>
  <c r="N2289" i="6" s="1"/>
  <c r="K2290" i="6"/>
  <c r="N2290" i="6" s="1"/>
  <c r="K2291" i="6"/>
  <c r="N2291" i="6" s="1"/>
  <c r="K2292" i="6"/>
  <c r="N2292" i="6" s="1"/>
  <c r="K2293" i="6"/>
  <c r="N2293" i="6" s="1"/>
  <c r="K2294" i="6"/>
  <c r="N2294" i="6" s="1"/>
  <c r="K2295" i="6"/>
  <c r="N2295" i="6" s="1"/>
  <c r="K2296" i="6"/>
  <c r="N2296" i="6" s="1"/>
  <c r="K2297" i="6"/>
  <c r="N2297" i="6" s="1"/>
  <c r="K2298" i="6"/>
  <c r="N2298" i="6" s="1"/>
  <c r="K2299" i="6"/>
  <c r="N2299" i="6" s="1"/>
  <c r="K2300" i="6"/>
  <c r="N2300" i="6" s="1"/>
  <c r="K2301" i="6"/>
  <c r="N2301" i="6" s="1"/>
  <c r="K2302" i="6"/>
  <c r="N2302" i="6" s="1"/>
  <c r="K2303" i="6"/>
  <c r="N2303" i="6" s="1"/>
  <c r="K2304" i="6"/>
  <c r="N2304" i="6" s="1"/>
  <c r="K2305" i="6"/>
  <c r="N2305" i="6" s="1"/>
  <c r="K2306" i="6"/>
  <c r="N2306" i="6" s="1"/>
  <c r="K2307" i="6"/>
  <c r="N2307" i="6" s="1"/>
  <c r="K2308" i="6"/>
  <c r="N2308" i="6" s="1"/>
  <c r="K2309" i="6"/>
  <c r="N2309" i="6" s="1"/>
  <c r="K2310" i="6"/>
  <c r="N2310" i="6" s="1"/>
  <c r="K2311" i="6"/>
  <c r="N2311" i="6" s="1"/>
  <c r="K2312" i="6"/>
  <c r="N2312" i="6" s="1"/>
  <c r="K2313" i="6"/>
  <c r="N2313" i="6" s="1"/>
  <c r="K2314" i="6"/>
  <c r="N2314" i="6" s="1"/>
  <c r="K2315" i="6"/>
  <c r="N2315" i="6" s="1"/>
  <c r="K2316" i="6"/>
  <c r="N2316" i="6" s="1"/>
  <c r="K2317" i="6"/>
  <c r="N2317" i="6" s="1"/>
  <c r="K2318" i="6"/>
  <c r="N2318" i="6" s="1"/>
  <c r="K2319" i="6"/>
  <c r="N2319" i="6" s="1"/>
  <c r="K2320" i="6"/>
  <c r="N2320" i="6" s="1"/>
  <c r="K2321" i="6"/>
  <c r="N2321" i="6" s="1"/>
  <c r="K2322" i="6"/>
  <c r="N2322" i="6" s="1"/>
  <c r="K2323" i="6"/>
  <c r="N2323" i="6" s="1"/>
  <c r="K2324" i="6"/>
  <c r="N2324" i="6" s="1"/>
  <c r="K2325" i="6"/>
  <c r="N2325" i="6" s="1"/>
  <c r="K2326" i="6"/>
  <c r="N2326" i="6" s="1"/>
  <c r="K2327" i="6"/>
  <c r="N2327" i="6" s="1"/>
  <c r="K2328" i="6"/>
  <c r="N2328" i="6" s="1"/>
  <c r="K2329" i="6"/>
  <c r="N2329" i="6" s="1"/>
  <c r="K2330" i="6"/>
  <c r="N2330" i="6" s="1"/>
  <c r="K2331" i="6"/>
  <c r="N2331" i="6" s="1"/>
  <c r="K2332" i="6"/>
  <c r="N2332" i="6" s="1"/>
  <c r="K2333" i="6"/>
  <c r="N2333" i="6" s="1"/>
  <c r="K2334" i="6"/>
  <c r="N2334" i="6" s="1"/>
  <c r="K2335" i="6"/>
  <c r="N2335" i="6" s="1"/>
  <c r="K2336" i="6"/>
  <c r="N2336" i="6" s="1"/>
  <c r="K2337" i="6"/>
  <c r="N2337" i="6" s="1"/>
  <c r="K2338" i="6"/>
  <c r="N2338" i="6" s="1"/>
  <c r="K2339" i="6"/>
  <c r="N2339" i="6" s="1"/>
  <c r="K2340" i="6"/>
  <c r="N2340" i="6" s="1"/>
  <c r="K2341" i="6"/>
  <c r="N2341" i="6" s="1"/>
  <c r="K2342" i="6"/>
  <c r="N2342" i="6" s="1"/>
  <c r="K2343" i="6"/>
  <c r="N2343" i="6" s="1"/>
  <c r="K2344" i="6"/>
  <c r="N2344" i="6" s="1"/>
  <c r="K2345" i="6"/>
  <c r="N2345" i="6" s="1"/>
  <c r="K2346" i="6"/>
  <c r="N2346" i="6" s="1"/>
  <c r="K2347" i="6"/>
  <c r="N2347" i="6" s="1"/>
  <c r="K2348" i="6"/>
  <c r="N2348" i="6" s="1"/>
  <c r="K2349" i="6"/>
  <c r="N2349" i="6" s="1"/>
  <c r="K2350" i="6"/>
  <c r="N2350" i="6" s="1"/>
  <c r="K2351" i="6"/>
  <c r="N2351" i="6" s="1"/>
  <c r="K2352" i="6"/>
  <c r="N2352" i="6" s="1"/>
  <c r="K2353" i="6"/>
  <c r="N2353" i="6" s="1"/>
  <c r="K2354" i="6"/>
  <c r="N2354" i="6" s="1"/>
  <c r="K2355" i="6"/>
  <c r="N2355" i="6" s="1"/>
  <c r="K2356" i="6"/>
  <c r="N2356" i="6" s="1"/>
  <c r="K2357" i="6"/>
  <c r="N2357" i="6" s="1"/>
  <c r="K2358" i="6"/>
  <c r="N2358" i="6" s="1"/>
  <c r="K2359" i="6"/>
  <c r="N2359" i="6" s="1"/>
  <c r="K2360" i="6"/>
  <c r="N2360" i="6" s="1"/>
  <c r="K2361" i="6"/>
  <c r="N2361" i="6" s="1"/>
  <c r="K2362" i="6"/>
  <c r="N2362" i="6" s="1"/>
  <c r="K2363" i="6"/>
  <c r="N2363" i="6" s="1"/>
  <c r="K2364" i="6"/>
  <c r="N2364" i="6" s="1"/>
  <c r="K2365" i="6"/>
  <c r="N2365" i="6" s="1"/>
  <c r="K2366" i="6"/>
  <c r="N2366" i="6" s="1"/>
  <c r="K2367" i="6"/>
  <c r="N2367" i="6" s="1"/>
  <c r="K2368" i="6"/>
  <c r="N2368" i="6" s="1"/>
  <c r="K2369" i="6"/>
  <c r="N2369" i="6" s="1"/>
  <c r="K2370" i="6"/>
  <c r="N2370" i="6" s="1"/>
  <c r="K2371" i="6"/>
  <c r="N2371" i="6" s="1"/>
  <c r="K2372" i="6"/>
  <c r="N2372" i="6" s="1"/>
  <c r="K2373" i="6"/>
  <c r="N2373" i="6" s="1"/>
  <c r="K2374" i="6"/>
  <c r="N2374" i="6" s="1"/>
  <c r="K2375" i="6"/>
  <c r="N2375" i="6" s="1"/>
  <c r="K2376" i="6"/>
  <c r="N2376" i="6" s="1"/>
  <c r="K2377" i="6"/>
  <c r="N2377" i="6" s="1"/>
  <c r="K2378" i="6"/>
  <c r="N2378" i="6" s="1"/>
  <c r="K2379" i="6"/>
  <c r="N2379" i="6" s="1"/>
  <c r="K2380" i="6"/>
  <c r="N2380" i="6" s="1"/>
  <c r="K2381" i="6"/>
  <c r="N2381" i="6" s="1"/>
  <c r="K2382" i="6"/>
  <c r="N2382" i="6" s="1"/>
  <c r="K2383" i="6"/>
  <c r="N2383" i="6" s="1"/>
  <c r="K2384" i="6"/>
  <c r="N2384" i="6" s="1"/>
  <c r="K2385" i="6"/>
  <c r="N2385" i="6" s="1"/>
  <c r="K2386" i="6"/>
  <c r="N2386" i="6" s="1"/>
  <c r="K2387" i="6"/>
  <c r="N2387" i="6" s="1"/>
  <c r="K2388" i="6"/>
  <c r="N2388" i="6" s="1"/>
  <c r="K2389" i="6"/>
  <c r="N2389" i="6" s="1"/>
  <c r="K2390" i="6"/>
  <c r="N2390" i="6" s="1"/>
  <c r="K2391" i="6"/>
  <c r="N2391" i="6" s="1"/>
  <c r="K2392" i="6"/>
  <c r="N2392" i="6" s="1"/>
  <c r="K2393" i="6"/>
  <c r="N2393" i="6" s="1"/>
  <c r="K2394" i="6"/>
  <c r="N2394" i="6" s="1"/>
  <c r="K2395" i="6"/>
  <c r="N2395" i="6" s="1"/>
  <c r="K2396" i="6"/>
  <c r="N2396" i="6" s="1"/>
  <c r="K2397" i="6"/>
  <c r="N2397" i="6" s="1"/>
  <c r="K2398" i="6"/>
  <c r="N2398" i="6" s="1"/>
  <c r="K2399" i="6"/>
  <c r="N2399" i="6" s="1"/>
  <c r="K2400" i="6"/>
  <c r="N2400" i="6" s="1"/>
  <c r="K2401" i="6"/>
  <c r="N2401" i="6" s="1"/>
  <c r="K2402" i="6"/>
  <c r="N2402" i="6" s="1"/>
  <c r="K2403" i="6"/>
  <c r="N2403" i="6" s="1"/>
  <c r="K2404" i="6"/>
  <c r="N2404" i="6" s="1"/>
  <c r="K2405" i="6"/>
  <c r="N2405" i="6" s="1"/>
  <c r="K2406" i="6"/>
  <c r="N2406" i="6" s="1"/>
  <c r="K2407" i="6"/>
  <c r="N2407" i="6" s="1"/>
  <c r="K2408" i="6"/>
  <c r="N2408" i="6" s="1"/>
  <c r="K2409" i="6"/>
  <c r="N2409" i="6" s="1"/>
  <c r="K2410" i="6"/>
  <c r="N2410" i="6" s="1"/>
  <c r="K2411" i="6"/>
  <c r="N2411" i="6" s="1"/>
  <c r="K2412" i="6"/>
  <c r="N2412" i="6" s="1"/>
  <c r="K2413" i="6"/>
  <c r="N2413" i="6" s="1"/>
  <c r="K2414" i="6"/>
  <c r="N2414" i="6" s="1"/>
  <c r="K2415" i="6"/>
  <c r="N2415" i="6" s="1"/>
  <c r="K2416" i="6"/>
  <c r="N2416" i="6" s="1"/>
  <c r="K2417" i="6"/>
  <c r="N2417" i="6" s="1"/>
  <c r="K2418" i="6"/>
  <c r="N2418" i="6" s="1"/>
  <c r="K2419" i="6"/>
  <c r="N2419" i="6" s="1"/>
  <c r="K2420" i="6"/>
  <c r="N2420" i="6" s="1"/>
  <c r="K2421" i="6"/>
  <c r="N2421" i="6" s="1"/>
  <c r="K2422" i="6"/>
  <c r="N2422" i="6" s="1"/>
  <c r="K2423" i="6"/>
  <c r="N2423" i="6" s="1"/>
  <c r="K2424" i="6"/>
  <c r="N2424" i="6" s="1"/>
  <c r="K2425" i="6"/>
  <c r="N2425" i="6" s="1"/>
  <c r="K2426" i="6"/>
  <c r="N2426" i="6" s="1"/>
  <c r="K2427" i="6"/>
  <c r="N2427" i="6" s="1"/>
  <c r="K2428" i="6"/>
  <c r="N2428" i="6" s="1"/>
  <c r="K2429" i="6"/>
  <c r="N2429" i="6" s="1"/>
  <c r="K2430" i="6"/>
  <c r="N2430" i="6" s="1"/>
  <c r="K2431" i="6"/>
  <c r="N2431" i="6" s="1"/>
  <c r="K2432" i="6"/>
  <c r="N2432" i="6" s="1"/>
  <c r="K2433" i="6"/>
  <c r="N2433" i="6" s="1"/>
  <c r="K2434" i="6"/>
  <c r="N2434" i="6" s="1"/>
  <c r="K2435" i="6"/>
  <c r="N2435" i="6" s="1"/>
  <c r="K2436" i="6"/>
  <c r="N2436" i="6" s="1"/>
  <c r="K2437" i="6"/>
  <c r="N2437" i="6" s="1"/>
  <c r="K2438" i="6"/>
  <c r="N2438" i="6" s="1"/>
  <c r="K2439" i="6"/>
  <c r="N2439" i="6" s="1"/>
  <c r="K2440" i="6"/>
  <c r="N2440" i="6" s="1"/>
  <c r="K2441" i="6"/>
  <c r="N2441" i="6" s="1"/>
  <c r="K2442" i="6"/>
  <c r="N2442" i="6" s="1"/>
  <c r="K2443" i="6"/>
  <c r="N2443" i="6" s="1"/>
  <c r="K2444" i="6"/>
  <c r="N2444" i="6" s="1"/>
  <c r="K2445" i="6"/>
  <c r="N2445" i="6" s="1"/>
  <c r="K2446" i="6"/>
  <c r="N2446" i="6" s="1"/>
  <c r="K2447" i="6"/>
  <c r="N2447" i="6" s="1"/>
  <c r="K2448" i="6"/>
  <c r="N2448" i="6" s="1"/>
  <c r="K2449" i="6"/>
  <c r="N2449" i="6" s="1"/>
  <c r="K2450" i="6"/>
  <c r="N2450" i="6" s="1"/>
  <c r="K2451" i="6"/>
  <c r="N2451" i="6" s="1"/>
  <c r="K2452" i="6"/>
  <c r="N2452" i="6" s="1"/>
  <c r="K2453" i="6"/>
  <c r="N2453" i="6" s="1"/>
  <c r="K2454" i="6"/>
  <c r="N2454" i="6" s="1"/>
  <c r="K2455" i="6"/>
  <c r="N2455" i="6" s="1"/>
  <c r="K2456" i="6"/>
  <c r="N2456" i="6" s="1"/>
  <c r="K2457" i="6"/>
  <c r="N2457" i="6" s="1"/>
  <c r="K2458" i="6"/>
  <c r="N2458" i="6" s="1"/>
  <c r="K2459" i="6"/>
  <c r="N2459" i="6" s="1"/>
  <c r="K2460" i="6"/>
  <c r="N2460" i="6" s="1"/>
  <c r="K2461" i="6"/>
  <c r="N2461" i="6" s="1"/>
  <c r="K2462" i="6"/>
  <c r="N2462" i="6" s="1"/>
  <c r="K2463" i="6"/>
  <c r="N2463" i="6" s="1"/>
  <c r="K2464" i="6"/>
  <c r="N2464" i="6" s="1"/>
  <c r="K2465" i="6"/>
  <c r="N2465" i="6" s="1"/>
  <c r="K2466" i="6"/>
  <c r="N2466" i="6" s="1"/>
  <c r="K2467" i="6"/>
  <c r="N2467" i="6" s="1"/>
  <c r="K2468" i="6"/>
  <c r="N2468" i="6" s="1"/>
  <c r="K2469" i="6"/>
  <c r="N2469" i="6" s="1"/>
  <c r="K2470" i="6"/>
  <c r="N2470" i="6" s="1"/>
  <c r="K2471" i="6"/>
  <c r="N2471" i="6" s="1"/>
  <c r="K2472" i="6"/>
  <c r="N2472" i="6" s="1"/>
  <c r="K2473" i="6"/>
  <c r="N2473" i="6" s="1"/>
  <c r="K2474" i="6"/>
  <c r="N2474" i="6" s="1"/>
  <c r="K2475" i="6"/>
  <c r="N2475" i="6" s="1"/>
  <c r="K2476" i="6"/>
  <c r="N2476" i="6" s="1"/>
  <c r="K2477" i="6"/>
  <c r="N2477" i="6" s="1"/>
  <c r="K2478" i="6"/>
  <c r="N2478" i="6" s="1"/>
  <c r="K2479" i="6"/>
  <c r="N2479" i="6" s="1"/>
  <c r="K2480" i="6"/>
  <c r="N2480" i="6" s="1"/>
  <c r="K2481" i="6"/>
  <c r="N2481" i="6" s="1"/>
  <c r="K2482" i="6"/>
  <c r="N2482" i="6" s="1"/>
  <c r="K2483" i="6"/>
  <c r="N2483" i="6" s="1"/>
  <c r="K2484" i="6"/>
  <c r="N2484" i="6" s="1"/>
  <c r="K2485" i="6"/>
  <c r="N2485" i="6" s="1"/>
  <c r="K2486" i="6"/>
  <c r="N2486" i="6" s="1"/>
  <c r="K2487" i="6"/>
  <c r="N2487" i="6" s="1"/>
  <c r="K2488" i="6"/>
  <c r="N2488" i="6" s="1"/>
  <c r="K2489" i="6"/>
  <c r="N2489" i="6" s="1"/>
  <c r="K2490" i="6"/>
  <c r="N2490" i="6" s="1"/>
  <c r="K2491" i="6"/>
  <c r="N2491" i="6" s="1"/>
  <c r="K2492" i="6"/>
  <c r="N2492" i="6" s="1"/>
  <c r="K2493" i="6"/>
  <c r="N2493" i="6" s="1"/>
  <c r="K2494" i="6"/>
  <c r="N2494" i="6" s="1"/>
  <c r="K2495" i="6"/>
  <c r="N2495" i="6" s="1"/>
  <c r="K2496" i="6"/>
  <c r="N2496" i="6" s="1"/>
  <c r="K2497" i="6"/>
  <c r="N2497" i="6" s="1"/>
  <c r="K2498" i="6"/>
  <c r="N2498" i="6" s="1"/>
  <c r="K2499" i="6"/>
  <c r="N2499" i="6" s="1"/>
  <c r="K2500" i="6"/>
  <c r="N2500" i="6" s="1"/>
  <c r="K2501" i="6"/>
  <c r="N2501" i="6" s="1"/>
  <c r="K2502" i="6"/>
  <c r="N2502" i="6" s="1"/>
  <c r="K2503" i="6"/>
  <c r="N2503" i="6" s="1"/>
  <c r="K2504" i="6"/>
  <c r="N2504" i="6" s="1"/>
  <c r="K2505" i="6"/>
  <c r="N2505" i="6" s="1"/>
  <c r="K2506" i="6"/>
  <c r="N2506" i="6" s="1"/>
  <c r="K2507" i="6"/>
  <c r="N2507" i="6" s="1"/>
  <c r="K2508" i="6"/>
  <c r="N2508" i="6" s="1"/>
  <c r="K2509" i="6"/>
  <c r="N2509" i="6" s="1"/>
  <c r="K2510" i="6"/>
  <c r="N2510" i="6" s="1"/>
  <c r="K2511" i="6"/>
  <c r="N2511" i="6" s="1"/>
  <c r="K2512" i="6"/>
  <c r="N2512" i="6" s="1"/>
  <c r="K2513" i="6"/>
  <c r="N2513" i="6" s="1"/>
  <c r="K2514" i="6"/>
  <c r="N2514" i="6" s="1"/>
  <c r="K2515" i="6"/>
  <c r="N2515" i="6" s="1"/>
  <c r="K2516" i="6"/>
  <c r="N2516" i="6" s="1"/>
  <c r="K2517" i="6"/>
  <c r="N2517" i="6" s="1"/>
  <c r="K2518" i="6"/>
  <c r="N2518" i="6" s="1"/>
  <c r="K2519" i="6"/>
  <c r="N2519" i="6" s="1"/>
  <c r="K2520" i="6"/>
  <c r="N2520" i="6" s="1"/>
  <c r="K2521" i="6"/>
  <c r="N2521" i="6" s="1"/>
  <c r="K2522" i="6"/>
  <c r="N2522" i="6" s="1"/>
  <c r="K2523" i="6"/>
  <c r="N2523" i="6" s="1"/>
  <c r="K2524" i="6"/>
  <c r="N2524" i="6" s="1"/>
  <c r="K2525" i="6"/>
  <c r="N2525" i="6" s="1"/>
  <c r="K2526" i="6"/>
  <c r="N2526" i="6" s="1"/>
  <c r="K2527" i="6"/>
  <c r="N2527" i="6" s="1"/>
  <c r="K2528" i="6"/>
  <c r="N2528" i="6" s="1"/>
  <c r="K2529" i="6"/>
  <c r="N2529" i="6" s="1"/>
  <c r="K2530" i="6"/>
  <c r="N2530" i="6" s="1"/>
  <c r="K2531" i="6"/>
  <c r="N2531" i="6" s="1"/>
  <c r="K2532" i="6"/>
  <c r="N2532" i="6" s="1"/>
  <c r="K2533" i="6"/>
  <c r="N2533" i="6" s="1"/>
  <c r="K2534" i="6"/>
  <c r="N2534" i="6" s="1"/>
  <c r="K2535" i="6"/>
  <c r="N2535" i="6" s="1"/>
  <c r="K2536" i="6"/>
  <c r="N2536" i="6" s="1"/>
  <c r="K2537" i="6"/>
  <c r="N2537" i="6" s="1"/>
  <c r="K2538" i="6"/>
  <c r="N2538" i="6" s="1"/>
  <c r="K2539" i="6"/>
  <c r="N2539" i="6" s="1"/>
  <c r="K2540" i="6"/>
  <c r="N2540" i="6" s="1"/>
  <c r="K2541" i="6"/>
  <c r="N2541" i="6" s="1"/>
  <c r="K2542" i="6"/>
  <c r="N2542" i="6" s="1"/>
  <c r="K2543" i="6"/>
  <c r="N2543" i="6" s="1"/>
  <c r="K2544" i="6"/>
  <c r="N2544" i="6" s="1"/>
  <c r="K2545" i="6"/>
  <c r="N2545" i="6" s="1"/>
  <c r="K2546" i="6"/>
  <c r="N2546" i="6" s="1"/>
  <c r="K2547" i="6"/>
  <c r="N2547" i="6" s="1"/>
  <c r="K2548" i="6"/>
  <c r="N2548" i="6" s="1"/>
  <c r="K2549" i="6"/>
  <c r="N2549" i="6" s="1"/>
  <c r="K2550" i="6"/>
  <c r="N2550" i="6" s="1"/>
  <c r="K2551" i="6"/>
  <c r="N2551" i="6" s="1"/>
  <c r="K2552" i="6"/>
  <c r="N2552" i="6" s="1"/>
  <c r="K2553" i="6"/>
  <c r="N2553" i="6" s="1"/>
  <c r="K2554" i="6"/>
  <c r="N2554" i="6" s="1"/>
  <c r="K2555" i="6"/>
  <c r="N2555" i="6" s="1"/>
  <c r="K2556" i="6"/>
  <c r="N2556" i="6" s="1"/>
  <c r="K2557" i="6"/>
  <c r="N2557" i="6" s="1"/>
  <c r="K2558" i="6"/>
  <c r="N2558" i="6" s="1"/>
  <c r="K2559" i="6"/>
  <c r="N2559" i="6" s="1"/>
  <c r="K2560" i="6"/>
  <c r="N2560" i="6" s="1"/>
  <c r="K2561" i="6"/>
  <c r="N2561" i="6" s="1"/>
  <c r="K2562" i="6"/>
  <c r="N2562" i="6" s="1"/>
  <c r="K2563" i="6"/>
  <c r="N2563" i="6" s="1"/>
  <c r="K2564" i="6"/>
  <c r="N2564" i="6" s="1"/>
  <c r="K2565" i="6"/>
  <c r="N2565" i="6" s="1"/>
  <c r="K2566" i="6"/>
  <c r="N2566" i="6" s="1"/>
  <c r="K2567" i="6"/>
  <c r="N2567" i="6" s="1"/>
  <c r="K2568" i="6"/>
  <c r="N2568" i="6" s="1"/>
  <c r="K2569" i="6"/>
  <c r="N2569" i="6" s="1"/>
  <c r="K2570" i="6"/>
  <c r="N2570" i="6" s="1"/>
  <c r="K2571" i="6"/>
  <c r="N2571" i="6" s="1"/>
  <c r="K2572" i="6"/>
  <c r="N2572" i="6" s="1"/>
  <c r="K2573" i="6"/>
  <c r="N2573" i="6" s="1"/>
  <c r="K2574" i="6"/>
  <c r="N2574" i="6" s="1"/>
  <c r="K2575" i="6"/>
  <c r="N2575" i="6" s="1"/>
  <c r="K2576" i="6"/>
  <c r="N2576" i="6" s="1"/>
  <c r="K2577" i="6"/>
  <c r="N2577" i="6" s="1"/>
  <c r="K2578" i="6"/>
  <c r="N2578" i="6" s="1"/>
  <c r="K2579" i="6"/>
  <c r="N2579" i="6" s="1"/>
  <c r="K2580" i="6"/>
  <c r="N2580" i="6" s="1"/>
  <c r="K2581" i="6"/>
  <c r="N2581" i="6" s="1"/>
  <c r="K2582" i="6"/>
  <c r="N2582" i="6" s="1"/>
  <c r="K2583" i="6"/>
  <c r="N2583" i="6" s="1"/>
  <c r="K2584" i="6"/>
  <c r="N2584" i="6" s="1"/>
  <c r="K2585" i="6"/>
  <c r="N2585" i="6" s="1"/>
  <c r="K2586" i="6"/>
  <c r="N2586" i="6" s="1"/>
  <c r="K2587" i="6"/>
  <c r="N2587" i="6" s="1"/>
  <c r="K2588" i="6"/>
  <c r="N2588" i="6" s="1"/>
  <c r="K2589" i="6"/>
  <c r="N2589" i="6" s="1"/>
  <c r="K2590" i="6"/>
  <c r="N2590" i="6" s="1"/>
  <c r="K2591" i="6"/>
  <c r="N2591" i="6" s="1"/>
  <c r="K2592" i="6"/>
  <c r="N2592" i="6" s="1"/>
  <c r="K2593" i="6"/>
  <c r="N2593" i="6" s="1"/>
  <c r="K2594" i="6"/>
  <c r="N2594" i="6" s="1"/>
  <c r="K2595" i="6"/>
  <c r="N2595" i="6" s="1"/>
  <c r="K2596" i="6"/>
  <c r="N2596" i="6" s="1"/>
  <c r="K2597" i="6"/>
  <c r="N2597" i="6" s="1"/>
  <c r="K2598" i="6"/>
  <c r="N2598" i="6" s="1"/>
  <c r="K2599" i="6"/>
  <c r="N2599" i="6" s="1"/>
  <c r="K2600" i="6"/>
  <c r="N2600" i="6" s="1"/>
  <c r="K2601" i="6"/>
  <c r="N2601" i="6" s="1"/>
  <c r="K2602" i="6"/>
  <c r="N2602" i="6" s="1"/>
  <c r="K2603" i="6"/>
  <c r="N2603" i="6" s="1"/>
  <c r="K2604" i="6"/>
  <c r="N2604" i="6" s="1"/>
  <c r="K2605" i="6"/>
  <c r="N2605" i="6" s="1"/>
  <c r="K2606" i="6"/>
  <c r="N2606" i="6" s="1"/>
  <c r="K2607" i="6"/>
  <c r="N2607" i="6" s="1"/>
  <c r="K2608" i="6"/>
  <c r="N2608" i="6" s="1"/>
  <c r="K2609" i="6"/>
  <c r="N2609" i="6" s="1"/>
  <c r="K2610" i="6"/>
  <c r="N2610" i="6" s="1"/>
  <c r="K2611" i="6"/>
  <c r="N2611" i="6" s="1"/>
  <c r="K2612" i="6"/>
  <c r="N2612" i="6" s="1"/>
  <c r="K2613" i="6"/>
  <c r="N2613" i="6" s="1"/>
  <c r="K2614" i="6"/>
  <c r="N2614" i="6" s="1"/>
  <c r="K2615" i="6"/>
  <c r="N2615" i="6" s="1"/>
  <c r="K2616" i="6"/>
  <c r="N2616" i="6" s="1"/>
  <c r="K2617" i="6"/>
  <c r="N2617" i="6" s="1"/>
  <c r="K2618" i="6"/>
  <c r="N2618" i="6" s="1"/>
  <c r="K2619" i="6"/>
  <c r="N2619" i="6" s="1"/>
  <c r="K2620" i="6"/>
  <c r="N2620" i="6" s="1"/>
  <c r="K2621" i="6"/>
  <c r="N2621" i="6" s="1"/>
  <c r="K2622" i="6"/>
  <c r="N2622" i="6" s="1"/>
  <c r="K2623" i="6"/>
  <c r="N2623" i="6" s="1"/>
  <c r="K2624" i="6"/>
  <c r="N2624" i="6" s="1"/>
  <c r="K2625" i="6"/>
  <c r="N2625" i="6" s="1"/>
  <c r="K2626" i="6"/>
  <c r="N2626" i="6" s="1"/>
  <c r="K2627" i="6"/>
  <c r="N2627" i="6" s="1"/>
  <c r="K2628" i="6"/>
  <c r="N2628" i="6" s="1"/>
  <c r="K2629" i="6"/>
  <c r="N2629" i="6" s="1"/>
  <c r="K2630" i="6"/>
  <c r="N2630" i="6" s="1"/>
  <c r="K2631" i="6"/>
  <c r="N2631" i="6" s="1"/>
  <c r="K2632" i="6"/>
  <c r="N2632" i="6" s="1"/>
  <c r="K2633" i="6"/>
  <c r="N2633" i="6" s="1"/>
  <c r="K2634" i="6"/>
  <c r="N2634" i="6" s="1"/>
  <c r="K2635" i="6"/>
  <c r="N2635" i="6" s="1"/>
  <c r="K2636" i="6"/>
  <c r="N2636" i="6" s="1"/>
  <c r="K2637" i="6"/>
  <c r="N2637" i="6" s="1"/>
  <c r="K2638" i="6"/>
  <c r="N2638" i="6" s="1"/>
  <c r="K2639" i="6"/>
  <c r="N2639" i="6" s="1"/>
  <c r="K2640" i="6"/>
  <c r="N2640" i="6" s="1"/>
  <c r="K2641" i="6"/>
  <c r="N2641" i="6" s="1"/>
  <c r="K2642" i="6"/>
  <c r="N2642" i="6" s="1"/>
  <c r="K2643" i="6"/>
  <c r="N2643" i="6" s="1"/>
  <c r="K2644" i="6"/>
  <c r="N2644" i="6" s="1"/>
  <c r="K2645" i="6"/>
  <c r="N2645" i="6" s="1"/>
  <c r="K2646" i="6"/>
  <c r="N2646" i="6" s="1"/>
  <c r="K2647" i="6"/>
  <c r="N2647" i="6" s="1"/>
  <c r="K2648" i="6"/>
  <c r="N2648" i="6" s="1"/>
  <c r="K2649" i="6"/>
  <c r="N2649" i="6" s="1"/>
  <c r="K2650" i="6"/>
  <c r="N2650" i="6" s="1"/>
  <c r="K2651" i="6"/>
  <c r="N2651" i="6" s="1"/>
  <c r="K2652" i="6"/>
  <c r="N2652" i="6" s="1"/>
  <c r="K2653" i="6"/>
  <c r="N2653" i="6" s="1"/>
  <c r="K2654" i="6"/>
  <c r="N2654" i="6" s="1"/>
  <c r="K2655" i="6"/>
  <c r="N2655" i="6" s="1"/>
  <c r="K2656" i="6"/>
  <c r="N2656" i="6" s="1"/>
  <c r="K2657" i="6"/>
  <c r="N2657" i="6" s="1"/>
  <c r="K2658" i="6"/>
  <c r="N2658" i="6" s="1"/>
  <c r="K2659" i="6"/>
  <c r="N2659" i="6" s="1"/>
  <c r="K2660" i="6"/>
  <c r="N2660" i="6" s="1"/>
  <c r="K2661" i="6"/>
  <c r="N2661" i="6" s="1"/>
  <c r="K2662" i="6"/>
  <c r="N2662" i="6" s="1"/>
  <c r="K2663" i="6"/>
  <c r="N2663" i="6" s="1"/>
  <c r="K2664" i="6"/>
  <c r="N2664" i="6" s="1"/>
  <c r="K2665" i="6"/>
  <c r="N2665" i="6" s="1"/>
  <c r="K2666" i="6"/>
  <c r="N2666" i="6" s="1"/>
  <c r="K2667" i="6"/>
  <c r="N2667" i="6" s="1"/>
  <c r="K2668" i="6"/>
  <c r="N2668" i="6" s="1"/>
  <c r="K2669" i="6"/>
  <c r="N2669" i="6" s="1"/>
  <c r="K2670" i="6"/>
  <c r="N2670" i="6" s="1"/>
  <c r="K2671" i="6"/>
  <c r="N2671" i="6" s="1"/>
  <c r="K2672" i="6"/>
  <c r="N2672" i="6" s="1"/>
  <c r="K2673" i="6"/>
  <c r="N2673" i="6" s="1"/>
  <c r="K2674" i="6"/>
  <c r="N2674" i="6" s="1"/>
  <c r="K2675" i="6"/>
  <c r="N2675" i="6" s="1"/>
  <c r="K2676" i="6"/>
  <c r="N2676" i="6" s="1"/>
  <c r="K2677" i="6"/>
  <c r="N2677" i="6" s="1"/>
  <c r="K2678" i="6"/>
  <c r="N2678" i="6" s="1"/>
  <c r="K2679" i="6"/>
  <c r="N2679" i="6" s="1"/>
  <c r="K2680" i="6"/>
  <c r="N2680" i="6" s="1"/>
  <c r="K2681" i="6"/>
  <c r="N2681" i="6" s="1"/>
  <c r="K2682" i="6"/>
  <c r="N2682" i="6" s="1"/>
  <c r="K2683" i="6"/>
  <c r="N2683" i="6" s="1"/>
  <c r="K2684" i="6"/>
  <c r="N2684" i="6" s="1"/>
  <c r="K2685" i="6"/>
  <c r="N2685" i="6" s="1"/>
  <c r="K2686" i="6"/>
  <c r="N2686" i="6" s="1"/>
  <c r="K2687" i="6"/>
  <c r="N2687" i="6" s="1"/>
  <c r="K2688" i="6"/>
  <c r="N2688" i="6" s="1"/>
  <c r="K2689" i="6"/>
  <c r="N2689" i="6" s="1"/>
  <c r="K2690" i="6"/>
  <c r="N2690" i="6" s="1"/>
  <c r="K2691" i="6"/>
  <c r="N2691" i="6" s="1"/>
  <c r="K2692" i="6"/>
  <c r="N2692" i="6" s="1"/>
  <c r="K2693" i="6"/>
  <c r="N2693" i="6" s="1"/>
  <c r="K2694" i="6"/>
  <c r="N2694" i="6" s="1"/>
  <c r="K2695" i="6"/>
  <c r="N2695" i="6" s="1"/>
  <c r="K2696" i="6"/>
  <c r="N2696" i="6" s="1"/>
  <c r="K2697" i="6"/>
  <c r="N2697" i="6" s="1"/>
  <c r="K2698" i="6"/>
  <c r="N2698" i="6" s="1"/>
  <c r="K2699" i="6"/>
  <c r="N2699" i="6" s="1"/>
  <c r="K2700" i="6"/>
  <c r="N2700" i="6" s="1"/>
  <c r="K2701" i="6"/>
  <c r="N2701" i="6" s="1"/>
  <c r="K2702" i="6"/>
  <c r="N2702" i="6" s="1"/>
  <c r="K2703" i="6"/>
  <c r="N2703" i="6" s="1"/>
  <c r="K2704" i="6"/>
  <c r="N2704" i="6" s="1"/>
  <c r="K2705" i="6"/>
  <c r="N2705" i="6" s="1"/>
  <c r="K2706" i="6"/>
  <c r="N2706" i="6" s="1"/>
  <c r="K2707" i="6"/>
  <c r="N2707" i="6" s="1"/>
  <c r="K2708" i="6"/>
  <c r="N2708" i="6" s="1"/>
  <c r="K2709" i="6"/>
  <c r="N2709" i="6" s="1"/>
  <c r="K2710" i="6"/>
  <c r="N2710" i="6" s="1"/>
  <c r="K2711" i="6"/>
  <c r="N2711" i="6" s="1"/>
  <c r="K2712" i="6"/>
  <c r="N2712" i="6" s="1"/>
  <c r="K2713" i="6"/>
  <c r="N2713" i="6" s="1"/>
  <c r="K2714" i="6"/>
  <c r="N2714" i="6" s="1"/>
  <c r="K2715" i="6"/>
  <c r="N2715" i="6" s="1"/>
  <c r="K2716" i="6"/>
  <c r="N2716" i="6" s="1"/>
  <c r="K2717" i="6"/>
  <c r="N2717" i="6" s="1"/>
  <c r="K2718" i="6"/>
  <c r="N2718" i="6" s="1"/>
  <c r="K2719" i="6"/>
  <c r="N2719" i="6" s="1"/>
  <c r="K2720" i="6"/>
  <c r="N2720" i="6" s="1"/>
  <c r="K2721" i="6"/>
  <c r="N2721" i="6" s="1"/>
  <c r="K2722" i="6"/>
  <c r="N2722" i="6" s="1"/>
  <c r="K2723" i="6"/>
  <c r="N2723" i="6" s="1"/>
  <c r="K2724" i="6"/>
  <c r="N2724" i="6" s="1"/>
  <c r="K2725" i="6"/>
  <c r="N2725" i="6" s="1"/>
  <c r="K2726" i="6"/>
  <c r="N2726" i="6" s="1"/>
  <c r="K2727" i="6"/>
  <c r="N2727" i="6" s="1"/>
  <c r="K2728" i="6"/>
  <c r="N2728" i="6" s="1"/>
  <c r="K2729" i="6"/>
  <c r="N2729" i="6" s="1"/>
  <c r="K2730" i="6"/>
  <c r="N2730" i="6" s="1"/>
  <c r="K2731" i="6"/>
  <c r="N2731" i="6" s="1"/>
  <c r="K2732" i="6"/>
  <c r="N2732" i="6" s="1"/>
  <c r="K2733" i="6"/>
  <c r="N2733" i="6" s="1"/>
  <c r="K2734" i="6"/>
  <c r="N2734" i="6" s="1"/>
  <c r="K2735" i="6"/>
  <c r="N2735" i="6" s="1"/>
  <c r="K2736" i="6"/>
  <c r="N2736" i="6" s="1"/>
  <c r="K2737" i="6"/>
  <c r="N2737" i="6" s="1"/>
  <c r="K2738" i="6"/>
  <c r="N2738" i="6" s="1"/>
  <c r="K2739" i="6"/>
  <c r="N2739" i="6" s="1"/>
  <c r="K2740" i="6"/>
  <c r="N2740" i="6" s="1"/>
  <c r="K2741" i="6"/>
  <c r="N2741" i="6" s="1"/>
  <c r="K2742" i="6"/>
  <c r="N2742" i="6" s="1"/>
  <c r="K2743" i="6"/>
  <c r="N2743" i="6" s="1"/>
  <c r="K2744" i="6"/>
  <c r="N2744" i="6" s="1"/>
  <c r="K2745" i="6"/>
  <c r="N2745" i="6" s="1"/>
  <c r="K2746" i="6"/>
  <c r="N2746" i="6" s="1"/>
  <c r="K2747" i="6"/>
  <c r="N2747" i="6" s="1"/>
  <c r="K2748" i="6"/>
  <c r="N2748" i="6" s="1"/>
  <c r="K2749" i="6"/>
  <c r="N2749" i="6" s="1"/>
  <c r="K2750" i="6"/>
  <c r="N2750" i="6" s="1"/>
  <c r="K2751" i="6"/>
  <c r="N2751" i="6" s="1"/>
  <c r="K2752" i="6"/>
  <c r="N2752" i="6" s="1"/>
  <c r="K2753" i="6"/>
  <c r="N2753" i="6" s="1"/>
  <c r="K2754" i="6"/>
  <c r="N2754" i="6" s="1"/>
  <c r="K2755" i="6"/>
  <c r="N2755" i="6" s="1"/>
  <c r="K2756" i="6"/>
  <c r="N2756" i="6" s="1"/>
  <c r="K2757" i="6"/>
  <c r="N2757" i="6" s="1"/>
  <c r="K2758" i="6"/>
  <c r="N2758" i="6" s="1"/>
  <c r="K2759" i="6"/>
  <c r="N2759" i="6" s="1"/>
  <c r="K2760" i="6"/>
  <c r="N2760" i="6" s="1"/>
  <c r="K2761" i="6"/>
  <c r="N2761" i="6" s="1"/>
  <c r="K2762" i="6"/>
  <c r="N2762" i="6" s="1"/>
  <c r="K2763" i="6"/>
  <c r="N2763" i="6" s="1"/>
  <c r="K2764" i="6"/>
  <c r="N2764" i="6" s="1"/>
  <c r="K2765" i="6"/>
  <c r="N2765" i="6" s="1"/>
  <c r="K2766" i="6"/>
  <c r="N2766" i="6" s="1"/>
  <c r="K2767" i="6"/>
  <c r="N2767" i="6" s="1"/>
  <c r="K2768" i="6"/>
  <c r="N2768" i="6" s="1"/>
  <c r="K2769" i="6"/>
  <c r="N2769" i="6" s="1"/>
  <c r="K2770" i="6"/>
  <c r="N2770" i="6" s="1"/>
  <c r="K2771" i="6"/>
  <c r="N2771" i="6" s="1"/>
  <c r="K2772" i="6"/>
  <c r="N2772" i="6" s="1"/>
  <c r="K2773" i="6"/>
  <c r="N2773" i="6" s="1"/>
  <c r="K2774" i="6"/>
  <c r="N2774" i="6" s="1"/>
  <c r="K2775" i="6"/>
  <c r="N2775" i="6" s="1"/>
  <c r="K2776" i="6"/>
  <c r="N2776" i="6" s="1"/>
  <c r="K2777" i="6"/>
  <c r="N2777" i="6" s="1"/>
  <c r="K2778" i="6"/>
  <c r="N2778" i="6" s="1"/>
  <c r="K2779" i="6"/>
  <c r="N2779" i="6" s="1"/>
  <c r="K2780" i="6"/>
  <c r="N2780" i="6" s="1"/>
  <c r="K2781" i="6"/>
  <c r="N2781" i="6" s="1"/>
  <c r="K2782" i="6"/>
  <c r="N2782" i="6" s="1"/>
  <c r="K2783" i="6"/>
  <c r="N2783" i="6" s="1"/>
  <c r="K2784" i="6"/>
  <c r="N2784" i="6" s="1"/>
  <c r="K2785" i="6"/>
  <c r="N2785" i="6" s="1"/>
  <c r="K2786" i="6"/>
  <c r="N2786" i="6" s="1"/>
  <c r="K2787" i="6"/>
  <c r="N2787" i="6" s="1"/>
  <c r="K2788" i="6"/>
  <c r="N2788" i="6" s="1"/>
  <c r="K2789" i="6"/>
  <c r="N2789" i="6" s="1"/>
  <c r="K2790" i="6"/>
  <c r="N2790" i="6" s="1"/>
  <c r="K2791" i="6"/>
  <c r="N2791" i="6" s="1"/>
  <c r="K2792" i="6"/>
  <c r="N2792" i="6" s="1"/>
  <c r="K2793" i="6"/>
  <c r="N2793" i="6" s="1"/>
  <c r="K2794" i="6"/>
  <c r="N2794" i="6" s="1"/>
  <c r="K2795" i="6"/>
  <c r="N2795" i="6" s="1"/>
  <c r="K2796" i="6"/>
  <c r="N2796" i="6" s="1"/>
  <c r="K2797" i="6"/>
  <c r="N2797" i="6" s="1"/>
  <c r="K2798" i="6"/>
  <c r="N2798" i="6" s="1"/>
  <c r="K2799" i="6"/>
  <c r="N2799" i="6" s="1"/>
  <c r="K2800" i="6"/>
  <c r="N2800" i="6" s="1"/>
  <c r="K2801" i="6"/>
  <c r="N2801" i="6" s="1"/>
  <c r="K2802" i="6"/>
  <c r="N2802" i="6" s="1"/>
  <c r="K2803" i="6"/>
  <c r="N2803" i="6" s="1"/>
  <c r="K2804" i="6"/>
  <c r="N2804" i="6" s="1"/>
  <c r="K2805" i="6"/>
  <c r="N2805" i="6" s="1"/>
  <c r="K2806" i="6"/>
  <c r="N2806" i="6" s="1"/>
  <c r="K2807" i="6"/>
  <c r="N2807" i="6" s="1"/>
  <c r="K2808" i="6"/>
  <c r="N2808" i="6" s="1"/>
  <c r="K2809" i="6"/>
  <c r="N2809" i="6" s="1"/>
  <c r="K2810" i="6"/>
  <c r="N2810" i="6" s="1"/>
  <c r="K2811" i="6"/>
  <c r="N2811" i="6" s="1"/>
  <c r="K2812" i="6"/>
  <c r="N2812" i="6" s="1"/>
  <c r="K2813" i="6"/>
  <c r="N2813" i="6" s="1"/>
  <c r="K2814" i="6"/>
  <c r="N2814" i="6" s="1"/>
  <c r="K2815" i="6"/>
  <c r="N2815" i="6" s="1"/>
  <c r="K2816" i="6"/>
  <c r="N2816" i="6" s="1"/>
  <c r="K2817" i="6"/>
  <c r="N2817" i="6" s="1"/>
  <c r="K2818" i="6"/>
  <c r="N2818" i="6" s="1"/>
  <c r="K2819" i="6"/>
  <c r="N2819" i="6" s="1"/>
  <c r="K2820" i="6"/>
  <c r="N2820" i="6" s="1"/>
  <c r="K2821" i="6"/>
  <c r="N2821" i="6" s="1"/>
  <c r="K2822" i="6"/>
  <c r="N2822" i="6" s="1"/>
  <c r="K2823" i="6"/>
  <c r="N2823" i="6" s="1"/>
  <c r="K2824" i="6"/>
  <c r="N2824" i="6" s="1"/>
  <c r="K2825" i="6"/>
  <c r="N2825" i="6" s="1"/>
  <c r="K2826" i="6"/>
  <c r="N2826" i="6" s="1"/>
  <c r="K2827" i="6"/>
  <c r="N2827" i="6" s="1"/>
  <c r="K2828" i="6"/>
  <c r="N2828" i="6" s="1"/>
  <c r="K2829" i="6"/>
  <c r="N2829" i="6" s="1"/>
  <c r="K2830" i="6"/>
  <c r="N2830" i="6" s="1"/>
  <c r="K2831" i="6"/>
  <c r="N2831" i="6" s="1"/>
  <c r="K2832" i="6"/>
  <c r="N2832" i="6" s="1"/>
  <c r="K2833" i="6"/>
  <c r="N2833" i="6" s="1"/>
  <c r="K2834" i="6"/>
  <c r="N2834" i="6" s="1"/>
  <c r="K2835" i="6"/>
  <c r="N2835" i="6" s="1"/>
  <c r="K2836" i="6"/>
  <c r="N2836" i="6" s="1"/>
  <c r="K2837" i="6"/>
  <c r="N2837" i="6" s="1"/>
  <c r="K2838" i="6"/>
  <c r="N2838" i="6" s="1"/>
  <c r="K2839" i="6"/>
  <c r="N2839" i="6" s="1"/>
  <c r="K2840" i="6"/>
  <c r="N2840" i="6" s="1"/>
  <c r="K2841" i="6"/>
  <c r="N2841" i="6" s="1"/>
  <c r="K2842" i="6"/>
  <c r="N2842" i="6" s="1"/>
  <c r="K2843" i="6"/>
  <c r="N2843" i="6" s="1"/>
  <c r="K2844" i="6"/>
  <c r="N2844" i="6" s="1"/>
  <c r="K2845" i="6"/>
  <c r="N2845" i="6" s="1"/>
  <c r="K2846" i="6"/>
  <c r="N2846" i="6" s="1"/>
  <c r="K2847" i="6"/>
  <c r="N2847" i="6" s="1"/>
  <c r="K2848" i="6"/>
  <c r="N2848" i="6" s="1"/>
  <c r="K2849" i="6"/>
  <c r="N2849" i="6" s="1"/>
  <c r="K2850" i="6"/>
  <c r="N2850" i="6" s="1"/>
  <c r="K2851" i="6"/>
  <c r="N2851" i="6" s="1"/>
  <c r="K2852" i="6"/>
  <c r="N2852" i="6" s="1"/>
  <c r="K2853" i="6"/>
  <c r="N2853" i="6" s="1"/>
  <c r="K2854" i="6"/>
  <c r="N2854" i="6" s="1"/>
  <c r="K2855" i="6"/>
  <c r="N2855" i="6" s="1"/>
  <c r="K2856" i="6"/>
  <c r="N2856" i="6" s="1"/>
  <c r="K2857" i="6"/>
  <c r="N2857" i="6" s="1"/>
  <c r="K2858" i="6"/>
  <c r="N2858" i="6" s="1"/>
  <c r="K2859" i="6"/>
  <c r="N2859" i="6" s="1"/>
  <c r="K2860" i="6"/>
  <c r="N2860" i="6" s="1"/>
  <c r="K2861" i="6"/>
  <c r="N2861" i="6" s="1"/>
  <c r="K2862" i="6"/>
  <c r="N2862" i="6" s="1"/>
  <c r="K2863" i="6"/>
  <c r="N2863" i="6" s="1"/>
  <c r="K2864" i="6"/>
  <c r="N2864" i="6" s="1"/>
  <c r="K2865" i="6"/>
  <c r="N2865" i="6" s="1"/>
  <c r="K2866" i="6"/>
  <c r="N2866" i="6" s="1"/>
  <c r="K2867" i="6"/>
  <c r="N2867" i="6" s="1"/>
  <c r="K2868" i="6"/>
  <c r="N2868" i="6" s="1"/>
  <c r="K2869" i="6"/>
  <c r="N2869" i="6" s="1"/>
  <c r="K2870" i="6"/>
  <c r="N2870" i="6" s="1"/>
  <c r="K2871" i="6"/>
  <c r="N2871" i="6" s="1"/>
  <c r="K2872" i="6"/>
  <c r="N2872" i="6" s="1"/>
  <c r="K2873" i="6"/>
  <c r="N2873" i="6" s="1"/>
  <c r="K2874" i="6"/>
  <c r="N2874" i="6" s="1"/>
  <c r="K2875" i="6"/>
  <c r="N2875" i="6" s="1"/>
  <c r="K2876" i="6"/>
  <c r="N2876" i="6" s="1"/>
  <c r="K2877" i="6"/>
  <c r="N2877" i="6" s="1"/>
  <c r="K2878" i="6"/>
  <c r="N2878" i="6" s="1"/>
  <c r="K2879" i="6"/>
  <c r="N2879" i="6" s="1"/>
  <c r="K2880" i="6"/>
  <c r="N2880" i="6" s="1"/>
  <c r="K2881" i="6"/>
  <c r="N2881" i="6" s="1"/>
  <c r="K2882" i="6"/>
  <c r="N2882" i="6" s="1"/>
  <c r="K2883" i="6"/>
  <c r="N2883" i="6" s="1"/>
  <c r="K2884" i="6"/>
  <c r="N2884" i="6" s="1"/>
  <c r="K2885" i="6"/>
  <c r="N2885" i="6" s="1"/>
  <c r="K2886" i="6"/>
  <c r="N2886" i="6" s="1"/>
  <c r="K2887" i="6"/>
  <c r="N2887" i="6" s="1"/>
  <c r="K2888" i="6"/>
  <c r="N2888" i="6" s="1"/>
  <c r="K2889" i="6"/>
  <c r="N2889" i="6" s="1"/>
  <c r="K2890" i="6"/>
  <c r="N2890" i="6" s="1"/>
  <c r="K2891" i="6"/>
  <c r="N2891" i="6" s="1"/>
  <c r="K2892" i="6"/>
  <c r="N2892" i="6" s="1"/>
  <c r="K2893" i="6"/>
  <c r="N2893" i="6" s="1"/>
  <c r="K2894" i="6"/>
  <c r="N2894" i="6" s="1"/>
  <c r="K2895" i="6"/>
  <c r="N2895" i="6" s="1"/>
  <c r="K2896" i="6"/>
  <c r="N2896" i="6" s="1"/>
  <c r="K2897" i="6"/>
  <c r="N2897" i="6" s="1"/>
  <c r="K2898" i="6"/>
  <c r="N2898" i="6" s="1"/>
  <c r="K2899" i="6"/>
  <c r="N2899" i="6" s="1"/>
  <c r="K2900" i="6"/>
  <c r="N2900" i="6" s="1"/>
  <c r="K2901" i="6"/>
  <c r="N2901" i="6" s="1"/>
  <c r="K2902" i="6"/>
  <c r="N2902" i="6" s="1"/>
  <c r="K2903" i="6"/>
  <c r="N2903" i="6" s="1"/>
  <c r="K2904" i="6"/>
  <c r="N2904" i="6" s="1"/>
  <c r="K2905" i="6"/>
  <c r="N2905" i="6" s="1"/>
  <c r="K2906" i="6"/>
  <c r="N2906" i="6" s="1"/>
  <c r="K2907" i="6"/>
  <c r="N2907" i="6" s="1"/>
  <c r="K2908" i="6"/>
  <c r="N2908" i="6" s="1"/>
  <c r="K2909" i="6"/>
  <c r="N2909" i="6" s="1"/>
  <c r="K2910" i="6"/>
  <c r="N2910" i="6" s="1"/>
  <c r="K2911" i="6"/>
  <c r="N2911" i="6" s="1"/>
  <c r="K2912" i="6"/>
  <c r="N2912" i="6" s="1"/>
  <c r="K2913" i="6"/>
  <c r="N2913" i="6" s="1"/>
  <c r="K2914" i="6"/>
  <c r="N2914" i="6" s="1"/>
  <c r="K2915" i="6"/>
  <c r="N2915" i="6" s="1"/>
  <c r="K2916" i="6"/>
  <c r="N2916" i="6" s="1"/>
  <c r="K2917" i="6"/>
  <c r="N2917" i="6" s="1"/>
  <c r="K2918" i="6"/>
  <c r="N2918" i="6" s="1"/>
  <c r="K2919" i="6"/>
  <c r="N2919" i="6" s="1"/>
  <c r="K2920" i="6"/>
  <c r="N2920" i="6" s="1"/>
  <c r="K2921" i="6"/>
  <c r="N2921" i="6" s="1"/>
  <c r="K2922" i="6"/>
  <c r="N2922" i="6" s="1"/>
  <c r="K2923" i="6"/>
  <c r="N2923" i="6" s="1"/>
  <c r="K2924" i="6"/>
  <c r="N2924" i="6" s="1"/>
  <c r="K2925" i="6"/>
  <c r="N2925" i="6" s="1"/>
  <c r="K2926" i="6"/>
  <c r="N2926" i="6" s="1"/>
  <c r="K2927" i="6"/>
  <c r="N2927" i="6" s="1"/>
  <c r="K2928" i="6"/>
  <c r="N2928" i="6" s="1"/>
  <c r="K2929" i="6"/>
  <c r="N2929" i="6" s="1"/>
  <c r="K2930" i="6"/>
  <c r="N2930" i="6" s="1"/>
  <c r="K2931" i="6"/>
  <c r="N2931" i="6" s="1"/>
  <c r="K2932" i="6"/>
  <c r="N2932" i="6" s="1"/>
  <c r="K2933" i="6"/>
  <c r="N2933" i="6" s="1"/>
  <c r="K2934" i="6"/>
  <c r="N2934" i="6" s="1"/>
  <c r="K2935" i="6"/>
  <c r="N2935" i="6" s="1"/>
  <c r="K2936" i="6"/>
  <c r="N2936" i="6" s="1"/>
  <c r="K2937" i="6"/>
  <c r="N2937" i="6" s="1"/>
  <c r="K2938" i="6"/>
  <c r="N2938" i="6" s="1"/>
  <c r="K2939" i="6"/>
  <c r="N2939" i="6" s="1"/>
  <c r="K2940" i="6"/>
  <c r="N2940" i="6" s="1"/>
  <c r="K2941" i="6"/>
  <c r="N2941" i="6" s="1"/>
  <c r="K2942" i="6"/>
  <c r="N2942" i="6" s="1"/>
  <c r="K2943" i="6"/>
  <c r="N2943" i="6" s="1"/>
  <c r="K2944" i="6"/>
  <c r="N2944" i="6" s="1"/>
  <c r="K2945" i="6"/>
  <c r="N2945" i="6" s="1"/>
  <c r="K2946" i="6"/>
  <c r="N2946" i="6" s="1"/>
  <c r="K2947" i="6"/>
  <c r="N2947" i="6" s="1"/>
  <c r="K2948" i="6"/>
  <c r="N2948" i="6" s="1"/>
  <c r="K2949" i="6"/>
  <c r="N2949" i="6" s="1"/>
  <c r="K2950" i="6"/>
  <c r="N2950" i="6" s="1"/>
  <c r="K2951" i="6"/>
  <c r="N2951" i="6" s="1"/>
  <c r="K2952" i="6"/>
  <c r="N2952" i="6" s="1"/>
  <c r="K2953" i="6"/>
  <c r="N2953" i="6" s="1"/>
  <c r="K2954" i="6"/>
  <c r="N2954" i="6" s="1"/>
  <c r="K2955" i="6"/>
  <c r="N2955" i="6" s="1"/>
  <c r="K2956" i="6"/>
  <c r="N2956" i="6" s="1"/>
  <c r="K2957" i="6"/>
  <c r="N2957" i="6" s="1"/>
  <c r="K2958" i="6"/>
  <c r="N2958" i="6" s="1"/>
  <c r="K2959" i="6"/>
  <c r="N2959" i="6" s="1"/>
  <c r="K2960" i="6"/>
  <c r="N2960" i="6" s="1"/>
  <c r="K2961" i="6"/>
  <c r="N2961" i="6" s="1"/>
  <c r="K2962" i="6"/>
  <c r="N2962" i="6" s="1"/>
  <c r="K2963" i="6"/>
  <c r="N2963" i="6" s="1"/>
  <c r="K2964" i="6"/>
  <c r="N2964" i="6" s="1"/>
  <c r="K2965" i="6"/>
  <c r="N2965" i="6" s="1"/>
  <c r="K2966" i="6"/>
  <c r="N2966" i="6" s="1"/>
  <c r="K2967" i="6"/>
  <c r="N2967" i="6" s="1"/>
  <c r="K2968" i="6"/>
  <c r="N2968" i="6" s="1"/>
  <c r="K2969" i="6"/>
  <c r="N2969" i="6" s="1"/>
  <c r="K2970" i="6"/>
  <c r="N2970" i="6" s="1"/>
  <c r="K2971" i="6"/>
  <c r="N2971" i="6" s="1"/>
  <c r="K2972" i="6"/>
  <c r="N2972" i="6" s="1"/>
  <c r="K2973" i="6"/>
  <c r="N2973" i="6" s="1"/>
  <c r="K2974" i="6"/>
  <c r="N2974" i="6" s="1"/>
  <c r="K2975" i="6"/>
  <c r="N2975" i="6" s="1"/>
  <c r="K2976" i="6"/>
  <c r="N2976" i="6" s="1"/>
  <c r="K2977" i="6"/>
  <c r="N2977" i="6" s="1"/>
  <c r="K2978" i="6"/>
  <c r="N2978" i="6" s="1"/>
  <c r="K2979" i="6"/>
  <c r="N2979" i="6" s="1"/>
  <c r="K2980" i="6"/>
  <c r="N2980" i="6" s="1"/>
  <c r="K2981" i="6"/>
  <c r="N2981" i="6" s="1"/>
  <c r="K2982" i="6"/>
  <c r="N2982" i="6" s="1"/>
  <c r="K2983" i="6"/>
  <c r="N2983" i="6" s="1"/>
  <c r="K2984" i="6"/>
  <c r="N2984" i="6" s="1"/>
  <c r="K2985" i="6"/>
  <c r="N2985" i="6" s="1"/>
  <c r="K2986" i="6"/>
  <c r="N2986" i="6" s="1"/>
  <c r="K2987" i="6"/>
  <c r="N2987" i="6" s="1"/>
  <c r="K2988" i="6"/>
  <c r="N2988" i="6" s="1"/>
  <c r="K2989" i="6"/>
  <c r="N2989" i="6" s="1"/>
  <c r="K2990" i="6"/>
  <c r="N2990" i="6" s="1"/>
  <c r="K2991" i="6"/>
  <c r="N2991" i="6" s="1"/>
  <c r="K2992" i="6"/>
  <c r="N2992" i="6" s="1"/>
  <c r="K2993" i="6"/>
  <c r="N2993" i="6" s="1"/>
  <c r="K2994" i="6"/>
  <c r="N2994" i="6" s="1"/>
  <c r="K2995" i="6"/>
  <c r="N2995" i="6" s="1"/>
  <c r="K2996" i="6"/>
  <c r="N2996" i="6" s="1"/>
  <c r="K2997" i="6"/>
  <c r="N2997" i="6" s="1"/>
  <c r="K2998" i="6"/>
  <c r="N2998" i="6" s="1"/>
  <c r="K2999" i="6"/>
  <c r="N2999" i="6" s="1"/>
  <c r="K3000" i="6"/>
  <c r="N3000" i="6" s="1"/>
  <c r="K3001" i="6"/>
  <c r="N3001" i="6" s="1"/>
  <c r="K3002" i="6"/>
  <c r="N3002" i="6" s="1"/>
  <c r="K3003" i="6"/>
  <c r="N3003" i="6" s="1"/>
  <c r="K3004" i="6"/>
  <c r="N3004" i="6" s="1"/>
  <c r="K3005" i="6"/>
  <c r="N3005" i="6" s="1"/>
  <c r="K3006" i="6"/>
  <c r="N3006" i="6" s="1"/>
  <c r="K3007" i="6"/>
  <c r="N3007" i="6" s="1"/>
  <c r="K3008" i="6"/>
  <c r="N3008" i="6" s="1"/>
  <c r="K3009" i="6"/>
  <c r="N3009" i="6" s="1"/>
  <c r="K3010" i="6"/>
  <c r="N3010" i="6" s="1"/>
  <c r="K3011" i="6"/>
  <c r="N3011" i="6" s="1"/>
  <c r="K3012" i="6"/>
  <c r="N3012" i="6" s="1"/>
  <c r="K3013" i="6"/>
  <c r="N3013" i="6" s="1"/>
  <c r="K3014" i="6"/>
  <c r="N3014" i="6" s="1"/>
  <c r="K3015" i="6"/>
  <c r="N3015" i="6" s="1"/>
  <c r="K3016" i="6"/>
  <c r="N3016" i="6" s="1"/>
  <c r="K3017" i="6"/>
  <c r="N3017" i="6" s="1"/>
  <c r="K3018" i="6"/>
  <c r="N3018" i="6" s="1"/>
  <c r="K3019" i="6"/>
  <c r="N3019" i="6" s="1"/>
  <c r="K3020" i="6"/>
  <c r="N3020" i="6" s="1"/>
  <c r="K3021" i="6"/>
  <c r="N3021" i="6" s="1"/>
  <c r="K3022" i="6"/>
  <c r="N3022" i="6" s="1"/>
  <c r="K3023" i="6"/>
  <c r="N3023" i="6" s="1"/>
  <c r="K3024" i="6"/>
  <c r="N3024" i="6" s="1"/>
  <c r="K3025" i="6"/>
  <c r="N3025" i="6" s="1"/>
  <c r="K3026" i="6"/>
  <c r="N3026" i="6" s="1"/>
  <c r="K3027" i="6"/>
  <c r="N3027" i="6" s="1"/>
  <c r="K3028" i="6"/>
  <c r="N3028" i="6" s="1"/>
  <c r="K3029" i="6"/>
  <c r="N3029" i="6" s="1"/>
  <c r="K3030" i="6"/>
  <c r="N3030" i="6" s="1"/>
  <c r="K3031" i="6"/>
  <c r="N3031" i="6" s="1"/>
  <c r="K3032" i="6"/>
  <c r="N3032" i="6" s="1"/>
  <c r="K3033" i="6"/>
  <c r="N3033" i="6" s="1"/>
  <c r="K3034" i="6"/>
  <c r="N3034" i="6" s="1"/>
  <c r="K3035" i="6"/>
  <c r="N3035" i="6" s="1"/>
  <c r="K3036" i="6"/>
  <c r="N3036" i="6" s="1"/>
  <c r="K3037" i="6"/>
  <c r="N3037" i="6" s="1"/>
  <c r="K3038" i="6"/>
  <c r="N3038" i="6" s="1"/>
  <c r="K3039" i="6"/>
  <c r="N3039" i="6" s="1"/>
  <c r="K3040" i="6"/>
  <c r="N3040" i="6" s="1"/>
  <c r="K3041" i="6"/>
  <c r="N3041" i="6" s="1"/>
  <c r="K3042" i="6"/>
  <c r="N3042" i="6" s="1"/>
  <c r="K3043" i="6"/>
  <c r="N3043" i="6" s="1"/>
  <c r="K3044" i="6"/>
  <c r="N3044" i="6" s="1"/>
  <c r="K3045" i="6"/>
  <c r="N3045" i="6" s="1"/>
  <c r="K3046" i="6"/>
  <c r="N3046" i="6" s="1"/>
  <c r="K3047" i="6"/>
  <c r="N3047" i="6" s="1"/>
  <c r="K3048" i="6"/>
  <c r="N3048" i="6" s="1"/>
  <c r="K3049" i="6"/>
  <c r="N3049" i="6" s="1"/>
  <c r="K3050" i="6"/>
  <c r="N3050" i="6" s="1"/>
  <c r="K3051" i="6"/>
  <c r="N3051" i="6" s="1"/>
  <c r="K3052" i="6"/>
  <c r="N3052" i="6" s="1"/>
  <c r="K3053" i="6"/>
  <c r="N3053" i="6" s="1"/>
  <c r="K3054" i="6"/>
  <c r="N3054" i="6" s="1"/>
  <c r="K3055" i="6"/>
  <c r="N3055" i="6" s="1"/>
  <c r="K3056" i="6"/>
  <c r="N3056" i="6" s="1"/>
  <c r="K3057" i="6"/>
  <c r="N3057" i="6" s="1"/>
  <c r="K3058" i="6"/>
  <c r="N3058" i="6" s="1"/>
  <c r="K3059" i="6"/>
  <c r="N3059" i="6" s="1"/>
  <c r="K3060" i="6"/>
  <c r="N3060" i="6" s="1"/>
  <c r="K3061" i="6"/>
  <c r="N3061" i="6" s="1"/>
  <c r="K3062" i="6"/>
  <c r="N3062" i="6" s="1"/>
  <c r="K3063" i="6"/>
  <c r="N3063" i="6" s="1"/>
  <c r="K3064" i="6"/>
  <c r="N3064" i="6" s="1"/>
  <c r="K3065" i="6"/>
  <c r="N3065" i="6" s="1"/>
  <c r="K3066" i="6"/>
  <c r="N3066" i="6" s="1"/>
  <c r="K3067" i="6"/>
  <c r="N3067" i="6" s="1"/>
  <c r="K3068" i="6"/>
  <c r="N3068" i="6" s="1"/>
  <c r="K3069" i="6"/>
  <c r="N3069" i="6" s="1"/>
  <c r="K3070" i="6"/>
  <c r="N3070" i="6" s="1"/>
  <c r="K3071" i="6"/>
  <c r="N3071" i="6" s="1"/>
  <c r="K3072" i="6"/>
  <c r="N3072" i="6" s="1"/>
  <c r="K3073" i="6"/>
  <c r="N3073" i="6" s="1"/>
  <c r="K3074" i="6"/>
  <c r="N3074" i="6" s="1"/>
  <c r="K3075" i="6"/>
  <c r="N3075" i="6" s="1"/>
  <c r="K3076" i="6"/>
  <c r="N3076" i="6" s="1"/>
  <c r="K3077" i="6"/>
  <c r="N3077" i="6" s="1"/>
  <c r="K3078" i="6"/>
  <c r="N3078" i="6" s="1"/>
  <c r="K3079" i="6"/>
  <c r="N3079" i="6" s="1"/>
  <c r="K3080" i="6"/>
  <c r="N3080" i="6" s="1"/>
  <c r="K3081" i="6"/>
  <c r="N3081" i="6" s="1"/>
  <c r="K3082" i="6"/>
  <c r="N3082" i="6" s="1"/>
  <c r="K3083" i="6"/>
  <c r="N3083" i="6" s="1"/>
  <c r="K3084" i="6"/>
  <c r="N3084" i="6" s="1"/>
  <c r="K3085" i="6"/>
  <c r="N3085" i="6" s="1"/>
  <c r="K3086" i="6"/>
  <c r="N3086" i="6" s="1"/>
  <c r="K3087" i="6"/>
  <c r="N3087" i="6" s="1"/>
  <c r="K3088" i="6"/>
  <c r="N3088" i="6" s="1"/>
  <c r="K3089" i="6"/>
  <c r="N3089" i="6" s="1"/>
  <c r="K3090" i="6"/>
  <c r="N3090" i="6" s="1"/>
  <c r="K3091" i="6"/>
  <c r="N3091" i="6" s="1"/>
  <c r="K3092" i="6"/>
  <c r="N3092" i="6" s="1"/>
  <c r="K3093" i="6"/>
  <c r="N3093" i="6" s="1"/>
  <c r="K3094" i="6"/>
  <c r="N3094" i="6" s="1"/>
  <c r="K3095" i="6"/>
  <c r="N3095" i="6" s="1"/>
  <c r="K3096" i="6"/>
  <c r="N3096" i="6" s="1"/>
  <c r="K3097" i="6"/>
  <c r="N3097" i="6" s="1"/>
  <c r="K3098" i="6"/>
  <c r="N3098" i="6" s="1"/>
  <c r="K3099" i="6"/>
  <c r="N3099" i="6" s="1"/>
  <c r="K3100" i="6"/>
  <c r="N3100" i="6" s="1"/>
  <c r="K3101" i="6"/>
  <c r="N3101" i="6" s="1"/>
  <c r="K3102" i="6"/>
  <c r="N3102" i="6" s="1"/>
  <c r="K3103" i="6"/>
  <c r="N3103" i="6" s="1"/>
  <c r="K3104" i="6"/>
  <c r="N3104" i="6" s="1"/>
  <c r="K3105" i="6"/>
  <c r="N3105" i="6" s="1"/>
  <c r="K3106" i="6"/>
  <c r="N3106" i="6" s="1"/>
  <c r="K3107" i="6"/>
  <c r="N3107" i="6" s="1"/>
  <c r="K3108" i="6"/>
  <c r="N3108" i="6" s="1"/>
  <c r="K3109" i="6"/>
  <c r="N3109" i="6" s="1"/>
  <c r="K3110" i="6"/>
  <c r="N3110" i="6" s="1"/>
  <c r="K3111" i="6"/>
  <c r="N3111" i="6" s="1"/>
  <c r="K3112" i="6"/>
  <c r="N3112" i="6" s="1"/>
  <c r="K3113" i="6"/>
  <c r="N3113" i="6" s="1"/>
  <c r="K3114" i="6"/>
  <c r="N3114" i="6" s="1"/>
  <c r="K3115" i="6"/>
  <c r="N3115" i="6" s="1"/>
  <c r="K3116" i="6"/>
  <c r="N3116" i="6" s="1"/>
  <c r="K3117" i="6"/>
  <c r="N3117" i="6" s="1"/>
  <c r="K3118" i="6"/>
  <c r="N3118" i="6" s="1"/>
  <c r="K3119" i="6"/>
  <c r="N3119" i="6" s="1"/>
  <c r="K3120" i="6"/>
  <c r="N3120" i="6" s="1"/>
  <c r="K3121" i="6"/>
  <c r="N3121" i="6" s="1"/>
  <c r="K3122" i="6"/>
  <c r="N3122" i="6" s="1"/>
  <c r="K3123" i="6"/>
  <c r="N3123" i="6" s="1"/>
  <c r="K3124" i="6"/>
  <c r="N3124" i="6" s="1"/>
  <c r="K3125" i="6"/>
  <c r="N3125" i="6" s="1"/>
  <c r="K3126" i="6"/>
  <c r="N3126" i="6" s="1"/>
  <c r="K3127" i="6"/>
  <c r="N3127" i="6" s="1"/>
  <c r="K3128" i="6"/>
  <c r="N3128" i="6" s="1"/>
  <c r="K3129" i="6"/>
  <c r="N3129" i="6" s="1"/>
  <c r="K3130" i="6"/>
  <c r="N3130" i="6" s="1"/>
  <c r="K3131" i="6"/>
  <c r="N3131" i="6" s="1"/>
  <c r="K3132" i="6"/>
  <c r="N3132" i="6" s="1"/>
  <c r="K3133" i="6"/>
  <c r="N3133" i="6" s="1"/>
  <c r="K3134" i="6"/>
  <c r="N3134" i="6" s="1"/>
  <c r="K3135" i="6"/>
  <c r="N3135" i="6" s="1"/>
  <c r="K3136" i="6"/>
  <c r="N3136" i="6" s="1"/>
  <c r="K3137" i="6"/>
  <c r="N3137" i="6" s="1"/>
  <c r="K3138" i="6"/>
  <c r="N3138" i="6" s="1"/>
  <c r="K3139" i="6"/>
  <c r="N3139" i="6" s="1"/>
  <c r="K3140" i="6"/>
  <c r="N3140" i="6" s="1"/>
  <c r="K3141" i="6"/>
  <c r="N3141" i="6" s="1"/>
  <c r="K3142" i="6"/>
  <c r="N3142" i="6" s="1"/>
  <c r="K3143" i="6"/>
  <c r="N3143" i="6" s="1"/>
  <c r="K3144" i="6"/>
  <c r="N3144" i="6" s="1"/>
  <c r="K3145" i="6"/>
  <c r="N3145" i="6" s="1"/>
  <c r="K3146" i="6"/>
  <c r="N3146" i="6" s="1"/>
  <c r="K3147" i="6"/>
  <c r="N3147" i="6" s="1"/>
  <c r="K3148" i="6"/>
  <c r="N3148" i="6" s="1"/>
  <c r="K3149" i="6"/>
  <c r="N3149" i="6" s="1"/>
  <c r="K3150" i="6"/>
  <c r="N3150" i="6" s="1"/>
  <c r="K3151" i="6"/>
  <c r="N3151" i="6" s="1"/>
  <c r="K3152" i="6"/>
  <c r="N3152" i="6" s="1"/>
  <c r="K3153" i="6"/>
  <c r="N3153" i="6" s="1"/>
  <c r="K3154" i="6"/>
  <c r="N3154" i="6" s="1"/>
  <c r="K3155" i="6"/>
  <c r="N3155" i="6" s="1"/>
  <c r="K3156" i="6"/>
  <c r="N3156" i="6" s="1"/>
  <c r="K3157" i="6"/>
  <c r="N3157" i="6" s="1"/>
  <c r="K3158" i="6"/>
  <c r="N3158" i="6" s="1"/>
  <c r="K3159" i="6"/>
  <c r="N3159" i="6" s="1"/>
  <c r="K3160" i="6"/>
  <c r="N3160" i="6" s="1"/>
  <c r="K3161" i="6"/>
  <c r="N3161" i="6" s="1"/>
  <c r="K3162" i="6"/>
  <c r="N3162" i="6" s="1"/>
  <c r="K3163" i="6"/>
  <c r="N3163" i="6" s="1"/>
  <c r="K3164" i="6"/>
  <c r="N3164" i="6" s="1"/>
  <c r="K3165" i="6"/>
  <c r="N3165" i="6" s="1"/>
  <c r="K3166" i="6"/>
  <c r="N3166" i="6" s="1"/>
  <c r="K3167" i="6"/>
  <c r="N3167" i="6" s="1"/>
  <c r="K3168" i="6"/>
  <c r="N3168" i="6" s="1"/>
  <c r="K3169" i="6"/>
  <c r="N3169" i="6" s="1"/>
  <c r="K3170" i="6"/>
  <c r="N3170" i="6" s="1"/>
  <c r="K3171" i="6"/>
  <c r="N3171" i="6" s="1"/>
  <c r="K3172" i="6"/>
  <c r="N3172" i="6" s="1"/>
  <c r="K3173" i="6"/>
  <c r="N3173" i="6" s="1"/>
  <c r="K3174" i="6"/>
  <c r="N3174" i="6" s="1"/>
  <c r="K3175" i="6"/>
  <c r="N3175" i="6" s="1"/>
  <c r="K3176" i="6"/>
  <c r="N3176" i="6" s="1"/>
  <c r="K3177" i="6"/>
  <c r="N3177" i="6" s="1"/>
  <c r="K3178" i="6"/>
  <c r="N3178" i="6" s="1"/>
  <c r="K3179" i="6"/>
  <c r="N3179" i="6" s="1"/>
  <c r="K3180" i="6"/>
  <c r="N3180" i="6" s="1"/>
  <c r="K3181" i="6"/>
  <c r="N3181" i="6" s="1"/>
  <c r="K3182" i="6"/>
  <c r="N3182" i="6" s="1"/>
  <c r="K3183" i="6"/>
  <c r="N3183" i="6" s="1"/>
  <c r="K3184" i="6"/>
  <c r="N3184" i="6" s="1"/>
  <c r="K3185" i="6"/>
  <c r="N3185" i="6" s="1"/>
  <c r="K3186" i="6"/>
  <c r="N3186" i="6" s="1"/>
  <c r="K3187" i="6"/>
  <c r="N3187" i="6" s="1"/>
  <c r="K3188" i="6"/>
  <c r="N3188" i="6" s="1"/>
  <c r="K3189" i="6"/>
  <c r="N3189" i="6" s="1"/>
  <c r="K3190" i="6"/>
  <c r="N3190" i="6" s="1"/>
  <c r="K3191" i="6"/>
  <c r="N3191" i="6" s="1"/>
  <c r="K3192" i="6"/>
  <c r="N3192" i="6" s="1"/>
  <c r="K3193" i="6"/>
  <c r="N3193" i="6" s="1"/>
  <c r="K3194" i="6"/>
  <c r="N3194" i="6" s="1"/>
  <c r="K3195" i="6"/>
  <c r="N3195" i="6" s="1"/>
  <c r="K3196" i="6"/>
  <c r="N3196" i="6" s="1"/>
  <c r="K3197" i="6"/>
  <c r="N3197" i="6" s="1"/>
  <c r="K3198" i="6"/>
  <c r="N3198" i="6" s="1"/>
  <c r="K3199" i="6"/>
  <c r="N3199" i="6" s="1"/>
  <c r="K3200" i="6"/>
  <c r="N3200" i="6" s="1"/>
  <c r="K3201" i="6"/>
  <c r="N3201" i="6" s="1"/>
  <c r="K3202" i="6"/>
  <c r="N3202" i="6" s="1"/>
  <c r="K3203" i="6"/>
  <c r="N3203" i="6" s="1"/>
  <c r="K3204" i="6"/>
  <c r="N3204" i="6" s="1"/>
  <c r="K3205" i="6"/>
  <c r="N3205" i="6" s="1"/>
  <c r="K3206" i="6"/>
  <c r="N3206" i="6" s="1"/>
  <c r="K3207" i="6"/>
  <c r="N3207" i="6" s="1"/>
  <c r="K3208" i="6"/>
  <c r="N3208" i="6" s="1"/>
  <c r="K3209" i="6"/>
  <c r="N3209" i="6" s="1"/>
  <c r="K3210" i="6"/>
  <c r="N3210" i="6" s="1"/>
  <c r="K3211" i="6"/>
  <c r="N3211" i="6" s="1"/>
  <c r="K3212" i="6"/>
  <c r="N3212" i="6" s="1"/>
  <c r="K3213" i="6"/>
  <c r="N3213" i="6" s="1"/>
  <c r="K3214" i="6"/>
  <c r="N3214" i="6" s="1"/>
  <c r="K3215" i="6"/>
  <c r="N3215" i="6" s="1"/>
  <c r="K3216" i="6"/>
  <c r="N3216" i="6" s="1"/>
  <c r="K3217" i="6"/>
  <c r="N3217" i="6" s="1"/>
  <c r="K3218" i="6"/>
  <c r="N3218" i="6" s="1"/>
  <c r="K3219" i="6"/>
  <c r="N3219" i="6" s="1"/>
  <c r="K3220" i="6"/>
  <c r="N3220" i="6" s="1"/>
  <c r="K3221" i="6"/>
  <c r="N3221" i="6" s="1"/>
  <c r="K3222" i="6"/>
  <c r="N3222" i="6" s="1"/>
  <c r="K3223" i="6"/>
  <c r="N3223" i="6" s="1"/>
  <c r="K3224" i="6"/>
  <c r="N3224" i="6" s="1"/>
  <c r="K3225" i="6"/>
  <c r="N3225" i="6" s="1"/>
  <c r="K3226" i="6"/>
  <c r="N3226" i="6" s="1"/>
  <c r="K3227" i="6"/>
  <c r="N3227" i="6" s="1"/>
  <c r="K3228" i="6"/>
  <c r="N3228" i="6" s="1"/>
  <c r="K3229" i="6"/>
  <c r="N3229" i="6" s="1"/>
  <c r="K3230" i="6"/>
  <c r="N3230" i="6" s="1"/>
  <c r="K3231" i="6"/>
  <c r="N3231" i="6" s="1"/>
  <c r="K3232" i="6"/>
  <c r="N3232" i="6" s="1"/>
  <c r="K3233" i="6"/>
  <c r="N3233" i="6" s="1"/>
  <c r="K3234" i="6"/>
  <c r="N3234" i="6" s="1"/>
  <c r="K3235" i="6"/>
  <c r="N3235" i="6" s="1"/>
  <c r="K3236" i="6"/>
  <c r="N3236" i="6" s="1"/>
  <c r="K3237" i="6"/>
  <c r="N3237" i="6" s="1"/>
  <c r="K3238" i="6"/>
  <c r="N3238" i="6" s="1"/>
  <c r="K3239" i="6"/>
  <c r="N3239" i="6" s="1"/>
  <c r="K3240" i="6"/>
  <c r="N3240" i="6" s="1"/>
  <c r="K3241" i="6"/>
  <c r="N3241" i="6" s="1"/>
  <c r="K3242" i="6"/>
  <c r="N3242" i="6" s="1"/>
  <c r="K3243" i="6"/>
  <c r="N3243" i="6" s="1"/>
  <c r="K3244" i="6"/>
  <c r="N3244" i="6" s="1"/>
  <c r="K3245" i="6"/>
  <c r="N3245" i="6" s="1"/>
  <c r="K3246" i="6"/>
  <c r="N3246" i="6" s="1"/>
  <c r="K3247" i="6"/>
  <c r="N3247" i="6" s="1"/>
  <c r="K3248" i="6"/>
  <c r="N3248" i="6" s="1"/>
  <c r="K3249" i="6"/>
  <c r="N3249" i="6" s="1"/>
  <c r="K3250" i="6"/>
  <c r="N3250" i="6" s="1"/>
  <c r="K3251" i="6"/>
  <c r="N3251" i="6" s="1"/>
  <c r="K3252" i="6"/>
  <c r="N3252" i="6" s="1"/>
  <c r="K3253" i="6"/>
  <c r="N3253" i="6" s="1"/>
  <c r="K3254" i="6"/>
  <c r="N3254" i="6" s="1"/>
  <c r="K3255" i="6"/>
  <c r="N3255" i="6" s="1"/>
  <c r="K3256" i="6"/>
  <c r="N3256" i="6" s="1"/>
  <c r="K3257" i="6"/>
  <c r="N3257" i="6" s="1"/>
  <c r="K3258" i="6"/>
  <c r="N3258" i="6" s="1"/>
  <c r="K3259" i="6"/>
  <c r="N3259" i="6" s="1"/>
  <c r="K3260" i="6"/>
  <c r="N3260" i="6" s="1"/>
  <c r="K3261" i="6"/>
  <c r="N3261" i="6" s="1"/>
  <c r="K3262" i="6"/>
  <c r="N3262" i="6" s="1"/>
  <c r="K3263" i="6"/>
  <c r="N3263" i="6" s="1"/>
  <c r="K3264" i="6"/>
  <c r="N3264" i="6" s="1"/>
  <c r="K3265" i="6"/>
  <c r="N3265" i="6" s="1"/>
  <c r="K3266" i="6"/>
  <c r="N3266" i="6" s="1"/>
  <c r="K3267" i="6"/>
  <c r="N3267" i="6" s="1"/>
  <c r="K3268" i="6"/>
  <c r="N3268" i="6" s="1"/>
  <c r="K3269" i="6"/>
  <c r="N3269" i="6" s="1"/>
  <c r="K3270" i="6"/>
  <c r="N3270" i="6" s="1"/>
  <c r="K3271" i="6"/>
  <c r="N3271" i="6" s="1"/>
  <c r="K3272" i="6"/>
  <c r="N3272" i="6" s="1"/>
  <c r="K3273" i="6"/>
  <c r="N3273" i="6" s="1"/>
  <c r="K3274" i="6"/>
  <c r="N3274" i="6" s="1"/>
  <c r="K3275" i="6"/>
  <c r="N3275" i="6" s="1"/>
  <c r="K3276" i="6"/>
  <c r="N3276" i="6" s="1"/>
  <c r="K3277" i="6"/>
  <c r="N3277" i="6" s="1"/>
  <c r="K3278" i="6"/>
  <c r="N3278" i="6" s="1"/>
  <c r="K3279" i="6"/>
  <c r="N3279" i="6" s="1"/>
  <c r="K3280" i="6"/>
  <c r="N3280" i="6" s="1"/>
  <c r="K3281" i="6"/>
  <c r="N3281" i="6" s="1"/>
  <c r="K3282" i="6"/>
  <c r="N3282" i="6" s="1"/>
  <c r="K3283" i="6"/>
  <c r="N3283" i="6" s="1"/>
  <c r="K3284" i="6"/>
  <c r="N3284" i="6" s="1"/>
  <c r="K3285" i="6"/>
  <c r="N3285" i="6" s="1"/>
  <c r="K3286" i="6"/>
  <c r="N3286" i="6" s="1"/>
  <c r="K3287" i="6"/>
  <c r="N3287" i="6" s="1"/>
  <c r="K3288" i="6"/>
  <c r="N3288" i="6" s="1"/>
  <c r="K3289" i="6"/>
  <c r="N3289" i="6" s="1"/>
  <c r="K3290" i="6"/>
  <c r="N3290" i="6" s="1"/>
  <c r="K3291" i="6"/>
  <c r="N3291" i="6" s="1"/>
  <c r="K3292" i="6"/>
  <c r="N3292" i="6" s="1"/>
  <c r="K3293" i="6"/>
  <c r="N3293" i="6" s="1"/>
  <c r="K3294" i="6"/>
  <c r="N3294" i="6" s="1"/>
  <c r="K3295" i="6"/>
  <c r="N3295" i="6" s="1"/>
  <c r="K3296" i="6"/>
  <c r="N3296" i="6" s="1"/>
  <c r="K3297" i="6"/>
  <c r="N3297" i="6" s="1"/>
  <c r="K3298" i="6"/>
  <c r="N3298" i="6" s="1"/>
  <c r="K3299" i="6"/>
  <c r="N3299" i="6" s="1"/>
  <c r="K3300" i="6"/>
  <c r="N3300" i="6" s="1"/>
  <c r="K3301" i="6"/>
  <c r="N3301" i="6" s="1"/>
  <c r="K3302" i="6"/>
  <c r="N3302" i="6" s="1"/>
  <c r="K3303" i="6"/>
  <c r="N3303" i="6" s="1"/>
  <c r="K3304" i="6"/>
  <c r="N3304" i="6" s="1"/>
  <c r="K3305" i="6"/>
  <c r="N3305" i="6" s="1"/>
  <c r="K3306" i="6"/>
  <c r="N3306" i="6" s="1"/>
  <c r="K3307" i="6"/>
  <c r="N3307" i="6" s="1"/>
  <c r="K3308" i="6"/>
  <c r="N3308" i="6" s="1"/>
  <c r="K3309" i="6"/>
  <c r="N3309" i="6" s="1"/>
  <c r="K3310" i="6"/>
  <c r="N3310" i="6" s="1"/>
  <c r="K3311" i="6"/>
  <c r="N3311" i="6" s="1"/>
  <c r="K3312" i="6"/>
  <c r="N3312" i="6" s="1"/>
  <c r="K3313" i="6"/>
  <c r="N3313" i="6" s="1"/>
  <c r="K3314" i="6"/>
  <c r="N3314" i="6" s="1"/>
  <c r="K3315" i="6"/>
  <c r="N3315" i="6" s="1"/>
  <c r="K3316" i="6"/>
  <c r="N3316" i="6" s="1"/>
  <c r="K3317" i="6"/>
  <c r="N3317" i="6" s="1"/>
  <c r="K3318" i="6"/>
  <c r="N3318" i="6" s="1"/>
  <c r="K3319" i="6"/>
  <c r="N3319" i="6" s="1"/>
  <c r="K3320" i="6"/>
  <c r="N3320" i="6" s="1"/>
  <c r="K3321" i="6"/>
  <c r="N3321" i="6" s="1"/>
  <c r="K3322" i="6"/>
  <c r="N3322" i="6" s="1"/>
  <c r="K3323" i="6"/>
  <c r="N3323" i="6" s="1"/>
  <c r="K3324" i="6"/>
  <c r="N3324" i="6" s="1"/>
  <c r="K3325" i="6"/>
  <c r="N3325" i="6" s="1"/>
  <c r="K3326" i="6"/>
  <c r="N3326" i="6" s="1"/>
  <c r="K3327" i="6"/>
  <c r="N3327" i="6" s="1"/>
  <c r="K3328" i="6"/>
  <c r="N3328" i="6" s="1"/>
  <c r="K3329" i="6"/>
  <c r="N3329" i="6" s="1"/>
  <c r="K3330" i="6"/>
  <c r="N3330" i="6" s="1"/>
  <c r="K3331" i="6"/>
  <c r="N3331" i="6" s="1"/>
  <c r="K3332" i="6"/>
  <c r="N3332" i="6" s="1"/>
  <c r="K3333" i="6"/>
  <c r="N3333" i="6" s="1"/>
  <c r="K3334" i="6"/>
  <c r="N3334" i="6" s="1"/>
  <c r="K3335" i="6"/>
  <c r="N3335" i="6" s="1"/>
  <c r="K3336" i="6"/>
  <c r="N3336" i="6" s="1"/>
  <c r="K3337" i="6"/>
  <c r="N3337" i="6" s="1"/>
  <c r="K3338" i="6"/>
  <c r="N3338" i="6" s="1"/>
  <c r="K3339" i="6"/>
  <c r="N3339" i="6" s="1"/>
  <c r="K3340" i="6"/>
  <c r="N3340" i="6" s="1"/>
  <c r="K3341" i="6"/>
  <c r="N3341" i="6" s="1"/>
  <c r="K3342" i="6"/>
  <c r="N3342" i="6" s="1"/>
  <c r="K3343" i="6"/>
  <c r="N3343" i="6" s="1"/>
  <c r="K3344" i="6"/>
  <c r="N3344" i="6" s="1"/>
  <c r="K3345" i="6"/>
  <c r="N3345" i="6" s="1"/>
  <c r="K3346" i="6"/>
  <c r="N3346" i="6" s="1"/>
  <c r="K3347" i="6"/>
  <c r="N3347" i="6" s="1"/>
  <c r="K3348" i="6"/>
  <c r="N3348" i="6" s="1"/>
  <c r="K3349" i="6"/>
  <c r="N3349" i="6" s="1"/>
  <c r="K3350" i="6"/>
  <c r="N3350" i="6" s="1"/>
  <c r="K3351" i="6"/>
  <c r="N3351" i="6" s="1"/>
  <c r="K3352" i="6"/>
  <c r="N3352" i="6" s="1"/>
  <c r="K3353" i="6"/>
  <c r="N3353" i="6" s="1"/>
  <c r="K3354" i="6"/>
  <c r="N3354" i="6" s="1"/>
  <c r="K3355" i="6"/>
  <c r="N3355" i="6" s="1"/>
  <c r="K3356" i="6"/>
  <c r="N3356" i="6" s="1"/>
  <c r="K3357" i="6"/>
  <c r="N3357" i="6" s="1"/>
  <c r="K3358" i="6"/>
  <c r="N3358" i="6" s="1"/>
  <c r="K3359" i="6"/>
  <c r="N3359" i="6" s="1"/>
  <c r="K3360" i="6"/>
  <c r="N3360" i="6" s="1"/>
  <c r="K3361" i="6"/>
  <c r="N3361" i="6" s="1"/>
  <c r="K3362" i="6"/>
  <c r="N3362" i="6" s="1"/>
  <c r="K3363" i="6"/>
  <c r="N3363" i="6" s="1"/>
  <c r="K3364" i="6"/>
  <c r="N3364" i="6" s="1"/>
  <c r="K3365" i="6"/>
  <c r="N3365" i="6" s="1"/>
  <c r="K3366" i="6"/>
  <c r="N3366" i="6" s="1"/>
  <c r="K3367" i="6"/>
  <c r="N3367" i="6" s="1"/>
  <c r="K3368" i="6"/>
  <c r="N3368" i="6" s="1"/>
  <c r="K3369" i="6"/>
  <c r="N3369" i="6" s="1"/>
  <c r="K3370" i="6"/>
  <c r="N3370" i="6" s="1"/>
  <c r="K3371" i="6"/>
  <c r="N3371" i="6" s="1"/>
  <c r="K3372" i="6"/>
  <c r="N3372" i="6" s="1"/>
  <c r="K3373" i="6"/>
  <c r="N3373" i="6" s="1"/>
  <c r="K3374" i="6"/>
  <c r="N3374" i="6" s="1"/>
  <c r="K3375" i="6"/>
  <c r="N3375" i="6" s="1"/>
  <c r="K3376" i="6"/>
  <c r="N3376" i="6" s="1"/>
  <c r="K3377" i="6"/>
  <c r="N3377" i="6" s="1"/>
  <c r="K3378" i="6"/>
  <c r="N3378" i="6" s="1"/>
  <c r="K3379" i="6"/>
  <c r="N3379" i="6" s="1"/>
  <c r="K3380" i="6"/>
  <c r="N3380" i="6" s="1"/>
  <c r="K3381" i="6"/>
  <c r="N3381" i="6" s="1"/>
  <c r="K3382" i="6"/>
  <c r="N3382" i="6" s="1"/>
  <c r="K3383" i="6"/>
  <c r="N3383" i="6" s="1"/>
  <c r="K3384" i="6"/>
  <c r="N3384" i="6" s="1"/>
  <c r="K3385" i="6"/>
  <c r="N3385" i="6" s="1"/>
  <c r="K3386" i="6"/>
  <c r="N3386" i="6" s="1"/>
  <c r="K3387" i="6"/>
  <c r="N3387" i="6" s="1"/>
  <c r="K3388" i="6"/>
  <c r="N3388" i="6" s="1"/>
  <c r="K3389" i="6"/>
  <c r="N3389" i="6" s="1"/>
  <c r="K3390" i="6"/>
  <c r="N3390" i="6" s="1"/>
  <c r="K3391" i="6"/>
  <c r="N3391" i="6" s="1"/>
  <c r="K3392" i="6"/>
  <c r="N3392" i="6" s="1"/>
  <c r="K3393" i="6"/>
  <c r="N3393" i="6" s="1"/>
  <c r="K3394" i="6"/>
  <c r="N3394" i="6" s="1"/>
  <c r="K3395" i="6"/>
  <c r="N3395" i="6" s="1"/>
  <c r="K3396" i="6"/>
  <c r="N3396" i="6" s="1"/>
  <c r="K3397" i="6"/>
  <c r="N3397" i="6" s="1"/>
  <c r="K3398" i="6"/>
  <c r="N3398" i="6" s="1"/>
  <c r="K3399" i="6"/>
  <c r="N3399" i="6" s="1"/>
  <c r="K3400" i="6"/>
  <c r="N3400" i="6" s="1"/>
  <c r="K3401" i="6"/>
  <c r="N3401" i="6" s="1"/>
  <c r="K3402" i="6"/>
  <c r="N3402" i="6" s="1"/>
  <c r="K3403" i="6"/>
  <c r="N3403" i="6" s="1"/>
  <c r="K3404" i="6"/>
  <c r="N3404" i="6" s="1"/>
  <c r="K3405" i="6"/>
  <c r="N3405" i="6" s="1"/>
  <c r="K3406" i="6"/>
  <c r="N3406" i="6" s="1"/>
  <c r="K3407" i="6"/>
  <c r="N3407" i="6" s="1"/>
  <c r="K3408" i="6"/>
  <c r="N3408" i="6" s="1"/>
  <c r="K3409" i="6"/>
  <c r="N3409" i="6" s="1"/>
  <c r="K3410" i="6"/>
  <c r="N3410" i="6" s="1"/>
  <c r="K3411" i="6"/>
  <c r="N3411" i="6" s="1"/>
  <c r="K3412" i="6"/>
  <c r="N3412" i="6" s="1"/>
  <c r="K3413" i="6"/>
  <c r="N3413" i="6" s="1"/>
  <c r="K3414" i="6"/>
  <c r="N3414" i="6" s="1"/>
  <c r="K3415" i="6"/>
  <c r="N3415" i="6" s="1"/>
  <c r="K3416" i="6"/>
  <c r="N3416" i="6" s="1"/>
  <c r="K3417" i="6"/>
  <c r="N3417" i="6" s="1"/>
  <c r="K3418" i="6"/>
  <c r="N3418" i="6" s="1"/>
  <c r="K3419" i="6"/>
  <c r="N3419" i="6" s="1"/>
  <c r="K3420" i="6"/>
  <c r="N3420" i="6" s="1"/>
  <c r="K3421" i="6"/>
  <c r="N3421" i="6" s="1"/>
  <c r="K3422" i="6"/>
  <c r="N3422" i="6" s="1"/>
  <c r="K3423" i="6"/>
  <c r="N3423" i="6" s="1"/>
  <c r="K3424" i="6"/>
  <c r="N3424" i="6" s="1"/>
  <c r="K3425" i="6"/>
  <c r="N3425" i="6" s="1"/>
  <c r="K3426" i="6"/>
  <c r="N3426" i="6" s="1"/>
  <c r="K3427" i="6"/>
  <c r="N3427" i="6" s="1"/>
  <c r="K3428" i="6"/>
  <c r="N3428" i="6" s="1"/>
  <c r="K3429" i="6"/>
  <c r="N3429" i="6" s="1"/>
  <c r="K3430" i="6"/>
  <c r="N3430" i="6" s="1"/>
  <c r="K3431" i="6"/>
  <c r="N3431" i="6" s="1"/>
  <c r="K3432" i="6"/>
  <c r="N3432" i="6" s="1"/>
  <c r="K3433" i="6"/>
  <c r="N3433" i="6" s="1"/>
  <c r="K3434" i="6"/>
  <c r="N3434" i="6" s="1"/>
  <c r="K3435" i="6"/>
  <c r="N3435" i="6" s="1"/>
  <c r="K3436" i="6"/>
  <c r="N3436" i="6" s="1"/>
  <c r="K3437" i="6"/>
  <c r="N3437" i="6" s="1"/>
  <c r="K3438" i="6"/>
  <c r="N3438" i="6" s="1"/>
  <c r="K3439" i="6"/>
  <c r="N3439" i="6" s="1"/>
  <c r="K3440" i="6"/>
  <c r="N3440" i="6" s="1"/>
  <c r="K3441" i="6"/>
  <c r="N3441" i="6" s="1"/>
  <c r="K3442" i="6"/>
  <c r="N3442" i="6" s="1"/>
  <c r="K3443" i="6"/>
  <c r="N3443" i="6" s="1"/>
  <c r="K3444" i="6"/>
  <c r="N3444" i="6" s="1"/>
  <c r="K3445" i="6"/>
  <c r="N3445" i="6" s="1"/>
  <c r="K3446" i="6"/>
  <c r="N3446" i="6" s="1"/>
  <c r="K3447" i="6"/>
  <c r="N3447" i="6" s="1"/>
  <c r="K3448" i="6"/>
  <c r="N3448" i="6" s="1"/>
  <c r="K3449" i="6"/>
  <c r="N3449" i="6" s="1"/>
  <c r="K3450" i="6"/>
  <c r="N3450" i="6" s="1"/>
  <c r="K3451" i="6"/>
  <c r="N3451" i="6" s="1"/>
  <c r="K3452" i="6"/>
  <c r="N3452" i="6" s="1"/>
  <c r="K3453" i="6"/>
  <c r="N3453" i="6" s="1"/>
  <c r="K3454" i="6"/>
  <c r="N3454" i="6" s="1"/>
  <c r="K3455" i="6"/>
  <c r="N3455" i="6" s="1"/>
  <c r="K3456" i="6"/>
  <c r="N3456" i="6" s="1"/>
  <c r="K3457" i="6"/>
  <c r="N3457" i="6" s="1"/>
  <c r="K3458" i="6"/>
  <c r="N3458" i="6" s="1"/>
  <c r="K3459" i="6"/>
  <c r="N3459" i="6" s="1"/>
  <c r="K3460" i="6"/>
  <c r="N3460" i="6" s="1"/>
  <c r="K3461" i="6"/>
  <c r="N3461" i="6" s="1"/>
  <c r="K3462" i="6"/>
  <c r="N3462" i="6" s="1"/>
  <c r="K3463" i="6"/>
  <c r="N3463" i="6" s="1"/>
  <c r="K3464" i="6"/>
  <c r="N3464" i="6" s="1"/>
  <c r="K3465" i="6"/>
  <c r="N3465" i="6" s="1"/>
  <c r="K3466" i="6"/>
  <c r="N3466" i="6" s="1"/>
  <c r="K3467" i="6"/>
  <c r="N3467" i="6" s="1"/>
  <c r="K3468" i="6"/>
  <c r="N3468" i="6" s="1"/>
  <c r="K3469" i="6"/>
  <c r="N3469" i="6" s="1"/>
  <c r="K3470" i="6"/>
  <c r="N3470" i="6" s="1"/>
  <c r="K3471" i="6"/>
  <c r="N3471" i="6" s="1"/>
  <c r="K3472" i="6"/>
  <c r="N3472" i="6" s="1"/>
  <c r="K3473" i="6"/>
  <c r="N3473" i="6" s="1"/>
  <c r="K3474" i="6"/>
  <c r="N3474" i="6" s="1"/>
  <c r="K3475" i="6"/>
  <c r="N3475" i="6" s="1"/>
  <c r="K3476" i="6"/>
  <c r="N3476" i="6" s="1"/>
  <c r="K3477" i="6"/>
  <c r="N3477" i="6" s="1"/>
  <c r="K3478" i="6"/>
  <c r="N3478" i="6" s="1"/>
  <c r="K3479" i="6"/>
  <c r="N3479" i="6" s="1"/>
  <c r="K3480" i="6"/>
  <c r="N3480" i="6" s="1"/>
  <c r="K3481" i="6"/>
  <c r="N3481" i="6" s="1"/>
  <c r="K3482" i="6"/>
  <c r="N3482" i="6" s="1"/>
  <c r="K3483" i="6"/>
  <c r="N3483" i="6" s="1"/>
  <c r="K3484" i="6"/>
  <c r="N3484" i="6" s="1"/>
  <c r="K3485" i="6"/>
  <c r="N3485" i="6" s="1"/>
  <c r="K3486" i="6"/>
  <c r="N3486" i="6" s="1"/>
  <c r="K3487" i="6"/>
  <c r="N3487" i="6" s="1"/>
  <c r="K3488" i="6"/>
  <c r="N3488" i="6" s="1"/>
  <c r="K3489" i="6"/>
  <c r="N3489" i="6" s="1"/>
  <c r="K3490" i="6"/>
  <c r="N3490" i="6" s="1"/>
  <c r="K3491" i="6"/>
  <c r="N3491" i="6" s="1"/>
  <c r="K3492" i="6"/>
  <c r="N3492" i="6" s="1"/>
  <c r="K3493" i="6"/>
  <c r="N3493" i="6" s="1"/>
  <c r="K3494" i="6"/>
  <c r="N3494" i="6" s="1"/>
  <c r="K3495" i="6"/>
  <c r="N3495" i="6" s="1"/>
  <c r="K3496" i="6"/>
  <c r="N3496" i="6" s="1"/>
  <c r="K3497" i="6"/>
  <c r="N3497" i="6" s="1"/>
  <c r="K3498" i="6"/>
  <c r="N3498" i="6" s="1"/>
  <c r="K3499" i="6"/>
  <c r="N3499" i="6" s="1"/>
  <c r="K3500" i="6"/>
  <c r="N3500" i="6" s="1"/>
  <c r="K3501" i="6"/>
  <c r="N3501" i="6" s="1"/>
  <c r="K3502" i="6"/>
  <c r="N3502" i="6" s="1"/>
  <c r="K3503" i="6"/>
  <c r="N3503" i="6" s="1"/>
  <c r="K3504" i="6"/>
  <c r="N3504" i="6" s="1"/>
  <c r="K3505" i="6"/>
  <c r="N3505" i="6" s="1"/>
  <c r="K3506" i="6"/>
  <c r="N3506" i="6" s="1"/>
  <c r="K3507" i="6"/>
  <c r="N3507" i="6" s="1"/>
  <c r="K3508" i="6"/>
  <c r="N3508" i="6" s="1"/>
  <c r="K3509" i="6"/>
  <c r="N3509" i="6" s="1"/>
  <c r="K3510" i="6"/>
  <c r="N3510" i="6" s="1"/>
  <c r="K3511" i="6"/>
  <c r="N3511" i="6" s="1"/>
  <c r="K3512" i="6"/>
  <c r="N3512" i="6" s="1"/>
  <c r="K3513" i="6"/>
  <c r="N3513" i="6" s="1"/>
  <c r="K3514" i="6"/>
  <c r="N3514" i="6" s="1"/>
  <c r="K3515" i="6"/>
  <c r="N3515" i="6" s="1"/>
  <c r="K3516" i="6"/>
  <c r="N3516" i="6" s="1"/>
  <c r="K3517" i="6"/>
  <c r="N3517" i="6" s="1"/>
  <c r="K3518" i="6"/>
  <c r="N3518" i="6" s="1"/>
  <c r="K3519" i="6"/>
  <c r="N3519" i="6" s="1"/>
  <c r="K3520" i="6"/>
  <c r="N3520" i="6" s="1"/>
  <c r="K3521" i="6"/>
  <c r="N3521" i="6" s="1"/>
  <c r="K3522" i="6"/>
  <c r="N3522" i="6" s="1"/>
  <c r="K3523" i="6"/>
  <c r="N3523" i="6" s="1"/>
  <c r="K3524" i="6"/>
  <c r="N3524" i="6" s="1"/>
  <c r="K3525" i="6"/>
  <c r="N3525" i="6" s="1"/>
  <c r="K3526" i="6"/>
  <c r="N3526" i="6" s="1"/>
  <c r="K3527" i="6"/>
  <c r="N3527" i="6" s="1"/>
  <c r="K3528" i="6"/>
  <c r="N3528" i="6" s="1"/>
  <c r="K3529" i="6"/>
  <c r="N3529" i="6" s="1"/>
  <c r="K3530" i="6"/>
  <c r="N3530" i="6" s="1"/>
  <c r="K3531" i="6"/>
  <c r="N3531" i="6" s="1"/>
  <c r="K3532" i="6"/>
  <c r="N3532" i="6" s="1"/>
  <c r="K3533" i="6"/>
  <c r="N3533" i="6" s="1"/>
  <c r="K3534" i="6"/>
  <c r="N3534" i="6" s="1"/>
  <c r="K3535" i="6"/>
  <c r="N3535" i="6" s="1"/>
  <c r="K3536" i="6"/>
  <c r="N3536" i="6" s="1"/>
  <c r="K3537" i="6"/>
  <c r="N3537" i="6" s="1"/>
  <c r="K3538" i="6"/>
  <c r="N3538" i="6" s="1"/>
  <c r="K3539" i="6"/>
  <c r="N3539" i="6" s="1"/>
  <c r="K3540" i="6"/>
  <c r="N3540" i="6" s="1"/>
  <c r="K3541" i="6"/>
  <c r="N3541" i="6" s="1"/>
  <c r="K3542" i="6"/>
  <c r="N3542" i="6" s="1"/>
  <c r="K3543" i="6"/>
  <c r="N3543" i="6" s="1"/>
  <c r="K3544" i="6"/>
  <c r="N3544" i="6" s="1"/>
  <c r="K3545" i="6"/>
  <c r="N3545" i="6" s="1"/>
  <c r="K3546" i="6"/>
  <c r="N3546" i="6" s="1"/>
  <c r="K3547" i="6"/>
  <c r="N3547" i="6" s="1"/>
  <c r="K3548" i="6"/>
  <c r="N3548" i="6" s="1"/>
  <c r="K3549" i="6"/>
  <c r="N3549" i="6" s="1"/>
  <c r="K3550" i="6"/>
  <c r="N3550" i="6" s="1"/>
  <c r="K3551" i="6"/>
  <c r="N3551" i="6" s="1"/>
  <c r="K3552" i="6"/>
  <c r="N3552" i="6" s="1"/>
  <c r="K3553" i="6"/>
  <c r="N3553" i="6" s="1"/>
  <c r="K3554" i="6"/>
  <c r="N3554" i="6" s="1"/>
  <c r="K3555" i="6"/>
  <c r="N3555" i="6" s="1"/>
  <c r="K3556" i="6"/>
  <c r="N3556" i="6" s="1"/>
  <c r="K3557" i="6"/>
  <c r="N3557" i="6" s="1"/>
  <c r="K3558" i="6"/>
  <c r="N3558" i="6" s="1"/>
  <c r="K3559" i="6"/>
  <c r="N3559" i="6" s="1"/>
  <c r="K3560" i="6"/>
  <c r="N3560" i="6" s="1"/>
  <c r="K3561" i="6"/>
  <c r="N3561" i="6" s="1"/>
  <c r="K3562" i="6"/>
  <c r="N3562" i="6" s="1"/>
  <c r="K3563" i="6"/>
  <c r="N3563" i="6" s="1"/>
  <c r="K3564" i="6"/>
  <c r="N3564" i="6" s="1"/>
  <c r="K3565" i="6"/>
  <c r="N3565" i="6" s="1"/>
  <c r="K3566" i="6"/>
  <c r="N3566" i="6" s="1"/>
  <c r="K3567" i="6"/>
  <c r="N3567" i="6" s="1"/>
  <c r="K3568" i="6"/>
  <c r="N3568" i="6" s="1"/>
  <c r="K3569" i="6"/>
  <c r="N3569" i="6" s="1"/>
  <c r="K3570" i="6"/>
  <c r="N3570" i="6" s="1"/>
  <c r="K3571" i="6"/>
  <c r="N3571" i="6" s="1"/>
  <c r="K3572" i="6"/>
  <c r="N3572" i="6" s="1"/>
  <c r="K3573" i="6"/>
  <c r="N3573" i="6" s="1"/>
  <c r="K3574" i="6"/>
  <c r="N3574" i="6" s="1"/>
  <c r="K3575" i="6"/>
  <c r="N3575" i="6" s="1"/>
  <c r="K3576" i="6"/>
  <c r="N3576" i="6" s="1"/>
  <c r="K3577" i="6"/>
  <c r="N3577" i="6" s="1"/>
  <c r="K3578" i="6"/>
  <c r="N3578" i="6" s="1"/>
  <c r="K3579" i="6"/>
  <c r="N3579" i="6" s="1"/>
  <c r="K3580" i="6"/>
  <c r="N3580" i="6" s="1"/>
  <c r="K3581" i="6"/>
  <c r="N3581" i="6" s="1"/>
  <c r="K3582" i="6"/>
  <c r="N3582" i="6" s="1"/>
  <c r="K3583" i="6"/>
  <c r="N3583" i="6" s="1"/>
  <c r="K3584" i="6"/>
  <c r="N3584" i="6" s="1"/>
  <c r="K3585" i="6"/>
  <c r="N3585" i="6" s="1"/>
  <c r="K3586" i="6"/>
  <c r="N3586" i="6" s="1"/>
  <c r="K3587" i="6"/>
  <c r="N3587" i="6" s="1"/>
  <c r="K3588" i="6"/>
  <c r="N3588" i="6" s="1"/>
  <c r="K3589" i="6"/>
  <c r="N3589" i="6" s="1"/>
  <c r="K3590" i="6"/>
  <c r="N3590" i="6" s="1"/>
  <c r="K3591" i="6"/>
  <c r="N3591" i="6" s="1"/>
  <c r="K3592" i="6"/>
  <c r="N3592" i="6" s="1"/>
  <c r="K3593" i="6"/>
  <c r="N3593" i="6" s="1"/>
  <c r="K3594" i="6"/>
  <c r="N3594" i="6" s="1"/>
  <c r="K3595" i="6"/>
  <c r="N3595" i="6" s="1"/>
  <c r="K3596" i="6"/>
  <c r="N3596" i="6" s="1"/>
  <c r="K3597" i="6"/>
  <c r="N3597" i="6" s="1"/>
  <c r="K3598" i="6"/>
  <c r="N3598" i="6" s="1"/>
  <c r="K3599" i="6"/>
  <c r="N3599" i="6" s="1"/>
  <c r="K3600" i="6"/>
  <c r="N3600" i="6" s="1"/>
  <c r="K3601" i="6"/>
  <c r="N3601" i="6" s="1"/>
  <c r="K3602" i="6"/>
  <c r="N3602" i="6" s="1"/>
  <c r="K3603" i="6"/>
  <c r="N3603" i="6" s="1"/>
  <c r="K3604" i="6"/>
  <c r="N3604" i="6" s="1"/>
  <c r="K3605" i="6"/>
  <c r="N3605" i="6" s="1"/>
  <c r="K3606" i="6"/>
  <c r="N3606" i="6" s="1"/>
  <c r="K3607" i="6"/>
  <c r="N3607" i="6" s="1"/>
  <c r="K3608" i="6"/>
  <c r="N3608" i="6" s="1"/>
  <c r="K3609" i="6"/>
  <c r="N3609" i="6" s="1"/>
  <c r="K3610" i="6"/>
  <c r="N3610" i="6" s="1"/>
  <c r="K3611" i="6"/>
  <c r="N3611" i="6" s="1"/>
  <c r="K3612" i="6"/>
  <c r="N3612" i="6" s="1"/>
  <c r="K3613" i="6"/>
  <c r="N3613" i="6" s="1"/>
  <c r="K3614" i="6"/>
  <c r="N3614" i="6" s="1"/>
  <c r="K3615" i="6"/>
  <c r="N3615" i="6" s="1"/>
  <c r="K3616" i="6"/>
  <c r="N3616" i="6" s="1"/>
  <c r="K3617" i="6"/>
  <c r="N3617" i="6" s="1"/>
  <c r="K3618" i="6"/>
  <c r="N3618" i="6" s="1"/>
  <c r="K3619" i="6"/>
  <c r="N3619" i="6" s="1"/>
  <c r="K3620" i="6"/>
  <c r="N3620" i="6" s="1"/>
  <c r="K3621" i="6"/>
  <c r="N3621" i="6" s="1"/>
  <c r="K3622" i="6"/>
  <c r="N3622" i="6" s="1"/>
  <c r="K3623" i="6"/>
  <c r="N3623" i="6" s="1"/>
  <c r="K3624" i="6"/>
  <c r="N3624" i="6" s="1"/>
  <c r="K3625" i="6"/>
  <c r="N3625" i="6" s="1"/>
  <c r="K3626" i="6"/>
  <c r="N3626" i="6" s="1"/>
  <c r="K3627" i="6"/>
  <c r="N3627" i="6" s="1"/>
  <c r="K3628" i="6"/>
  <c r="N3628" i="6" s="1"/>
  <c r="K3629" i="6"/>
  <c r="N3629" i="6" s="1"/>
  <c r="K3630" i="6"/>
  <c r="N3630" i="6" s="1"/>
  <c r="K3631" i="6"/>
  <c r="N3631" i="6" s="1"/>
  <c r="K3632" i="6"/>
  <c r="N3632" i="6" s="1"/>
  <c r="K3633" i="6"/>
  <c r="N3633" i="6" s="1"/>
  <c r="K3634" i="6"/>
  <c r="N3634" i="6" s="1"/>
  <c r="K3635" i="6"/>
  <c r="N3635" i="6" s="1"/>
  <c r="K3636" i="6"/>
  <c r="N3636" i="6" s="1"/>
  <c r="K3637" i="6"/>
  <c r="N3637" i="6" s="1"/>
  <c r="K3638" i="6"/>
  <c r="N3638" i="6" s="1"/>
  <c r="K3639" i="6"/>
  <c r="N3639" i="6" s="1"/>
  <c r="K3640" i="6"/>
  <c r="N3640" i="6" s="1"/>
  <c r="K3641" i="6"/>
  <c r="N3641" i="6" s="1"/>
  <c r="K3642" i="6"/>
  <c r="N3642" i="6" s="1"/>
  <c r="K3643" i="6"/>
  <c r="N3643" i="6" s="1"/>
  <c r="K3644" i="6"/>
  <c r="N3644" i="6" s="1"/>
  <c r="K3645" i="6"/>
  <c r="N3645" i="6" s="1"/>
  <c r="K3646" i="6"/>
  <c r="N3646" i="6" s="1"/>
  <c r="K3647" i="6"/>
  <c r="N3647" i="6" s="1"/>
  <c r="K3648" i="6"/>
  <c r="N3648" i="6" s="1"/>
  <c r="K3649" i="6"/>
  <c r="N3649" i="6" s="1"/>
  <c r="K3650" i="6"/>
  <c r="N3650" i="6" s="1"/>
  <c r="K3651" i="6"/>
  <c r="N3651" i="6" s="1"/>
  <c r="K3652" i="6"/>
  <c r="N3652" i="6" s="1"/>
  <c r="K3653" i="6"/>
  <c r="N3653" i="6" s="1"/>
  <c r="K3654" i="6"/>
  <c r="N3654" i="6" s="1"/>
  <c r="K3655" i="6"/>
  <c r="N3655" i="6" s="1"/>
  <c r="K3656" i="6"/>
  <c r="N3656" i="6" s="1"/>
  <c r="K3657" i="6"/>
  <c r="N3657" i="6" s="1"/>
  <c r="K3658" i="6"/>
  <c r="N3658" i="6" s="1"/>
  <c r="K3659" i="6"/>
  <c r="N3659" i="6" s="1"/>
  <c r="K3660" i="6"/>
  <c r="N3660" i="6" s="1"/>
  <c r="K3661" i="6"/>
  <c r="N3661" i="6" s="1"/>
  <c r="K3662" i="6"/>
  <c r="N3662" i="6" s="1"/>
  <c r="K3663" i="6"/>
  <c r="N3663" i="6" s="1"/>
  <c r="K3664" i="6"/>
  <c r="N3664" i="6" s="1"/>
  <c r="K3665" i="6"/>
  <c r="N3665" i="6" s="1"/>
  <c r="K3666" i="6"/>
  <c r="N3666" i="6" s="1"/>
  <c r="K3667" i="6"/>
  <c r="N3667" i="6" s="1"/>
  <c r="K3668" i="6"/>
  <c r="N3668" i="6" s="1"/>
  <c r="K3669" i="6"/>
  <c r="N3669" i="6" s="1"/>
  <c r="K3670" i="6"/>
  <c r="N3670" i="6" s="1"/>
  <c r="K3671" i="6"/>
  <c r="N3671" i="6" s="1"/>
  <c r="K3672" i="6"/>
  <c r="N3672" i="6" s="1"/>
  <c r="K3673" i="6"/>
  <c r="N3673" i="6" s="1"/>
  <c r="K3674" i="6"/>
  <c r="N3674" i="6" s="1"/>
  <c r="K3675" i="6"/>
  <c r="N3675" i="6" s="1"/>
  <c r="K3676" i="6"/>
  <c r="N3676" i="6" s="1"/>
  <c r="K3677" i="6"/>
  <c r="N3677" i="6" s="1"/>
  <c r="K3678" i="6"/>
  <c r="N3678" i="6" s="1"/>
  <c r="K3679" i="6"/>
  <c r="N3679" i="6" s="1"/>
  <c r="K3680" i="6"/>
  <c r="N3680" i="6" s="1"/>
  <c r="K3681" i="6"/>
  <c r="N3681" i="6" s="1"/>
  <c r="K3682" i="6"/>
  <c r="N3682" i="6" s="1"/>
  <c r="K3683" i="6"/>
  <c r="N3683" i="6" s="1"/>
  <c r="K3684" i="6"/>
  <c r="N3684" i="6" s="1"/>
  <c r="K3685" i="6"/>
  <c r="N3685" i="6" s="1"/>
  <c r="K3686" i="6"/>
  <c r="N3686" i="6" s="1"/>
  <c r="K3687" i="6"/>
  <c r="N3687" i="6" s="1"/>
  <c r="K3688" i="6"/>
  <c r="N3688" i="6" s="1"/>
  <c r="K3689" i="6"/>
  <c r="N3689" i="6" s="1"/>
  <c r="K3690" i="6"/>
  <c r="N3690" i="6" s="1"/>
  <c r="K3691" i="6"/>
  <c r="N3691" i="6" s="1"/>
  <c r="K3692" i="6"/>
  <c r="N3692" i="6" s="1"/>
  <c r="K3693" i="6"/>
  <c r="N3693" i="6" s="1"/>
  <c r="K3694" i="6"/>
  <c r="N3694" i="6" s="1"/>
  <c r="K3695" i="6"/>
  <c r="N3695" i="6" s="1"/>
  <c r="K3696" i="6"/>
  <c r="N3696" i="6" s="1"/>
  <c r="K3697" i="6"/>
  <c r="N3697" i="6" s="1"/>
  <c r="K3698" i="6"/>
  <c r="N3698" i="6" s="1"/>
  <c r="K3699" i="6"/>
  <c r="N3699" i="6" s="1"/>
  <c r="K3700" i="6"/>
  <c r="N3700" i="6" s="1"/>
  <c r="K3701" i="6"/>
  <c r="N3701" i="6" s="1"/>
  <c r="K3702" i="6"/>
  <c r="N3702" i="6" s="1"/>
  <c r="K3703" i="6"/>
  <c r="N3703" i="6" s="1"/>
  <c r="K3704" i="6"/>
  <c r="N3704" i="6" s="1"/>
  <c r="K3705" i="6"/>
  <c r="N3705" i="6" s="1"/>
  <c r="K3706" i="6"/>
  <c r="N3706" i="6" s="1"/>
  <c r="K3707" i="6"/>
  <c r="N3707" i="6" s="1"/>
  <c r="K3708" i="6"/>
  <c r="N3708" i="6" s="1"/>
  <c r="K3709" i="6"/>
  <c r="N3709" i="6" s="1"/>
  <c r="K3710" i="6"/>
  <c r="N3710" i="6" s="1"/>
  <c r="K3711" i="6"/>
  <c r="N3711" i="6" s="1"/>
  <c r="K3712" i="6"/>
  <c r="N3712" i="6" s="1"/>
  <c r="K3713" i="6"/>
  <c r="N3713" i="6" s="1"/>
  <c r="K3714" i="6"/>
  <c r="N3714" i="6" s="1"/>
  <c r="K3715" i="6"/>
  <c r="N3715" i="6" s="1"/>
  <c r="K3716" i="6"/>
  <c r="N3716" i="6" s="1"/>
  <c r="K3717" i="6"/>
  <c r="N3717" i="6" s="1"/>
  <c r="K3718" i="6"/>
  <c r="N3718" i="6" s="1"/>
  <c r="K3719" i="6"/>
  <c r="N3719" i="6" s="1"/>
  <c r="K3720" i="6"/>
  <c r="N3720" i="6" s="1"/>
  <c r="K3721" i="6"/>
  <c r="N3721" i="6" s="1"/>
  <c r="K3722" i="6"/>
  <c r="N3722" i="6" s="1"/>
  <c r="K3723" i="6"/>
  <c r="N3723" i="6" s="1"/>
  <c r="K3724" i="6"/>
  <c r="N3724" i="6" s="1"/>
  <c r="K3725" i="6"/>
  <c r="N3725" i="6" s="1"/>
  <c r="K3726" i="6"/>
  <c r="N3726" i="6" s="1"/>
  <c r="K3727" i="6"/>
  <c r="N3727" i="6" s="1"/>
  <c r="K3728" i="6"/>
  <c r="N3728" i="6" s="1"/>
  <c r="K3729" i="6"/>
  <c r="N3729" i="6" s="1"/>
  <c r="K3730" i="6"/>
  <c r="N3730" i="6" s="1"/>
  <c r="K3731" i="6"/>
  <c r="N3731" i="6" s="1"/>
  <c r="K3732" i="6"/>
  <c r="N3732" i="6" s="1"/>
  <c r="K3733" i="6"/>
  <c r="N3733" i="6" s="1"/>
  <c r="K3734" i="6"/>
  <c r="N3734" i="6" s="1"/>
  <c r="K3735" i="6"/>
  <c r="N3735" i="6" s="1"/>
  <c r="K3736" i="6"/>
  <c r="N3736" i="6" s="1"/>
  <c r="K3737" i="6"/>
  <c r="N3737" i="6" s="1"/>
  <c r="K3738" i="6"/>
  <c r="N3738" i="6" s="1"/>
  <c r="K3739" i="6"/>
  <c r="N3739" i="6" s="1"/>
  <c r="K3740" i="6"/>
  <c r="N3740" i="6" s="1"/>
  <c r="K3741" i="6"/>
  <c r="N3741" i="6" s="1"/>
  <c r="K3742" i="6"/>
  <c r="N3742" i="6" s="1"/>
  <c r="K3743" i="6"/>
  <c r="N3743" i="6" s="1"/>
  <c r="K3744" i="6"/>
  <c r="N3744" i="6" s="1"/>
  <c r="K3745" i="6"/>
  <c r="N3745" i="6" s="1"/>
  <c r="K3746" i="6"/>
  <c r="N3746" i="6" s="1"/>
  <c r="K3747" i="6"/>
  <c r="N3747" i="6" s="1"/>
  <c r="K3748" i="6"/>
  <c r="N3748" i="6" s="1"/>
  <c r="K3749" i="6"/>
  <c r="N3749" i="6" s="1"/>
  <c r="K3750" i="6"/>
  <c r="N3750" i="6" s="1"/>
  <c r="K3751" i="6"/>
  <c r="N3751" i="6" s="1"/>
  <c r="K3752" i="6"/>
  <c r="N3752" i="6" s="1"/>
  <c r="K3753" i="6"/>
  <c r="N3753" i="6" s="1"/>
  <c r="K3754" i="6"/>
  <c r="N3754" i="6" s="1"/>
  <c r="K3755" i="6"/>
  <c r="N3755" i="6" s="1"/>
  <c r="K3756" i="6"/>
  <c r="N3756" i="6" s="1"/>
  <c r="K3757" i="6"/>
  <c r="N3757" i="6" s="1"/>
  <c r="K3758" i="6"/>
  <c r="N3758" i="6" s="1"/>
  <c r="K3759" i="6"/>
  <c r="N3759" i="6" s="1"/>
  <c r="K3760" i="6"/>
  <c r="N3760" i="6" s="1"/>
  <c r="K3761" i="6"/>
  <c r="N3761" i="6" s="1"/>
  <c r="K3762" i="6"/>
  <c r="N3762" i="6" s="1"/>
  <c r="K3763" i="6"/>
  <c r="N3763" i="6" s="1"/>
  <c r="K3764" i="6"/>
  <c r="N3764" i="6" s="1"/>
  <c r="K3765" i="6"/>
  <c r="N3765" i="6" s="1"/>
  <c r="K3766" i="6"/>
  <c r="N3766" i="6" s="1"/>
  <c r="K3767" i="6"/>
  <c r="N3767" i="6" s="1"/>
  <c r="K3768" i="6"/>
  <c r="N3768" i="6" s="1"/>
  <c r="K3769" i="6"/>
  <c r="N3769" i="6" s="1"/>
  <c r="K3770" i="6"/>
  <c r="N3770" i="6" s="1"/>
  <c r="K3771" i="6"/>
  <c r="N3771" i="6" s="1"/>
  <c r="K3772" i="6"/>
  <c r="N3772" i="6" s="1"/>
  <c r="K3773" i="6"/>
  <c r="N3773" i="6" s="1"/>
  <c r="K3774" i="6"/>
  <c r="N3774" i="6" s="1"/>
  <c r="K3775" i="6"/>
  <c r="N3775" i="6" s="1"/>
  <c r="K3776" i="6"/>
  <c r="N3776" i="6" s="1"/>
  <c r="K3777" i="6"/>
  <c r="N3777" i="6" s="1"/>
  <c r="K3778" i="6"/>
  <c r="N3778" i="6" s="1"/>
  <c r="K3779" i="6"/>
  <c r="N3779" i="6" s="1"/>
  <c r="K3780" i="6"/>
  <c r="N3780" i="6" s="1"/>
  <c r="K3781" i="6"/>
  <c r="N3781" i="6" s="1"/>
  <c r="K3782" i="6"/>
  <c r="N3782" i="6" s="1"/>
  <c r="K3783" i="6"/>
  <c r="N3783" i="6" s="1"/>
  <c r="K3784" i="6"/>
  <c r="N3784" i="6" s="1"/>
  <c r="K3785" i="6"/>
  <c r="N3785" i="6" s="1"/>
  <c r="K3786" i="6"/>
  <c r="N3786" i="6" s="1"/>
  <c r="K3787" i="6"/>
  <c r="N3787" i="6" s="1"/>
  <c r="K3788" i="6"/>
  <c r="N3788" i="6" s="1"/>
  <c r="K3789" i="6"/>
  <c r="N3789" i="6" s="1"/>
  <c r="K3790" i="6"/>
  <c r="N3790" i="6" s="1"/>
  <c r="K3791" i="6"/>
  <c r="N3791" i="6" s="1"/>
  <c r="K3792" i="6"/>
  <c r="N3792" i="6" s="1"/>
  <c r="K3793" i="6"/>
  <c r="N3793" i="6" s="1"/>
  <c r="K3794" i="6"/>
  <c r="N3794" i="6" s="1"/>
  <c r="K3795" i="6"/>
  <c r="N3795" i="6" s="1"/>
  <c r="K3796" i="6"/>
  <c r="N3796" i="6" s="1"/>
  <c r="K3797" i="6"/>
  <c r="N3797" i="6" s="1"/>
  <c r="K3798" i="6"/>
  <c r="N3798" i="6" s="1"/>
  <c r="K3799" i="6"/>
  <c r="N3799" i="6" s="1"/>
  <c r="K3800" i="6"/>
  <c r="N3800" i="6" s="1"/>
  <c r="K3801" i="6"/>
  <c r="N3801" i="6" s="1"/>
  <c r="K3802" i="6"/>
  <c r="N3802" i="6" s="1"/>
  <c r="K3803" i="6"/>
  <c r="N3803" i="6" s="1"/>
  <c r="K3804" i="6"/>
  <c r="N3804" i="6" s="1"/>
  <c r="K3805" i="6"/>
  <c r="N3805" i="6" s="1"/>
  <c r="K3806" i="6"/>
  <c r="N3806" i="6" s="1"/>
  <c r="K3807" i="6"/>
  <c r="N3807" i="6" s="1"/>
  <c r="K3808" i="6"/>
  <c r="N3808" i="6" s="1"/>
  <c r="K3809" i="6"/>
  <c r="N3809" i="6" s="1"/>
  <c r="K3810" i="6"/>
  <c r="N3810" i="6" s="1"/>
  <c r="K3811" i="6"/>
  <c r="N3811" i="6" s="1"/>
  <c r="K3812" i="6"/>
  <c r="N3812" i="6" s="1"/>
  <c r="K3813" i="6"/>
  <c r="N3813" i="6" s="1"/>
  <c r="K3814" i="6"/>
  <c r="N3814" i="6" s="1"/>
  <c r="K3815" i="6"/>
  <c r="N3815" i="6" s="1"/>
  <c r="K3816" i="6"/>
  <c r="N3816" i="6" s="1"/>
  <c r="K3817" i="6"/>
  <c r="N3817" i="6" s="1"/>
  <c r="K3818" i="6"/>
  <c r="N3818" i="6" s="1"/>
  <c r="K3819" i="6"/>
  <c r="N3819" i="6" s="1"/>
  <c r="K3820" i="6"/>
  <c r="N3820" i="6" s="1"/>
  <c r="K3821" i="6"/>
  <c r="N3821" i="6" s="1"/>
  <c r="K3822" i="6"/>
  <c r="N3822" i="6" s="1"/>
  <c r="K3823" i="6"/>
  <c r="N3823" i="6" s="1"/>
  <c r="K3824" i="6"/>
  <c r="N3824" i="6" s="1"/>
  <c r="K3825" i="6"/>
  <c r="N3825" i="6" s="1"/>
  <c r="K3826" i="6"/>
  <c r="N3826" i="6" s="1"/>
  <c r="K3827" i="6"/>
  <c r="N3827" i="6" s="1"/>
  <c r="K3828" i="6"/>
  <c r="N3828" i="6" s="1"/>
  <c r="K3829" i="6"/>
  <c r="N3829" i="6" s="1"/>
  <c r="K3830" i="6"/>
  <c r="N3830" i="6" s="1"/>
  <c r="K3831" i="6"/>
  <c r="N3831" i="6" s="1"/>
  <c r="K3832" i="6"/>
  <c r="N3832" i="6" s="1"/>
  <c r="K3833" i="6"/>
  <c r="N3833" i="6" s="1"/>
  <c r="K3834" i="6"/>
  <c r="N3834" i="6" s="1"/>
  <c r="K3835" i="6"/>
  <c r="N3835" i="6" s="1"/>
  <c r="K3836" i="6"/>
  <c r="N3836" i="6" s="1"/>
  <c r="K3837" i="6"/>
  <c r="N3837" i="6" s="1"/>
  <c r="K3838" i="6"/>
  <c r="N3838" i="6" s="1"/>
  <c r="K3839" i="6"/>
  <c r="N3839" i="6" s="1"/>
  <c r="K3840" i="6"/>
  <c r="N3840" i="6" s="1"/>
  <c r="K3841" i="6"/>
  <c r="N3841" i="6" s="1"/>
  <c r="K3842" i="6"/>
  <c r="N3842" i="6" s="1"/>
  <c r="K3843" i="6"/>
  <c r="N3843" i="6" s="1"/>
  <c r="K3844" i="6"/>
  <c r="N3844" i="6" s="1"/>
  <c r="K3845" i="6"/>
  <c r="N3845" i="6" s="1"/>
  <c r="K3846" i="6"/>
  <c r="N3846" i="6" s="1"/>
  <c r="K3847" i="6"/>
  <c r="N3847" i="6" s="1"/>
  <c r="K3848" i="6"/>
  <c r="N3848" i="6" s="1"/>
  <c r="K3849" i="6"/>
  <c r="N3849" i="6" s="1"/>
  <c r="K3850" i="6"/>
  <c r="N3850" i="6" s="1"/>
  <c r="K3851" i="6"/>
  <c r="N3851" i="6" s="1"/>
  <c r="K3852" i="6"/>
  <c r="N3852" i="6" s="1"/>
  <c r="K3853" i="6"/>
  <c r="N3853" i="6" s="1"/>
  <c r="K3854" i="6"/>
  <c r="N3854" i="6" s="1"/>
  <c r="K3855" i="6"/>
  <c r="N3855" i="6" s="1"/>
  <c r="K3856" i="6"/>
  <c r="N3856" i="6" s="1"/>
  <c r="K3857" i="6"/>
  <c r="N3857" i="6" s="1"/>
  <c r="K3858" i="6"/>
  <c r="N3858" i="6" s="1"/>
  <c r="K3859" i="6"/>
  <c r="N3859" i="6" s="1"/>
  <c r="K3860" i="6"/>
  <c r="N3860" i="6" s="1"/>
  <c r="K3861" i="6"/>
  <c r="N3861" i="6" s="1"/>
  <c r="K3862" i="6"/>
  <c r="N3862" i="6" s="1"/>
  <c r="K3863" i="6"/>
  <c r="N3863" i="6" s="1"/>
  <c r="K3864" i="6"/>
  <c r="N3864" i="6" s="1"/>
  <c r="K3865" i="6"/>
  <c r="N3865" i="6" s="1"/>
  <c r="K3866" i="6"/>
  <c r="N3866" i="6" s="1"/>
  <c r="K3867" i="6"/>
  <c r="N3867" i="6" s="1"/>
  <c r="K3868" i="6"/>
  <c r="N3868" i="6" s="1"/>
  <c r="K3869" i="6"/>
  <c r="N3869" i="6" s="1"/>
  <c r="K3870" i="6"/>
  <c r="N3870" i="6" s="1"/>
  <c r="K3871" i="6"/>
  <c r="N3871" i="6" s="1"/>
  <c r="K3872" i="6"/>
  <c r="N3872" i="6" s="1"/>
  <c r="K3873" i="6"/>
  <c r="N3873" i="6" s="1"/>
  <c r="K3874" i="6"/>
  <c r="N3874" i="6" s="1"/>
  <c r="K3875" i="6"/>
  <c r="N3875" i="6" s="1"/>
  <c r="K3876" i="6"/>
  <c r="N3876" i="6" s="1"/>
  <c r="K3877" i="6"/>
  <c r="N3877" i="6" s="1"/>
  <c r="K3878" i="6"/>
  <c r="N3878" i="6" s="1"/>
  <c r="K3879" i="6"/>
  <c r="N3879" i="6" s="1"/>
  <c r="K3880" i="6"/>
  <c r="N3880" i="6" s="1"/>
  <c r="K3881" i="6"/>
  <c r="N3881" i="6" s="1"/>
  <c r="K3882" i="6"/>
  <c r="N3882" i="6" s="1"/>
  <c r="K3883" i="6"/>
  <c r="N3883" i="6" s="1"/>
  <c r="K3884" i="6"/>
  <c r="N3884" i="6" s="1"/>
  <c r="K3885" i="6"/>
  <c r="N3885" i="6" s="1"/>
  <c r="K3886" i="6"/>
  <c r="N3886" i="6" s="1"/>
  <c r="K3887" i="6"/>
  <c r="N3887" i="6" s="1"/>
  <c r="K3888" i="6"/>
  <c r="N3888" i="6" s="1"/>
  <c r="K3889" i="6"/>
  <c r="N3889" i="6" s="1"/>
  <c r="K3890" i="6"/>
  <c r="N3890" i="6" s="1"/>
  <c r="K3891" i="6"/>
  <c r="N3891" i="6" s="1"/>
  <c r="K3892" i="6"/>
  <c r="N3892" i="6" s="1"/>
  <c r="K3893" i="6"/>
  <c r="N3893" i="6" s="1"/>
  <c r="K3894" i="6"/>
  <c r="N3894" i="6" s="1"/>
  <c r="K3895" i="6"/>
  <c r="N3895" i="6" s="1"/>
  <c r="K3896" i="6"/>
  <c r="N3896" i="6" s="1"/>
  <c r="K3897" i="6"/>
  <c r="N3897" i="6" s="1"/>
  <c r="K3898" i="6"/>
  <c r="N3898" i="6" s="1"/>
  <c r="K3899" i="6"/>
  <c r="N3899" i="6" s="1"/>
  <c r="K3900" i="6"/>
  <c r="N3900" i="6" s="1"/>
  <c r="K3901" i="6"/>
  <c r="N3901" i="6" s="1"/>
  <c r="K3902" i="6"/>
  <c r="N3902" i="6" s="1"/>
  <c r="K3903" i="6"/>
  <c r="N3903" i="6" s="1"/>
  <c r="K3904" i="6"/>
  <c r="N3904" i="6" s="1"/>
  <c r="K3905" i="6"/>
  <c r="N3905" i="6" s="1"/>
  <c r="K3906" i="6"/>
  <c r="N3906" i="6" s="1"/>
  <c r="K3907" i="6"/>
  <c r="N3907" i="6" s="1"/>
  <c r="K3908" i="6"/>
  <c r="N3908" i="6" s="1"/>
  <c r="K3909" i="6"/>
  <c r="N3909" i="6" s="1"/>
  <c r="K3910" i="6"/>
  <c r="N3910" i="6" s="1"/>
  <c r="K3911" i="6"/>
  <c r="N3911" i="6" s="1"/>
  <c r="K3912" i="6"/>
  <c r="N3912" i="6" s="1"/>
  <c r="K3913" i="6"/>
  <c r="N3913" i="6" s="1"/>
  <c r="K3914" i="6"/>
  <c r="N3914" i="6" s="1"/>
  <c r="K3915" i="6"/>
  <c r="N3915" i="6" s="1"/>
  <c r="K3916" i="6"/>
  <c r="N3916" i="6" s="1"/>
  <c r="K3917" i="6"/>
  <c r="N3917" i="6" s="1"/>
  <c r="K3918" i="6"/>
  <c r="N3918" i="6" s="1"/>
  <c r="K3919" i="6"/>
  <c r="N3919" i="6" s="1"/>
  <c r="K3920" i="6"/>
  <c r="N3920" i="6" s="1"/>
  <c r="K3921" i="6"/>
  <c r="N3921" i="6" s="1"/>
  <c r="K3922" i="6"/>
  <c r="N3922" i="6" s="1"/>
  <c r="K3923" i="6"/>
  <c r="N3923" i="6" s="1"/>
  <c r="K3924" i="6"/>
  <c r="N3924" i="6" s="1"/>
  <c r="K3925" i="6"/>
  <c r="N3925" i="6" s="1"/>
  <c r="K3926" i="6"/>
  <c r="N3926" i="6" s="1"/>
  <c r="K3927" i="6"/>
  <c r="N3927" i="6" s="1"/>
  <c r="K3928" i="6"/>
  <c r="N3928" i="6" s="1"/>
  <c r="K3929" i="6"/>
  <c r="N3929" i="6" s="1"/>
  <c r="K3930" i="6"/>
  <c r="N3930" i="6" s="1"/>
  <c r="K3931" i="6"/>
  <c r="N3931" i="6" s="1"/>
  <c r="K3932" i="6"/>
  <c r="N3932" i="6" s="1"/>
  <c r="K3933" i="6"/>
  <c r="N3933" i="6" s="1"/>
  <c r="K3934" i="6"/>
  <c r="N3934" i="6" s="1"/>
  <c r="K3935" i="6"/>
  <c r="N3935" i="6" s="1"/>
  <c r="K3936" i="6"/>
  <c r="N3936" i="6" s="1"/>
  <c r="K3937" i="6"/>
  <c r="N3937" i="6" s="1"/>
  <c r="K3938" i="6"/>
  <c r="N3938" i="6" s="1"/>
  <c r="K3939" i="6"/>
  <c r="N3939" i="6" s="1"/>
  <c r="K3940" i="6"/>
  <c r="N3940" i="6" s="1"/>
  <c r="K3941" i="6"/>
  <c r="N3941" i="6" s="1"/>
  <c r="K3942" i="6"/>
  <c r="N3942" i="6" s="1"/>
  <c r="K3943" i="6"/>
  <c r="N3943" i="6" s="1"/>
  <c r="K3944" i="6"/>
  <c r="N3944" i="6" s="1"/>
  <c r="K3945" i="6"/>
  <c r="N3945" i="6" s="1"/>
  <c r="K3946" i="6"/>
  <c r="N3946" i="6" s="1"/>
  <c r="K3947" i="6"/>
  <c r="N3947" i="6" s="1"/>
  <c r="K3948" i="6"/>
  <c r="N3948" i="6" s="1"/>
  <c r="K3949" i="6"/>
  <c r="N3949" i="6" s="1"/>
  <c r="K3950" i="6"/>
  <c r="N3950" i="6" s="1"/>
  <c r="K3951" i="6"/>
  <c r="N3951" i="6" s="1"/>
  <c r="K3952" i="6"/>
  <c r="N3952" i="6" s="1"/>
  <c r="K3953" i="6"/>
  <c r="N3953" i="6" s="1"/>
  <c r="K3954" i="6"/>
  <c r="N3954" i="6" s="1"/>
  <c r="K3955" i="6"/>
  <c r="N3955" i="6" s="1"/>
  <c r="K3956" i="6"/>
  <c r="N3956" i="6" s="1"/>
  <c r="K3957" i="6"/>
  <c r="N3957" i="6" s="1"/>
  <c r="K3958" i="6"/>
  <c r="N3958" i="6" s="1"/>
  <c r="K3959" i="6"/>
  <c r="N3959" i="6" s="1"/>
  <c r="K3960" i="6"/>
  <c r="N3960" i="6" s="1"/>
  <c r="K3961" i="6"/>
  <c r="N3961" i="6" s="1"/>
  <c r="K3962" i="6"/>
  <c r="N3962" i="6" s="1"/>
  <c r="K3963" i="6"/>
  <c r="N3963" i="6" s="1"/>
  <c r="K3964" i="6"/>
  <c r="N3964" i="6" s="1"/>
  <c r="K3965" i="6"/>
  <c r="N3965" i="6" s="1"/>
  <c r="K3966" i="6"/>
  <c r="N3966" i="6" s="1"/>
  <c r="K3967" i="6"/>
  <c r="N3967" i="6" s="1"/>
  <c r="K3968" i="6"/>
  <c r="N3968" i="6" s="1"/>
  <c r="K3969" i="6"/>
  <c r="N3969" i="6" s="1"/>
  <c r="K3970" i="6"/>
  <c r="N3970" i="6" s="1"/>
  <c r="K3971" i="6"/>
  <c r="N3971" i="6" s="1"/>
  <c r="K3972" i="6"/>
  <c r="N3972" i="6" s="1"/>
  <c r="K3973" i="6"/>
  <c r="N3973" i="6" s="1"/>
  <c r="K3974" i="6"/>
  <c r="N3974" i="6" s="1"/>
  <c r="K3975" i="6"/>
  <c r="N3975" i="6" s="1"/>
  <c r="K3976" i="6"/>
  <c r="N3976" i="6" s="1"/>
  <c r="K3977" i="6"/>
  <c r="N3977" i="6" s="1"/>
  <c r="K3978" i="6"/>
  <c r="N3978" i="6" s="1"/>
  <c r="K3979" i="6"/>
  <c r="N3979" i="6" s="1"/>
  <c r="K3980" i="6"/>
  <c r="N3980" i="6" s="1"/>
  <c r="K3981" i="6"/>
  <c r="N3981" i="6" s="1"/>
  <c r="K3982" i="6"/>
  <c r="N3982" i="6" s="1"/>
  <c r="K3983" i="6"/>
  <c r="N3983" i="6" s="1"/>
  <c r="K3984" i="6"/>
  <c r="N3984" i="6" s="1"/>
  <c r="K3985" i="6"/>
  <c r="N3985" i="6" s="1"/>
  <c r="K3986" i="6"/>
  <c r="N3986" i="6" s="1"/>
  <c r="K3987" i="6"/>
  <c r="N3987" i="6" s="1"/>
  <c r="K3988" i="6"/>
  <c r="N3988" i="6" s="1"/>
  <c r="K3989" i="6"/>
  <c r="N3989" i="6" s="1"/>
  <c r="K3990" i="6"/>
  <c r="N3990" i="6" s="1"/>
  <c r="K3991" i="6"/>
  <c r="N3991" i="6" s="1"/>
  <c r="K3992" i="6"/>
  <c r="N3992" i="6" s="1"/>
  <c r="K3993" i="6"/>
  <c r="N3993" i="6" s="1"/>
  <c r="K3994" i="6"/>
  <c r="N3994" i="6" s="1"/>
  <c r="K3995" i="6"/>
  <c r="N3995" i="6" s="1"/>
  <c r="K3996" i="6"/>
  <c r="N3996" i="6" s="1"/>
  <c r="K3997" i="6"/>
  <c r="N3997" i="6" s="1"/>
  <c r="K3998" i="6"/>
  <c r="N3998" i="6" s="1"/>
  <c r="K3999" i="6"/>
  <c r="N3999" i="6" s="1"/>
  <c r="K4000" i="6"/>
  <c r="N4000" i="6" s="1"/>
  <c r="K4001" i="6"/>
  <c r="N4001" i="6" s="1"/>
  <c r="K4002" i="6"/>
  <c r="N4002" i="6" s="1"/>
  <c r="K4003" i="6"/>
  <c r="N4003" i="6" s="1"/>
  <c r="K4004" i="6"/>
  <c r="N4004" i="6" s="1"/>
  <c r="K4005" i="6"/>
  <c r="N4005" i="6" s="1"/>
  <c r="K4006" i="6"/>
  <c r="N4006" i="6" s="1"/>
  <c r="K4007" i="6"/>
  <c r="N4007" i="6" s="1"/>
  <c r="K4008" i="6"/>
  <c r="N4008" i="6" s="1"/>
  <c r="K4009" i="6"/>
  <c r="N4009" i="6" s="1"/>
  <c r="K4010" i="6"/>
  <c r="N4010" i="6" s="1"/>
  <c r="K4011" i="6"/>
  <c r="N4011" i="6" s="1"/>
  <c r="K4012" i="6"/>
  <c r="N4012" i="6" s="1"/>
  <c r="K4013" i="6"/>
  <c r="N4013" i="6" s="1"/>
  <c r="K4014" i="6"/>
  <c r="N4014" i="6" s="1"/>
  <c r="K4015" i="6"/>
  <c r="N4015" i="6" s="1"/>
  <c r="K4016" i="6"/>
  <c r="N4016" i="6" s="1"/>
  <c r="K4017" i="6"/>
  <c r="N4017" i="6" s="1"/>
  <c r="K4018" i="6"/>
  <c r="N4018" i="6" s="1"/>
  <c r="K4019" i="6"/>
  <c r="N4019" i="6" s="1"/>
  <c r="K4020" i="6"/>
  <c r="N4020" i="6" s="1"/>
  <c r="K4021" i="6"/>
  <c r="N4021" i="6" s="1"/>
  <c r="K4022" i="6"/>
  <c r="N4022" i="6" s="1"/>
  <c r="K4023" i="6"/>
  <c r="N4023" i="6" s="1"/>
  <c r="K4024" i="6"/>
  <c r="N4024" i="6" s="1"/>
  <c r="K4025" i="6"/>
  <c r="N4025" i="6" s="1"/>
  <c r="K4026" i="6"/>
  <c r="N4026" i="6" s="1"/>
  <c r="K4027" i="6"/>
  <c r="N4027" i="6" s="1"/>
  <c r="K4028" i="6"/>
  <c r="N4028" i="6" s="1"/>
  <c r="K4029" i="6"/>
  <c r="N4029" i="6" s="1"/>
  <c r="K4030" i="6"/>
  <c r="N4030" i="6" s="1"/>
  <c r="K4031" i="6"/>
  <c r="N4031" i="6" s="1"/>
  <c r="K4032" i="6"/>
  <c r="N4032" i="6" s="1"/>
  <c r="K4033" i="6"/>
  <c r="N4033" i="6" s="1"/>
  <c r="K4034" i="6"/>
  <c r="N4034" i="6" s="1"/>
  <c r="K4035" i="6"/>
  <c r="N4035" i="6" s="1"/>
  <c r="K4036" i="6"/>
  <c r="N4036" i="6" s="1"/>
  <c r="K4037" i="6"/>
  <c r="N4037" i="6" s="1"/>
  <c r="K4038" i="6"/>
  <c r="N4038" i="6" s="1"/>
  <c r="K4039" i="6"/>
  <c r="N4039" i="6" s="1"/>
  <c r="K4040" i="6"/>
  <c r="N4040" i="6" s="1"/>
  <c r="K4041" i="6"/>
  <c r="N4041" i="6" s="1"/>
  <c r="K4042" i="6"/>
  <c r="N4042" i="6" s="1"/>
  <c r="K4043" i="6"/>
  <c r="N4043" i="6" s="1"/>
  <c r="K4044" i="6"/>
  <c r="N4044" i="6" s="1"/>
  <c r="K4045" i="6"/>
  <c r="N4045" i="6" s="1"/>
  <c r="K4046" i="6"/>
  <c r="N4046" i="6" s="1"/>
  <c r="K4047" i="6"/>
  <c r="N4047" i="6" s="1"/>
  <c r="K4048" i="6"/>
  <c r="N4048" i="6" s="1"/>
  <c r="K4049" i="6"/>
  <c r="N4049" i="6" s="1"/>
  <c r="K4050" i="6"/>
  <c r="N4050" i="6" s="1"/>
  <c r="K4051" i="6"/>
  <c r="N4051" i="6" s="1"/>
  <c r="K4052" i="6"/>
  <c r="N4052" i="6" s="1"/>
  <c r="K4053" i="6"/>
  <c r="N4053" i="6" s="1"/>
  <c r="K4054" i="6"/>
  <c r="N4054" i="6" s="1"/>
  <c r="K4055" i="6"/>
  <c r="N4055" i="6" s="1"/>
  <c r="K4056" i="6"/>
  <c r="N4056" i="6" s="1"/>
  <c r="K4057" i="6"/>
  <c r="N4057" i="6" s="1"/>
  <c r="K4058" i="6"/>
  <c r="N4058" i="6" s="1"/>
  <c r="K4059" i="6"/>
  <c r="N4059" i="6" s="1"/>
  <c r="K4060" i="6"/>
  <c r="N4060" i="6" s="1"/>
  <c r="K4061" i="6"/>
  <c r="N4061" i="6" s="1"/>
  <c r="K4062" i="6"/>
  <c r="N4062" i="6" s="1"/>
  <c r="K4063" i="6"/>
  <c r="N4063" i="6" s="1"/>
  <c r="K4064" i="6"/>
  <c r="N4064" i="6" s="1"/>
  <c r="K4065" i="6"/>
  <c r="N4065" i="6" s="1"/>
  <c r="K4066" i="6"/>
  <c r="N4066" i="6" s="1"/>
  <c r="K4067" i="6"/>
  <c r="N4067" i="6" s="1"/>
  <c r="K4068" i="6"/>
  <c r="N4068" i="6" s="1"/>
  <c r="K4069" i="6"/>
  <c r="N4069" i="6" s="1"/>
  <c r="K4070" i="6"/>
  <c r="N4070" i="6" s="1"/>
  <c r="K4071" i="6"/>
  <c r="N4071" i="6" s="1"/>
  <c r="K4072" i="6"/>
  <c r="N4072" i="6" s="1"/>
  <c r="K4073" i="6"/>
  <c r="N4073" i="6" s="1"/>
  <c r="K4074" i="6"/>
  <c r="N4074" i="6" s="1"/>
  <c r="K4075" i="6"/>
  <c r="N4075" i="6" s="1"/>
  <c r="K4076" i="6"/>
  <c r="N4076" i="6" s="1"/>
  <c r="K4077" i="6"/>
  <c r="N4077" i="6" s="1"/>
  <c r="K4078" i="6"/>
  <c r="N4078" i="6" s="1"/>
  <c r="K4079" i="6"/>
  <c r="N4079" i="6" s="1"/>
  <c r="K4080" i="6"/>
  <c r="N4080" i="6" s="1"/>
  <c r="K4081" i="6"/>
  <c r="N4081" i="6" s="1"/>
  <c r="K4082" i="6"/>
  <c r="N4082" i="6" s="1"/>
  <c r="K4083" i="6"/>
  <c r="N4083" i="6" s="1"/>
  <c r="K4084" i="6"/>
  <c r="N4084" i="6" s="1"/>
  <c r="K4085" i="6"/>
  <c r="N4085" i="6" s="1"/>
  <c r="K4086" i="6"/>
  <c r="N4086" i="6" s="1"/>
  <c r="K4087" i="6"/>
  <c r="N4087" i="6" s="1"/>
  <c r="K4088" i="6"/>
  <c r="N4088" i="6" s="1"/>
  <c r="K4089" i="6"/>
  <c r="N4089" i="6" s="1"/>
  <c r="K4090" i="6"/>
  <c r="N4090" i="6" s="1"/>
  <c r="K4091" i="6"/>
  <c r="N4091" i="6" s="1"/>
  <c r="K4092" i="6"/>
  <c r="N4092" i="6" s="1"/>
  <c r="K4093" i="6"/>
  <c r="N4093" i="6" s="1"/>
  <c r="K4094" i="6"/>
  <c r="N4094" i="6" s="1"/>
  <c r="K4095" i="6"/>
  <c r="N4095" i="6" s="1"/>
  <c r="K4096" i="6"/>
  <c r="N4096" i="6" s="1"/>
  <c r="K4097" i="6"/>
  <c r="N4097" i="6" s="1"/>
  <c r="K4098" i="6"/>
  <c r="N4098" i="6" s="1"/>
  <c r="K4099" i="6"/>
  <c r="N4099" i="6" s="1"/>
  <c r="K4100" i="6"/>
  <c r="N4100" i="6" s="1"/>
  <c r="K4101" i="6"/>
  <c r="N4101" i="6" s="1"/>
  <c r="K4102" i="6"/>
  <c r="N4102" i="6" s="1"/>
  <c r="K4103" i="6"/>
  <c r="N4103" i="6" s="1"/>
  <c r="K4104" i="6"/>
  <c r="N4104" i="6" s="1"/>
  <c r="K4105" i="6"/>
  <c r="N4105" i="6" s="1"/>
  <c r="K4106" i="6"/>
  <c r="N4106" i="6" s="1"/>
  <c r="K4107" i="6"/>
  <c r="N4107" i="6" s="1"/>
  <c r="K4108" i="6"/>
  <c r="N4108" i="6" s="1"/>
  <c r="K4109" i="6"/>
  <c r="N4109" i="6" s="1"/>
  <c r="K4110" i="6"/>
  <c r="N4110" i="6" s="1"/>
  <c r="K4111" i="6"/>
  <c r="N4111" i="6" s="1"/>
  <c r="K4112" i="6"/>
  <c r="N4112" i="6" s="1"/>
  <c r="K4113" i="6"/>
  <c r="N4113" i="6" s="1"/>
  <c r="K4114" i="6"/>
  <c r="N4114" i="6" s="1"/>
  <c r="K4115" i="6"/>
  <c r="N4115" i="6" s="1"/>
  <c r="K4116" i="6"/>
  <c r="N4116" i="6" s="1"/>
  <c r="K4117" i="6"/>
  <c r="N4117" i="6" s="1"/>
  <c r="K4118" i="6"/>
  <c r="N4118" i="6" s="1"/>
  <c r="K4119" i="6"/>
  <c r="N4119" i="6" s="1"/>
  <c r="K4120" i="6"/>
  <c r="N4120" i="6" s="1"/>
  <c r="K4121" i="6"/>
  <c r="N4121" i="6" s="1"/>
  <c r="K4122" i="6"/>
  <c r="N4122" i="6" s="1"/>
  <c r="K4123" i="6"/>
  <c r="N4123" i="6" s="1"/>
  <c r="K4124" i="6"/>
  <c r="N4124" i="6" s="1"/>
  <c r="K4125" i="6"/>
  <c r="N4125" i="6" s="1"/>
  <c r="K4126" i="6"/>
  <c r="N4126" i="6" s="1"/>
  <c r="K4127" i="6"/>
  <c r="N4127" i="6" s="1"/>
  <c r="K4128" i="6"/>
  <c r="N4128" i="6" s="1"/>
  <c r="K4129" i="6"/>
  <c r="N4129" i="6" s="1"/>
  <c r="K4130" i="6"/>
  <c r="N4130" i="6" s="1"/>
  <c r="K4131" i="6"/>
  <c r="N4131" i="6" s="1"/>
  <c r="K4132" i="6"/>
  <c r="N4132" i="6" s="1"/>
  <c r="K4133" i="6"/>
  <c r="N4133" i="6" s="1"/>
  <c r="K4134" i="6"/>
  <c r="N4134" i="6" s="1"/>
  <c r="K4135" i="6"/>
  <c r="N4135" i="6" s="1"/>
  <c r="K4136" i="6"/>
  <c r="N4136" i="6" s="1"/>
  <c r="K4137" i="6"/>
  <c r="N4137" i="6" s="1"/>
  <c r="K4138" i="6"/>
  <c r="N4138" i="6" s="1"/>
  <c r="K4139" i="6"/>
  <c r="N4139" i="6" s="1"/>
  <c r="K4140" i="6"/>
  <c r="N4140" i="6" s="1"/>
  <c r="K4141" i="6"/>
  <c r="N4141" i="6" s="1"/>
  <c r="K4142" i="6"/>
  <c r="N4142" i="6" s="1"/>
  <c r="K4143" i="6"/>
  <c r="N4143" i="6" s="1"/>
  <c r="K4144" i="6"/>
  <c r="N4144" i="6" s="1"/>
  <c r="K4145" i="6"/>
  <c r="N4145" i="6" s="1"/>
  <c r="K4146" i="6"/>
  <c r="N4146" i="6" s="1"/>
  <c r="K4147" i="6"/>
  <c r="N4147" i="6" s="1"/>
  <c r="K4148" i="6"/>
  <c r="N4148" i="6" s="1"/>
  <c r="K4149" i="6"/>
  <c r="N4149" i="6" s="1"/>
  <c r="K4150" i="6"/>
  <c r="N4150" i="6" s="1"/>
  <c r="K4151" i="6"/>
  <c r="N4151" i="6" s="1"/>
  <c r="K4152" i="6"/>
  <c r="N4152" i="6" s="1"/>
  <c r="K4153" i="6"/>
  <c r="N4153" i="6" s="1"/>
  <c r="K4154" i="6"/>
  <c r="N4154" i="6" s="1"/>
  <c r="K4155" i="6"/>
  <c r="N4155" i="6" s="1"/>
  <c r="K4156" i="6"/>
  <c r="N4156" i="6" s="1"/>
  <c r="K4157" i="6"/>
  <c r="N4157" i="6" s="1"/>
  <c r="K4158" i="6"/>
  <c r="N4158" i="6" s="1"/>
  <c r="K4159" i="6"/>
  <c r="N4159" i="6" s="1"/>
  <c r="K4160" i="6"/>
  <c r="N4160" i="6" s="1"/>
  <c r="K4161" i="6"/>
  <c r="N4161" i="6" s="1"/>
  <c r="K4162" i="6"/>
  <c r="N4162" i="6" s="1"/>
  <c r="K4163" i="6"/>
  <c r="N4163" i="6" s="1"/>
  <c r="K4164" i="6"/>
  <c r="N4164" i="6" s="1"/>
  <c r="K4165" i="6"/>
  <c r="N4165" i="6" s="1"/>
  <c r="K4166" i="6"/>
  <c r="N4166" i="6" s="1"/>
  <c r="K4167" i="6"/>
  <c r="N4167" i="6" s="1"/>
  <c r="K4168" i="6"/>
  <c r="N4168" i="6" s="1"/>
  <c r="K4169" i="6"/>
  <c r="N4169" i="6" s="1"/>
  <c r="K4170" i="6"/>
  <c r="N4170" i="6" s="1"/>
  <c r="K4171" i="6"/>
  <c r="N4171" i="6" s="1"/>
  <c r="K4172" i="6"/>
  <c r="N4172" i="6" s="1"/>
  <c r="K4173" i="6"/>
  <c r="N4173" i="6" s="1"/>
  <c r="K4174" i="6"/>
  <c r="N4174" i="6" s="1"/>
  <c r="K4175" i="6"/>
  <c r="N4175" i="6" s="1"/>
  <c r="K4176" i="6"/>
  <c r="N4176" i="6" s="1"/>
  <c r="K4177" i="6"/>
  <c r="N4177" i="6" s="1"/>
  <c r="K4178" i="6"/>
  <c r="N4178" i="6" s="1"/>
  <c r="K4179" i="6"/>
  <c r="N4179" i="6" s="1"/>
  <c r="K4180" i="6"/>
  <c r="N4180" i="6" s="1"/>
  <c r="K4181" i="6"/>
  <c r="N4181" i="6" s="1"/>
  <c r="K4182" i="6"/>
  <c r="N4182" i="6" s="1"/>
  <c r="K4183" i="6"/>
  <c r="N4183" i="6" s="1"/>
  <c r="K4184" i="6"/>
  <c r="N4184" i="6" s="1"/>
  <c r="K4185" i="6"/>
  <c r="N4185" i="6" s="1"/>
  <c r="K4186" i="6"/>
  <c r="N4186" i="6" s="1"/>
  <c r="K4187" i="6"/>
  <c r="N4187" i="6" s="1"/>
  <c r="K4188" i="6"/>
  <c r="N4188" i="6" s="1"/>
  <c r="K4189" i="6"/>
  <c r="N4189" i="6" s="1"/>
  <c r="K4190" i="6"/>
  <c r="N4190" i="6" s="1"/>
  <c r="K4191" i="6"/>
  <c r="N4191" i="6" s="1"/>
  <c r="K4192" i="6"/>
  <c r="N4192" i="6" s="1"/>
  <c r="K4193" i="6"/>
  <c r="N4193" i="6" s="1"/>
  <c r="K4194" i="6"/>
  <c r="N4194" i="6" s="1"/>
  <c r="K4195" i="6"/>
  <c r="N4195" i="6" s="1"/>
  <c r="K4196" i="6"/>
  <c r="N4196" i="6" s="1"/>
  <c r="K4197" i="6"/>
  <c r="N4197" i="6" s="1"/>
  <c r="K4198" i="6"/>
  <c r="N4198" i="6" s="1"/>
  <c r="K4199" i="6"/>
  <c r="N4199" i="6" s="1"/>
  <c r="K4200" i="6"/>
  <c r="N4200" i="6" s="1"/>
  <c r="K4201" i="6"/>
  <c r="N4201" i="6" s="1"/>
  <c r="K4202" i="6"/>
  <c r="N4202" i="6" s="1"/>
  <c r="K4203" i="6"/>
  <c r="N4203" i="6" s="1"/>
  <c r="K4204" i="6"/>
  <c r="N4204" i="6" s="1"/>
  <c r="K4205" i="6"/>
  <c r="N4205" i="6" s="1"/>
  <c r="K4206" i="6"/>
  <c r="N4206" i="6" s="1"/>
  <c r="K4207" i="6"/>
  <c r="N4207" i="6" s="1"/>
  <c r="K4208" i="6"/>
  <c r="N4208" i="6" s="1"/>
  <c r="K4209" i="6"/>
  <c r="N4209" i="6" s="1"/>
  <c r="K4210" i="6"/>
  <c r="N4210" i="6" s="1"/>
  <c r="K4211" i="6"/>
  <c r="N4211" i="6" s="1"/>
  <c r="K4212" i="6"/>
  <c r="N4212" i="6" s="1"/>
  <c r="K4213" i="6"/>
  <c r="N4213" i="6" s="1"/>
  <c r="K4214" i="6"/>
  <c r="N4214" i="6" s="1"/>
  <c r="K4215" i="6"/>
  <c r="N4215" i="6" s="1"/>
  <c r="K4216" i="6"/>
  <c r="N4216" i="6" s="1"/>
  <c r="K4217" i="6"/>
  <c r="N4217" i="6" s="1"/>
  <c r="K4218" i="6"/>
  <c r="N4218" i="6" s="1"/>
  <c r="K4219" i="6"/>
  <c r="N4219" i="6" s="1"/>
  <c r="K4220" i="6"/>
  <c r="N4220" i="6" s="1"/>
  <c r="K4221" i="6"/>
  <c r="N4221" i="6" s="1"/>
  <c r="K4222" i="6"/>
  <c r="N4222" i="6" s="1"/>
  <c r="K4223" i="6"/>
  <c r="N4223" i="6" s="1"/>
  <c r="K4224" i="6"/>
  <c r="N4224" i="6" s="1"/>
  <c r="K4225" i="6"/>
  <c r="N4225" i="6" s="1"/>
  <c r="K4226" i="6"/>
  <c r="N4226" i="6" s="1"/>
  <c r="K4227" i="6"/>
  <c r="N4227" i="6" s="1"/>
  <c r="K4228" i="6"/>
  <c r="N4228" i="6" s="1"/>
  <c r="K4229" i="6"/>
  <c r="N4229" i="6" s="1"/>
  <c r="K4230" i="6"/>
  <c r="N4230" i="6" s="1"/>
  <c r="K4231" i="6"/>
  <c r="N4231" i="6" s="1"/>
  <c r="K4232" i="6"/>
  <c r="N4232" i="6" s="1"/>
  <c r="K4233" i="6"/>
  <c r="N4233" i="6" s="1"/>
  <c r="K4234" i="6"/>
  <c r="N4234" i="6" s="1"/>
  <c r="K4235" i="6"/>
  <c r="N4235" i="6" s="1"/>
  <c r="K4236" i="6"/>
  <c r="N4236" i="6" s="1"/>
  <c r="K4237" i="6"/>
  <c r="N4237" i="6" s="1"/>
  <c r="K4238" i="6"/>
  <c r="N4238" i="6" s="1"/>
  <c r="K4239" i="6"/>
  <c r="N4239" i="6" s="1"/>
  <c r="K4240" i="6"/>
  <c r="N4240" i="6" s="1"/>
  <c r="K4241" i="6"/>
  <c r="N4241" i="6" s="1"/>
  <c r="K4242" i="6"/>
  <c r="N4242" i="6" s="1"/>
  <c r="K4243" i="6"/>
  <c r="N4243" i="6" s="1"/>
  <c r="K4244" i="6"/>
  <c r="N4244" i="6" s="1"/>
  <c r="K4245" i="6"/>
  <c r="N4245" i="6" s="1"/>
  <c r="K4246" i="6"/>
  <c r="N4246" i="6" s="1"/>
  <c r="K4247" i="6"/>
  <c r="N4247" i="6" s="1"/>
  <c r="K4248" i="6"/>
  <c r="N4248" i="6" s="1"/>
  <c r="K4249" i="6"/>
  <c r="N4249" i="6" s="1"/>
  <c r="K4250" i="6"/>
  <c r="N4250" i="6" s="1"/>
  <c r="K4251" i="6"/>
  <c r="N4251" i="6" s="1"/>
  <c r="K4252" i="6"/>
  <c r="N4252" i="6" s="1"/>
  <c r="K4253" i="6"/>
  <c r="N4253" i="6" s="1"/>
  <c r="K4254" i="6"/>
  <c r="N4254" i="6" s="1"/>
  <c r="K4255" i="6"/>
  <c r="N4255" i="6" s="1"/>
  <c r="K4256" i="6"/>
  <c r="N4256" i="6" s="1"/>
  <c r="K4257" i="6"/>
  <c r="N4257" i="6" s="1"/>
  <c r="K4258" i="6"/>
  <c r="N4258" i="6" s="1"/>
  <c r="K4259" i="6"/>
  <c r="N4259" i="6" s="1"/>
  <c r="K4260" i="6"/>
  <c r="N4260" i="6" s="1"/>
  <c r="K4261" i="6"/>
  <c r="N4261" i="6" s="1"/>
  <c r="K4262" i="6"/>
  <c r="N4262" i="6" s="1"/>
  <c r="K4263" i="6"/>
  <c r="N4263" i="6" s="1"/>
  <c r="K4264" i="6"/>
  <c r="N4264" i="6" s="1"/>
  <c r="K4265" i="6"/>
  <c r="N4265" i="6" s="1"/>
  <c r="K4266" i="6"/>
  <c r="N4266" i="6" s="1"/>
  <c r="K4267" i="6"/>
  <c r="N4267" i="6" s="1"/>
  <c r="K4268" i="6"/>
  <c r="N4268" i="6" s="1"/>
  <c r="K4269" i="6"/>
  <c r="N4269" i="6" s="1"/>
  <c r="K4270" i="6"/>
  <c r="N4270" i="6" s="1"/>
  <c r="K4271" i="6"/>
  <c r="N4271" i="6" s="1"/>
  <c r="K4272" i="6"/>
  <c r="N4272" i="6" s="1"/>
  <c r="K4273" i="6"/>
  <c r="N4273" i="6" s="1"/>
  <c r="K4274" i="6"/>
  <c r="N4274" i="6" s="1"/>
  <c r="K4275" i="6"/>
  <c r="N4275" i="6" s="1"/>
  <c r="K4276" i="6"/>
  <c r="N4276" i="6" s="1"/>
  <c r="K4277" i="6"/>
  <c r="N4277" i="6" s="1"/>
  <c r="K4278" i="6"/>
  <c r="N4278" i="6" s="1"/>
  <c r="K4279" i="6"/>
  <c r="N4279" i="6" s="1"/>
  <c r="K4280" i="6"/>
  <c r="N4280" i="6" s="1"/>
  <c r="K4281" i="6"/>
  <c r="N4281" i="6" s="1"/>
  <c r="K4282" i="6"/>
  <c r="N4282" i="6" s="1"/>
  <c r="K4283" i="6"/>
  <c r="N4283" i="6" s="1"/>
  <c r="K4284" i="6"/>
  <c r="N4284" i="6" s="1"/>
  <c r="K4285" i="6"/>
  <c r="N4285" i="6" s="1"/>
  <c r="K4286" i="6"/>
  <c r="N4286" i="6" s="1"/>
  <c r="K4287" i="6"/>
  <c r="N4287" i="6" s="1"/>
  <c r="K4288" i="6"/>
  <c r="N4288" i="6" s="1"/>
  <c r="K4289" i="6"/>
  <c r="N4289" i="6" s="1"/>
  <c r="K4290" i="6"/>
  <c r="N4290" i="6" s="1"/>
  <c r="K4291" i="6"/>
  <c r="N4291" i="6" s="1"/>
  <c r="K4292" i="6"/>
  <c r="N4292" i="6" s="1"/>
  <c r="K4293" i="6"/>
  <c r="N4293" i="6" s="1"/>
  <c r="K4294" i="6"/>
  <c r="N4294" i="6" s="1"/>
  <c r="K4295" i="6"/>
  <c r="N4295" i="6" s="1"/>
  <c r="K4296" i="6"/>
  <c r="N4296" i="6" s="1"/>
  <c r="K4297" i="6"/>
  <c r="N4297" i="6" s="1"/>
  <c r="K4298" i="6"/>
  <c r="N4298" i="6" s="1"/>
  <c r="K4299" i="6"/>
  <c r="N4299" i="6" s="1"/>
  <c r="K4300" i="6"/>
  <c r="N4300" i="6" s="1"/>
  <c r="K4301" i="6"/>
  <c r="N4301" i="6" s="1"/>
  <c r="K4302" i="6"/>
  <c r="N4302" i="6" s="1"/>
  <c r="K4303" i="6"/>
  <c r="N4303" i="6" s="1"/>
  <c r="K4304" i="6"/>
  <c r="N4304" i="6" s="1"/>
  <c r="K4305" i="6"/>
  <c r="N4305" i="6" s="1"/>
  <c r="K4306" i="6"/>
  <c r="N4306" i="6" s="1"/>
  <c r="K4307" i="6"/>
  <c r="N4307" i="6" s="1"/>
  <c r="K4308" i="6"/>
  <c r="N4308" i="6" s="1"/>
  <c r="K4309" i="6"/>
  <c r="N4309" i="6" s="1"/>
  <c r="K4310" i="6"/>
  <c r="N4310" i="6" s="1"/>
  <c r="K4311" i="6"/>
  <c r="N4311" i="6" s="1"/>
  <c r="K4312" i="6"/>
  <c r="N4312" i="6" s="1"/>
  <c r="K4313" i="6"/>
  <c r="N4313" i="6" s="1"/>
  <c r="K4314" i="6"/>
  <c r="N4314" i="6" s="1"/>
  <c r="K4315" i="6"/>
  <c r="N4315" i="6" s="1"/>
  <c r="K4316" i="6"/>
  <c r="N4316" i="6" s="1"/>
  <c r="K4317" i="6"/>
  <c r="N4317" i="6" s="1"/>
  <c r="K4318" i="6"/>
  <c r="N4318" i="6" s="1"/>
  <c r="K4319" i="6"/>
  <c r="N4319" i="6" s="1"/>
  <c r="K4320" i="6"/>
  <c r="N4320" i="6" s="1"/>
  <c r="K4321" i="6"/>
  <c r="N4321" i="6" s="1"/>
  <c r="K4322" i="6"/>
  <c r="N4322" i="6" s="1"/>
  <c r="K4323" i="6"/>
  <c r="N4323" i="6" s="1"/>
  <c r="K4324" i="6"/>
  <c r="N4324" i="6" s="1"/>
  <c r="K4325" i="6"/>
  <c r="N4325" i="6" s="1"/>
  <c r="K4326" i="6"/>
  <c r="N4326" i="6" s="1"/>
  <c r="K4327" i="6"/>
  <c r="N4327" i="6" s="1"/>
  <c r="K4328" i="6"/>
  <c r="N4328" i="6" s="1"/>
  <c r="K4329" i="6"/>
  <c r="N4329" i="6" s="1"/>
  <c r="K4330" i="6"/>
  <c r="N4330" i="6" s="1"/>
  <c r="K4331" i="6"/>
  <c r="N4331" i="6" s="1"/>
  <c r="K4332" i="6"/>
  <c r="N4332" i="6" s="1"/>
  <c r="K4333" i="6"/>
  <c r="N4333" i="6" s="1"/>
  <c r="K4334" i="6"/>
  <c r="N4334" i="6" s="1"/>
  <c r="K4335" i="6"/>
  <c r="N4335" i="6" s="1"/>
  <c r="K4336" i="6"/>
  <c r="N4336" i="6" s="1"/>
  <c r="K4337" i="6"/>
  <c r="N4337" i="6" s="1"/>
  <c r="K4338" i="6"/>
  <c r="N4338" i="6" s="1"/>
  <c r="K4339" i="6"/>
  <c r="N4339" i="6" s="1"/>
  <c r="K4340" i="6"/>
  <c r="N4340" i="6" s="1"/>
  <c r="K4341" i="6"/>
  <c r="N4341" i="6" s="1"/>
  <c r="K4342" i="6"/>
  <c r="N4342" i="6" s="1"/>
  <c r="K4343" i="6"/>
  <c r="N4343" i="6" s="1"/>
  <c r="K4344" i="6"/>
  <c r="N4344" i="6" s="1"/>
  <c r="K4345" i="6"/>
  <c r="N4345" i="6" s="1"/>
  <c r="K4346" i="6"/>
  <c r="N4346" i="6" s="1"/>
  <c r="K4347" i="6"/>
  <c r="N4347" i="6" s="1"/>
  <c r="K4348" i="6"/>
  <c r="N4348" i="6" s="1"/>
  <c r="K4349" i="6"/>
  <c r="N4349" i="6" s="1"/>
  <c r="K4350" i="6"/>
  <c r="N4350" i="6" s="1"/>
  <c r="K4351" i="6"/>
  <c r="N4351" i="6" s="1"/>
  <c r="K4352" i="6"/>
  <c r="N4352" i="6" s="1"/>
  <c r="K4353" i="6"/>
  <c r="N4353" i="6" s="1"/>
  <c r="K4354" i="6"/>
  <c r="N4354" i="6" s="1"/>
  <c r="K4355" i="6"/>
  <c r="N4355" i="6" s="1"/>
  <c r="K4356" i="6"/>
  <c r="N4356" i="6" s="1"/>
  <c r="K4357" i="6"/>
  <c r="N4357" i="6" s="1"/>
  <c r="K4358" i="6"/>
  <c r="N4358" i="6" s="1"/>
  <c r="K4359" i="6"/>
  <c r="N4359" i="6" s="1"/>
  <c r="K4360" i="6"/>
  <c r="N4360" i="6" s="1"/>
  <c r="K4361" i="6"/>
  <c r="N4361" i="6" s="1"/>
  <c r="K4362" i="6"/>
  <c r="N4362" i="6" s="1"/>
  <c r="K4363" i="6"/>
  <c r="N4363" i="6" s="1"/>
  <c r="K4364" i="6"/>
  <c r="N4364" i="6" s="1"/>
  <c r="K4365" i="6"/>
  <c r="N4365" i="6" s="1"/>
  <c r="K4366" i="6"/>
  <c r="N4366" i="6" s="1"/>
  <c r="K4367" i="6"/>
  <c r="N4367" i="6" s="1"/>
  <c r="K4368" i="6"/>
  <c r="N4368" i="6" s="1"/>
  <c r="K4369" i="6"/>
  <c r="N4369" i="6" s="1"/>
  <c r="K4370" i="6"/>
  <c r="N4370" i="6" s="1"/>
  <c r="K4371" i="6"/>
  <c r="N4371" i="6" s="1"/>
  <c r="K4372" i="6"/>
  <c r="N4372" i="6" s="1"/>
  <c r="K4373" i="6"/>
  <c r="N4373" i="6" s="1"/>
  <c r="K4374" i="6"/>
  <c r="N4374" i="6" s="1"/>
  <c r="K4375" i="6"/>
  <c r="N4375" i="6" s="1"/>
  <c r="K4376" i="6"/>
  <c r="N4376" i="6" s="1"/>
  <c r="K4377" i="6"/>
  <c r="N4377" i="6" s="1"/>
  <c r="K4378" i="6"/>
  <c r="N4378" i="6" s="1"/>
  <c r="K4379" i="6"/>
  <c r="N4379" i="6" s="1"/>
  <c r="K4380" i="6"/>
  <c r="N4380" i="6" s="1"/>
  <c r="K4381" i="6"/>
  <c r="N4381" i="6" s="1"/>
  <c r="K4382" i="6"/>
  <c r="N4382" i="6" s="1"/>
  <c r="K4383" i="6"/>
  <c r="N4383" i="6" s="1"/>
  <c r="K4384" i="6"/>
  <c r="N4384" i="6" s="1"/>
  <c r="K4385" i="6"/>
  <c r="N4385" i="6" s="1"/>
  <c r="K4386" i="6"/>
  <c r="N4386" i="6" s="1"/>
  <c r="K4387" i="6"/>
  <c r="N4387" i="6" s="1"/>
  <c r="K4388" i="6"/>
  <c r="N4388" i="6" s="1"/>
  <c r="K4389" i="6"/>
  <c r="N4389" i="6" s="1"/>
  <c r="K4390" i="6"/>
  <c r="N4390" i="6" s="1"/>
  <c r="K4391" i="6"/>
  <c r="N4391" i="6" s="1"/>
  <c r="K4392" i="6"/>
  <c r="N4392" i="6" s="1"/>
  <c r="K4393" i="6"/>
  <c r="N4393" i="6" s="1"/>
  <c r="K4394" i="6"/>
  <c r="N4394" i="6" s="1"/>
  <c r="K4395" i="6"/>
  <c r="N4395" i="6" s="1"/>
  <c r="K4396" i="6"/>
  <c r="N4396" i="6" s="1"/>
  <c r="K4397" i="6"/>
  <c r="N4397" i="6" s="1"/>
  <c r="K4398" i="6"/>
  <c r="N4398" i="6" s="1"/>
  <c r="K4399" i="6"/>
  <c r="N4399" i="6" s="1"/>
  <c r="K4400" i="6"/>
  <c r="N4400" i="6" s="1"/>
  <c r="K4401" i="6"/>
  <c r="N4401" i="6" s="1"/>
  <c r="K4402" i="6"/>
  <c r="N4402" i="6" s="1"/>
  <c r="K4403" i="6"/>
  <c r="N4403" i="6" s="1"/>
  <c r="K4404" i="6"/>
  <c r="N4404" i="6" s="1"/>
  <c r="K4405" i="6"/>
  <c r="N4405" i="6" s="1"/>
  <c r="K4406" i="6"/>
  <c r="N4406" i="6" s="1"/>
  <c r="K4407" i="6"/>
  <c r="N4407" i="6" s="1"/>
  <c r="K4408" i="6"/>
  <c r="N4408" i="6" s="1"/>
  <c r="K4409" i="6"/>
  <c r="N4409" i="6" s="1"/>
  <c r="K4410" i="6"/>
  <c r="N4410" i="6" s="1"/>
  <c r="K4411" i="6"/>
  <c r="N4411" i="6" s="1"/>
  <c r="K4412" i="6"/>
  <c r="N4412" i="6" s="1"/>
  <c r="K4413" i="6"/>
  <c r="N4413" i="6" s="1"/>
  <c r="K4414" i="6"/>
  <c r="N4414" i="6" s="1"/>
  <c r="K4415" i="6"/>
  <c r="N4415" i="6" s="1"/>
  <c r="K4416" i="6"/>
  <c r="N4416" i="6" s="1"/>
  <c r="K4417" i="6"/>
  <c r="N4417" i="6" s="1"/>
  <c r="K4418" i="6"/>
  <c r="N4418" i="6" s="1"/>
  <c r="K4419" i="6"/>
  <c r="N4419" i="6" s="1"/>
  <c r="K4420" i="6"/>
  <c r="N4420" i="6" s="1"/>
  <c r="K4421" i="6"/>
  <c r="N4421" i="6" s="1"/>
  <c r="K4422" i="6"/>
  <c r="N4422" i="6" s="1"/>
  <c r="K4423" i="6"/>
  <c r="N4423" i="6" s="1"/>
  <c r="K4424" i="6"/>
  <c r="N4424" i="6" s="1"/>
  <c r="K4425" i="6"/>
  <c r="N4425" i="6" s="1"/>
  <c r="K4426" i="6"/>
  <c r="N4426" i="6" s="1"/>
  <c r="K4427" i="6"/>
  <c r="N4427" i="6" s="1"/>
  <c r="K4428" i="6"/>
  <c r="N4428" i="6" s="1"/>
  <c r="K4429" i="6"/>
  <c r="N4429" i="6" s="1"/>
  <c r="K4430" i="6"/>
  <c r="N4430" i="6" s="1"/>
  <c r="K4431" i="6"/>
  <c r="N4431" i="6" s="1"/>
  <c r="K4432" i="6"/>
  <c r="N4432" i="6" s="1"/>
  <c r="K4433" i="6"/>
  <c r="N4433" i="6" s="1"/>
  <c r="K4434" i="6"/>
  <c r="N4434" i="6" s="1"/>
  <c r="K4435" i="6"/>
  <c r="N4435" i="6" s="1"/>
  <c r="K4436" i="6"/>
  <c r="N4436" i="6" s="1"/>
  <c r="K4437" i="6"/>
  <c r="N4437" i="6" s="1"/>
  <c r="K4438" i="6"/>
  <c r="N4438" i="6" s="1"/>
  <c r="K4439" i="6"/>
  <c r="N4439" i="6" s="1"/>
  <c r="K4440" i="6"/>
  <c r="N4440" i="6" s="1"/>
  <c r="K4441" i="6"/>
  <c r="N4441" i="6" s="1"/>
  <c r="K4442" i="6"/>
  <c r="N4442" i="6" s="1"/>
  <c r="K4443" i="6"/>
  <c r="N4443" i="6" s="1"/>
  <c r="K4444" i="6"/>
  <c r="N4444" i="6" s="1"/>
  <c r="K4445" i="6"/>
  <c r="N4445" i="6" s="1"/>
  <c r="K4446" i="6"/>
  <c r="N4446" i="6" s="1"/>
  <c r="K4447" i="6"/>
  <c r="N4447" i="6" s="1"/>
  <c r="K4448" i="6"/>
  <c r="N4448" i="6" s="1"/>
  <c r="K4449" i="6"/>
  <c r="N4449" i="6" s="1"/>
  <c r="K4450" i="6"/>
  <c r="N4450" i="6" s="1"/>
  <c r="K4451" i="6"/>
  <c r="N4451" i="6" s="1"/>
  <c r="K4452" i="6"/>
  <c r="N4452" i="6" s="1"/>
  <c r="K4453" i="6"/>
  <c r="N4453" i="6" s="1"/>
  <c r="K4454" i="6"/>
  <c r="N4454" i="6" s="1"/>
  <c r="K4455" i="6"/>
  <c r="N4455" i="6" s="1"/>
  <c r="K4456" i="6"/>
  <c r="N4456" i="6" s="1"/>
  <c r="K4457" i="6"/>
  <c r="N4457" i="6" s="1"/>
  <c r="K4458" i="6"/>
  <c r="N4458" i="6" s="1"/>
  <c r="K4459" i="6"/>
  <c r="N4459" i="6" s="1"/>
  <c r="K4460" i="6"/>
  <c r="N4460" i="6" s="1"/>
  <c r="K4461" i="6"/>
  <c r="N4461" i="6" s="1"/>
  <c r="K4462" i="6"/>
  <c r="N4462" i="6" s="1"/>
  <c r="K4463" i="6"/>
  <c r="N4463" i="6" s="1"/>
  <c r="K4464" i="6"/>
  <c r="N4464" i="6" s="1"/>
  <c r="K4465" i="6"/>
  <c r="N4465" i="6" s="1"/>
  <c r="K4466" i="6"/>
  <c r="N4466" i="6" s="1"/>
  <c r="K4467" i="6"/>
  <c r="N4467" i="6" s="1"/>
  <c r="K4468" i="6"/>
  <c r="N4468" i="6" s="1"/>
  <c r="K4469" i="6"/>
  <c r="N4469" i="6" s="1"/>
  <c r="K4470" i="6"/>
  <c r="N4470" i="6" s="1"/>
  <c r="K4471" i="6"/>
  <c r="N4471" i="6" s="1"/>
  <c r="K4472" i="6"/>
  <c r="N4472" i="6" s="1"/>
  <c r="K4473" i="6"/>
  <c r="N4473" i="6" s="1"/>
  <c r="K4474" i="6"/>
  <c r="N4474" i="6" s="1"/>
  <c r="K4475" i="6"/>
  <c r="N4475" i="6" s="1"/>
  <c r="K4476" i="6"/>
  <c r="N4476" i="6" s="1"/>
  <c r="K4477" i="6"/>
  <c r="N4477" i="6" s="1"/>
  <c r="K4478" i="6"/>
  <c r="N4478" i="6" s="1"/>
  <c r="K4479" i="6"/>
  <c r="N4479" i="6" s="1"/>
  <c r="K4480" i="6"/>
  <c r="N4480" i="6" s="1"/>
  <c r="K4481" i="6"/>
  <c r="N4481" i="6" s="1"/>
  <c r="K4482" i="6"/>
  <c r="N4482" i="6" s="1"/>
  <c r="K4483" i="6"/>
  <c r="N4483" i="6" s="1"/>
  <c r="K4484" i="6"/>
  <c r="N4484" i="6" s="1"/>
  <c r="K4485" i="6"/>
  <c r="N4485" i="6" s="1"/>
  <c r="K4486" i="6"/>
  <c r="N4486" i="6" s="1"/>
  <c r="K4487" i="6"/>
  <c r="N4487" i="6" s="1"/>
  <c r="K4488" i="6"/>
  <c r="N4488" i="6" s="1"/>
  <c r="K4489" i="6"/>
  <c r="N4489" i="6" s="1"/>
  <c r="K4490" i="6"/>
  <c r="N4490" i="6" s="1"/>
  <c r="K4491" i="6"/>
  <c r="N4491" i="6" s="1"/>
  <c r="K4492" i="6"/>
  <c r="N4492" i="6" s="1"/>
  <c r="K4493" i="6"/>
  <c r="N4493" i="6" s="1"/>
  <c r="K4494" i="6"/>
  <c r="N4494" i="6" s="1"/>
  <c r="K4495" i="6"/>
  <c r="N4495" i="6" s="1"/>
  <c r="K4496" i="6"/>
  <c r="N4496" i="6" s="1"/>
  <c r="K4497" i="6"/>
  <c r="N4497" i="6" s="1"/>
  <c r="K4498" i="6"/>
  <c r="N4498" i="6" s="1"/>
  <c r="K4499" i="6"/>
  <c r="N4499" i="6" s="1"/>
  <c r="K4500" i="6"/>
  <c r="N4500" i="6" s="1"/>
  <c r="K4501" i="6"/>
  <c r="N4501" i="6" s="1"/>
  <c r="K4502" i="6"/>
  <c r="N4502" i="6" s="1"/>
  <c r="K4503" i="6"/>
  <c r="N4503" i="6" s="1"/>
  <c r="K4504" i="6"/>
  <c r="N4504" i="6" s="1"/>
  <c r="K4505" i="6"/>
  <c r="N4505" i="6" s="1"/>
  <c r="K4506" i="6"/>
  <c r="N4506" i="6" s="1"/>
  <c r="K4507" i="6"/>
  <c r="N4507" i="6" s="1"/>
  <c r="K4508" i="6"/>
  <c r="N4508" i="6" s="1"/>
  <c r="K4509" i="6"/>
  <c r="N4509" i="6" s="1"/>
  <c r="K4510" i="6"/>
  <c r="N4510" i="6" s="1"/>
  <c r="K4511" i="6"/>
  <c r="N4511" i="6" s="1"/>
  <c r="K4512" i="6"/>
  <c r="N4512" i="6" s="1"/>
  <c r="K4513" i="6"/>
  <c r="N4513" i="6" s="1"/>
  <c r="K4514" i="6"/>
  <c r="N4514" i="6" s="1"/>
  <c r="K4515" i="6"/>
  <c r="N4515" i="6" s="1"/>
  <c r="K4516" i="6"/>
  <c r="N4516" i="6" s="1"/>
  <c r="K4517" i="6"/>
  <c r="N4517" i="6" s="1"/>
  <c r="K4518" i="6"/>
  <c r="N4518" i="6" s="1"/>
  <c r="K4519" i="6"/>
  <c r="N4519" i="6" s="1"/>
  <c r="K4520" i="6"/>
  <c r="N4520" i="6" s="1"/>
  <c r="K4521" i="6"/>
  <c r="N4521" i="6" s="1"/>
  <c r="K4522" i="6"/>
  <c r="N4522" i="6" s="1"/>
  <c r="K4523" i="6"/>
  <c r="N4523" i="6" s="1"/>
  <c r="K4524" i="6"/>
  <c r="N4524" i="6" s="1"/>
  <c r="K4525" i="6"/>
  <c r="N4525" i="6" s="1"/>
  <c r="K4526" i="6"/>
  <c r="N4526" i="6" s="1"/>
  <c r="K4527" i="6"/>
  <c r="N4527" i="6" s="1"/>
  <c r="K4528" i="6"/>
  <c r="N4528" i="6" s="1"/>
  <c r="K4529" i="6"/>
  <c r="N4529" i="6" s="1"/>
  <c r="K4530" i="6"/>
  <c r="N4530" i="6" s="1"/>
  <c r="K4531" i="6"/>
  <c r="N4531" i="6" s="1"/>
  <c r="K4532" i="6"/>
  <c r="N4532" i="6" s="1"/>
  <c r="K4533" i="6"/>
  <c r="N4533" i="6" s="1"/>
  <c r="K4534" i="6"/>
  <c r="N4534" i="6" s="1"/>
  <c r="K4535" i="6"/>
  <c r="N4535" i="6" s="1"/>
  <c r="K4536" i="6"/>
  <c r="N4536" i="6" s="1"/>
  <c r="K4537" i="6"/>
  <c r="N4537" i="6" s="1"/>
  <c r="K4538" i="6"/>
  <c r="N4538" i="6" s="1"/>
  <c r="K4539" i="6"/>
  <c r="N4539" i="6" s="1"/>
  <c r="K4540" i="6"/>
  <c r="N4540" i="6" s="1"/>
  <c r="K4541" i="6"/>
  <c r="N4541" i="6" s="1"/>
  <c r="K4542" i="6"/>
  <c r="N4542" i="6" s="1"/>
  <c r="K4543" i="6"/>
  <c r="N4543" i="6" s="1"/>
  <c r="K4544" i="6"/>
  <c r="N4544" i="6" s="1"/>
  <c r="K4545" i="6"/>
  <c r="N4545" i="6" s="1"/>
  <c r="K4546" i="6"/>
  <c r="N4546" i="6" s="1"/>
  <c r="K4547" i="6"/>
  <c r="N4547" i="6" s="1"/>
  <c r="K4548" i="6"/>
  <c r="N4548" i="6" s="1"/>
  <c r="K4549" i="6"/>
  <c r="N4549" i="6" s="1"/>
  <c r="K4550" i="6"/>
  <c r="N4550" i="6" s="1"/>
  <c r="K4551" i="6"/>
  <c r="N4551" i="6" s="1"/>
  <c r="K4552" i="6"/>
  <c r="N4552" i="6" s="1"/>
  <c r="K4553" i="6"/>
  <c r="N4553" i="6" s="1"/>
  <c r="K4554" i="6"/>
  <c r="N4554" i="6" s="1"/>
  <c r="K4555" i="6"/>
  <c r="N4555" i="6" s="1"/>
  <c r="K4556" i="6"/>
  <c r="N4556" i="6" s="1"/>
  <c r="K4557" i="6"/>
  <c r="N4557" i="6" s="1"/>
  <c r="K4558" i="6"/>
  <c r="N4558" i="6" s="1"/>
  <c r="K4559" i="6"/>
  <c r="N4559" i="6" s="1"/>
  <c r="K4560" i="6"/>
  <c r="N4560" i="6" s="1"/>
  <c r="K4561" i="6"/>
  <c r="N4561" i="6" s="1"/>
  <c r="K4562" i="6"/>
  <c r="N4562" i="6" s="1"/>
  <c r="K4563" i="6"/>
  <c r="N4563" i="6" s="1"/>
  <c r="K4564" i="6"/>
  <c r="N4564" i="6" s="1"/>
  <c r="K4565" i="6"/>
  <c r="N4565" i="6" s="1"/>
  <c r="K4566" i="6"/>
  <c r="N4566" i="6" s="1"/>
  <c r="K4567" i="6"/>
  <c r="N4567" i="6" s="1"/>
  <c r="K4568" i="6"/>
  <c r="N4568" i="6" s="1"/>
  <c r="K4569" i="6"/>
  <c r="N4569" i="6" s="1"/>
  <c r="K4570" i="6"/>
  <c r="N4570" i="6" s="1"/>
  <c r="K4571" i="6"/>
  <c r="N4571" i="6" s="1"/>
  <c r="K4572" i="6"/>
  <c r="N4572" i="6" s="1"/>
  <c r="K4573" i="6"/>
  <c r="N4573" i="6" s="1"/>
  <c r="K4574" i="6"/>
  <c r="N4574" i="6" s="1"/>
  <c r="K4575" i="6"/>
  <c r="N4575" i="6" s="1"/>
  <c r="K4576" i="6"/>
  <c r="N4576" i="6" s="1"/>
  <c r="K4577" i="6"/>
  <c r="N4577" i="6" s="1"/>
  <c r="K4578" i="6"/>
  <c r="N4578" i="6" s="1"/>
  <c r="K4579" i="6"/>
  <c r="N4579" i="6" s="1"/>
  <c r="K4580" i="6"/>
  <c r="N4580" i="6" s="1"/>
  <c r="K4581" i="6"/>
  <c r="N4581" i="6" s="1"/>
  <c r="K4582" i="6"/>
  <c r="N4582" i="6" s="1"/>
  <c r="K4583" i="6"/>
  <c r="N4583" i="6" s="1"/>
  <c r="K4584" i="6"/>
  <c r="N4584" i="6" s="1"/>
  <c r="K4585" i="6"/>
  <c r="N4585" i="6" s="1"/>
  <c r="K4586" i="6"/>
  <c r="N4586" i="6" s="1"/>
  <c r="K4587" i="6"/>
  <c r="N4587" i="6" s="1"/>
  <c r="K4588" i="6"/>
  <c r="N4588" i="6" s="1"/>
  <c r="K4589" i="6"/>
  <c r="N4589" i="6" s="1"/>
  <c r="K4590" i="6"/>
  <c r="N4590" i="6" s="1"/>
  <c r="K4591" i="6"/>
  <c r="N4591" i="6" s="1"/>
  <c r="K4592" i="6"/>
  <c r="N4592" i="6" s="1"/>
  <c r="K4593" i="6"/>
  <c r="N4593" i="6" s="1"/>
  <c r="K4594" i="6"/>
  <c r="N4594" i="6" s="1"/>
  <c r="K4595" i="6"/>
  <c r="N4595" i="6" s="1"/>
  <c r="K4596" i="6"/>
  <c r="N4596" i="6" s="1"/>
  <c r="K4597" i="6"/>
  <c r="N4597" i="6" s="1"/>
  <c r="K4598" i="6"/>
  <c r="N4598" i="6" s="1"/>
  <c r="K4599" i="6"/>
  <c r="N4599" i="6" s="1"/>
  <c r="K4600" i="6"/>
  <c r="N4600" i="6" s="1"/>
  <c r="K4601" i="6"/>
  <c r="N4601" i="6" s="1"/>
  <c r="K4602" i="6"/>
  <c r="N4602" i="6" s="1"/>
  <c r="K4603" i="6"/>
  <c r="N4603" i="6" s="1"/>
  <c r="K4604" i="6"/>
  <c r="N4604" i="6" s="1"/>
  <c r="K4605" i="6"/>
  <c r="N4605" i="6" s="1"/>
  <c r="K4606" i="6"/>
  <c r="N4606" i="6" s="1"/>
  <c r="K4607" i="6"/>
  <c r="N4607" i="6" s="1"/>
  <c r="K4608" i="6"/>
  <c r="N4608" i="6" s="1"/>
  <c r="K4609" i="6"/>
  <c r="N4609" i="6" s="1"/>
  <c r="K4610" i="6"/>
  <c r="N4610" i="6" s="1"/>
  <c r="K4611" i="6"/>
  <c r="N4611" i="6" s="1"/>
  <c r="K4612" i="6"/>
  <c r="N4612" i="6" s="1"/>
  <c r="K4613" i="6"/>
  <c r="N4613" i="6" s="1"/>
  <c r="K4614" i="6"/>
  <c r="N4614" i="6" s="1"/>
  <c r="K4615" i="6"/>
  <c r="N4615" i="6" s="1"/>
  <c r="K4616" i="6"/>
  <c r="N4616" i="6" s="1"/>
  <c r="K4617" i="6"/>
  <c r="N4617" i="6" s="1"/>
  <c r="K4618" i="6"/>
  <c r="N4618" i="6" s="1"/>
  <c r="K4619" i="6"/>
  <c r="N4619" i="6" s="1"/>
  <c r="K4620" i="6"/>
  <c r="N4620" i="6" s="1"/>
  <c r="K4621" i="6"/>
  <c r="N4621" i="6" s="1"/>
  <c r="K4622" i="6"/>
  <c r="N4622" i="6" s="1"/>
  <c r="K4623" i="6"/>
  <c r="N4623" i="6" s="1"/>
  <c r="K4624" i="6"/>
  <c r="N4624" i="6" s="1"/>
  <c r="K4625" i="6"/>
  <c r="N4625" i="6" s="1"/>
  <c r="K4626" i="6"/>
  <c r="N4626" i="6" s="1"/>
  <c r="K4627" i="6"/>
  <c r="N4627" i="6" s="1"/>
  <c r="K4628" i="6"/>
  <c r="N4628" i="6" s="1"/>
  <c r="K4629" i="6"/>
  <c r="N4629" i="6" s="1"/>
  <c r="K4630" i="6"/>
  <c r="N4630" i="6" s="1"/>
  <c r="K4631" i="6"/>
  <c r="N4631" i="6" s="1"/>
  <c r="K4632" i="6"/>
  <c r="N4632" i="6" s="1"/>
  <c r="K4633" i="6"/>
  <c r="N4633" i="6" s="1"/>
  <c r="K4634" i="6"/>
  <c r="N4634" i="6" s="1"/>
  <c r="K4635" i="6"/>
  <c r="N4635" i="6" s="1"/>
  <c r="K4636" i="6"/>
  <c r="N4636" i="6" s="1"/>
  <c r="K4637" i="6"/>
  <c r="N4637" i="6" s="1"/>
  <c r="K4638" i="6"/>
  <c r="N4638" i="6" s="1"/>
  <c r="K4639" i="6"/>
  <c r="N4639" i="6" s="1"/>
  <c r="K4640" i="6"/>
  <c r="N4640" i="6" s="1"/>
  <c r="K4641" i="6"/>
  <c r="N4641" i="6" s="1"/>
  <c r="K4642" i="6"/>
  <c r="N4642" i="6" s="1"/>
  <c r="K4643" i="6"/>
  <c r="N4643" i="6" s="1"/>
  <c r="K4644" i="6"/>
  <c r="N4644" i="6" s="1"/>
  <c r="K4645" i="6"/>
  <c r="N4645" i="6" s="1"/>
  <c r="K4646" i="6"/>
  <c r="N4646" i="6" s="1"/>
  <c r="K4647" i="6"/>
  <c r="N4647" i="6" s="1"/>
  <c r="K4648" i="6"/>
  <c r="N4648" i="6" s="1"/>
  <c r="K4649" i="6"/>
  <c r="N4649" i="6" s="1"/>
  <c r="K4650" i="6"/>
  <c r="N4650" i="6" s="1"/>
  <c r="K4651" i="6"/>
  <c r="N4651" i="6" s="1"/>
  <c r="K4652" i="6"/>
  <c r="N4652" i="6" s="1"/>
  <c r="K4653" i="6"/>
  <c r="N4653" i="6" s="1"/>
  <c r="K4654" i="6"/>
  <c r="N4654" i="6" s="1"/>
  <c r="K4655" i="6"/>
  <c r="N4655" i="6" s="1"/>
  <c r="K4656" i="6"/>
  <c r="N4656" i="6" s="1"/>
  <c r="K4657" i="6"/>
  <c r="N4657" i="6" s="1"/>
  <c r="K4658" i="6"/>
  <c r="N4658" i="6" s="1"/>
  <c r="K4659" i="6"/>
  <c r="N4659" i="6" s="1"/>
  <c r="K4660" i="6"/>
  <c r="N4660" i="6" s="1"/>
  <c r="K4661" i="6"/>
  <c r="N4661" i="6" s="1"/>
  <c r="K4662" i="6"/>
  <c r="N4662" i="6" s="1"/>
  <c r="K4663" i="6"/>
  <c r="N4663" i="6" s="1"/>
  <c r="K4664" i="6"/>
  <c r="N4664" i="6" s="1"/>
  <c r="K4665" i="6"/>
  <c r="N4665" i="6" s="1"/>
  <c r="K4666" i="6"/>
  <c r="N4666" i="6" s="1"/>
  <c r="K4667" i="6"/>
  <c r="N4667" i="6" s="1"/>
  <c r="K4668" i="6"/>
  <c r="N4668" i="6" s="1"/>
  <c r="K4669" i="6"/>
  <c r="N4669" i="6" s="1"/>
  <c r="K4670" i="6"/>
  <c r="N4670" i="6" s="1"/>
  <c r="K4671" i="6"/>
  <c r="N4671" i="6" s="1"/>
  <c r="K4672" i="6"/>
  <c r="N4672" i="6" s="1"/>
  <c r="K4673" i="6"/>
  <c r="N4673" i="6" s="1"/>
  <c r="K4674" i="6"/>
  <c r="N4674" i="6" s="1"/>
  <c r="K4675" i="6"/>
  <c r="N4675" i="6" s="1"/>
  <c r="K4676" i="6"/>
  <c r="N4676" i="6" s="1"/>
  <c r="K4677" i="6"/>
  <c r="N4677" i="6" s="1"/>
  <c r="K4678" i="6"/>
  <c r="N4678" i="6" s="1"/>
  <c r="K4679" i="6"/>
  <c r="N4679" i="6" s="1"/>
  <c r="K4680" i="6"/>
  <c r="N4680" i="6" s="1"/>
  <c r="K4681" i="6"/>
  <c r="N4681" i="6" s="1"/>
  <c r="K4682" i="6"/>
  <c r="N4682" i="6" s="1"/>
  <c r="K4683" i="6"/>
  <c r="N4683" i="6" s="1"/>
  <c r="K4684" i="6"/>
  <c r="N4684" i="6" s="1"/>
  <c r="K4685" i="6"/>
  <c r="N4685" i="6" s="1"/>
  <c r="K4686" i="6"/>
  <c r="N4686" i="6" s="1"/>
  <c r="K4687" i="6"/>
  <c r="N4687" i="6" s="1"/>
  <c r="K4688" i="6"/>
  <c r="N4688" i="6" s="1"/>
  <c r="K4689" i="6"/>
  <c r="N4689" i="6" s="1"/>
  <c r="K4690" i="6"/>
  <c r="N4690" i="6" s="1"/>
  <c r="K4691" i="6"/>
  <c r="N4691" i="6" s="1"/>
  <c r="K4692" i="6"/>
  <c r="N4692" i="6" s="1"/>
  <c r="K4693" i="6"/>
  <c r="N4693" i="6" s="1"/>
  <c r="K4694" i="6"/>
  <c r="N4694" i="6" s="1"/>
  <c r="K4695" i="6"/>
  <c r="N4695" i="6" s="1"/>
  <c r="K4696" i="6"/>
  <c r="N4696" i="6" s="1"/>
  <c r="K4697" i="6"/>
  <c r="N4697" i="6" s="1"/>
  <c r="K4698" i="6"/>
  <c r="N4698" i="6" s="1"/>
  <c r="K4699" i="6"/>
  <c r="N4699" i="6" s="1"/>
  <c r="K4700" i="6"/>
  <c r="N4700" i="6" s="1"/>
  <c r="K4701" i="6"/>
  <c r="N4701" i="6" s="1"/>
  <c r="K4702" i="6"/>
  <c r="N4702" i="6" s="1"/>
  <c r="K4703" i="6"/>
  <c r="N4703" i="6" s="1"/>
  <c r="K4704" i="6"/>
  <c r="N4704" i="6" s="1"/>
  <c r="K4705" i="6"/>
  <c r="N4705" i="6" s="1"/>
  <c r="K4706" i="6"/>
  <c r="N4706" i="6" s="1"/>
  <c r="K4707" i="6"/>
  <c r="N4707" i="6" s="1"/>
  <c r="K4708" i="6"/>
  <c r="N4708" i="6" s="1"/>
  <c r="K4709" i="6"/>
  <c r="N4709" i="6" s="1"/>
  <c r="K4710" i="6"/>
  <c r="N4710" i="6" s="1"/>
  <c r="K4711" i="6"/>
  <c r="N4711" i="6" s="1"/>
  <c r="K4712" i="6"/>
  <c r="N4712" i="6" s="1"/>
  <c r="K4713" i="6"/>
  <c r="N4713" i="6" s="1"/>
  <c r="K4714" i="6"/>
  <c r="N4714" i="6" s="1"/>
  <c r="K4715" i="6"/>
  <c r="N4715" i="6" s="1"/>
  <c r="K4716" i="6"/>
  <c r="N4716" i="6" s="1"/>
  <c r="K4717" i="6"/>
  <c r="N4717" i="6" s="1"/>
  <c r="K4718" i="6"/>
  <c r="N4718" i="6" s="1"/>
  <c r="K4719" i="6"/>
  <c r="N4719" i="6" s="1"/>
  <c r="K4720" i="6"/>
  <c r="N4720" i="6" s="1"/>
  <c r="K4721" i="6"/>
  <c r="N4721" i="6" s="1"/>
  <c r="K4722" i="6"/>
  <c r="N4722" i="6" s="1"/>
  <c r="K4723" i="6"/>
  <c r="N4723" i="6" s="1"/>
  <c r="K4724" i="6"/>
  <c r="N4724" i="6" s="1"/>
  <c r="K4725" i="6"/>
  <c r="N4725" i="6" s="1"/>
  <c r="K4726" i="6"/>
  <c r="N4726" i="6" s="1"/>
  <c r="K4727" i="6"/>
  <c r="N4727" i="6" s="1"/>
  <c r="K4728" i="6"/>
  <c r="N4728" i="6" s="1"/>
  <c r="K4729" i="6"/>
  <c r="N4729" i="6" s="1"/>
  <c r="K4730" i="6"/>
  <c r="N4730" i="6" s="1"/>
  <c r="K4731" i="6"/>
  <c r="N4731" i="6" s="1"/>
  <c r="K4732" i="6"/>
  <c r="N4732" i="6" s="1"/>
  <c r="K4733" i="6"/>
  <c r="N4733" i="6" s="1"/>
  <c r="K4734" i="6"/>
  <c r="N4734" i="6" s="1"/>
  <c r="K4735" i="6"/>
  <c r="N4735" i="6" s="1"/>
  <c r="K4736" i="6"/>
  <c r="N4736" i="6" s="1"/>
  <c r="K4737" i="6"/>
  <c r="N4737" i="6" s="1"/>
  <c r="K4738" i="6"/>
  <c r="N4738" i="6" s="1"/>
  <c r="K4739" i="6"/>
  <c r="N4739" i="6" s="1"/>
  <c r="K4740" i="6"/>
  <c r="N4740" i="6" s="1"/>
  <c r="K4741" i="6"/>
  <c r="N4741" i="6" s="1"/>
  <c r="K4742" i="6"/>
  <c r="N4742" i="6" s="1"/>
  <c r="K4743" i="6"/>
  <c r="N4743" i="6" s="1"/>
  <c r="K4744" i="6"/>
  <c r="N4744" i="6" s="1"/>
  <c r="K4745" i="6"/>
  <c r="N4745" i="6" s="1"/>
  <c r="K4746" i="6"/>
  <c r="N4746" i="6" s="1"/>
  <c r="K4747" i="6"/>
  <c r="N4747" i="6" s="1"/>
  <c r="K4748" i="6"/>
  <c r="N4748" i="6" s="1"/>
  <c r="K4749" i="6"/>
  <c r="N4749" i="6" s="1"/>
  <c r="K4750" i="6"/>
  <c r="N4750" i="6" s="1"/>
  <c r="K4751" i="6"/>
  <c r="N4751" i="6" s="1"/>
  <c r="K4752" i="6"/>
  <c r="N4752" i="6" s="1"/>
  <c r="K4753" i="6"/>
  <c r="N4753" i="6" s="1"/>
  <c r="K4754" i="6"/>
  <c r="N4754" i="6" s="1"/>
  <c r="K4755" i="6"/>
  <c r="N4755" i="6" s="1"/>
  <c r="K4756" i="6"/>
  <c r="N4756" i="6" s="1"/>
  <c r="K4757" i="6"/>
  <c r="N4757" i="6" s="1"/>
  <c r="K4758" i="6"/>
  <c r="N4758" i="6" s="1"/>
  <c r="K4759" i="6"/>
  <c r="N4759" i="6" s="1"/>
  <c r="K4760" i="6"/>
  <c r="N4760" i="6" s="1"/>
  <c r="K4761" i="6"/>
  <c r="N4761" i="6" s="1"/>
  <c r="K4762" i="6"/>
  <c r="N4762" i="6" s="1"/>
  <c r="K4763" i="6"/>
  <c r="N4763" i="6" s="1"/>
  <c r="K4764" i="6"/>
  <c r="N4764" i="6" s="1"/>
  <c r="K4765" i="6"/>
  <c r="N4765" i="6" s="1"/>
  <c r="K4766" i="6"/>
  <c r="N4766" i="6" s="1"/>
  <c r="K4767" i="6"/>
  <c r="N4767" i="6" s="1"/>
  <c r="K4768" i="6"/>
  <c r="N4768" i="6" s="1"/>
  <c r="K4769" i="6"/>
  <c r="N4769" i="6" s="1"/>
  <c r="K4770" i="6"/>
  <c r="N4770" i="6" s="1"/>
  <c r="K4771" i="6"/>
  <c r="N4771" i="6" s="1"/>
  <c r="K4772" i="6"/>
  <c r="N4772" i="6" s="1"/>
  <c r="K4773" i="6"/>
  <c r="N4773" i="6" s="1"/>
  <c r="K4774" i="6"/>
  <c r="N4774" i="6" s="1"/>
  <c r="K4775" i="6"/>
  <c r="N4775" i="6" s="1"/>
  <c r="K4776" i="6"/>
  <c r="N4776" i="6" s="1"/>
  <c r="K4777" i="6"/>
  <c r="N4777" i="6" s="1"/>
  <c r="K4778" i="6"/>
  <c r="N4778" i="6" s="1"/>
  <c r="K4779" i="6"/>
  <c r="N4779" i="6" s="1"/>
  <c r="K4780" i="6"/>
  <c r="N4780" i="6" s="1"/>
  <c r="K4781" i="6"/>
  <c r="N4781" i="6" s="1"/>
  <c r="K4782" i="6"/>
  <c r="N4782" i="6" s="1"/>
  <c r="K4783" i="6"/>
  <c r="N4783" i="6" s="1"/>
  <c r="K4784" i="6"/>
  <c r="N4784" i="6" s="1"/>
  <c r="K4785" i="6"/>
  <c r="N4785" i="6" s="1"/>
  <c r="K4786" i="6"/>
  <c r="N4786" i="6" s="1"/>
  <c r="K4787" i="6"/>
  <c r="N4787" i="6" s="1"/>
  <c r="K4788" i="6"/>
  <c r="N4788" i="6" s="1"/>
  <c r="K4789" i="6"/>
  <c r="N4789" i="6" s="1"/>
  <c r="K4790" i="6"/>
  <c r="N4790" i="6" s="1"/>
  <c r="K4791" i="6"/>
  <c r="N4791" i="6" s="1"/>
  <c r="K4792" i="6"/>
  <c r="N4792" i="6" s="1"/>
  <c r="K4793" i="6"/>
  <c r="N4793" i="6" s="1"/>
  <c r="K4794" i="6"/>
  <c r="N4794" i="6" s="1"/>
  <c r="K4795" i="6"/>
  <c r="N4795" i="6" s="1"/>
  <c r="K4796" i="6"/>
  <c r="N4796" i="6" s="1"/>
  <c r="K4797" i="6"/>
  <c r="N4797" i="6" s="1"/>
  <c r="K4798" i="6"/>
  <c r="N4798" i="6" s="1"/>
  <c r="K4799" i="6"/>
  <c r="N4799" i="6" s="1"/>
  <c r="K4800" i="6"/>
  <c r="N4800" i="6" s="1"/>
  <c r="K4801" i="6"/>
  <c r="N4801" i="6" s="1"/>
  <c r="K4802" i="6"/>
  <c r="N4802" i="6" s="1"/>
  <c r="K4803" i="6"/>
  <c r="N4803" i="6" s="1"/>
  <c r="K4804" i="6"/>
  <c r="N4804" i="6" s="1"/>
  <c r="K4805" i="6"/>
  <c r="N4805" i="6" s="1"/>
  <c r="K4806" i="6"/>
  <c r="N4806" i="6" s="1"/>
  <c r="K4807" i="6"/>
  <c r="N4807" i="6" s="1"/>
  <c r="K4808" i="6"/>
  <c r="N4808" i="6" s="1"/>
  <c r="K4809" i="6"/>
  <c r="N4809" i="6" s="1"/>
  <c r="K4810" i="6"/>
  <c r="N4810" i="6" s="1"/>
  <c r="K4811" i="6"/>
  <c r="N4811" i="6" s="1"/>
  <c r="K4812" i="6"/>
  <c r="N4812" i="6" s="1"/>
  <c r="K4813" i="6"/>
  <c r="N4813" i="6" s="1"/>
  <c r="K4814" i="6"/>
  <c r="N4814" i="6" s="1"/>
  <c r="K4815" i="6"/>
  <c r="N4815" i="6" s="1"/>
  <c r="K4816" i="6"/>
  <c r="N4816" i="6" s="1"/>
  <c r="K4817" i="6"/>
  <c r="N4817" i="6" s="1"/>
  <c r="K4818" i="6"/>
  <c r="N4818" i="6" s="1"/>
  <c r="K4819" i="6"/>
  <c r="N4819" i="6" s="1"/>
  <c r="K4820" i="6"/>
  <c r="N4820" i="6" s="1"/>
  <c r="K4821" i="6"/>
  <c r="N4821" i="6" s="1"/>
  <c r="K4822" i="6"/>
  <c r="N4822" i="6" s="1"/>
  <c r="K4823" i="6"/>
  <c r="N4823" i="6" s="1"/>
  <c r="K4824" i="6"/>
  <c r="N4824" i="6" s="1"/>
  <c r="K4825" i="6"/>
  <c r="N4825" i="6" s="1"/>
  <c r="K4826" i="6"/>
  <c r="N4826" i="6" s="1"/>
  <c r="K4827" i="6"/>
  <c r="N4827" i="6" s="1"/>
  <c r="K4828" i="6"/>
  <c r="N4828" i="6" s="1"/>
  <c r="K4829" i="6"/>
  <c r="N4829" i="6" s="1"/>
  <c r="K4830" i="6"/>
  <c r="N4830" i="6" s="1"/>
  <c r="K4831" i="6"/>
  <c r="N4831" i="6" s="1"/>
  <c r="K4832" i="6"/>
  <c r="N4832" i="6" s="1"/>
  <c r="K4833" i="6"/>
  <c r="N4833" i="6" s="1"/>
  <c r="K4834" i="6"/>
  <c r="N4834" i="6" s="1"/>
  <c r="K4835" i="6"/>
  <c r="N4835" i="6" s="1"/>
  <c r="K4836" i="6"/>
  <c r="N4836" i="6" s="1"/>
  <c r="K4837" i="6"/>
  <c r="N4837" i="6" s="1"/>
  <c r="K4838" i="6"/>
  <c r="N4838" i="6" s="1"/>
  <c r="K4839" i="6"/>
  <c r="N4839" i="6" s="1"/>
  <c r="K4840" i="6"/>
  <c r="N4840" i="6" s="1"/>
  <c r="K4841" i="6"/>
  <c r="N4841" i="6" s="1"/>
  <c r="K4842" i="6"/>
  <c r="N4842" i="6" s="1"/>
  <c r="K4843" i="6"/>
  <c r="N4843" i="6" s="1"/>
  <c r="K4844" i="6"/>
  <c r="N4844" i="6" s="1"/>
  <c r="K4845" i="6"/>
  <c r="N4845" i="6" s="1"/>
  <c r="K4846" i="6"/>
  <c r="N4846" i="6" s="1"/>
  <c r="K4847" i="6"/>
  <c r="N4847" i="6" s="1"/>
  <c r="K4848" i="6"/>
  <c r="N4848" i="6" s="1"/>
  <c r="K4849" i="6"/>
  <c r="N4849" i="6" s="1"/>
  <c r="K4850" i="6"/>
  <c r="N4850" i="6" s="1"/>
  <c r="K4851" i="6"/>
  <c r="N4851" i="6" s="1"/>
  <c r="K4852" i="6"/>
  <c r="N4852" i="6" s="1"/>
  <c r="K4853" i="6"/>
  <c r="N4853" i="6" s="1"/>
  <c r="K4854" i="6"/>
  <c r="N4854" i="6" s="1"/>
  <c r="K4855" i="6"/>
  <c r="N4855" i="6" s="1"/>
  <c r="K4856" i="6"/>
  <c r="N4856" i="6" s="1"/>
  <c r="K4857" i="6"/>
  <c r="N4857" i="6" s="1"/>
  <c r="K4858" i="6"/>
  <c r="N4858" i="6" s="1"/>
  <c r="K4859" i="6"/>
  <c r="N4859" i="6" s="1"/>
  <c r="K4860" i="6"/>
  <c r="N4860" i="6" s="1"/>
  <c r="K4861" i="6"/>
  <c r="N4861" i="6" s="1"/>
  <c r="K4862" i="6"/>
  <c r="N4862" i="6" s="1"/>
  <c r="K4863" i="6"/>
  <c r="N4863" i="6" s="1"/>
  <c r="K4864" i="6"/>
  <c r="N4864" i="6" s="1"/>
  <c r="K4865" i="6"/>
  <c r="N4865" i="6" s="1"/>
  <c r="K4866" i="6"/>
  <c r="N4866" i="6" s="1"/>
  <c r="K4867" i="6"/>
  <c r="N4867" i="6" s="1"/>
  <c r="K4868" i="6"/>
  <c r="N4868" i="6" s="1"/>
  <c r="K4869" i="6"/>
  <c r="N4869" i="6" s="1"/>
  <c r="K4870" i="6"/>
  <c r="N4870" i="6" s="1"/>
  <c r="K4871" i="6"/>
  <c r="N4871" i="6" s="1"/>
  <c r="K4872" i="6"/>
  <c r="N4872" i="6" s="1"/>
  <c r="K4873" i="6"/>
  <c r="N4873" i="6" s="1"/>
  <c r="K4874" i="6"/>
  <c r="N4874" i="6" s="1"/>
  <c r="K4875" i="6"/>
  <c r="N4875" i="6" s="1"/>
  <c r="K4876" i="6"/>
  <c r="N4876" i="6" s="1"/>
  <c r="K4877" i="6"/>
  <c r="N4877" i="6" s="1"/>
  <c r="K4878" i="6"/>
  <c r="N4878" i="6" s="1"/>
  <c r="K4879" i="6"/>
  <c r="N4879" i="6" s="1"/>
  <c r="K4880" i="6"/>
  <c r="N4880" i="6" s="1"/>
  <c r="K4881" i="6"/>
  <c r="N4881" i="6" s="1"/>
  <c r="K4882" i="6"/>
  <c r="N4882" i="6" s="1"/>
  <c r="K4883" i="6"/>
  <c r="N4883" i="6" s="1"/>
  <c r="K4884" i="6"/>
  <c r="N4884" i="6" s="1"/>
  <c r="K4885" i="6"/>
  <c r="N4885" i="6" s="1"/>
  <c r="K4886" i="6"/>
  <c r="N4886" i="6" s="1"/>
  <c r="K4887" i="6"/>
  <c r="N4887" i="6" s="1"/>
  <c r="K4888" i="6"/>
  <c r="N4888" i="6" s="1"/>
  <c r="K4889" i="6"/>
  <c r="N4889" i="6" s="1"/>
  <c r="K4890" i="6"/>
  <c r="N4890" i="6" s="1"/>
  <c r="K4891" i="6"/>
  <c r="N4891" i="6" s="1"/>
  <c r="K4892" i="6"/>
  <c r="N4892" i="6" s="1"/>
  <c r="K4893" i="6"/>
  <c r="N4893" i="6" s="1"/>
  <c r="K4894" i="6"/>
  <c r="N4894" i="6" s="1"/>
  <c r="K4895" i="6"/>
  <c r="N4895" i="6" s="1"/>
  <c r="K4896" i="6"/>
  <c r="N4896" i="6" s="1"/>
  <c r="K4897" i="6"/>
  <c r="N4897" i="6" s="1"/>
  <c r="K4898" i="6"/>
  <c r="N4898" i="6" s="1"/>
  <c r="K4899" i="6"/>
  <c r="N4899" i="6" s="1"/>
  <c r="K4900" i="6"/>
  <c r="N4900" i="6" s="1"/>
  <c r="K4901" i="6"/>
  <c r="N4901" i="6" s="1"/>
  <c r="K4902" i="6"/>
  <c r="N4902" i="6" s="1"/>
  <c r="K4903" i="6"/>
  <c r="N4903" i="6" s="1"/>
  <c r="K4904" i="6"/>
  <c r="N4904" i="6" s="1"/>
  <c r="K4905" i="6"/>
  <c r="N4905" i="6" s="1"/>
  <c r="K4906" i="6"/>
  <c r="N4906" i="6" s="1"/>
  <c r="K4907" i="6"/>
  <c r="N4907" i="6" s="1"/>
  <c r="K4908" i="6"/>
  <c r="N4908" i="6" s="1"/>
  <c r="K4909" i="6"/>
  <c r="N4909" i="6" s="1"/>
  <c r="K4910" i="6"/>
  <c r="N4910" i="6" s="1"/>
  <c r="K4911" i="6"/>
  <c r="N4911" i="6" s="1"/>
  <c r="K4912" i="6"/>
  <c r="N4912" i="6" s="1"/>
  <c r="K4913" i="6"/>
  <c r="N4913" i="6" s="1"/>
  <c r="K4914" i="6"/>
  <c r="N4914" i="6" s="1"/>
  <c r="K4915" i="6"/>
  <c r="N4915" i="6" s="1"/>
  <c r="K4916" i="6"/>
  <c r="N4916" i="6" s="1"/>
  <c r="K4917" i="6"/>
  <c r="N4917" i="6" s="1"/>
  <c r="K4918" i="6"/>
  <c r="N4918" i="6" s="1"/>
  <c r="K4919" i="6"/>
  <c r="N4919" i="6" s="1"/>
  <c r="K4920" i="6"/>
  <c r="N4920" i="6" s="1"/>
  <c r="K4921" i="6"/>
  <c r="N4921" i="6" s="1"/>
  <c r="K4922" i="6"/>
  <c r="N4922" i="6" s="1"/>
  <c r="K4923" i="6"/>
  <c r="N4923" i="6" s="1"/>
  <c r="K4924" i="6"/>
  <c r="N4924" i="6" s="1"/>
  <c r="K4925" i="6"/>
  <c r="N4925" i="6" s="1"/>
  <c r="K4926" i="6"/>
  <c r="N4926" i="6" s="1"/>
  <c r="K4927" i="6"/>
  <c r="N4927" i="6" s="1"/>
  <c r="K4928" i="6"/>
  <c r="N4928" i="6" s="1"/>
  <c r="K4929" i="6"/>
  <c r="N4929" i="6" s="1"/>
  <c r="K2" i="6"/>
  <c r="N2" i="6" s="1"/>
  <c r="O3" i="6"/>
  <c r="R10" i="6"/>
  <c r="T10" i="6"/>
  <c r="S10" i="6"/>
  <c r="S71" i="6" l="1"/>
  <c r="R71" i="6"/>
  <c r="R11" i="6"/>
  <c r="S74" i="6" l="1"/>
  <c r="R74" i="6"/>
  <c r="U70" i="6"/>
  <c r="T70" i="6"/>
  <c r="V17" i="6"/>
  <c r="V18" i="6" s="1"/>
  <c r="R19" i="6" s="1"/>
  <c r="S31" i="6"/>
  <c r="D9" i="11"/>
  <c r="R77" i="6" l="1"/>
  <c r="R75" i="6" s="1"/>
  <c r="S77" i="6"/>
  <c r="S75" i="6" s="1"/>
  <c r="S28" i="6"/>
  <c r="S32" i="6" s="1"/>
  <c r="U72" i="6"/>
  <c r="T72" i="6"/>
  <c r="S78" i="6" l="1"/>
  <c r="R78" i="6"/>
  <c r="R31" i="6"/>
  <c r="D33" i="11" s="1"/>
  <c r="D34" i="11" l="1"/>
  <c r="C34" i="11" s="1"/>
  <c r="C33" i="11"/>
  <c r="S72" i="6" l="1"/>
  <c r="F33" i="11" s="1"/>
  <c r="R72" i="6"/>
  <c r="E33" i="11" s="1"/>
  <c r="D37" i="11" l="1"/>
  <c r="D35" i="11"/>
  <c r="C37" i="11" l="1"/>
  <c r="D38" i="11"/>
  <c r="C38" i="11" s="1"/>
  <c r="C35" i="11"/>
  <c r="D36" i="11"/>
  <c r="C36" i="11" s="1"/>
  <c r="O393" i="6"/>
  <c r="O1262" i="6"/>
  <c r="O843" i="6"/>
  <c r="O1751" i="6"/>
  <c r="O1310" i="6"/>
  <c r="O3791" i="6"/>
  <c r="O1705" i="6"/>
  <c r="O1726" i="6"/>
  <c r="O2150" i="6"/>
  <c r="O1758" i="6"/>
  <c r="O2070" i="6"/>
  <c r="O1585" i="6"/>
  <c r="O1308" i="6"/>
  <c r="O2057" i="6"/>
  <c r="O3517" i="6"/>
  <c r="O4850" i="6"/>
  <c r="O865" i="6"/>
  <c r="O3004" i="6"/>
  <c r="O3086" i="6"/>
  <c r="O4029" i="6"/>
  <c r="O4854" i="6"/>
  <c r="O2180" i="6"/>
  <c r="O1748" i="6"/>
  <c r="O1341" i="6"/>
  <c r="O2047" i="6"/>
  <c r="O4449" i="6"/>
  <c r="O3038" i="6"/>
  <c r="O1258" i="6"/>
  <c r="O410" i="6"/>
  <c r="O850" i="6"/>
  <c r="O3950" i="6"/>
  <c r="O3036" i="6"/>
  <c r="O1935" i="6"/>
  <c r="O1340" i="6"/>
  <c r="O4414" i="6"/>
  <c r="O3576" i="6"/>
  <c r="O4166" i="6"/>
  <c r="O820" i="6"/>
  <c r="O1296" i="6"/>
  <c r="O2950" i="6"/>
  <c r="O2606" i="6"/>
  <c r="O2209" i="6"/>
  <c r="O785" i="6"/>
  <c r="O879" i="6"/>
  <c r="O894" i="6"/>
  <c r="O1020" i="6"/>
  <c r="O787" i="6"/>
  <c r="O842" i="6"/>
  <c r="O2207" i="6"/>
  <c r="O3524" i="6"/>
  <c r="O395" i="6"/>
  <c r="O3490" i="6"/>
  <c r="O1669" i="6"/>
  <c r="O397" i="6"/>
  <c r="O4892" i="6"/>
  <c r="O418" i="6"/>
  <c r="O344" i="6"/>
  <c r="O849" i="6"/>
  <c r="O402" i="6"/>
  <c r="O307" i="6"/>
  <c r="O3513" i="6"/>
  <c r="O3365" i="6"/>
  <c r="O3493" i="6"/>
  <c r="O2241" i="6"/>
  <c r="O3436" i="6"/>
  <c r="O3510" i="6"/>
  <c r="O3079" i="6"/>
  <c r="O2169" i="6"/>
  <c r="O4908" i="6"/>
  <c r="O2193" i="6"/>
  <c r="O4399" i="6"/>
  <c r="O3032" i="6"/>
  <c r="O3573" i="6"/>
  <c r="O2176" i="6"/>
  <c r="O3488" i="6"/>
  <c r="O757" i="6"/>
  <c r="O4030" i="6"/>
  <c r="O3118" i="6"/>
  <c r="O2131" i="6"/>
  <c r="O4692" i="6"/>
  <c r="O1710" i="6"/>
  <c r="O2225" i="6"/>
  <c r="O4423" i="6"/>
  <c r="O713" i="6"/>
  <c r="O1730" i="6"/>
  <c r="O2461" i="6"/>
  <c r="O409" i="6"/>
  <c r="O2141" i="6"/>
  <c r="O4885" i="6"/>
  <c r="O1614" i="6"/>
  <c r="O1766" i="6"/>
  <c r="O3352" i="6"/>
  <c r="O1317" i="6"/>
  <c r="O1170" i="6"/>
  <c r="O3959" i="6"/>
  <c r="O4820" i="6"/>
  <c r="O4379" i="6"/>
  <c r="O3866" i="6"/>
  <c r="O3033" i="6"/>
  <c r="O4853" i="6"/>
  <c r="O3117" i="6"/>
  <c r="O4925" i="6"/>
  <c r="O3893" i="6"/>
  <c r="O327" i="6"/>
  <c r="O3986" i="6"/>
  <c r="O2649" i="6"/>
  <c r="O2602" i="6"/>
  <c r="O1729" i="6"/>
  <c r="O2128" i="6"/>
  <c r="O3444" i="6"/>
  <c r="O1718" i="6"/>
  <c r="O445" i="6"/>
  <c r="O1653" i="6"/>
  <c r="O4808" i="6"/>
  <c r="O401" i="6"/>
  <c r="O1239" i="6"/>
  <c r="O2049" i="6"/>
  <c r="O4905" i="6"/>
  <c r="O2055" i="6"/>
  <c r="O2222" i="6"/>
  <c r="O1734" i="6"/>
  <c r="O4151" i="6"/>
  <c r="O3943" i="6"/>
  <c r="O4920" i="6"/>
  <c r="O3761" i="6"/>
  <c r="O3923" i="6"/>
  <c r="O233" i="6"/>
  <c r="O4475" i="6"/>
  <c r="O2652" i="6"/>
  <c r="O2206" i="6"/>
  <c r="O1313" i="6"/>
  <c r="O2170" i="6"/>
  <c r="O4833" i="6"/>
  <c r="O4431" i="6"/>
  <c r="O1924" i="6"/>
  <c r="O3840" i="6"/>
  <c r="O2917" i="6"/>
  <c r="O392" i="6"/>
  <c r="O2232" i="6"/>
  <c r="O2590" i="6"/>
  <c r="O3970" i="6"/>
  <c r="O1698" i="6"/>
  <c r="O1745" i="6"/>
  <c r="O4909" i="6"/>
  <c r="O3584" i="6"/>
  <c r="O1780" i="6"/>
  <c r="O872" i="6"/>
  <c r="O387" i="6"/>
  <c r="O4783" i="6"/>
  <c r="O853" i="6"/>
  <c r="O3089" i="6"/>
  <c r="O4882" i="6"/>
  <c r="O3485" i="6"/>
  <c r="O1716" i="6"/>
  <c r="O3405" i="6"/>
  <c r="O232" i="6"/>
  <c r="O2866" i="6"/>
  <c r="O4863" i="6"/>
  <c r="O814" i="6"/>
  <c r="O4364" i="6"/>
  <c r="O385" i="6"/>
  <c r="O2051" i="6"/>
  <c r="O386" i="6"/>
  <c r="O3042" i="6"/>
  <c r="O1141" i="6"/>
  <c r="O4877" i="6"/>
  <c r="O2174" i="6"/>
  <c r="O3040" i="6"/>
  <c r="O3484" i="6"/>
  <c r="O3764" i="6"/>
  <c r="O832" i="6"/>
  <c r="O2830" i="6"/>
  <c r="O4280" i="6"/>
  <c r="O3979" i="6"/>
  <c r="O1645" i="6"/>
  <c r="O2565" i="6"/>
  <c r="O3941" i="6"/>
  <c r="O681" i="6"/>
  <c r="O1167" i="6"/>
  <c r="O3885" i="6"/>
  <c r="O4468" i="6"/>
  <c r="O4011" i="6"/>
  <c r="O1891" i="6"/>
  <c r="O1067" i="6"/>
  <c r="O837" i="6"/>
  <c r="O4902" i="6"/>
  <c r="O2185" i="6"/>
  <c r="O4447" i="6"/>
  <c r="O4835" i="6"/>
  <c r="O2677" i="6"/>
  <c r="O4019" i="6"/>
  <c r="O4448" i="6"/>
  <c r="O3931" i="6"/>
  <c r="O1303" i="6"/>
  <c r="O3557" i="6"/>
  <c r="O4873" i="6"/>
  <c r="O2607" i="6"/>
  <c r="O4390" i="6"/>
  <c r="O1288" i="6"/>
  <c r="O3013" i="6"/>
  <c r="O1673" i="6"/>
  <c r="O2651" i="6"/>
  <c r="O1269" i="6"/>
  <c r="O3466" i="6"/>
  <c r="O4002" i="6"/>
  <c r="O2954" i="6"/>
  <c r="O2596" i="6"/>
  <c r="O2639" i="6"/>
  <c r="O405" i="6"/>
  <c r="O2040" i="6"/>
  <c r="O2155" i="6"/>
  <c r="O3313" i="6"/>
  <c r="O276" i="6"/>
  <c r="O4401" i="6"/>
  <c r="O2198" i="6"/>
  <c r="O425" i="6"/>
  <c r="O4473" i="6"/>
  <c r="O839" i="6"/>
  <c r="O768" i="6"/>
  <c r="O3961" i="6"/>
  <c r="O1279" i="6"/>
  <c r="O703" i="6"/>
  <c r="O4923" i="6"/>
  <c r="O2368" i="6"/>
  <c r="O312" i="6"/>
  <c r="O3519" i="6"/>
  <c r="O2521" i="6"/>
  <c r="O1257" i="6"/>
  <c r="O4862" i="6"/>
  <c r="O3052" i="6"/>
  <c r="O1294" i="6"/>
  <c r="O2227" i="6"/>
  <c r="O441" i="6"/>
  <c r="O2148" i="6"/>
  <c r="O404" i="6"/>
  <c r="O4481" i="6"/>
  <c r="O3945" i="6"/>
  <c r="O3583" i="6"/>
  <c r="O3934" i="6"/>
  <c r="O2032" i="6"/>
  <c r="O3988" i="6"/>
  <c r="O1265" i="6"/>
  <c r="O2686" i="6"/>
  <c r="O3037" i="6"/>
  <c r="O1714" i="6"/>
  <c r="O2622" i="6"/>
  <c r="O2137" i="6"/>
  <c r="O869" i="6"/>
  <c r="O1334" i="6"/>
  <c r="O1611" i="6"/>
  <c r="O4465" i="6"/>
  <c r="O2679" i="6"/>
  <c r="O413" i="6"/>
  <c r="O3516" i="6"/>
  <c r="O794" i="6"/>
  <c r="O4337" i="6"/>
  <c r="O417" i="6"/>
  <c r="O4846" i="6"/>
  <c r="O3009" i="6"/>
  <c r="O852" i="6"/>
  <c r="O4015" i="6"/>
  <c r="O4911" i="6"/>
  <c r="O2064" i="6"/>
  <c r="O838" i="6"/>
  <c r="O2539" i="6"/>
  <c r="O844" i="6"/>
  <c r="O3574" i="6"/>
  <c r="O580" i="6"/>
  <c r="O383" i="6"/>
  <c r="O1725" i="6"/>
  <c r="O2613" i="6"/>
  <c r="O3833" i="6"/>
  <c r="O1121" i="6"/>
  <c r="O3394" i="6"/>
  <c r="O356" i="6"/>
  <c r="O2921" i="6"/>
  <c r="O290" i="6"/>
  <c r="O805" i="6"/>
  <c r="O1492" i="6"/>
  <c r="O3479" i="6"/>
  <c r="O4734" i="6"/>
  <c r="O3508" i="6"/>
  <c r="O2658" i="6"/>
  <c r="O793" i="6"/>
  <c r="O2674" i="6"/>
  <c r="O2646" i="6"/>
  <c r="O1322" i="6"/>
  <c r="O1769" i="6"/>
  <c r="O4395" i="6"/>
  <c r="O1681" i="6"/>
  <c r="O847" i="6"/>
  <c r="O2666" i="6"/>
  <c r="O2670" i="6"/>
  <c r="O1233" i="6"/>
  <c r="O4900" i="6"/>
  <c r="O4242" i="6"/>
  <c r="O4735" i="6"/>
  <c r="O4417" i="6"/>
  <c r="O2078" i="6"/>
  <c r="O4666" i="6"/>
  <c r="O3107" i="6"/>
  <c r="O2665" i="6"/>
  <c r="O1485" i="6"/>
  <c r="O1290" i="6"/>
  <c r="O4709" i="6"/>
  <c r="O3497" i="6"/>
  <c r="O1699" i="6"/>
  <c r="O4009" i="6"/>
  <c r="O810" i="6"/>
  <c r="O3972" i="6"/>
  <c r="O1762" i="6"/>
  <c r="O2470" i="6"/>
  <c r="O341" i="6"/>
  <c r="O4349" i="6"/>
  <c r="O3363" i="6"/>
  <c r="O1126" i="6"/>
  <c r="O40" i="6"/>
  <c r="O1774" i="6"/>
  <c r="O3996" i="6"/>
  <c r="O2502" i="6"/>
  <c r="O2929" i="6"/>
  <c r="O1727" i="6"/>
  <c r="O4120" i="6"/>
  <c r="O3373" i="6"/>
  <c r="O4328" i="6"/>
  <c r="O4037" i="6"/>
  <c r="O2671" i="6"/>
  <c r="O1316" i="6"/>
  <c r="O753" i="6"/>
  <c r="O3742" i="6"/>
  <c r="O2632" i="6"/>
  <c r="O3500" i="6"/>
  <c r="O1501" i="6"/>
  <c r="O687" i="6"/>
  <c r="O3083" i="6"/>
  <c r="O811" i="6"/>
  <c r="O1720" i="6"/>
  <c r="O2183" i="6"/>
  <c r="O3585" i="6"/>
  <c r="O103" i="6"/>
  <c r="O3849" i="6"/>
  <c r="O3575" i="6"/>
  <c r="O1223" i="6"/>
  <c r="O4824" i="6"/>
  <c r="O901" i="6"/>
  <c r="O3417" i="6"/>
  <c r="O812" i="6"/>
  <c r="O2435" i="6"/>
  <c r="O4091" i="6"/>
  <c r="O498" i="6"/>
  <c r="O3977" i="6"/>
  <c r="O1944" i="6"/>
  <c r="O412" i="6"/>
  <c r="O4112" i="6"/>
  <c r="O3007" i="6"/>
  <c r="O4534" i="6"/>
  <c r="O347" i="6"/>
  <c r="O4405" i="6"/>
  <c r="O2978" i="6"/>
  <c r="O3619" i="6"/>
  <c r="O2352" i="6"/>
  <c r="O3803" i="6"/>
  <c r="O3303" i="6"/>
  <c r="O697" i="6"/>
  <c r="O4875" i="6"/>
  <c r="O267" i="6"/>
  <c r="O2127" i="6"/>
  <c r="O3541" i="6"/>
  <c r="O671" i="6"/>
  <c r="O297" i="6"/>
  <c r="O2986" i="6"/>
  <c r="O2173" i="6"/>
  <c r="O4430" i="6"/>
  <c r="O1164" i="6"/>
  <c r="O1286" i="6"/>
  <c r="O367" i="6"/>
  <c r="O4812" i="6"/>
  <c r="O2526" i="6"/>
  <c r="O352" i="6"/>
  <c r="O3554" i="6"/>
  <c r="O3127" i="6"/>
  <c r="O890" i="6"/>
  <c r="O381" i="6"/>
  <c r="O1719" i="6"/>
  <c r="O2165" i="6"/>
  <c r="O4025" i="6"/>
  <c r="O3066" i="6"/>
  <c r="O285" i="6"/>
  <c r="O4193" i="6"/>
  <c r="O2234" i="6"/>
  <c r="O371" i="6"/>
  <c r="O3489" i="6"/>
  <c r="O892" i="6"/>
  <c r="O3556" i="6"/>
  <c r="O733" i="6"/>
  <c r="O3074" i="6"/>
  <c r="O4290" i="6"/>
  <c r="O3134" i="6"/>
  <c r="O3090" i="6"/>
  <c r="O3058" i="6"/>
  <c r="O3034" i="6"/>
  <c r="O273" i="6"/>
  <c r="O2681" i="6"/>
  <c r="O3480" i="6"/>
  <c r="O2214" i="6"/>
  <c r="O449" i="6"/>
  <c r="O380" i="6"/>
  <c r="O1165" i="6"/>
  <c r="O1271" i="6"/>
  <c r="O4744" i="6"/>
  <c r="O1321" i="6"/>
  <c r="O2197" i="6"/>
  <c r="O721" i="6"/>
  <c r="O1750" i="6"/>
  <c r="O4717" i="6"/>
  <c r="O1301" i="6"/>
  <c r="O2219" i="6"/>
  <c r="O2161" i="6"/>
  <c r="O4426" i="6"/>
  <c r="O2653" i="6"/>
  <c r="O2204" i="6"/>
  <c r="O3063" i="6"/>
  <c r="O3938" i="6"/>
  <c r="O419" i="6"/>
  <c r="O4373" i="6"/>
  <c r="O3096" i="6"/>
  <c r="O2584" i="6"/>
  <c r="O3540" i="6"/>
  <c r="O693" i="6"/>
  <c r="O4374" i="6"/>
  <c r="O4427" i="6"/>
  <c r="O4013" i="6"/>
  <c r="O1277" i="6"/>
  <c r="O1179" i="6"/>
  <c r="O3282" i="6"/>
  <c r="O2611" i="6"/>
  <c r="O407" i="6"/>
  <c r="O1735" i="6"/>
  <c r="O1621" i="6"/>
  <c r="O2621" i="6"/>
  <c r="O4887" i="6"/>
  <c r="O4453" i="6"/>
  <c r="O3441" i="6"/>
  <c r="O310" i="6"/>
  <c r="O1650" i="6"/>
  <c r="O3565" i="6"/>
  <c r="O2615" i="6"/>
  <c r="O3043" i="6"/>
  <c r="O2529" i="6"/>
  <c r="O2524" i="6"/>
  <c r="O4896" i="6"/>
  <c r="O3190" i="6"/>
  <c r="O4761" i="6"/>
  <c r="O3442" i="6"/>
  <c r="O2494" i="6"/>
  <c r="O1702" i="6"/>
  <c r="O2442" i="6"/>
  <c r="O398" i="6"/>
  <c r="O3421" i="6"/>
  <c r="O266" i="6"/>
  <c r="O1325" i="6"/>
  <c r="O1655" i="6"/>
  <c r="O2501" i="6"/>
  <c r="O4860" i="6"/>
  <c r="O3967" i="6"/>
  <c r="O359" i="6"/>
  <c r="O4416" i="6"/>
  <c r="O2053" i="6"/>
  <c r="O897" i="6"/>
  <c r="O2379" i="6"/>
  <c r="O1693" i="6"/>
  <c r="O4315" i="6"/>
  <c r="O3105" i="6"/>
  <c r="O1974" i="6"/>
  <c r="O4787" i="6"/>
  <c r="O2643" i="6"/>
  <c r="O3908" i="6"/>
  <c r="O3430" i="6"/>
  <c r="O200" i="6"/>
  <c r="O3049" i="6"/>
  <c r="O4714" i="6"/>
  <c r="O1781" i="6"/>
  <c r="O4106" i="6"/>
  <c r="O2549" i="6"/>
  <c r="O4926" i="6"/>
  <c r="O3416" i="6"/>
  <c r="O769" i="6"/>
  <c r="O4393" i="6"/>
  <c r="O4274" i="6"/>
  <c r="O3948" i="6"/>
  <c r="O4322" i="6"/>
  <c r="O1788" i="6"/>
  <c r="O3098" i="6"/>
  <c r="O2452" i="6"/>
  <c r="O4893" i="6"/>
  <c r="O3936" i="6"/>
  <c r="O2698" i="6"/>
  <c r="O2393" i="6"/>
  <c r="O3561" i="6"/>
  <c r="O1039" i="6"/>
  <c r="O3933" i="6"/>
  <c r="O2703" i="6"/>
  <c r="O2574" i="6"/>
  <c r="O3084" i="6"/>
  <c r="O146" i="6"/>
  <c r="O3712" i="6"/>
  <c r="O694" i="6"/>
  <c r="O1707" i="6"/>
  <c r="O2182" i="6"/>
  <c r="O1319" i="6"/>
  <c r="O792" i="6"/>
  <c r="O782" i="6"/>
  <c r="O1703" i="6"/>
  <c r="O2630" i="6"/>
  <c r="O3748" i="6"/>
  <c r="O1287" i="6"/>
  <c r="O1250" i="6"/>
  <c r="O804" i="6"/>
  <c r="O2835" i="6"/>
  <c r="O1185" i="6"/>
  <c r="O1717" i="6"/>
  <c r="O2678" i="6"/>
  <c r="O3562" i="6"/>
  <c r="O3531" i="6"/>
  <c r="O4196" i="6"/>
  <c r="O2540" i="6"/>
  <c r="O345" i="6"/>
  <c r="O2952" i="6"/>
  <c r="O2876" i="6"/>
  <c r="O4180" i="6"/>
  <c r="O354" i="6"/>
  <c r="O1660" i="6"/>
  <c r="O1493" i="6"/>
  <c r="O2236" i="6"/>
  <c r="O366" i="6"/>
  <c r="O4434" i="6"/>
  <c r="O2687" i="6"/>
  <c r="O1694" i="6"/>
  <c r="O1338" i="6"/>
  <c r="O3029" i="6"/>
  <c r="O3085" i="6"/>
  <c r="O4529" i="6"/>
  <c r="O3094" i="6"/>
  <c r="O2221" i="6"/>
  <c r="O4746" i="6"/>
  <c r="O3501" i="6"/>
  <c r="O2610" i="6"/>
  <c r="O3506" i="6"/>
  <c r="O801" i="6"/>
  <c r="O4805" i="6"/>
  <c r="O2619" i="6"/>
  <c r="O3507" i="6"/>
  <c r="O731" i="6"/>
  <c r="O4830" i="6"/>
  <c r="O2589" i="6"/>
  <c r="O2109" i="6"/>
  <c r="O4377" i="6"/>
  <c r="O4014" i="6"/>
  <c r="O56" i="6"/>
  <c r="O3051" i="6"/>
  <c r="O3815" i="6"/>
  <c r="O3974" i="6"/>
  <c r="O2238" i="6"/>
  <c r="O269" i="6"/>
  <c r="O2634" i="6"/>
  <c r="O365" i="6"/>
  <c r="O1314" i="6"/>
  <c r="O1261" i="6"/>
  <c r="O3579" i="6"/>
  <c r="O3984" i="6"/>
  <c r="O3946" i="6"/>
  <c r="O2958" i="6"/>
  <c r="O3699" i="6"/>
  <c r="O4462" i="6"/>
  <c r="O4749" i="6"/>
  <c r="O4391" i="6"/>
  <c r="O1731" i="6"/>
  <c r="O355" i="6"/>
  <c r="O4849" i="6"/>
  <c r="O1213" i="6"/>
  <c r="O3881" i="6"/>
  <c r="O4410" i="6"/>
  <c r="O1326" i="6"/>
  <c r="O889" i="6"/>
  <c r="O1759" i="6"/>
  <c r="O3133" i="6"/>
  <c r="O1297" i="6"/>
  <c r="O4394" i="6"/>
  <c r="O3537" i="6"/>
  <c r="O1242" i="6"/>
  <c r="O3494" i="6"/>
  <c r="O2215" i="6"/>
  <c r="O3511" i="6"/>
  <c r="O2581" i="6"/>
  <c r="O4572" i="6"/>
  <c r="O3578" i="6"/>
  <c r="O4419" i="6"/>
  <c r="O2179" i="6"/>
  <c r="O2654" i="6"/>
  <c r="O261" i="6"/>
  <c r="O3409" i="6"/>
  <c r="O2133" i="6"/>
  <c r="O4457" i="6"/>
  <c r="O2656" i="6"/>
  <c r="O3132" i="6"/>
  <c r="O2387" i="6"/>
  <c r="O1690" i="6"/>
  <c r="O673" i="6"/>
  <c r="O3956" i="6"/>
  <c r="O3515" i="6"/>
  <c r="O4021" i="6"/>
  <c r="O2135" i="6"/>
  <c r="O2162" i="6"/>
  <c r="O2389" i="6"/>
  <c r="O3499" i="6"/>
  <c r="O293" i="6"/>
  <c r="O284" i="6"/>
  <c r="O2166" i="6"/>
  <c r="O3061" i="6"/>
  <c r="O2587" i="6"/>
  <c r="O3845" i="6"/>
  <c r="O3550" i="6"/>
  <c r="O4669" i="6"/>
  <c r="O2200" i="6"/>
  <c r="O394" i="6"/>
  <c r="O1037" i="6"/>
  <c r="O2157" i="6"/>
  <c r="O696" i="6"/>
  <c r="O2629" i="6"/>
  <c r="O4438" i="6"/>
  <c r="O353" i="6"/>
  <c r="O1186" i="6"/>
  <c r="O442" i="6"/>
  <c r="O1701" i="6"/>
  <c r="O372" i="6"/>
  <c r="O1607" i="6"/>
  <c r="O2537" i="6"/>
  <c r="O2202" i="6"/>
  <c r="O3070" i="6"/>
  <c r="O447" i="6"/>
  <c r="O4443" i="6"/>
  <c r="O4904" i="6"/>
  <c r="O1680" i="6"/>
  <c r="O1307" i="6"/>
  <c r="O3995" i="6"/>
  <c r="O427" i="6"/>
  <c r="O2625" i="6"/>
  <c r="O1715" i="6"/>
  <c r="O4360" i="6"/>
  <c r="O2592" i="6"/>
  <c r="O3521" i="6"/>
  <c r="O4387" i="6"/>
  <c r="O739" i="6"/>
  <c r="O1426" i="6"/>
  <c r="O2177" i="6"/>
  <c r="O346" i="6"/>
  <c r="O1552" i="6"/>
  <c r="O948" i="6"/>
  <c r="O1203" i="6"/>
  <c r="O3870" i="6"/>
  <c r="O4301" i="6"/>
  <c r="O2593" i="6"/>
  <c r="O3825" i="6"/>
  <c r="O3388" i="6"/>
  <c r="O3495" i="6"/>
  <c r="O4770" i="6"/>
  <c r="O1306" i="6"/>
  <c r="O858" i="6"/>
  <c r="O2085" i="6"/>
  <c r="O3788" i="6"/>
  <c r="O4317" i="6"/>
  <c r="O3093" i="6"/>
  <c r="O1581" i="6"/>
  <c r="O428" i="6"/>
  <c r="O440" i="6"/>
  <c r="O400" i="6"/>
  <c r="O1658" i="6"/>
  <c r="O152" i="6"/>
  <c r="O3455" i="6"/>
  <c r="O470" i="6"/>
  <c r="O3065" i="6"/>
  <c r="O2380" i="6"/>
  <c r="O3790" i="6"/>
  <c r="O455" i="6"/>
  <c r="O296" i="6"/>
  <c r="O4306" i="6"/>
  <c r="O1238" i="6"/>
  <c r="O1610" i="6"/>
  <c r="O2226" i="6"/>
  <c r="O4422" i="6"/>
  <c r="O4632" i="6"/>
  <c r="O2480" i="6"/>
  <c r="O4598" i="6"/>
  <c r="O3953" i="6"/>
  <c r="O4389" i="6"/>
  <c r="O3509" i="6"/>
  <c r="O493" i="6"/>
  <c r="O1792" i="6"/>
  <c r="O1598" i="6"/>
  <c r="O374" i="6"/>
  <c r="O1859" i="6"/>
  <c r="O1738" i="6"/>
  <c r="O2321" i="6"/>
  <c r="O4567" i="6"/>
  <c r="O1691" i="6"/>
  <c r="O1111" i="6"/>
  <c r="O4204" i="6"/>
  <c r="O3983" i="6"/>
  <c r="O1247" i="6"/>
  <c r="O826" i="6"/>
  <c r="O3855" i="6"/>
  <c r="O2355" i="6"/>
  <c r="O3882" i="6"/>
  <c r="O3783" i="6"/>
  <c r="O277" i="6"/>
  <c r="O3548" i="6"/>
  <c r="O373" i="6"/>
  <c r="O3011" i="6"/>
  <c r="O783" i="6"/>
  <c r="O396" i="6"/>
  <c r="O2908" i="6"/>
  <c r="O4823" i="6"/>
  <c r="O2664" i="6"/>
  <c r="O3270" i="6"/>
  <c r="O809" i="6"/>
  <c r="O2594" i="6"/>
  <c r="O3130" i="6"/>
  <c r="O4539" i="6"/>
  <c r="O264" i="6"/>
  <c r="O406" i="6"/>
  <c r="O2638" i="6"/>
  <c r="O2997" i="6"/>
  <c r="O1706" i="6"/>
  <c r="O2203" i="6"/>
  <c r="O4478" i="6"/>
  <c r="O614" i="6"/>
  <c r="O774" i="6"/>
  <c r="O2614" i="6"/>
  <c r="O1174" i="6"/>
  <c r="O4894" i="6"/>
  <c r="O3483" i="6"/>
  <c r="O260" i="6"/>
  <c r="O1757" i="6"/>
  <c r="O3422" i="6"/>
  <c r="O495" i="6"/>
  <c r="O333" i="6"/>
  <c r="O647" i="6"/>
  <c r="O1941" i="6"/>
  <c r="O136" i="6"/>
  <c r="O3060" i="6"/>
  <c r="O3707" i="6"/>
  <c r="O4813" i="6"/>
  <c r="O2605" i="6"/>
  <c r="O4898" i="6"/>
  <c r="O3092" i="6"/>
  <c r="O1764" i="6"/>
  <c r="O2518" i="6"/>
  <c r="O388" i="6"/>
  <c r="O4006" i="6"/>
  <c r="O2993" i="6"/>
  <c r="O2432" i="6"/>
  <c r="O322" i="6"/>
  <c r="O668" i="6"/>
  <c r="O2612" i="6"/>
  <c r="O4827" i="6"/>
  <c r="O1292" i="6"/>
  <c r="O2118" i="6"/>
  <c r="O44" i="6"/>
  <c r="O4738" i="6"/>
  <c r="O3453" i="6"/>
  <c r="O3738" i="6"/>
  <c r="O2943" i="6"/>
  <c r="O2399" i="6"/>
  <c r="O1747" i="6"/>
  <c r="O3361" i="6"/>
  <c r="O1197" i="6"/>
  <c r="O2977" i="6"/>
  <c r="O2164" i="6"/>
  <c r="O589" i="6"/>
  <c r="O1761" i="6"/>
  <c r="O2810" i="6"/>
  <c r="O231" i="6"/>
  <c r="O2065" i="6"/>
  <c r="O4897" i="6"/>
  <c r="O4329" i="6"/>
  <c r="O4631" i="6"/>
  <c r="O358" i="6"/>
  <c r="O2657" i="6"/>
  <c r="O4663" i="6"/>
  <c r="O3075" i="6"/>
  <c r="O3099" i="6"/>
  <c r="O3535" i="6"/>
  <c r="O4451" i="6"/>
  <c r="O317" i="6"/>
  <c r="O3963" i="6"/>
  <c r="O3989" i="6"/>
  <c r="O4017" i="6"/>
  <c r="O3552" i="6"/>
  <c r="O1267" i="6"/>
  <c r="O799" i="6"/>
  <c r="O2021" i="6"/>
  <c r="O2473" i="6"/>
  <c r="O1255" i="6"/>
  <c r="O1641" i="6"/>
  <c r="O3993" i="6"/>
  <c r="O2533" i="6"/>
  <c r="O4291" i="6"/>
  <c r="O1753" i="6"/>
  <c r="O1782" i="6"/>
  <c r="O4691" i="6"/>
  <c r="O4079" i="6"/>
  <c r="O3068" i="6"/>
  <c r="O1396" i="6"/>
  <c r="O864" i="6"/>
  <c r="O819" i="6"/>
  <c r="O825" i="6"/>
  <c r="O432" i="6"/>
  <c r="O2125" i="6"/>
  <c r="O3129" i="6"/>
  <c r="O4333" i="6"/>
  <c r="O760" i="6"/>
  <c r="O4472" i="6"/>
  <c r="O1892" i="6"/>
  <c r="O3284" i="6"/>
  <c r="O4726" i="6"/>
  <c r="O2191" i="6"/>
  <c r="O357" i="6"/>
  <c r="O4124" i="6"/>
  <c r="O2531" i="6"/>
  <c r="O4033" i="6"/>
  <c r="O3595" i="6"/>
  <c r="O4421" i="6"/>
  <c r="O4380" i="6"/>
  <c r="O1969" i="6"/>
  <c r="O2201" i="6"/>
  <c r="O2623" i="6"/>
  <c r="O745" i="6"/>
  <c r="O1216" i="6"/>
  <c r="O3852" i="6"/>
  <c r="O137" i="6"/>
  <c r="O1330" i="6"/>
  <c r="O3110" i="6"/>
  <c r="O4008" i="6"/>
  <c r="O4004" i="6"/>
  <c r="O3801" i="6"/>
  <c r="O3539" i="6"/>
  <c r="O2680" i="6"/>
  <c r="O4240" i="6"/>
  <c r="O3549" i="6"/>
  <c r="O3848" i="6"/>
  <c r="O4834" i="6"/>
  <c r="O3050" i="6"/>
  <c r="O4459" i="6"/>
  <c r="O2153" i="6"/>
  <c r="O1115" i="6"/>
  <c r="O3429" i="6"/>
  <c r="O4261" i="6"/>
  <c r="O3027" i="6"/>
  <c r="O798" i="6"/>
  <c r="O2455" i="6"/>
  <c r="O1103" i="6"/>
  <c r="O343" i="6"/>
  <c r="O4467" i="6"/>
  <c r="O3498" i="6"/>
  <c r="O3591" i="6"/>
  <c r="O4784" i="6"/>
  <c r="O875" i="6"/>
  <c r="O2759" i="6"/>
  <c r="O4828" i="6"/>
  <c r="O2098" i="6"/>
  <c r="O3277" i="6"/>
  <c r="O3364" i="6"/>
  <c r="O1304" i="6"/>
  <c r="O1142" i="6"/>
  <c r="O448" i="6"/>
  <c r="O3041" i="6"/>
  <c r="O4914" i="6"/>
  <c r="O3843" i="6"/>
  <c r="O370" i="6"/>
  <c r="O3318" i="6"/>
  <c r="O2426" i="6"/>
  <c r="O1344" i="6"/>
  <c r="O2944" i="6"/>
  <c r="O824" i="6"/>
  <c r="O3156" i="6"/>
  <c r="O1677" i="6"/>
  <c r="O1684" i="6"/>
  <c r="O2216" i="6"/>
  <c r="O2673" i="6"/>
  <c r="O2490" i="6"/>
  <c r="O4756" i="6"/>
  <c r="O1975" i="6"/>
  <c r="O3973" i="6"/>
  <c r="O3502" i="6"/>
  <c r="O1583" i="6"/>
  <c r="O4059" i="6"/>
  <c r="O184" i="6"/>
  <c r="O4342" i="6"/>
  <c r="O2495" i="6"/>
  <c r="O325" i="6"/>
  <c r="O1686" i="6"/>
  <c r="O377" i="6"/>
  <c r="O1697" i="6"/>
  <c r="O4686" i="6"/>
  <c r="O4881" i="6"/>
  <c r="O3481" i="6"/>
  <c r="O900" i="6"/>
  <c r="O3001" i="6"/>
  <c r="O1700" i="6"/>
  <c r="O3413" i="6"/>
  <c r="O3534" i="6"/>
  <c r="O3335" i="6"/>
  <c r="O4486" i="6"/>
  <c r="O2631" i="6"/>
  <c r="O3025" i="6"/>
  <c r="O3504" i="6"/>
  <c r="O3088" i="6"/>
  <c r="O2375" i="6"/>
  <c r="O3617" i="6"/>
  <c r="O2370" i="6"/>
  <c r="O1633" i="6"/>
  <c r="O2603" i="6"/>
  <c r="O2485" i="6"/>
  <c r="O4289" i="6"/>
  <c r="O1191" i="6"/>
  <c r="O834" i="6"/>
  <c r="O4312" i="6"/>
  <c r="O1090" i="6"/>
  <c r="O1629" i="6"/>
  <c r="O1602" i="6"/>
  <c r="O533" i="6"/>
  <c r="O4232" i="6"/>
  <c r="O3755" i="6"/>
  <c r="O3047" i="6"/>
  <c r="O4683" i="6"/>
  <c r="O1740" i="6"/>
  <c r="O2570" i="6"/>
  <c r="O4848" i="6"/>
  <c r="O216" i="6"/>
  <c r="O1136" i="6"/>
  <c r="O229" i="6"/>
  <c r="O1137" i="6"/>
  <c r="O2112" i="6"/>
  <c r="O2558" i="6"/>
  <c r="O2008" i="6"/>
  <c r="O1724" i="6"/>
  <c r="O1182" i="6"/>
  <c r="O2231" i="6"/>
  <c r="O4527" i="6"/>
  <c r="O4188" i="6"/>
  <c r="O3861" i="6"/>
  <c r="O895" i="6"/>
  <c r="O4279" i="6"/>
  <c r="O862" i="6"/>
  <c r="O295" i="6"/>
  <c r="O1824" i="6"/>
  <c r="O2146" i="6"/>
  <c r="O4001" i="6"/>
  <c r="O2641" i="6"/>
  <c r="O833" i="6"/>
  <c r="O1785" i="6"/>
  <c r="O873" i="6"/>
  <c r="O1187" i="6"/>
  <c r="O2886" i="6"/>
  <c r="O1333" i="6"/>
  <c r="O874" i="6"/>
  <c r="O3543" i="6"/>
  <c r="O1318" i="6"/>
  <c r="O790" i="6"/>
  <c r="O4026" i="6"/>
  <c r="O4308" i="6"/>
  <c r="O2689" i="6"/>
  <c r="O2083" i="6"/>
  <c r="O2685" i="6"/>
  <c r="O831" i="6"/>
  <c r="O382" i="6"/>
  <c r="O2688" i="6"/>
  <c r="O4718" i="6"/>
  <c r="O2482" i="6"/>
  <c r="O2676" i="6"/>
  <c r="O1613" i="6"/>
  <c r="O2172" i="6"/>
  <c r="O436" i="6"/>
  <c r="O4870" i="6"/>
  <c r="O845" i="6"/>
  <c r="O1221" i="6"/>
  <c r="O588" i="6"/>
  <c r="O936" i="6"/>
  <c r="O4005" i="6"/>
  <c r="O583" i="6"/>
  <c r="O415" i="6"/>
  <c r="O3369" i="6"/>
  <c r="O74" i="6"/>
  <c r="O4252" i="6"/>
  <c r="O3634" i="6"/>
  <c r="O254" i="6"/>
  <c r="O567" i="6"/>
  <c r="O3467" i="6"/>
  <c r="O2616" i="6"/>
  <c r="O740" i="6"/>
  <c r="O3031" i="6"/>
  <c r="O4032" i="6"/>
  <c r="O715" i="6"/>
  <c r="O4319" i="6"/>
  <c r="O730" i="6"/>
  <c r="O2906" i="6"/>
  <c r="O2852" i="6"/>
  <c r="O281" i="6"/>
  <c r="O2837" i="6"/>
  <c r="O4611" i="6"/>
  <c r="O857" i="6"/>
  <c r="O2031" i="6"/>
  <c r="O4871" i="6"/>
  <c r="O4000" i="6"/>
  <c r="O4890" i="6"/>
  <c r="O717" i="6"/>
  <c r="O4444" i="6"/>
  <c r="O4839" i="6"/>
  <c r="O3985" i="6"/>
  <c r="O369" i="6"/>
  <c r="O2237" i="6"/>
  <c r="O677" i="6"/>
  <c r="O746" i="6"/>
  <c r="O3949" i="6"/>
  <c r="O1890" i="6"/>
  <c r="O3544" i="6"/>
  <c r="O1671" i="6"/>
  <c r="O3054" i="6"/>
  <c r="O2963" i="6"/>
  <c r="O2210" i="6"/>
  <c r="O1153" i="6"/>
  <c r="O3431" i="6"/>
  <c r="O4171" i="6"/>
  <c r="O2496" i="6"/>
  <c r="O1617" i="6"/>
  <c r="O1775" i="6"/>
  <c r="O208" i="6"/>
  <c r="O1840" i="6"/>
  <c r="O376" i="6"/>
  <c r="O2446" i="6"/>
  <c r="O391" i="6"/>
  <c r="O236" i="6"/>
  <c r="O438" i="6"/>
  <c r="O1950" i="6"/>
  <c r="O362" i="6"/>
  <c r="O245" i="6"/>
  <c r="O3965" i="6"/>
  <c r="O2211" i="6"/>
  <c r="O2122" i="6"/>
  <c r="O2811" i="6"/>
  <c r="O4901" i="6"/>
  <c r="O1180" i="6"/>
  <c r="O1232" i="6"/>
  <c r="O263" i="6"/>
  <c r="O2850" i="6"/>
  <c r="O1623" i="6"/>
  <c r="O1150" i="6"/>
  <c r="O4402" i="6"/>
  <c r="O4511" i="6"/>
  <c r="O4560" i="6"/>
  <c r="O4346" i="6"/>
  <c r="O2412" i="6"/>
  <c r="O4398" i="6"/>
  <c r="O275" i="6"/>
  <c r="O1630" i="6"/>
  <c r="O2091" i="6"/>
  <c r="O4817" i="6"/>
  <c r="O2213" i="6"/>
  <c r="O3035" i="6"/>
  <c r="O3532" i="6"/>
  <c r="O4802" i="6"/>
  <c r="O3410" i="6"/>
  <c r="O2027" i="6"/>
  <c r="O4175" i="6"/>
  <c r="O1545" i="6"/>
  <c r="O1689" i="6"/>
  <c r="O2645" i="6"/>
  <c r="O1733" i="6"/>
  <c r="O1367" i="6"/>
  <c r="O239" i="6"/>
  <c r="O4411" i="6"/>
  <c r="O2828" i="6"/>
  <c r="O3854" i="6"/>
  <c r="O3823" i="6"/>
  <c r="O784" i="6"/>
  <c r="O4799" i="6"/>
  <c r="O316" i="6"/>
  <c r="O1133" i="6"/>
  <c r="O1231" i="6"/>
  <c r="O3492" i="6"/>
  <c r="O4519" i="6"/>
  <c r="O3533" i="6"/>
  <c r="O4872" i="6"/>
  <c r="O4741" i="6"/>
  <c r="O2994" i="6"/>
  <c r="O4450" i="6"/>
  <c r="O1789" i="6"/>
  <c r="O1790" i="6"/>
  <c r="O896" i="6"/>
  <c r="O251" i="6"/>
  <c r="O3903" i="6"/>
  <c r="O3069" i="6"/>
  <c r="O1324" i="6"/>
  <c r="O3121" i="6"/>
  <c r="O1273" i="6"/>
  <c r="O4886" i="6"/>
  <c r="O2212" i="6"/>
  <c r="O1643" i="6"/>
  <c r="O4720" i="6"/>
  <c r="O3947" i="6"/>
  <c r="O2945" i="6"/>
  <c r="O1512" i="6"/>
  <c r="O2145" i="6"/>
  <c r="O3114" i="6"/>
  <c r="O4777" i="6"/>
  <c r="O2419" i="6"/>
  <c r="O3045" i="6"/>
  <c r="O3385" i="6"/>
  <c r="O675" i="6"/>
  <c r="O1776" i="6"/>
  <c r="O4446" i="6"/>
  <c r="O883" i="6"/>
  <c r="O3818" i="6"/>
  <c r="O2189" i="6"/>
  <c r="O1227" i="6"/>
  <c r="O1926" i="6"/>
  <c r="O4701" i="6"/>
  <c r="O3470" i="6"/>
  <c r="O153" i="6"/>
  <c r="O3367" i="6"/>
  <c r="O3463" i="6"/>
  <c r="O866" i="6"/>
  <c r="O3109" i="6"/>
  <c r="O983" i="6"/>
  <c r="O3571" i="6"/>
  <c r="O1128" i="6"/>
  <c r="O1012" i="6"/>
  <c r="O2637" i="6"/>
  <c r="O1473" i="6"/>
  <c r="O4906" i="6"/>
  <c r="O4737" i="6"/>
  <c r="O803" i="6"/>
  <c r="O3994" i="6"/>
  <c r="O1075" i="6"/>
  <c r="O1380" i="6"/>
  <c r="O3676" i="6"/>
  <c r="O1687" i="6"/>
  <c r="O1649" i="6"/>
  <c r="O4489" i="6"/>
  <c r="O403" i="6"/>
  <c r="O2818" i="6"/>
  <c r="O111" i="6"/>
  <c r="O4272" i="6"/>
  <c r="O887" i="6"/>
  <c r="O4727" i="6"/>
  <c r="O4699" i="6"/>
  <c r="O1908" i="6"/>
  <c r="O1226" i="6"/>
  <c r="O1059" i="6"/>
  <c r="O112" i="6"/>
  <c r="O3064" i="6"/>
  <c r="O1722" i="6"/>
  <c r="O3214" i="6"/>
  <c r="O3618" i="6"/>
  <c r="O4715" i="6"/>
  <c r="O4485" i="6"/>
  <c r="O2037" i="6"/>
  <c r="O1995" i="6"/>
  <c r="O3700" i="6"/>
  <c r="O3053" i="6"/>
  <c r="O2939" i="6"/>
  <c r="O349" i="6"/>
  <c r="O2522" i="6"/>
  <c r="O4381" i="6"/>
  <c r="O2822" i="6"/>
  <c r="O3319" i="6"/>
  <c r="O1019" i="6"/>
  <c r="O3951" i="6"/>
  <c r="O4385" i="6"/>
  <c r="O4413" i="6"/>
  <c r="O1127" i="6"/>
  <c r="O630" i="6"/>
  <c r="O3447" i="6"/>
  <c r="O1263" i="6"/>
  <c r="O2272" i="6"/>
  <c r="O1138" i="6"/>
  <c r="O1695" i="6"/>
  <c r="O4807" i="6"/>
  <c r="O3955" i="6"/>
  <c r="O1349" i="6"/>
  <c r="O2274" i="6"/>
  <c r="O2904" i="6"/>
  <c r="O4703" i="6"/>
  <c r="O670" i="6"/>
  <c r="O2644" i="6"/>
  <c r="O2683" i="6"/>
  <c r="O3939" i="6"/>
  <c r="O878" i="6"/>
  <c r="O3046" i="6"/>
  <c r="O2819" i="6"/>
  <c r="O2151" i="6"/>
  <c r="O727" i="6"/>
  <c r="O2667" i="6"/>
  <c r="O4089" i="6"/>
  <c r="O1274" i="6"/>
  <c r="O1410" i="6"/>
  <c r="O3015" i="6"/>
  <c r="O4748" i="6"/>
  <c r="O2655" i="6"/>
  <c r="O2672" i="6"/>
  <c r="O1096" i="6"/>
  <c r="O802" i="6"/>
  <c r="O3786" i="6"/>
  <c r="O1605" i="6"/>
  <c r="O1590" i="6"/>
  <c r="O4127" i="6"/>
  <c r="O190" i="6"/>
  <c r="O225" i="6"/>
  <c r="O692" i="6"/>
  <c r="O2476" i="6"/>
  <c r="O416" i="6"/>
  <c r="O4740" i="6"/>
  <c r="O2628" i="6"/>
  <c r="O2505" i="6"/>
  <c r="O2971" i="6"/>
  <c r="O4016" i="6"/>
  <c r="O4548" i="6"/>
  <c r="O2807" i="6"/>
  <c r="O951" i="6"/>
  <c r="O1704" i="6"/>
  <c r="O3191" i="6"/>
  <c r="O1082" i="6"/>
  <c r="O248" i="6"/>
  <c r="O4682" i="6"/>
  <c r="O2974" i="6"/>
  <c r="O1327" i="6"/>
  <c r="O2427" i="6"/>
  <c r="O3757" i="6"/>
  <c r="O2925" i="6"/>
  <c r="O1064" i="6"/>
  <c r="O4811" i="6"/>
  <c r="O1189" i="6"/>
  <c r="O2554" i="6"/>
  <c r="O643" i="6"/>
  <c r="O2620" i="6"/>
  <c r="O1027" i="6"/>
  <c r="O4313" i="6"/>
  <c r="O4600" i="6"/>
  <c r="O3929" i="6"/>
  <c r="O3937" i="6"/>
  <c r="O3962" i="6"/>
  <c r="O3276" i="6"/>
  <c r="O967" i="6"/>
  <c r="O1276" i="6"/>
  <c r="O822" i="6"/>
  <c r="O2233" i="6"/>
  <c r="O3740" i="6"/>
  <c r="O3830" i="6"/>
  <c r="O2516" i="6"/>
  <c r="O808" i="6"/>
  <c r="O2168" i="6"/>
  <c r="O893" i="6"/>
  <c r="O594" i="6"/>
  <c r="O2949" i="6"/>
  <c r="O2983" i="6"/>
  <c r="O435" i="6"/>
  <c r="O1632" i="6"/>
  <c r="O4223" i="6"/>
  <c r="O4366" i="6"/>
  <c r="O2181" i="6"/>
  <c r="O4335" i="6"/>
  <c r="O2217" i="6"/>
  <c r="O4791" i="6"/>
  <c r="O4357" i="6"/>
  <c r="O3382" i="6"/>
  <c r="O4083" i="6"/>
  <c r="O258" i="6"/>
  <c r="O2728" i="6"/>
  <c r="O4633" i="6"/>
  <c r="O710" i="6"/>
  <c r="O2892" i="6"/>
  <c r="O57" i="6"/>
  <c r="O2557" i="6"/>
  <c r="O2061" i="6"/>
  <c r="O2878" i="6"/>
  <c r="O1116" i="6"/>
  <c r="O1612" i="6"/>
  <c r="O2597" i="6"/>
  <c r="O3231" i="6"/>
  <c r="O2585" i="6"/>
  <c r="O3120" i="6"/>
  <c r="O1149" i="6"/>
  <c r="O767" i="6"/>
  <c r="O1083" i="6"/>
  <c r="O2938" i="6"/>
  <c r="O3669" i="6"/>
  <c r="O4521" i="6"/>
  <c r="O2736" i="6"/>
  <c r="O907" i="6"/>
  <c r="O4621" i="6"/>
  <c r="O993" i="6"/>
  <c r="O1355" i="6"/>
  <c r="O2804" i="6"/>
  <c r="O2418" i="6"/>
  <c r="O4173" i="6"/>
  <c r="O2428" i="6"/>
  <c r="O3925" i="6"/>
  <c r="O2928" i="6"/>
  <c r="O1954" i="6"/>
  <c r="O1600" i="6"/>
  <c r="O274" i="6"/>
  <c r="O1194" i="6"/>
  <c r="O3457" i="6"/>
  <c r="O3747" i="6"/>
  <c r="O2218" i="6"/>
  <c r="O1329" i="6"/>
  <c r="O3730" i="6"/>
  <c r="O4362" i="6"/>
  <c r="O1240" i="6"/>
  <c r="O3071" i="6"/>
  <c r="O4788" i="6"/>
  <c r="O4336" i="6"/>
  <c r="O4297" i="6"/>
  <c r="O2156" i="6"/>
  <c r="O707" i="6"/>
  <c r="O4710" i="6"/>
  <c r="O4484" i="6"/>
  <c r="O3252" i="6"/>
  <c r="O1147" i="6"/>
  <c r="O2279" i="6"/>
  <c r="O817" i="6"/>
  <c r="O2595" i="6"/>
  <c r="O2514" i="6"/>
  <c r="O2635" i="6"/>
  <c r="O1166" i="6"/>
  <c r="O1192" i="6"/>
  <c r="O2999" i="6"/>
  <c r="O4626" i="6"/>
  <c r="O2489" i="6"/>
  <c r="O3998" i="6"/>
  <c r="O1675" i="6"/>
  <c r="O818" i="6"/>
  <c r="O3551" i="6"/>
  <c r="O3274" i="6"/>
  <c r="O855" i="6"/>
  <c r="O1736" i="6"/>
  <c r="O2601" i="6"/>
  <c r="O4454" i="6"/>
  <c r="O2291" i="6"/>
  <c r="O4760" i="6"/>
  <c r="O3003" i="6"/>
  <c r="O314" i="6"/>
  <c r="O2063" i="6"/>
  <c r="O1248" i="6"/>
  <c r="O1266" i="6"/>
  <c r="O1015" i="6"/>
  <c r="O3839" i="6"/>
  <c r="O4757" i="6"/>
  <c r="O2556" i="6"/>
  <c r="O2563" i="6"/>
  <c r="O884" i="6"/>
  <c r="O4024" i="6"/>
  <c r="O3111" i="6"/>
  <c r="O4365" i="6"/>
  <c r="O1907" i="6"/>
  <c r="O1140" i="6"/>
  <c r="O4836" i="6"/>
  <c r="O483" i="6"/>
  <c r="O2542" i="6"/>
  <c r="O2640" i="6"/>
  <c r="O3505" i="6"/>
  <c r="O3886" i="6"/>
  <c r="O1251" i="6"/>
  <c r="O1510" i="6"/>
  <c r="O2841" i="6"/>
  <c r="O625" i="6"/>
  <c r="O2404" i="6"/>
  <c r="O4907" i="6"/>
  <c r="O2119" i="6"/>
  <c r="O2955" i="6"/>
  <c r="O237" i="6"/>
  <c r="O4388" i="6"/>
  <c r="O1919" i="6"/>
  <c r="O3211" i="6"/>
  <c r="O1634" i="6"/>
  <c r="O2080" i="6"/>
  <c r="O723" i="6"/>
  <c r="O2142" i="6"/>
  <c r="O1739" i="6"/>
  <c r="O2579" i="6"/>
  <c r="O829" i="6"/>
  <c r="O1685" i="6"/>
  <c r="O2663" i="6"/>
  <c r="O1260" i="6"/>
  <c r="O230" i="6"/>
  <c r="O2022" i="6"/>
  <c r="O3433" i="6"/>
  <c r="O2695" i="6"/>
  <c r="O4439" i="6"/>
  <c r="O1337" i="6"/>
  <c r="O4556" i="6"/>
  <c r="O771" i="6"/>
  <c r="O2066" i="6"/>
  <c r="O772" i="6"/>
  <c r="O4408" i="6"/>
  <c r="O2190" i="6"/>
  <c r="O4605" i="6"/>
  <c r="O711" i="6"/>
  <c r="O3966" i="6"/>
  <c r="O3123" i="6"/>
  <c r="O3437" i="6"/>
  <c r="O2360" i="6"/>
  <c r="O3309" i="6"/>
  <c r="O3872" i="6"/>
  <c r="O2969" i="6"/>
  <c r="O4154" i="6"/>
  <c r="O3651" i="6"/>
  <c r="O3244" i="6"/>
  <c r="O4137" i="6"/>
  <c r="O3407" i="6"/>
  <c r="O4899" i="6"/>
  <c r="O2110" i="6"/>
  <c r="O4771" i="6"/>
  <c r="O4463" i="6"/>
  <c r="O1646" i="6"/>
  <c r="O823" i="6"/>
  <c r="O301" i="6"/>
  <c r="O1285" i="6"/>
  <c r="O4341" i="6"/>
  <c r="O2684" i="6"/>
  <c r="O1412" i="6"/>
  <c r="O4869" i="6"/>
  <c r="O3380" i="6"/>
  <c r="O3797" i="6"/>
  <c r="O3859" i="6"/>
  <c r="O1086" i="6"/>
  <c r="O2402" i="6"/>
  <c r="O2722" i="6"/>
  <c r="O3768" i="6"/>
  <c r="O2411" i="6"/>
  <c r="O4843" i="6"/>
  <c r="O1135" i="6"/>
  <c r="O4153" i="6"/>
  <c r="O421" i="6"/>
  <c r="O1305" i="6"/>
  <c r="O4092" i="6"/>
  <c r="O2034" i="6"/>
  <c r="O816" i="6"/>
  <c r="O309" i="6"/>
  <c r="O1400" i="6"/>
  <c r="O1094" i="6"/>
  <c r="O3018" i="6"/>
  <c r="O270" i="6"/>
  <c r="O4712" i="6"/>
  <c r="O3294" i="6"/>
  <c r="O302" i="6"/>
  <c r="O2087" i="6"/>
  <c r="O1791" i="6"/>
  <c r="O1708" i="6"/>
  <c r="O505" i="6"/>
  <c r="O1964" i="6"/>
  <c r="O4435" i="6"/>
  <c r="O3889" i="6"/>
  <c r="O3465" i="6"/>
  <c r="O3710" i="6"/>
  <c r="O4384" i="6"/>
  <c r="O534" i="6"/>
  <c r="O2980" i="6"/>
  <c r="O1072" i="6"/>
  <c r="O2530" i="6"/>
  <c r="O1541" i="6"/>
  <c r="O4679" i="6"/>
  <c r="O1497" i="6"/>
  <c r="O3057" i="6"/>
  <c r="O4685" i="6"/>
  <c r="O965" i="6"/>
  <c r="O218" i="6"/>
  <c r="O3399" i="6"/>
  <c r="O2437" i="6"/>
  <c r="O1927" i="6"/>
  <c r="O3212" i="6"/>
  <c r="O1386" i="6"/>
  <c r="O253" i="6"/>
  <c r="O3662" i="6"/>
  <c r="O3518" i="6"/>
  <c r="O459" i="6"/>
  <c r="O3434" i="6"/>
  <c r="O3260" i="6"/>
  <c r="O4003" i="6"/>
  <c r="O3902" i="6"/>
  <c r="O4913" i="6"/>
  <c r="O2082" i="6"/>
  <c r="O1025" i="6"/>
  <c r="O3339" i="6"/>
  <c r="O3486" i="6"/>
  <c r="O3566" i="6"/>
  <c r="O3039" i="6"/>
  <c r="O3940" i="6"/>
  <c r="O3514" i="6"/>
  <c r="O3349" i="6"/>
  <c r="O4354" i="6"/>
  <c r="O2609" i="6"/>
  <c r="O4101" i="6"/>
  <c r="O1577" i="6"/>
  <c r="O4461" i="6"/>
  <c r="O2562" i="6"/>
  <c r="O1940" i="6"/>
  <c r="O1754" i="6"/>
  <c r="O280" i="6"/>
  <c r="O1328" i="6"/>
  <c r="O6" i="6"/>
  <c r="O1657" i="6"/>
  <c r="O3325" i="6"/>
  <c r="O2951" i="6"/>
  <c r="O4247" i="6"/>
  <c r="O4081" i="6"/>
  <c r="O3256" i="6"/>
  <c r="O1000" i="6"/>
  <c r="O2998" i="6"/>
  <c r="O3581" i="6"/>
  <c r="O2270" i="6"/>
  <c r="O4856" i="6"/>
  <c r="O3102" i="6"/>
  <c r="O720" i="6"/>
  <c r="O3136" i="6"/>
  <c r="O1084" i="6"/>
  <c r="O1803" i="6"/>
  <c r="O1315" i="6"/>
  <c r="O1205" i="6"/>
  <c r="O2771" i="6"/>
  <c r="O1676" i="6"/>
  <c r="O161" i="6"/>
  <c r="O1093" i="6"/>
  <c r="O1963" i="6"/>
  <c r="O3418" i="6"/>
  <c r="O944" i="6"/>
  <c r="O3665" i="6"/>
  <c r="O3112" i="6"/>
  <c r="O1430" i="6"/>
  <c r="O3482" i="6"/>
  <c r="O635" i="6"/>
  <c r="O3964" i="6"/>
  <c r="O2147" i="6"/>
  <c r="O3560" i="6"/>
  <c r="O3563" i="6"/>
  <c r="O3927" i="6"/>
  <c r="O1679" i="6"/>
  <c r="O4766" i="6"/>
  <c r="O4107" i="6"/>
  <c r="O1783" i="6"/>
  <c r="O695" i="6"/>
  <c r="O1193" i="6"/>
  <c r="O1051" i="6"/>
  <c r="O3836" i="6"/>
  <c r="O2586" i="6"/>
  <c r="O4838" i="6"/>
  <c r="O1465" i="6"/>
  <c r="O2074" i="6"/>
  <c r="O770" i="6"/>
  <c r="O3288" i="6"/>
  <c r="O3813" i="6"/>
  <c r="O3580" i="6"/>
  <c r="O4281" i="6"/>
  <c r="O426" i="6"/>
  <c r="O1625" i="6"/>
  <c r="O3122" i="6"/>
  <c r="O2583" i="6"/>
  <c r="O4382" i="6"/>
  <c r="O4723" i="6"/>
  <c r="O3525" i="6"/>
  <c r="O4407" i="6"/>
  <c r="O4782" i="6"/>
  <c r="O4425" i="6"/>
  <c r="O3603" i="6"/>
  <c r="O2817" i="6"/>
  <c r="O3869" i="6"/>
  <c r="O1078" i="6"/>
  <c r="O2503" i="6"/>
  <c r="O4095" i="6"/>
  <c r="O3432" i="6"/>
  <c r="O3811" i="6"/>
  <c r="O4400" i="6"/>
  <c r="O1172" i="6"/>
  <c r="O2007" i="6"/>
  <c r="O3419" i="6"/>
  <c r="O2511" i="6"/>
  <c r="O3898" i="6"/>
  <c r="O765" i="6"/>
  <c r="O1210" i="6"/>
  <c r="O1487" i="6"/>
  <c r="O4214" i="6"/>
  <c r="O4922" i="6"/>
  <c r="O899" i="6"/>
  <c r="O4707" i="6"/>
  <c r="O2451" i="6"/>
  <c r="O942" i="6"/>
  <c r="O2071" i="6"/>
  <c r="O3125" i="6"/>
  <c r="O2357" i="6"/>
  <c r="O1551" i="6"/>
  <c r="O2979" i="6"/>
  <c r="O3113" i="6"/>
  <c r="O350" i="6"/>
  <c r="O3374" i="6"/>
  <c r="O1224" i="6"/>
  <c r="O437" i="6"/>
  <c r="O2513" i="6"/>
  <c r="O1765" i="6"/>
  <c r="O2933" i="6"/>
  <c r="O2475" i="6"/>
  <c r="O4867" i="6"/>
  <c r="O3981" i="6"/>
  <c r="O2860" i="6"/>
  <c r="O1688" i="6"/>
  <c r="O797" i="6"/>
  <c r="O2472" i="6"/>
  <c r="O2458" i="6"/>
  <c r="O2919" i="6"/>
  <c r="O3789" i="6"/>
  <c r="O3116" i="6"/>
  <c r="O840" i="6"/>
  <c r="O3555" i="6"/>
  <c r="O684" i="6"/>
  <c r="O3273" i="6"/>
  <c r="O882" i="6"/>
  <c r="O4231" i="6"/>
  <c r="O1230" i="6"/>
  <c r="O3449" i="6"/>
  <c r="O2704" i="6"/>
  <c r="O155" i="6"/>
  <c r="O2548" i="6"/>
  <c r="O2507" i="6"/>
  <c r="O1365" i="6"/>
  <c r="O2060" i="6"/>
  <c r="O3207" i="6"/>
  <c r="O4330" i="6"/>
  <c r="O3148" i="6"/>
  <c r="O1209" i="6"/>
  <c r="O320" i="6"/>
  <c r="O3692" i="6"/>
  <c r="O2965" i="6"/>
  <c r="O238" i="6"/>
  <c r="O4806" i="6"/>
  <c r="O431" i="6"/>
  <c r="O2134" i="6"/>
  <c r="O318" i="6"/>
  <c r="O3987" i="6"/>
  <c r="O3529" i="6"/>
  <c r="O4229" i="6"/>
  <c r="O1746" i="6"/>
  <c r="O4440" i="6"/>
  <c r="O3296" i="6"/>
  <c r="O827" i="6"/>
  <c r="O641" i="6"/>
  <c r="O4359" i="6"/>
  <c r="O766" i="6"/>
  <c r="O1741" i="6"/>
  <c r="O3425" i="6"/>
  <c r="O2931" i="6"/>
  <c r="O3055" i="6"/>
  <c r="O4804" i="6"/>
  <c r="O1376" i="6"/>
  <c r="O1639" i="6"/>
  <c r="O375" i="6"/>
  <c r="O4700" i="6"/>
  <c r="O932" i="6"/>
  <c r="O4135" i="6"/>
  <c r="O2373" i="6"/>
  <c r="O4506" i="6"/>
  <c r="O3491" i="6"/>
  <c r="O241" i="6"/>
  <c r="O3522" i="6"/>
  <c r="O519" i="6"/>
  <c r="O968" i="6"/>
  <c r="O1523" i="6"/>
  <c r="O1553" i="6"/>
  <c r="O4339" i="6"/>
  <c r="O4288" i="6"/>
  <c r="O637" i="6"/>
  <c r="O4815" i="6"/>
  <c r="O420" i="6"/>
  <c r="O247" i="6"/>
  <c r="O3582" i="6"/>
  <c r="O3847" i="6"/>
  <c r="O3770" i="6"/>
  <c r="O3081" i="6"/>
  <c r="O1763" i="6"/>
  <c r="O4628" i="6"/>
  <c r="O1878" i="6"/>
  <c r="O4822" i="6"/>
  <c r="O3426" i="6"/>
  <c r="O4498" i="6"/>
  <c r="O3960" i="6"/>
  <c r="O1055" i="6"/>
  <c r="O4653" i="6"/>
  <c r="O1773" i="6"/>
  <c r="O2093" i="6"/>
  <c r="O1818" i="6"/>
  <c r="O1767" i="6"/>
  <c r="O4883" i="6"/>
  <c r="O368" i="6"/>
  <c r="O2195" i="6"/>
  <c r="O4474" i="6"/>
  <c r="O4832" i="6"/>
  <c r="O1973" i="6"/>
  <c r="O761" i="6"/>
  <c r="O3838" i="6"/>
  <c r="O747" i="6"/>
  <c r="O3030" i="6"/>
  <c r="O4155" i="6"/>
  <c r="O4625" i="6"/>
  <c r="O1335" i="6"/>
  <c r="O3821" i="6"/>
  <c r="O2896" i="6"/>
  <c r="O851" i="6"/>
  <c r="O180" i="6"/>
  <c r="O2737" i="6"/>
  <c r="O2510" i="6"/>
  <c r="O4375" i="6"/>
  <c r="O1804" i="6"/>
  <c r="O2550" i="6"/>
  <c r="O4351" i="6"/>
  <c r="O4046" i="6"/>
  <c r="O1031" i="6"/>
  <c r="O2311" i="6"/>
  <c r="O998" i="6"/>
  <c r="O3340" i="6"/>
  <c r="O4310" i="6"/>
  <c r="O1709" i="6"/>
  <c r="O3182" i="6"/>
  <c r="O4418" i="6"/>
  <c r="O3216" i="6"/>
  <c r="O1539" i="6"/>
  <c r="O609" i="6"/>
  <c r="O2313" i="6"/>
  <c r="O2028" i="6"/>
  <c r="O1532" i="6"/>
  <c r="O496" i="6"/>
  <c r="O1145" i="6"/>
  <c r="O1443" i="6"/>
  <c r="O1168" i="6"/>
  <c r="O170" i="6"/>
  <c r="O3715" i="6"/>
  <c r="O1857" i="6"/>
  <c r="O4903" i="6"/>
  <c r="O3371" i="6"/>
  <c r="O2734" i="6"/>
  <c r="O3999" i="6"/>
  <c r="O501" i="6"/>
  <c r="O378" i="6"/>
  <c r="O288" i="6"/>
  <c r="O4857" i="6"/>
  <c r="O433" i="6"/>
  <c r="O2961" i="6"/>
  <c r="O4469" i="6"/>
  <c r="O1752" i="6"/>
  <c r="O3415" i="6"/>
  <c r="O4698" i="6"/>
  <c r="O2920" i="6"/>
  <c r="O1195" i="6"/>
  <c r="O868" i="6"/>
  <c r="O3221" i="6"/>
  <c r="O1146" i="6"/>
  <c r="O4627" i="6"/>
  <c r="O2874" i="6"/>
  <c r="O3209" i="6"/>
  <c r="O2604" i="6"/>
  <c r="O729" i="6"/>
  <c r="O3520" i="6"/>
  <c r="O1088" i="6"/>
  <c r="O2332" i="6"/>
  <c r="O2891" i="6"/>
  <c r="O4303" i="6"/>
  <c r="O3222" i="6"/>
  <c r="O4470" i="6"/>
  <c r="O2220" i="6"/>
  <c r="O3097" i="6"/>
  <c r="O2903" i="6"/>
  <c r="O1345" i="6"/>
  <c r="O2175" i="6"/>
  <c r="O3858" i="6"/>
  <c r="O1071" i="6"/>
  <c r="O935" i="6"/>
  <c r="O3798" i="6"/>
  <c r="O4575" i="6"/>
  <c r="O927" i="6"/>
  <c r="O4565" i="6"/>
  <c r="O3720" i="6"/>
  <c r="O726" i="6"/>
  <c r="O1749" i="6"/>
  <c r="O3249" i="6"/>
  <c r="O1547" i="6"/>
  <c r="O4868" i="6"/>
  <c r="O4652" i="6"/>
  <c r="O4241" i="6"/>
  <c r="O3451" i="6"/>
  <c r="O1744" i="6"/>
  <c r="O492" i="6"/>
  <c r="O4282" i="6"/>
  <c r="O4785" i="6"/>
  <c r="O2726" i="6"/>
  <c r="O4916" i="6"/>
  <c r="O2250" i="6"/>
  <c r="O2484" i="6"/>
  <c r="O3311" i="6"/>
  <c r="O1713" i="6"/>
  <c r="O4372" i="6"/>
  <c r="O1459" i="6"/>
  <c r="O4239" i="6"/>
  <c r="O2073" i="6"/>
  <c r="O1253" i="6"/>
  <c r="O2469" i="6"/>
  <c r="O2239" i="6"/>
  <c r="O2374" i="6"/>
  <c r="O3016" i="6"/>
  <c r="O841" i="6"/>
  <c r="O3104" i="6"/>
  <c r="O4671" i="6"/>
  <c r="O1342" i="6"/>
  <c r="O250" i="6"/>
  <c r="O4858" i="6"/>
  <c r="O994" i="6"/>
  <c r="O877" i="6"/>
  <c r="O3928" i="6"/>
  <c r="O3880" i="6"/>
  <c r="O3155" i="6"/>
  <c r="O3344" i="6"/>
  <c r="O4545" i="6"/>
  <c r="O4660" i="6"/>
  <c r="O3445" i="6"/>
  <c r="O4924" i="6"/>
  <c r="O4266" i="6"/>
  <c r="O3975" i="6"/>
  <c r="O1076" i="6"/>
  <c r="O725" i="6"/>
  <c r="O3907" i="6"/>
  <c r="O4762" i="6"/>
  <c r="O4406" i="6"/>
  <c r="O1057" i="6"/>
  <c r="O342" i="6"/>
  <c r="O2069" i="6"/>
  <c r="O1177" i="6"/>
  <c r="O4743" i="6"/>
  <c r="O1889" i="6"/>
  <c r="O2329" i="6"/>
  <c r="O686" i="6"/>
  <c r="O1107" i="6"/>
  <c r="O2196" i="6"/>
  <c r="O1439" i="6"/>
  <c r="O1893" i="6"/>
  <c r="O3062" i="6"/>
  <c r="O1311" i="6"/>
  <c r="O1959" i="6"/>
  <c r="O3128" i="6"/>
  <c r="O3322" i="6"/>
  <c r="O1592" i="6"/>
  <c r="O108" i="6"/>
  <c r="O2434" i="6"/>
  <c r="O1495" i="6"/>
  <c r="O3829" i="6"/>
  <c r="O2564" i="6"/>
  <c r="O575" i="6"/>
  <c r="O3411" i="6"/>
  <c r="O4555" i="6"/>
  <c r="O1268" i="6"/>
  <c r="O3101" i="6"/>
  <c r="O3976" i="6"/>
  <c r="O2642" i="6"/>
  <c r="O712" i="6"/>
  <c r="O4928" i="6"/>
  <c r="O640" i="6"/>
  <c r="O4352" i="6"/>
  <c r="O4031" i="6"/>
  <c r="O2235" i="6"/>
  <c r="O4455" i="6"/>
  <c r="O4861" i="6"/>
  <c r="O4269" i="6"/>
  <c r="O4074" i="6"/>
  <c r="O4036" i="6"/>
  <c r="O1470" i="6"/>
  <c r="O3010" i="6"/>
  <c r="O2902" i="6"/>
  <c r="O2784" i="6"/>
  <c r="O1850" i="6"/>
  <c r="O4371" i="6"/>
  <c r="O1241" i="6"/>
  <c r="O3763" i="6"/>
  <c r="O2335" i="6"/>
  <c r="O584" i="6"/>
  <c r="O2922" i="6"/>
  <c r="O738" i="6"/>
  <c r="O4113" i="6"/>
  <c r="O4845" i="6"/>
  <c r="O4880" i="6"/>
  <c r="O1555" i="6"/>
  <c r="O1427" i="6"/>
  <c r="O4592" i="6"/>
  <c r="O2410" i="6"/>
  <c r="O3131" i="6"/>
  <c r="O2287" i="6"/>
  <c r="O2362" i="6"/>
  <c r="O439" i="6"/>
  <c r="O4311" i="6"/>
  <c r="O1237" i="6"/>
  <c r="O4732" i="6"/>
  <c r="O96" i="6"/>
  <c r="O1584" i="6"/>
  <c r="O2054" i="6"/>
  <c r="O4251" i="6"/>
  <c r="O1771" i="6"/>
  <c r="O1593" i="6"/>
  <c r="O2661" i="6"/>
  <c r="O3545" i="6"/>
  <c r="O4864" i="6"/>
  <c r="O4157" i="6"/>
  <c r="O4742" i="6"/>
  <c r="O3021" i="6"/>
  <c r="O821" i="6"/>
  <c r="O1580" i="6"/>
  <c r="O3336" i="6"/>
  <c r="O1540" i="6"/>
  <c r="O2543" i="6"/>
  <c r="O4795" i="6"/>
  <c r="O557" i="6"/>
  <c r="O89" i="6"/>
  <c r="O2566" i="6"/>
  <c r="O2509" i="6"/>
  <c r="O476" i="6"/>
  <c r="O4305" i="6"/>
  <c r="O4656" i="6"/>
  <c r="O867" i="6"/>
  <c r="O3626" i="6"/>
  <c r="O2824" i="6"/>
  <c r="O4230" i="6"/>
  <c r="O4096" i="6"/>
  <c r="O118" i="6"/>
  <c r="O3213" i="6"/>
  <c r="O4100" i="6"/>
  <c r="O1246" i="6"/>
  <c r="O1514" i="6"/>
  <c r="O2159" i="6"/>
  <c r="O1930" i="6"/>
  <c r="O4797" i="6"/>
  <c r="O1243" i="6"/>
  <c r="O645" i="6"/>
  <c r="O1408" i="6"/>
  <c r="O2987" i="6"/>
  <c r="O3691" i="6"/>
  <c r="O411" i="6"/>
  <c r="O3558" i="6"/>
  <c r="O4612" i="6"/>
  <c r="O3909" i="6"/>
  <c r="O4821" i="6"/>
  <c r="O291" i="6"/>
  <c r="O1113" i="6"/>
  <c r="O572" i="6"/>
  <c r="O1543" i="6"/>
  <c r="O4228" i="6"/>
  <c r="O3390" i="6"/>
  <c r="O660" i="6"/>
  <c r="O4134" i="6"/>
  <c r="O2791" i="6"/>
  <c r="O2152" i="6"/>
  <c r="O2318" i="6"/>
  <c r="O3625" i="6"/>
  <c r="O3538" i="6"/>
  <c r="O3271" i="6"/>
  <c r="O187" i="6"/>
  <c r="O3671" i="6"/>
  <c r="O3911" i="6"/>
  <c r="O520" i="6"/>
  <c r="O1060" i="6"/>
  <c r="O2371" i="6"/>
  <c r="O249" i="6"/>
  <c r="O4063" i="6"/>
  <c r="O2407" i="6"/>
  <c r="O332" i="6"/>
  <c r="O3307" i="6"/>
  <c r="O4208" i="6"/>
  <c r="O2263" i="6"/>
  <c r="O1880" i="6"/>
  <c r="O1654" i="6"/>
  <c r="O3017" i="6"/>
  <c r="O2575" i="6"/>
  <c r="O966" i="6"/>
  <c r="O1120" i="6"/>
  <c r="O2323" i="6"/>
  <c r="O1865" i="6"/>
  <c r="O4264" i="6"/>
  <c r="O1648" i="6"/>
  <c r="O2884" i="6"/>
  <c r="O958" i="6"/>
  <c r="O4587" i="6"/>
  <c r="O4035" i="6"/>
  <c r="O3178" i="6"/>
  <c r="O3679" i="6"/>
  <c r="O977" i="6"/>
  <c r="O4114" i="6"/>
  <c r="O3254" i="6"/>
  <c r="O551" i="6"/>
  <c r="O4222" i="6"/>
  <c r="O1968" i="6"/>
  <c r="O1587" i="6"/>
  <c r="O4338" i="6"/>
  <c r="O3471" i="6"/>
  <c r="O185" i="6"/>
  <c r="O613" i="6"/>
  <c r="O3590" i="6"/>
  <c r="O8" i="6"/>
  <c r="O1885" i="6"/>
  <c r="O3597" i="6"/>
  <c r="O1155" i="6"/>
  <c r="O3647" i="6"/>
  <c r="O2296" i="6"/>
  <c r="O3726" i="6"/>
  <c r="O4012" i="6"/>
  <c r="O3331" i="6"/>
  <c r="O3024" i="6"/>
  <c r="O656" i="6"/>
  <c r="O2723" i="6"/>
  <c r="O2545" i="6"/>
  <c r="O3126" i="6"/>
  <c r="O42" i="6"/>
  <c r="O4752" i="6"/>
  <c r="O3332" i="6"/>
  <c r="O3383" i="6"/>
  <c r="O2781" i="6"/>
  <c r="O1869" i="6"/>
  <c r="O2848" i="6"/>
  <c r="O3774" i="6"/>
  <c r="O975" i="6"/>
  <c r="O3697" i="6"/>
  <c r="O981" i="6"/>
  <c r="O2356" i="6"/>
  <c r="O3754" i="6"/>
  <c r="O796" i="6"/>
  <c r="O1099" i="6"/>
  <c r="O4866" i="6"/>
  <c r="O2139" i="6"/>
  <c r="O2113" i="6"/>
  <c r="O2809" i="6"/>
  <c r="O478" i="6"/>
  <c r="O3095" i="6"/>
  <c r="O1787" i="6"/>
  <c r="O1298" i="6"/>
  <c r="O1058" i="6"/>
  <c r="O535" i="6"/>
  <c r="O2302" i="6"/>
  <c r="O4415" i="6"/>
  <c r="O4093" i="6"/>
  <c r="O1855" i="6"/>
  <c r="O1008" i="6"/>
  <c r="O132" i="6"/>
  <c r="O196" i="6"/>
  <c r="O169" i="6"/>
  <c r="O147" i="6"/>
  <c r="O639" i="6"/>
  <c r="O4129" i="6"/>
  <c r="O3266" i="6"/>
  <c r="O2713" i="6"/>
  <c r="O1770" i="6"/>
  <c r="O3722" i="6"/>
  <c r="O363" i="6"/>
  <c r="O737" i="6"/>
  <c r="O2178" i="6"/>
  <c r="O702" i="6"/>
  <c r="O2517" i="6"/>
  <c r="O2976" i="6"/>
  <c r="O2636" i="6"/>
  <c r="O3930" i="6"/>
  <c r="O1986" i="6"/>
  <c r="O1576" i="6"/>
  <c r="O3808" i="6"/>
  <c r="O2889" i="6"/>
  <c r="O4108" i="6"/>
  <c r="O830" i="6"/>
  <c r="O3381" i="6"/>
  <c r="O1249" i="6"/>
  <c r="O1849" i="6"/>
  <c r="O234" i="6"/>
  <c r="O2913" i="6"/>
  <c r="O1229" i="6"/>
  <c r="O1264" i="6"/>
  <c r="O4729" i="6"/>
  <c r="O4460" i="6"/>
  <c r="O1595" i="6"/>
  <c r="O1567" i="6"/>
  <c r="O4445" i="6"/>
  <c r="O2301" i="6"/>
  <c r="O4878" i="6"/>
  <c r="O3106" i="6"/>
  <c r="O4456" i="6"/>
  <c r="O4576" i="6"/>
  <c r="O360" i="6"/>
  <c r="O1206" i="6"/>
  <c r="O1887" i="6"/>
  <c r="O2000" i="6"/>
  <c r="O3775" i="6"/>
  <c r="O2660" i="6"/>
  <c r="O213" i="6"/>
  <c r="O2650" i="6"/>
  <c r="O701" i="6"/>
  <c r="O2847" i="6"/>
  <c r="O4396" i="6"/>
  <c r="O1207" i="6"/>
  <c r="O3198" i="6"/>
  <c r="O3681" i="6"/>
  <c r="O3103" i="6"/>
  <c r="O4884" i="6"/>
  <c r="O590" i="6"/>
  <c r="O1936" i="6"/>
  <c r="O2756" i="6"/>
  <c r="O1958" i="6"/>
  <c r="O734" i="6"/>
  <c r="O3746" i="6"/>
  <c r="O4270" i="6"/>
  <c r="O2372" i="6"/>
  <c r="O2881" i="6"/>
  <c r="O4593" i="6"/>
  <c r="O2803" i="6"/>
  <c r="O3718" i="6"/>
  <c r="O131" i="6"/>
  <c r="O2117" i="6"/>
  <c r="O3564" i="6"/>
  <c r="O3400" i="6"/>
  <c r="O423" i="6"/>
  <c r="O3853" i="6"/>
  <c r="O3901" i="6"/>
  <c r="O3327" i="6"/>
  <c r="O1573" i="6"/>
  <c r="O848" i="6"/>
  <c r="O2441" i="6"/>
  <c r="O4535" i="6"/>
  <c r="O2727" i="6"/>
  <c r="O724" i="6"/>
  <c r="O2546" i="6"/>
  <c r="O4117" i="6"/>
  <c r="O4020" i="6"/>
  <c r="O2840" i="6"/>
  <c r="O2124" i="6"/>
  <c r="O4172" i="6"/>
  <c r="O178" i="6"/>
  <c r="O2067" i="6"/>
  <c r="O2268" i="6"/>
  <c r="O3724" i="6"/>
  <c r="O1159" i="6"/>
  <c r="O2300" i="6"/>
  <c r="O688" i="6"/>
  <c r="O3223" i="6"/>
  <c r="O1048" i="6"/>
  <c r="O3476" i="6"/>
  <c r="O3248" i="6"/>
  <c r="O2036" i="6"/>
  <c r="O4055" i="6"/>
  <c r="O1661" i="6"/>
  <c r="O3921" i="6"/>
  <c r="O1544" i="6"/>
  <c r="O259" i="6"/>
  <c r="O1089" i="6"/>
  <c r="O1506" i="6"/>
  <c r="O996" i="6"/>
  <c r="O778" i="6"/>
  <c r="O471" i="6"/>
  <c r="O4064" i="6"/>
  <c r="O3285" i="6"/>
  <c r="O4803" i="6"/>
  <c r="O4874" i="6"/>
  <c r="O3100" i="6"/>
  <c r="O3978" i="6"/>
  <c r="O4801" i="6"/>
  <c r="O881" i="6"/>
  <c r="O3478" i="6"/>
  <c r="O4265" i="6"/>
  <c r="O3477" i="6"/>
  <c r="O2816" i="6"/>
  <c r="O1436" i="6"/>
  <c r="O3262" i="6"/>
  <c r="O546" i="6"/>
  <c r="O1284" i="6"/>
  <c r="O1422" i="6"/>
  <c r="O2648" i="6"/>
  <c r="O921" i="6"/>
  <c r="O503" i="6"/>
  <c r="O430" i="6"/>
  <c r="O2468" i="6"/>
  <c r="O1542" i="6"/>
  <c r="O4772" i="6"/>
  <c r="O1515" i="6"/>
  <c r="O1469" i="6"/>
  <c r="O507" i="6"/>
  <c r="O3435" i="6"/>
  <c r="O3468" i="6"/>
  <c r="O3812" i="6"/>
  <c r="O2257" i="6"/>
  <c r="O212" i="6"/>
  <c r="O3044" i="6"/>
  <c r="O2188" i="6"/>
  <c r="O3569" i="6"/>
  <c r="O4816" i="6"/>
  <c r="O3857" i="6"/>
  <c r="O1351" i="6"/>
  <c r="O1302" i="6"/>
  <c r="O514" i="6"/>
  <c r="O2035" i="6"/>
  <c r="O1065" i="6"/>
  <c r="O624" i="6"/>
  <c r="O3654" i="6"/>
  <c r="O2105" i="6"/>
  <c r="O986" i="6"/>
  <c r="O4624" i="6"/>
  <c r="O487" i="6"/>
  <c r="O649" i="6"/>
  <c r="O2709" i="6"/>
  <c r="O4681" i="6"/>
  <c r="O2858" i="6"/>
  <c r="O4163" i="6"/>
  <c r="O974" i="6"/>
  <c r="O628" i="6"/>
  <c r="O1569" i="6"/>
  <c r="O4053" i="6"/>
  <c r="O189" i="6"/>
  <c r="O3733" i="6"/>
  <c r="O2927" i="6"/>
  <c r="O3527" i="6"/>
  <c r="O4197" i="6"/>
  <c r="O4659" i="6"/>
  <c r="O2823" i="6"/>
  <c r="O664" i="6"/>
  <c r="O652" i="6"/>
  <c r="O1915" i="6"/>
  <c r="O69" i="6"/>
  <c r="O68" i="6"/>
  <c r="O4505" i="6"/>
  <c r="O2416" i="6"/>
  <c r="O1929" i="6"/>
  <c r="O4541" i="6"/>
  <c r="O2350" i="6"/>
  <c r="O2343" i="6"/>
  <c r="O2911" i="6"/>
  <c r="O2845" i="6"/>
  <c r="O2901" i="6"/>
  <c r="O2873" i="6"/>
  <c r="O3920" i="6"/>
  <c r="O1009" i="6"/>
  <c r="O1173" i="6"/>
  <c r="O3613" i="6"/>
  <c r="O4523" i="6"/>
  <c r="O116" i="6"/>
  <c r="O2269" i="6"/>
  <c r="O3108" i="6"/>
  <c r="O1041" i="6"/>
  <c r="O3281" i="6"/>
  <c r="O1970" i="6"/>
  <c r="O3370" i="6"/>
  <c r="O4537" i="6"/>
  <c r="O531" i="6"/>
  <c r="O582" i="6"/>
  <c r="O149" i="6"/>
  <c r="O3247" i="6"/>
  <c r="O4412" i="6"/>
  <c r="O1079" i="6"/>
  <c r="O2228" i="6"/>
  <c r="O3460" i="6"/>
  <c r="O2991" i="6"/>
  <c r="O1845" i="6"/>
  <c r="O4574" i="6"/>
  <c r="O3860" i="6"/>
  <c r="O1105" i="6"/>
  <c r="O1481" i="6"/>
  <c r="O943" i="6"/>
  <c r="O4167" i="6"/>
  <c r="O4327" i="6"/>
  <c r="O491" i="6"/>
  <c r="O468" i="6"/>
  <c r="O2383" i="6"/>
  <c r="O4245" i="6"/>
  <c r="O3640" i="6"/>
  <c r="O2888" i="6"/>
  <c r="O3776" i="6"/>
  <c r="O1373" i="6"/>
  <c r="O289" i="6"/>
  <c r="O2730" i="6"/>
  <c r="O3246" i="6"/>
  <c r="O561" i="6"/>
  <c r="O1431" i="6"/>
  <c r="O4125" i="6"/>
  <c r="O97" i="6"/>
  <c r="O1875" i="6"/>
  <c r="O2754" i="6"/>
  <c r="O1418" i="6"/>
  <c r="O3670" i="6"/>
  <c r="O2561" i="6"/>
  <c r="O1917" i="6"/>
  <c r="O3991" i="6"/>
  <c r="O2369" i="6"/>
  <c r="O4810" i="6"/>
  <c r="O3283" i="6"/>
  <c r="O4775" i="6"/>
  <c r="O4891" i="6"/>
  <c r="O3895" i="6"/>
  <c r="O3588" i="6"/>
  <c r="O211" i="6"/>
  <c r="O3773" i="6"/>
  <c r="O2072" i="6"/>
  <c r="O2855" i="6"/>
  <c r="O2569" i="6"/>
  <c r="O1925" i="6"/>
  <c r="O2284" i="6"/>
  <c r="O414" i="6"/>
  <c r="O500" i="6"/>
  <c r="O2292" i="6"/>
  <c r="O176" i="6"/>
  <c r="O1452" i="6"/>
  <c r="O3005" i="6"/>
  <c r="O906" i="6"/>
  <c r="O591" i="6"/>
  <c r="O3372" i="6"/>
  <c r="O3577" i="6"/>
  <c r="O4210" i="6"/>
  <c r="O2230" i="6"/>
  <c r="O3253" i="6"/>
  <c r="O2675" i="6"/>
  <c r="O3503" i="6"/>
  <c r="O2094" i="6"/>
  <c r="O4917" i="6"/>
  <c r="O835" i="6"/>
  <c r="O3620" i="6"/>
  <c r="O3918" i="6"/>
  <c r="O1823" i="6"/>
  <c r="O4466" i="6"/>
  <c r="O4825" i="6"/>
  <c r="O3997" i="6"/>
  <c r="O321" i="6"/>
  <c r="O2773" i="6"/>
  <c r="O2633" i="6"/>
  <c r="O4764" i="6"/>
  <c r="O1176" i="6"/>
  <c r="O1784" i="6"/>
  <c r="O1080" i="6"/>
  <c r="O1278" i="6"/>
  <c r="O4786" i="6"/>
  <c r="O2975" i="6"/>
  <c r="O2872" i="6"/>
  <c r="O2599" i="6"/>
  <c r="O2158" i="6"/>
  <c r="O3142" i="6"/>
  <c r="O235" i="6"/>
  <c r="O2608" i="6"/>
  <c r="O2768" i="6"/>
  <c r="O3570" i="6"/>
  <c r="O315" i="6"/>
  <c r="O271" i="6"/>
  <c r="O4324" i="6"/>
  <c r="O2948" i="6"/>
  <c r="O1454" i="6"/>
  <c r="O2247" i="6"/>
  <c r="O4314" i="6"/>
  <c r="O863" i="6"/>
  <c r="O1793" i="6"/>
  <c r="O1188" i="6"/>
  <c r="O3942" i="6"/>
  <c r="O2532" i="6"/>
  <c r="O55" i="6"/>
  <c r="O2745" i="6"/>
  <c r="O3006" i="6"/>
  <c r="O2097" i="6"/>
  <c r="O3428" i="6"/>
  <c r="O4321" i="6"/>
  <c r="O3012" i="6"/>
  <c r="O3056" i="6"/>
  <c r="O4432" i="6"/>
  <c r="O2095" i="6"/>
  <c r="O192" i="6"/>
  <c r="O704" i="6"/>
  <c r="O1742" i="6"/>
  <c r="O2668" i="6"/>
  <c r="O2541" i="6"/>
  <c r="O4361" i="6"/>
  <c r="O1981" i="6"/>
  <c r="O1913" i="6"/>
  <c r="O3078" i="6"/>
  <c r="O4376" i="6"/>
  <c r="O685" i="6"/>
  <c r="O1606" i="6"/>
  <c r="O3841" i="6"/>
  <c r="O4227" i="6"/>
  <c r="O4075" i="6"/>
  <c r="O1993" i="6"/>
  <c r="O2433" i="6"/>
  <c r="O4670" i="6"/>
  <c r="O1667" i="6"/>
  <c r="O4122" i="6"/>
  <c r="O3119" i="6"/>
  <c r="O2985" i="6"/>
  <c r="O2899" i="6"/>
  <c r="O1528" i="6"/>
  <c r="O490" i="6"/>
  <c r="O3732" i="6"/>
  <c r="O2487" i="6"/>
  <c r="O4501" i="6"/>
  <c r="O854" i="6"/>
  <c r="O4294" i="6"/>
  <c r="O1664" i="6"/>
  <c r="O3868" i="6"/>
  <c r="O1980" i="6"/>
  <c r="O3924" i="6"/>
  <c r="O1566" i="6"/>
  <c r="O154" i="6"/>
  <c r="O2831" i="6"/>
  <c r="O4672" i="6"/>
  <c r="O3879" i="6"/>
  <c r="O3892" i="6"/>
  <c r="O2041" i="6"/>
  <c r="O1527" i="6"/>
  <c r="O1282" i="6"/>
  <c r="O4622" i="6"/>
  <c r="O1798" i="6"/>
  <c r="O4915" i="6"/>
  <c r="O1991" i="6"/>
  <c r="O1977" i="6"/>
  <c r="O1513" i="6"/>
  <c r="O2618" i="6"/>
  <c r="O683" i="6"/>
  <c r="O885" i="6"/>
  <c r="O3076" i="6"/>
  <c r="O1169" i="6"/>
  <c r="O2102" i="6"/>
  <c r="O4829" i="6"/>
  <c r="O2743" i="6"/>
  <c r="O709" i="6"/>
  <c r="O658" i="6"/>
  <c r="O1208" i="6"/>
  <c r="O3695" i="6"/>
  <c r="O384" i="6"/>
  <c r="O4236" i="6"/>
  <c r="O1652" i="6"/>
  <c r="O3048" i="6"/>
  <c r="O679" i="6"/>
  <c r="O1309" i="6"/>
  <c r="O4530" i="6"/>
  <c r="O4929" i="6"/>
  <c r="O815" i="6"/>
  <c r="O3536" i="6"/>
  <c r="O1597" i="6"/>
  <c r="O2692" i="6"/>
  <c r="O4429" i="6"/>
  <c r="O2194" i="6"/>
  <c r="O1245" i="6"/>
  <c r="O4694" i="6"/>
  <c r="O1670" i="6"/>
  <c r="O2445" i="6"/>
  <c r="O708" i="6"/>
  <c r="O3736" i="6"/>
  <c r="O3954" i="6"/>
  <c r="O2869" i="6"/>
  <c r="O2493" i="6"/>
  <c r="O1711" i="6"/>
  <c r="O1130" i="6"/>
  <c r="O2702" i="6"/>
  <c r="O2081" i="6"/>
  <c r="O3458" i="6"/>
  <c r="O2339" i="6"/>
  <c r="O107" i="6"/>
  <c r="O3397" i="6"/>
  <c r="O1417" i="6"/>
  <c r="O3607" i="6"/>
  <c r="O3636" i="6"/>
  <c r="O4018" i="6"/>
  <c r="O846" i="6"/>
  <c r="O2324" i="6"/>
  <c r="O94" i="6"/>
  <c r="O2789" i="6"/>
  <c r="O4610" i="6"/>
  <c r="O63" i="6"/>
  <c r="O3819" i="6"/>
  <c r="O861" i="6"/>
  <c r="O1254" i="6"/>
  <c r="O3546" i="6"/>
  <c r="O791" i="6"/>
  <c r="O4750" i="6"/>
  <c r="O1529" i="6"/>
  <c r="O3472" i="6"/>
  <c r="O299" i="6"/>
  <c r="O4130" i="6"/>
  <c r="O2077" i="6"/>
  <c r="O422" i="6"/>
  <c r="O1635" i="6"/>
  <c r="O4343" i="6"/>
  <c r="O444" i="6"/>
  <c r="O4295" i="6"/>
  <c r="O2512" i="6"/>
  <c r="O3992" i="6"/>
  <c r="O905" i="6"/>
  <c r="O4851" i="6"/>
  <c r="O1056" i="6"/>
  <c r="O4921" i="6"/>
  <c r="O120" i="6"/>
  <c r="O3258" i="6"/>
  <c r="O3663" i="6"/>
  <c r="O1154" i="6"/>
  <c r="O2326" i="6"/>
  <c r="O2349" i="6"/>
  <c r="O4919" i="6"/>
  <c r="O3862" i="6"/>
  <c r="O2523" i="6"/>
  <c r="O2024" i="6"/>
  <c r="O2867" i="6"/>
  <c r="O1350" i="6"/>
  <c r="O4226" i="6"/>
  <c r="O4367" i="6"/>
  <c r="O4215" i="6"/>
  <c r="O2725" i="6"/>
  <c r="O3799" i="6"/>
  <c r="O2932" i="6"/>
  <c r="O955" i="6"/>
  <c r="O4492" i="6"/>
  <c r="O4704" i="6"/>
  <c r="O4043" i="6"/>
  <c r="O2844" i="6"/>
  <c r="O573" i="6"/>
  <c r="O3719" i="6"/>
  <c r="O4655" i="6"/>
  <c r="O528" i="6"/>
  <c r="O1272" i="6"/>
  <c r="O1375" i="6"/>
  <c r="O156" i="6"/>
  <c r="O937" i="6"/>
  <c r="O4144" i="6"/>
  <c r="O1665" i="6"/>
  <c r="O4207" i="6"/>
  <c r="O286" i="6"/>
  <c r="O2424" i="6"/>
  <c r="O3958" i="6"/>
  <c r="O3395" i="6"/>
  <c r="O4809" i="6"/>
  <c r="O4634" i="6"/>
  <c r="O329" i="6"/>
  <c r="O4042" i="6"/>
  <c r="O3228" i="6"/>
  <c r="O1502" i="6"/>
  <c r="O3896" i="6"/>
  <c r="O37" i="6"/>
  <c r="O540" i="6"/>
  <c r="O4073" i="6"/>
  <c r="O1933" i="6"/>
  <c r="O4260" i="6"/>
  <c r="O661" i="6"/>
  <c r="O4847" i="6"/>
  <c r="O2409" i="6"/>
  <c r="O1921" i="6"/>
  <c r="O1778" i="6"/>
  <c r="O4895" i="6"/>
  <c r="O2862" i="6"/>
  <c r="O3832" i="6"/>
  <c r="O2547" i="6"/>
  <c r="O961" i="6"/>
  <c r="O2519" i="6"/>
  <c r="O304" i="6"/>
  <c r="O3687" i="6"/>
  <c r="O3873" i="6"/>
  <c r="O3091" i="6"/>
  <c r="O886" i="6"/>
  <c r="O4304" i="6"/>
  <c r="O2808" i="6"/>
  <c r="O1538" i="6"/>
  <c r="O3452" i="6"/>
  <c r="O1388" i="6"/>
  <c r="O4520" i="6"/>
  <c r="O1509" i="6"/>
  <c r="O4609" i="6"/>
  <c r="O3693" i="6"/>
  <c r="O1281" i="6"/>
  <c r="O127" i="6"/>
  <c r="O4217" i="6"/>
  <c r="O2797" i="6"/>
  <c r="O2453" i="6"/>
  <c r="O1903" i="6"/>
  <c r="O2626" i="6"/>
  <c r="O1616" i="6"/>
  <c r="O3298" i="6"/>
  <c r="O4262" i="6"/>
  <c r="O2936" i="6"/>
  <c r="O2281" i="6"/>
  <c r="O2359" i="6"/>
  <c r="O3124" i="6"/>
  <c r="O2662" i="6"/>
  <c r="O2700" i="6"/>
  <c r="O4145" i="6"/>
  <c r="O4049" i="6"/>
  <c r="O2719" i="6"/>
  <c r="O2947" i="6"/>
  <c r="O2013" i="6"/>
  <c r="O3602" i="6"/>
  <c r="O654" i="6"/>
  <c r="O4047" i="6"/>
  <c r="O3809" i="6"/>
  <c r="O1899" i="6"/>
  <c r="O2363" i="6"/>
  <c r="O1409" i="6"/>
  <c r="O3686" i="6"/>
  <c r="O2045" i="6"/>
  <c r="O1160" i="6"/>
  <c r="O4502" i="6"/>
  <c r="O4309" i="6"/>
  <c r="O564" i="6"/>
  <c r="O2325" i="6"/>
  <c r="O665" i="6"/>
  <c r="O2123" i="6"/>
  <c r="O244" i="6"/>
  <c r="O99" i="6"/>
  <c r="O3805" i="6"/>
  <c r="O1184" i="6"/>
  <c r="O4793" i="6"/>
  <c r="O3737" i="6"/>
  <c r="O680" i="6"/>
  <c r="O3623" i="6"/>
  <c r="O2693" i="6"/>
  <c r="O1377" i="6"/>
  <c r="O3559" i="6"/>
  <c r="O1861" i="6"/>
  <c r="O3210" i="6"/>
  <c r="O4131" i="6"/>
  <c r="O991" i="6"/>
  <c r="O207" i="6"/>
  <c r="O4615" i="6"/>
  <c r="O2962" i="6"/>
  <c r="O2273" i="6"/>
  <c r="O1387" i="6"/>
  <c r="O2347" i="6"/>
  <c r="O2715" i="6"/>
  <c r="O3680" i="6"/>
  <c r="O2953" i="6"/>
  <c r="O4725" i="6"/>
  <c r="O3711" i="6"/>
  <c r="O4397" i="6"/>
  <c r="O2779" i="6"/>
  <c r="O4409" i="6"/>
  <c r="O1572" i="6"/>
  <c r="O1825" i="6"/>
  <c r="O174" i="6"/>
  <c r="O3255" i="6"/>
  <c r="O3174" i="6"/>
  <c r="O2103" i="6"/>
  <c r="O1181" i="6"/>
  <c r="O3315" i="6"/>
  <c r="O2843" i="6"/>
  <c r="O3817" i="6"/>
  <c r="O1821" i="6"/>
  <c r="O3239" i="6"/>
  <c r="O2894" i="6"/>
  <c r="O1568" i="6"/>
  <c r="O66" i="6"/>
  <c r="O2394" i="6"/>
  <c r="O2960" i="6"/>
  <c r="O3345" i="6"/>
  <c r="O4819" i="6"/>
  <c r="O2444" i="6"/>
  <c r="O2384" i="6"/>
  <c r="O2761" i="6"/>
  <c r="O4476" i="6"/>
  <c r="O3393" i="6"/>
  <c r="O2591" i="6"/>
  <c r="O3526" i="6"/>
  <c r="O2617" i="6"/>
  <c r="O3087" i="6"/>
  <c r="O2017" i="6"/>
  <c r="O2821" i="6"/>
  <c r="O4464" i="6"/>
  <c r="O1219" i="6"/>
  <c r="O1114" i="6"/>
  <c r="O2390" i="6"/>
  <c r="O4299" i="6"/>
  <c r="O2111" i="6"/>
  <c r="O1475" i="6"/>
  <c r="O2995" i="6"/>
  <c r="O2738" i="6"/>
  <c r="O764" i="6"/>
  <c r="O600" i="6"/>
  <c r="O221" i="6"/>
  <c r="O2436" i="6"/>
  <c r="O538" i="6"/>
  <c r="O2002" i="6"/>
  <c r="O4442" i="6"/>
  <c r="O4721" i="6"/>
  <c r="O3462" i="6"/>
  <c r="O706" i="6"/>
  <c r="O3709" i="6"/>
  <c r="O1295" i="6"/>
  <c r="O928" i="6"/>
  <c r="O1183" i="6"/>
  <c r="O3379" i="6"/>
  <c r="O2900" i="6"/>
  <c r="O140" i="6"/>
  <c r="O2946" i="6"/>
  <c r="O2988" i="6"/>
  <c r="O4150" i="6"/>
  <c r="O1151" i="6"/>
  <c r="O607" i="6"/>
  <c r="O2052" i="6"/>
  <c r="O3022" i="6"/>
  <c r="O27" i="6"/>
  <c r="O4022" i="6"/>
  <c r="O795" i="6"/>
  <c r="O2708" i="6"/>
  <c r="O1588" i="6"/>
  <c r="O4103" i="6"/>
  <c r="O2474" i="6"/>
  <c r="O4888" i="6"/>
  <c r="O75" i="6"/>
  <c r="O4533" i="6"/>
  <c r="O910" i="6"/>
  <c r="O3259" i="6"/>
  <c r="O2923" i="6"/>
  <c r="O3355" i="6"/>
  <c r="O2277" i="6"/>
  <c r="O3688" i="6"/>
  <c r="O4177" i="6"/>
  <c r="O3377" i="6"/>
  <c r="O891" i="6"/>
  <c r="O2567" i="6"/>
  <c r="O454" i="6"/>
  <c r="O3657" i="6"/>
  <c r="O3220" i="6"/>
  <c r="O4070" i="6"/>
  <c r="O527" i="6"/>
  <c r="O1945" i="6"/>
  <c r="O456" i="6"/>
  <c r="O339" i="6"/>
  <c r="O4056" i="6"/>
  <c r="O2880" i="6"/>
  <c r="O1433" i="6"/>
  <c r="O2795" i="6"/>
  <c r="O3175" i="6"/>
  <c r="O2120" i="6"/>
  <c r="O2934" i="6"/>
  <c r="O272" i="6"/>
  <c r="O351" i="6"/>
  <c r="O2577" i="6"/>
  <c r="O1578" i="6"/>
  <c r="O3888" i="6"/>
  <c r="O1901" i="6"/>
  <c r="O4588" i="6"/>
  <c r="O2457" i="6"/>
  <c r="O705" i="6"/>
  <c r="O1123" i="6"/>
  <c r="O1805" i="6"/>
  <c r="O3530" i="6"/>
  <c r="O1911" i="6"/>
  <c r="O1586" i="6"/>
  <c r="O4837" i="6"/>
  <c r="O443" i="6"/>
  <c r="O3553" i="6"/>
  <c r="O3864" i="6"/>
  <c r="O3299" i="6"/>
  <c r="O2506" i="6"/>
  <c r="O800" i="6"/>
  <c r="O1674" i="6"/>
  <c r="O2559" i="6"/>
  <c r="O446" i="6"/>
  <c r="O78" i="6"/>
  <c r="O4640" i="6"/>
  <c r="O138" i="6"/>
  <c r="O836" i="6"/>
  <c r="O1627" i="6"/>
  <c r="O424" i="6"/>
  <c r="O2982" i="6"/>
  <c r="O3944" i="6"/>
  <c r="O880" i="6"/>
  <c r="O1483" i="6"/>
  <c r="O4237" i="6"/>
  <c r="O1320" i="6"/>
  <c r="O1434" i="6"/>
  <c r="O2778" i="6"/>
  <c r="O997" i="6"/>
  <c r="O2092" i="6"/>
  <c r="O3173" i="6"/>
  <c r="O1989" i="6"/>
  <c r="O1077" i="6"/>
  <c r="O486" i="6"/>
  <c r="O4826" i="6"/>
  <c r="O1990" i="6"/>
  <c r="O655" i="6"/>
  <c r="O2026" i="6"/>
  <c r="O1507" i="6"/>
  <c r="O86" i="6"/>
  <c r="O1143" i="6"/>
  <c r="O931" i="6"/>
  <c r="O3200" i="6"/>
  <c r="O1413" i="6"/>
  <c r="O1888" i="6"/>
  <c r="O3727" i="6"/>
  <c r="O3646" i="6"/>
  <c r="O995" i="6"/>
  <c r="O1956" i="6"/>
  <c r="O954" i="6"/>
  <c r="O39" i="6"/>
  <c r="O3272" i="6"/>
  <c r="O477" i="6"/>
  <c r="O1839" i="6"/>
  <c r="O2255" i="6"/>
  <c r="O4109" i="6"/>
  <c r="O2718" i="6"/>
  <c r="O4250" i="6"/>
  <c r="O3324" i="6"/>
  <c r="O3682" i="6"/>
  <c r="O1879" i="6"/>
  <c r="O1026" i="6"/>
  <c r="O4768" i="6"/>
  <c r="O3913" i="6"/>
  <c r="O3028" i="6"/>
  <c r="O2086" i="6"/>
  <c r="O871" i="6"/>
  <c r="O2033" i="6"/>
  <c r="O4051" i="6"/>
  <c r="O3406" i="6"/>
  <c r="O4039" i="6"/>
  <c r="O758" i="6"/>
  <c r="O3487" i="6"/>
  <c r="O3154" i="6"/>
  <c r="O429" i="6"/>
  <c r="O3237" i="6"/>
  <c r="O755" i="6"/>
  <c r="O4636" i="6"/>
  <c r="O2106" i="6"/>
  <c r="O4664" i="6"/>
  <c r="O340" i="6"/>
  <c r="O4513" i="6"/>
  <c r="O3171" i="6"/>
  <c r="O1235" i="6"/>
  <c r="O4277" i="6"/>
  <c r="O1594" i="6"/>
  <c r="O4651" i="6"/>
  <c r="O3766" i="6"/>
  <c r="O3140" i="6"/>
  <c r="O305" i="6"/>
  <c r="O1562" i="6"/>
  <c r="O1829" i="6"/>
  <c r="O337" i="6"/>
  <c r="O4219" i="6"/>
  <c r="O743" i="6"/>
  <c r="O930" i="6"/>
  <c r="O83" i="6"/>
  <c r="O2015" i="6"/>
  <c r="O4300" i="6"/>
  <c r="O2739" i="6"/>
  <c r="O508" i="6"/>
  <c r="O2571" i="6"/>
  <c r="O95" i="6"/>
  <c r="O4186" i="6"/>
  <c r="O828" i="6"/>
  <c r="O1521" i="6"/>
  <c r="O1971" i="6"/>
  <c r="O1428" i="6"/>
  <c r="O2276" i="6"/>
  <c r="O4779" i="6"/>
  <c r="O88" i="6"/>
  <c r="O2280" i="6"/>
  <c r="O2794" i="6"/>
  <c r="O917" i="6"/>
  <c r="O2527" i="6"/>
  <c r="O1519" i="6"/>
  <c r="O3316" i="6"/>
  <c r="O2251" i="6"/>
  <c r="O539" i="6"/>
  <c r="O3257" i="6"/>
  <c r="O569" i="6"/>
  <c r="O1802" i="6"/>
  <c r="O4316" i="6"/>
  <c r="O749" i="6"/>
  <c r="O166" i="6"/>
  <c r="O3787" i="6"/>
  <c r="O2798" i="6"/>
  <c r="O2777" i="6"/>
  <c r="O242" i="6"/>
  <c r="O2842" i="6"/>
  <c r="O3177" i="6"/>
  <c r="O4136" i="6"/>
  <c r="O4159" i="6"/>
  <c r="O3672" i="6"/>
  <c r="O73" i="6"/>
  <c r="O566" i="6"/>
  <c r="O1016" i="6"/>
  <c r="O121" i="6"/>
  <c r="O3802" i="6"/>
  <c r="O2752" i="6"/>
  <c r="O4645" i="6"/>
  <c r="O1772" i="6"/>
  <c r="O3305" i="6"/>
  <c r="O2260" i="6"/>
  <c r="O3414" i="6"/>
  <c r="O3649" i="6"/>
  <c r="O1332" i="6"/>
  <c r="O3353" i="6"/>
  <c r="O511" i="6"/>
  <c r="O2403" i="6"/>
  <c r="O104" i="6"/>
  <c r="O1368" i="6"/>
  <c r="O3185" i="6"/>
  <c r="O611" i="6"/>
  <c r="O1211" i="6"/>
  <c r="O502" i="6"/>
  <c r="O2454" i="6"/>
  <c r="O2132" i="6"/>
  <c r="O117" i="6"/>
  <c r="O3717" i="6"/>
  <c r="O3702" i="6"/>
  <c r="O1966" i="6"/>
  <c r="O3750" i="6"/>
  <c r="O3609" i="6"/>
  <c r="O3685" i="6"/>
  <c r="O1796" i="6"/>
  <c r="O29" i="6"/>
  <c r="O578" i="6"/>
  <c r="O3342" i="6"/>
  <c r="O2836" i="6"/>
  <c r="O4599" i="6"/>
  <c r="O70" i="6"/>
  <c r="O4852" i="6"/>
  <c r="O4483" i="6"/>
  <c r="O1081" i="6"/>
  <c r="O2136" i="6"/>
  <c r="O1601" i="6"/>
  <c r="O4639" i="6"/>
  <c r="O3842" i="6"/>
  <c r="O32" i="6"/>
  <c r="O1405" i="6"/>
  <c r="O2774" i="6"/>
  <c r="O3624" i="6"/>
  <c r="O1609" i="6"/>
  <c r="O2905" i="6"/>
  <c r="O3378" i="6"/>
  <c r="O2486" i="6"/>
  <c r="O2030" i="6"/>
  <c r="O754" i="6"/>
  <c r="O1947" i="6"/>
  <c r="O3762" i="6"/>
  <c r="O950" i="6"/>
  <c r="O1457" i="6"/>
  <c r="O985" i="6"/>
  <c r="O1662" i="6"/>
  <c r="O3631" i="6"/>
  <c r="O1283" i="6"/>
  <c r="O3408" i="6"/>
  <c r="O3137" i="6"/>
  <c r="O622" i="6"/>
  <c r="O3439" i="6"/>
  <c r="O3376" i="6"/>
  <c r="O631" i="6"/>
  <c r="O549" i="6"/>
  <c r="O3876" i="6"/>
  <c r="O4719" i="6"/>
  <c r="O4293" i="6"/>
  <c r="O2382" i="6"/>
  <c r="O650" i="6"/>
  <c r="O4711" i="6"/>
  <c r="O4496" i="6"/>
  <c r="O4038" i="6"/>
  <c r="O741" i="6"/>
  <c r="O3648" i="6"/>
  <c r="O2669" i="6"/>
  <c r="O3834" i="6"/>
  <c r="O1533" i="6"/>
  <c r="O3401" i="6"/>
  <c r="O1816" i="6"/>
  <c r="O1737" i="6"/>
  <c r="O1626" i="6"/>
  <c r="O4243" i="6"/>
  <c r="O1200" i="6"/>
  <c r="O515" i="6"/>
  <c r="O4224" i="6"/>
  <c r="O4348" i="6"/>
  <c r="O4353" i="6"/>
  <c r="O3202" i="6"/>
  <c r="O4716" i="6"/>
  <c r="O3952" i="6"/>
  <c r="O979" i="6"/>
  <c r="O3412" i="6"/>
  <c r="O3616" i="6"/>
  <c r="O3701" i="6"/>
  <c r="O3329" i="6"/>
  <c r="O1463" i="6"/>
  <c r="O3772" i="6"/>
  <c r="O3769" i="6"/>
  <c r="O1447" i="6"/>
  <c r="O3219" i="6"/>
  <c r="O2299" i="6"/>
  <c r="O4910" i="6"/>
  <c r="O3398" i="6"/>
  <c r="O4246" i="6"/>
  <c r="O913" i="6"/>
  <c r="O2582" i="6"/>
  <c r="O2160" i="6"/>
  <c r="O1696" i="6"/>
  <c r="O303" i="6"/>
  <c r="O3814" i="6"/>
  <c r="O434" i="6"/>
  <c r="O3337" i="6"/>
  <c r="O2544" i="6"/>
  <c r="O3917" i="6"/>
  <c r="O1215" i="6"/>
  <c r="O676" i="6"/>
  <c r="O311" i="6"/>
  <c r="O4658" i="6"/>
  <c r="O2897" i="6"/>
  <c r="O3826" i="6"/>
  <c r="O2553" i="6"/>
  <c r="O1199" i="6"/>
  <c r="O2361" i="6"/>
  <c r="O2481" i="6"/>
  <c r="O3969" i="6"/>
  <c r="O3375" i="6"/>
  <c r="O1331" i="6"/>
  <c r="O3067" i="6"/>
  <c r="O2746" i="6"/>
  <c r="O4524" i="6"/>
  <c r="O3756" i="6"/>
  <c r="O399" i="6"/>
  <c r="O1336" i="6"/>
  <c r="O4383" i="6"/>
  <c r="O2786" i="6"/>
  <c r="O4736" i="6"/>
  <c r="O2870" i="6"/>
  <c r="O2101" i="6"/>
  <c r="O4392" i="6"/>
  <c r="O4680" i="6"/>
  <c r="O175" i="6"/>
  <c r="O3871" i="6"/>
  <c r="O4859" i="6"/>
  <c r="O691" i="6"/>
  <c r="O2504" i="6"/>
  <c r="O14" i="6"/>
  <c r="O1474" i="6"/>
  <c r="O2770" i="6"/>
  <c r="O1449" i="6"/>
  <c r="O3263" i="6"/>
  <c r="O2342" i="6"/>
  <c r="O458" i="6"/>
  <c r="O3673" i="6"/>
  <c r="O4503" i="6"/>
  <c r="O4697" i="6"/>
  <c r="O482" i="6"/>
  <c r="O4543" i="6"/>
  <c r="O4730" i="6"/>
  <c r="O3269" i="6"/>
  <c r="O1768" i="6"/>
  <c r="O1828" i="6"/>
  <c r="O4696" i="6"/>
  <c r="O1202" i="6"/>
  <c r="O4647" i="6"/>
  <c r="O4516" i="6"/>
  <c r="O2910" i="6"/>
  <c r="O1868" i="6"/>
  <c r="O1912" i="6"/>
  <c r="O49" i="6"/>
  <c r="O3023" i="6"/>
  <c r="O4577" i="6"/>
  <c r="O3891" i="6"/>
  <c r="O4684" i="6"/>
  <c r="O115" i="6"/>
  <c r="O2706" i="6"/>
  <c r="O2775" i="6"/>
  <c r="O1220" i="6"/>
  <c r="O780" i="6"/>
  <c r="O2003" i="6"/>
  <c r="O4115" i="6"/>
  <c r="O4094" i="6"/>
  <c r="O2186" i="6"/>
  <c r="O1047" i="6"/>
  <c r="O2924" i="6"/>
  <c r="O2970" i="6"/>
  <c r="O992" i="6"/>
  <c r="O4132" i="6"/>
  <c r="O751" i="6"/>
  <c r="O2278" i="6"/>
  <c r="O2785" i="6"/>
  <c r="O1844" i="6"/>
  <c r="O4646" i="6"/>
  <c r="O813" i="6"/>
  <c r="O3368" i="6"/>
  <c r="O4844" i="6"/>
  <c r="O1062" i="6"/>
  <c r="O1837" i="6"/>
  <c r="O4318" i="6"/>
  <c r="O3170" i="6"/>
  <c r="O2295" i="6"/>
  <c r="O2275" i="6"/>
  <c r="O1299" i="6"/>
  <c r="O2812" i="6"/>
  <c r="O1846" i="6"/>
  <c r="O4066" i="6"/>
  <c r="O3932" i="6"/>
  <c r="O2990" i="6"/>
  <c r="O194" i="6"/>
  <c r="O1931" i="6"/>
  <c r="O4584" i="6"/>
  <c r="O26" i="6"/>
  <c r="O4071" i="6"/>
  <c r="O4668" i="6"/>
  <c r="O2942" i="6"/>
  <c r="O3384" i="6"/>
  <c r="O408" i="6"/>
  <c r="O744" i="6"/>
  <c r="O1979" i="6"/>
  <c r="O1721" i="6"/>
  <c r="O4603" i="6"/>
  <c r="O3731" i="6"/>
  <c r="O2408" i="6"/>
  <c r="O1900" i="6"/>
  <c r="O255" i="6"/>
  <c r="O1534" i="6"/>
  <c r="O2448" i="6"/>
  <c r="O4549" i="6"/>
  <c r="O2573" i="6"/>
  <c r="O1500" i="6"/>
  <c r="O3144" i="6"/>
  <c r="O4368" i="6"/>
  <c r="O151" i="6"/>
  <c r="O3157" i="6"/>
  <c r="O4085" i="6"/>
  <c r="O982" i="6"/>
  <c r="O2245" i="6"/>
  <c r="O1358" i="6"/>
  <c r="O219" i="6"/>
  <c r="O4674" i="6"/>
  <c r="O3915" i="6"/>
  <c r="O1101" i="6"/>
  <c r="O2520" i="6"/>
  <c r="O610" i="6"/>
  <c r="O466" i="6"/>
  <c r="O517" i="6"/>
  <c r="O3230" i="6"/>
  <c r="O2724" i="6"/>
  <c r="O856" i="6"/>
  <c r="O888" i="6"/>
  <c r="O2346" i="6"/>
  <c r="O542" i="6"/>
  <c r="O2528" i="6"/>
  <c r="O1448" i="6"/>
  <c r="O576" i="6"/>
  <c r="O621" i="6"/>
  <c r="O331" i="6"/>
  <c r="O224" i="6"/>
  <c r="O2129" i="6"/>
  <c r="O2787" i="6"/>
  <c r="O4428" i="6"/>
  <c r="O1438" i="6"/>
  <c r="O2229" i="6"/>
  <c r="O2767" i="6"/>
  <c r="O3183" i="6"/>
  <c r="O4273" i="6"/>
  <c r="O2386" i="6"/>
  <c r="O1923" i="6"/>
  <c r="O960" i="6"/>
  <c r="O1806" i="6"/>
  <c r="O781" i="6"/>
  <c r="O3851" i="6"/>
  <c r="O750" i="6"/>
  <c r="O1275" i="6"/>
  <c r="O3894" i="6"/>
  <c r="O2898" i="6"/>
  <c r="O525" i="6"/>
  <c r="O3604" i="6"/>
  <c r="O3837" i="6"/>
  <c r="O3330" i="6"/>
  <c r="O1017" i="6"/>
  <c r="O2258" i="6"/>
  <c r="O93" i="6"/>
  <c r="O3194" i="6"/>
  <c r="O3234" i="6"/>
  <c r="O4077" i="6"/>
  <c r="O298" i="6"/>
  <c r="O3149" i="6"/>
  <c r="O1178" i="6"/>
  <c r="O4420" i="6"/>
  <c r="O2062" i="6"/>
  <c r="O3906" i="6"/>
  <c r="O1777" i="6"/>
  <c r="O4918" i="6"/>
  <c r="O1786" i="6"/>
  <c r="O1946" i="6"/>
  <c r="O499" i="6"/>
  <c r="O1291" i="6"/>
  <c r="O3404" i="6"/>
  <c r="O4216" i="6"/>
  <c r="O4814" i="6"/>
  <c r="O3240" i="6"/>
  <c r="O2089" i="6"/>
  <c r="O1743" i="6"/>
  <c r="O1270" i="6"/>
  <c r="O2104" i="6"/>
  <c r="O2114" i="6"/>
  <c r="O4028" i="6"/>
  <c r="O2366" i="6"/>
  <c r="O4356" i="6"/>
  <c r="O2171" i="6"/>
  <c r="O2956" i="6"/>
  <c r="O1312" i="6"/>
  <c r="O1402" i="6"/>
  <c r="O2252" i="6"/>
  <c r="O2800" i="6"/>
  <c r="O3163" i="6"/>
  <c r="O1819" i="6"/>
  <c r="O1826" i="6"/>
  <c r="O3741" i="6"/>
  <c r="O4876" i="6"/>
  <c r="O4792" i="6"/>
  <c r="O3446" i="6"/>
  <c r="O4889" i="6"/>
  <c r="O326" i="6"/>
  <c r="O735" i="6"/>
  <c r="O2966" i="6"/>
  <c r="O4023" i="6"/>
  <c r="O1106" i="6"/>
  <c r="O1797" i="6"/>
  <c r="O2827" i="6"/>
  <c r="O4531" i="6"/>
  <c r="O4331" i="6"/>
  <c r="O4182" i="6"/>
  <c r="O3645" i="6"/>
  <c r="O3082" i="6"/>
  <c r="O246" i="6"/>
  <c r="O4642" i="6"/>
  <c r="O4493" i="6"/>
  <c r="O4355" i="6"/>
  <c r="O3806" i="6"/>
  <c r="O1560" i="6"/>
  <c r="O1812" i="6"/>
  <c r="O2851" i="6"/>
  <c r="O2315" i="6"/>
  <c r="O1486" i="6"/>
  <c r="O2056" i="6"/>
  <c r="O1565" i="6"/>
  <c r="O3232" i="6"/>
  <c r="O71" i="6"/>
  <c r="O1638" i="6"/>
  <c r="O4580" i="6"/>
  <c r="O4676" i="6"/>
  <c r="O2957" i="6"/>
  <c r="O952" i="6"/>
  <c r="O978" i="6"/>
  <c r="O4840" i="6"/>
  <c r="O3165" i="6"/>
  <c r="O1045" i="6"/>
  <c r="O1451" i="6"/>
  <c r="O1960" i="6"/>
  <c r="O3957" i="6"/>
  <c r="O4436" i="6"/>
  <c r="O2425" i="6"/>
  <c r="O522" i="6"/>
  <c r="O2099" i="6"/>
  <c r="O667" i="6"/>
  <c r="O1983" i="6"/>
  <c r="O2624" i="6"/>
  <c r="O228" i="6"/>
  <c r="O4755" i="6"/>
  <c r="O903" i="6"/>
  <c r="O926" i="6"/>
  <c r="O1098" i="6"/>
  <c r="O3351" i="6"/>
  <c r="O3268" i="6"/>
  <c r="O3675" i="6"/>
  <c r="O4067" i="6"/>
  <c r="O4255" i="6"/>
  <c r="O3150" i="6"/>
  <c r="O4441" i="6"/>
  <c r="O4573" i="6"/>
  <c r="O361" i="6"/>
  <c r="O1162" i="6"/>
  <c r="O4176" i="6"/>
  <c r="O134" i="6"/>
  <c r="O2733" i="6"/>
  <c r="O4601" i="6"/>
  <c r="O1175" i="6"/>
  <c r="O2415" i="6"/>
  <c r="O4403" i="6"/>
  <c r="O162" i="6"/>
  <c r="O243" i="6"/>
  <c r="O603" i="6"/>
  <c r="O1732" i="6"/>
  <c r="O389" i="6"/>
  <c r="O4199" i="6"/>
  <c r="O3816" i="6"/>
  <c r="O3835" i="6"/>
  <c r="O3916" i="6"/>
  <c r="O3752" i="6"/>
  <c r="O2400" i="6"/>
  <c r="O700" i="6"/>
  <c r="O109" i="6"/>
  <c r="O1411" i="6"/>
  <c r="O1692" i="6"/>
  <c r="O4276" i="6"/>
  <c r="O4471" i="6"/>
  <c r="O4657" i="6"/>
  <c r="O4798" i="6"/>
  <c r="O1042" i="6"/>
  <c r="O76" i="6"/>
  <c r="O3990" i="6"/>
  <c r="O1040" i="6"/>
  <c r="O2289" i="6"/>
  <c r="O4404" i="6"/>
  <c r="O638" i="6"/>
  <c r="O3614" i="6"/>
  <c r="O379" i="6"/>
  <c r="O3844" i="6"/>
  <c r="O3800" i="6"/>
  <c r="O183" i="6"/>
  <c r="O3728" i="6"/>
  <c r="O3765" i="6"/>
  <c r="O484" i="6"/>
  <c r="O3326" i="6"/>
  <c r="O1353" i="6"/>
  <c r="O2849" i="6"/>
  <c r="O3705" i="6"/>
  <c r="O1999" i="6"/>
  <c r="O59" i="6"/>
  <c r="O1546" i="6"/>
  <c r="O3589" i="6"/>
  <c r="O3935" i="6"/>
  <c r="O2048" i="6"/>
  <c r="O4654" i="6"/>
  <c r="O319" i="6"/>
  <c r="O3343" i="6"/>
  <c r="O1348" i="6"/>
  <c r="O1252" i="6"/>
  <c r="O283" i="6"/>
  <c r="O541" i="6"/>
  <c r="O4165" i="6"/>
  <c r="O2815" i="6"/>
  <c r="O2964" i="6"/>
  <c r="O763" i="6"/>
  <c r="O626" i="6"/>
  <c r="O4068" i="6"/>
  <c r="O3461" i="6"/>
  <c r="O481" i="6"/>
  <c r="O1152" i="6"/>
  <c r="O512" i="6"/>
  <c r="O1728" i="6"/>
  <c r="O3280" i="6"/>
  <c r="O53" i="6"/>
  <c r="O3792" i="6"/>
  <c r="O4547" i="6"/>
  <c r="O1280" i="6"/>
  <c r="O4069" i="6"/>
  <c r="O2450" i="6"/>
  <c r="O4126" i="6"/>
  <c r="O3233" i="6"/>
  <c r="O1028" i="6"/>
  <c r="O4098" i="6"/>
  <c r="O135" i="6"/>
  <c r="O3629" i="6"/>
  <c r="O3264" i="6"/>
  <c r="O3438" i="6"/>
  <c r="O2525" i="6"/>
  <c r="O2312" i="6"/>
  <c r="O1867" i="6"/>
  <c r="O1808" i="6"/>
  <c r="O472" i="6"/>
  <c r="O4790" i="6"/>
  <c r="O1858" i="6"/>
  <c r="O1461" i="6"/>
  <c r="O2020" i="6"/>
  <c r="O1756" i="6"/>
  <c r="O2254" i="6"/>
  <c r="O2306" i="6"/>
  <c r="O1024" i="6"/>
  <c r="O2224" i="6"/>
  <c r="O1403" i="6"/>
  <c r="O1489" i="6"/>
  <c r="O971" i="6"/>
  <c r="O4162" i="6"/>
  <c r="O987" i="6"/>
  <c r="O3464" i="6"/>
  <c r="O3897" i="6"/>
  <c r="O2580" i="6"/>
  <c r="O469" i="6"/>
  <c r="O2121" i="6"/>
  <c r="O1212" i="6"/>
  <c r="O2267" i="6"/>
  <c r="O545" i="6"/>
  <c r="O1381" i="6"/>
  <c r="O214" i="6"/>
  <c r="O4202" i="6"/>
  <c r="O4152" i="6"/>
  <c r="O1468" i="6"/>
  <c r="O4635" i="6"/>
  <c r="O4563" i="6"/>
  <c r="O268" i="6"/>
  <c r="O1030" i="6"/>
  <c r="O3189" i="6"/>
  <c r="O164" i="6"/>
  <c r="O2401" i="6"/>
  <c r="O586" i="6"/>
  <c r="O2344" i="6"/>
  <c r="O2303" i="6"/>
  <c r="O3195" i="6"/>
  <c r="O72" i="6"/>
  <c r="O4111" i="6"/>
  <c r="O1347" i="6"/>
  <c r="O2820" i="6"/>
  <c r="O1379" i="6"/>
  <c r="O2249" i="6"/>
  <c r="O2758" i="6"/>
  <c r="O2764" i="6"/>
  <c r="O2992" i="6"/>
  <c r="O2753" i="6"/>
  <c r="O2398" i="6"/>
  <c r="O181" i="6"/>
  <c r="O4554" i="6"/>
  <c r="O1952" i="6"/>
  <c r="O4105" i="6"/>
  <c r="O3912" i="6"/>
  <c r="O1259" i="6"/>
  <c r="O1372" i="6"/>
  <c r="O1982" i="6"/>
  <c r="O4254" i="6"/>
  <c r="O4623" i="6"/>
  <c r="O2935" i="6"/>
  <c r="O179" i="6"/>
  <c r="O3633" i="6"/>
  <c r="O105" i="6"/>
  <c r="O4170" i="6"/>
  <c r="O1053" i="6"/>
  <c r="O4161" i="6"/>
  <c r="O1217" i="6"/>
  <c r="O1484" i="6"/>
  <c r="O1419" i="6"/>
  <c r="O2019" i="6"/>
  <c r="O2043" i="6"/>
  <c r="O4054" i="6"/>
  <c r="O12" i="6"/>
  <c r="O2534" i="6"/>
  <c r="O3188" i="6"/>
  <c r="O1462" i="6"/>
  <c r="O4" i="6"/>
  <c r="O2100" i="6"/>
  <c r="O3387" i="6"/>
  <c r="O592" i="6"/>
  <c r="O4571" i="6"/>
  <c r="O560" i="6"/>
  <c r="O3167" i="6"/>
  <c r="O3267" i="6"/>
  <c r="O1394" i="6"/>
  <c r="O3723" i="6"/>
  <c r="O4010" i="6"/>
  <c r="O4509" i="6"/>
  <c r="O4233" i="6"/>
  <c r="O1398" i="6"/>
  <c r="O2748" i="6"/>
  <c r="O209" i="6"/>
  <c r="O3980" i="6"/>
  <c r="O3162" i="6"/>
  <c r="O2984" i="6"/>
  <c r="O4758" i="6"/>
  <c r="O2039" i="6"/>
  <c r="O2799" i="6"/>
  <c r="O2772" i="6"/>
  <c r="O1896" i="6"/>
  <c r="O3147" i="6"/>
  <c r="O587" i="6"/>
  <c r="O4285" i="6"/>
  <c r="O1571" i="6"/>
  <c r="O3795" i="6"/>
  <c r="O198" i="6"/>
  <c r="O4517" i="6"/>
  <c r="O4116" i="6"/>
  <c r="O4562" i="6"/>
  <c r="O2345" i="6"/>
  <c r="O4578" i="6"/>
  <c r="O912" i="6"/>
  <c r="O330" i="6"/>
  <c r="O2691" i="6"/>
  <c r="O1002" i="6"/>
  <c r="O48" i="6"/>
  <c r="O173" i="6"/>
  <c r="O2058" i="6"/>
  <c r="O4424" i="6"/>
  <c r="O2240" i="6"/>
  <c r="O294" i="6"/>
  <c r="O2365" i="6"/>
  <c r="O3612" i="6"/>
  <c r="O1201" i="6"/>
  <c r="O1420" i="6"/>
  <c r="O1256" i="6"/>
  <c r="O2699" i="6"/>
  <c r="O4477" i="6"/>
  <c r="O1293" i="6"/>
  <c r="O160" i="6"/>
  <c r="O475" i="6"/>
  <c r="O1429" i="6"/>
  <c r="O3206" i="6"/>
  <c r="O489" i="6"/>
  <c r="O2420" i="6"/>
  <c r="O2792" i="6"/>
  <c r="O60" i="6"/>
  <c r="O938" i="6"/>
  <c r="O1300" i="6"/>
  <c r="O2351" i="6"/>
  <c r="O606" i="6"/>
  <c r="O4058" i="6"/>
  <c r="O1557" i="6"/>
  <c r="O593" i="6"/>
  <c r="O199" i="6"/>
  <c r="O923" i="6"/>
  <c r="O30" i="6"/>
  <c r="O2004" i="6"/>
  <c r="O465" i="6"/>
  <c r="O3713" i="6"/>
  <c r="O77" i="6"/>
  <c r="O4253" i="6"/>
  <c r="O3275" i="6"/>
  <c r="O1755" i="6"/>
  <c r="O148" i="6"/>
  <c r="O64" i="6"/>
  <c r="O1795" i="6"/>
  <c r="O3703" i="6"/>
  <c r="O2832" i="6"/>
  <c r="O13" i="6"/>
  <c r="O4713" i="6"/>
  <c r="O2038" i="6"/>
  <c r="O1928" i="6"/>
  <c r="O4225" i="6"/>
  <c r="O3743" i="6"/>
  <c r="O3186" i="6"/>
  <c r="O453" i="6"/>
  <c r="O1503" i="6"/>
  <c r="O4842" i="6"/>
  <c r="O3637" i="6"/>
  <c r="O79" i="6"/>
  <c r="O3610" i="6"/>
  <c r="O3751" i="6"/>
  <c r="O1482" i="6"/>
  <c r="O602" i="6"/>
  <c r="O544" i="6"/>
  <c r="O3627" i="6"/>
  <c r="O3874" i="6"/>
  <c r="O2853" i="6"/>
  <c r="O4526" i="6"/>
  <c r="O714" i="6"/>
  <c r="O2322" i="6"/>
  <c r="O4759" i="6"/>
  <c r="O4542" i="6"/>
  <c r="O1022" i="6"/>
  <c r="O2717" i="6"/>
  <c r="O1397" i="6"/>
  <c r="O1876" i="6"/>
  <c r="O3778" i="6"/>
  <c r="O1591" i="6"/>
  <c r="O4090" i="6"/>
  <c r="O1937" i="6"/>
  <c r="O3777" i="6"/>
  <c r="O4128" i="6"/>
  <c r="O1097" i="6"/>
  <c r="O90" i="6"/>
  <c r="O3145" i="6"/>
  <c r="O1236" i="6"/>
  <c r="O3867" i="6"/>
  <c r="O3389" i="6"/>
  <c r="O4487" i="6"/>
  <c r="O2483" i="6"/>
  <c r="O4579" i="6"/>
  <c r="O1558" i="6"/>
  <c r="O1354" i="6"/>
  <c r="O1549" i="6"/>
  <c r="O2367" i="6"/>
  <c r="O4617" i="6"/>
  <c r="O167" i="6"/>
  <c r="O1157" i="6"/>
  <c r="O860" i="6"/>
  <c r="O3197" i="6"/>
  <c r="O1352" i="6"/>
  <c r="O479" i="6"/>
  <c r="O789" i="6"/>
  <c r="O3739" i="6"/>
  <c r="O143" i="6"/>
  <c r="O3890" i="6"/>
  <c r="O1392" i="6"/>
  <c r="O2199" i="6"/>
  <c r="O1359" i="6"/>
  <c r="O4546" i="6"/>
  <c r="O3020" i="6"/>
  <c r="O4218" i="6"/>
  <c r="O205" i="6"/>
  <c r="O4139" i="6"/>
  <c r="O129" i="6"/>
  <c r="O518" i="6"/>
  <c r="O4568" i="6"/>
  <c r="O4086" i="6"/>
  <c r="O2907" i="6"/>
  <c r="O4504" i="6"/>
  <c r="O17" i="6"/>
  <c r="O3215" i="6"/>
  <c r="O92" i="6"/>
  <c r="O4044" i="6"/>
  <c r="O2320" i="6"/>
  <c r="O4522" i="6"/>
  <c r="O336" i="6"/>
  <c r="O1531" i="6"/>
  <c r="O1854" i="6"/>
  <c r="O2253" i="6"/>
  <c r="O2757" i="6"/>
  <c r="O2243" i="6"/>
  <c r="O4235" i="6"/>
  <c r="O4776" i="6"/>
  <c r="O2790" i="6"/>
  <c r="O2926" i="6"/>
  <c r="O2293" i="6"/>
  <c r="O9" i="6"/>
  <c r="O3152" i="6"/>
  <c r="O2353" i="6"/>
  <c r="O20" i="6"/>
  <c r="O3320" i="6"/>
  <c r="O2334" i="6"/>
  <c r="O4769" i="6"/>
  <c r="O2839" i="6"/>
  <c r="O4148" i="6"/>
  <c r="O1922" i="6"/>
  <c r="O1897" i="6"/>
  <c r="O964" i="6"/>
  <c r="O3877" i="6"/>
  <c r="O4271" i="6"/>
  <c r="O2439" i="6"/>
  <c r="O2430" i="6"/>
  <c r="O4778" i="6"/>
  <c r="O2735" i="6"/>
  <c r="O1384" i="6"/>
  <c r="O1391" i="6"/>
  <c r="O3635" i="6"/>
  <c r="O1034" i="6"/>
  <c r="O1644" i="6"/>
  <c r="O1636" i="6"/>
  <c r="O915" i="6"/>
  <c r="O2259" i="6"/>
  <c r="O596" i="6"/>
  <c r="O4831" i="6"/>
  <c r="O158" i="6"/>
  <c r="O678" i="6"/>
  <c r="O3729" i="6"/>
  <c r="O1831" i="6"/>
  <c r="O3328" i="6"/>
  <c r="O1488" i="6"/>
  <c r="O3366" i="6"/>
  <c r="O3278" i="6"/>
  <c r="O4774" i="6"/>
  <c r="O956" i="6"/>
  <c r="O659" i="6"/>
  <c r="O4665" i="6"/>
  <c r="O788" i="6"/>
  <c r="O1480" i="6"/>
  <c r="O191" i="6"/>
  <c r="O980" i="6"/>
  <c r="O1035" i="6"/>
  <c r="O4763" i="6"/>
  <c r="O2331" i="6"/>
  <c r="O4062" i="6"/>
  <c r="O2328" i="6"/>
  <c r="O1021" i="6"/>
  <c r="O2358" i="6"/>
  <c r="O941" i="6"/>
  <c r="O1362" i="6"/>
  <c r="O4765" i="6"/>
  <c r="O2707" i="6"/>
  <c r="O18" i="6"/>
  <c r="O690" i="6"/>
  <c r="O197" i="6"/>
  <c r="O1038" i="6"/>
  <c r="O2265" i="6"/>
  <c r="O3674" i="6"/>
  <c r="O1385" i="6"/>
  <c r="O1432" i="6"/>
  <c r="O3622" i="6"/>
  <c r="O4325" i="6"/>
  <c r="O1496" i="6"/>
  <c r="O2750" i="6"/>
  <c r="O2341" i="6"/>
  <c r="O3440" i="6"/>
  <c r="O4065" i="6"/>
  <c r="O2307" i="6"/>
  <c r="O718" i="6"/>
  <c r="O87" i="6"/>
  <c r="O742" i="6"/>
  <c r="O2551" i="6"/>
  <c r="O859" i="6"/>
  <c r="O1848" i="6"/>
  <c r="O1289" i="6"/>
  <c r="O2588" i="6"/>
  <c r="O390" i="6"/>
  <c r="O636" i="6"/>
  <c r="O2223" i="6"/>
  <c r="O4189" i="6"/>
  <c r="O1998" i="6"/>
  <c r="O4275" i="6"/>
  <c r="O287" i="6"/>
  <c r="O2882" i="6"/>
  <c r="O2909" i="6"/>
  <c r="O1841" i="6"/>
  <c r="O1972" i="6"/>
  <c r="O3427" i="6"/>
  <c r="O2967" i="6"/>
  <c r="O130" i="6"/>
  <c r="O2555" i="6"/>
  <c r="O2479" i="6"/>
  <c r="O3019" i="6"/>
  <c r="O553" i="6"/>
  <c r="O1526" i="6"/>
  <c r="O2381" i="6"/>
  <c r="O462" i="6"/>
  <c r="O3779" i="6"/>
  <c r="O2535" i="6"/>
  <c r="O3135" i="6"/>
  <c r="O2143" i="6"/>
  <c r="O1119" i="6"/>
  <c r="O4184" i="6"/>
  <c r="O1043" i="6"/>
  <c r="O3820" i="6"/>
  <c r="O3193" i="6"/>
  <c r="O1723" i="6"/>
  <c r="O1842" i="6"/>
  <c r="O1068" i="6"/>
  <c r="O3290" i="6"/>
  <c r="O532" i="6"/>
  <c r="O300" i="6"/>
  <c r="O3141" i="6"/>
  <c r="O4340" i="6"/>
  <c r="O3753" i="6"/>
  <c r="O2859" i="6"/>
  <c r="O3279" i="6"/>
  <c r="O1092" i="6"/>
  <c r="O870" i="6"/>
  <c r="O2492" i="6"/>
  <c r="O4158" i="6"/>
  <c r="O2364" i="6"/>
  <c r="O4745" i="6"/>
  <c r="O1156" i="6"/>
  <c r="O1013" i="6"/>
  <c r="O4181" i="6"/>
  <c r="O1455" i="6"/>
  <c r="O3348" i="6"/>
  <c r="O728" i="6"/>
  <c r="O1815" i="6"/>
  <c r="O4596" i="6"/>
  <c r="O2930" i="6"/>
  <c r="O973" i="6"/>
  <c r="O2696" i="6"/>
  <c r="O4865" i="6"/>
  <c r="O3926" i="6"/>
  <c r="O3143" i="6"/>
  <c r="O2682" i="6"/>
  <c r="O4754" i="6"/>
  <c r="O4796" i="6"/>
  <c r="O1631" i="6"/>
  <c r="O3306" i="6"/>
  <c r="O3971" i="6"/>
  <c r="O2205" i="6"/>
  <c r="O1046" i="6"/>
  <c r="O1479" i="6"/>
  <c r="O240" i="6"/>
  <c r="O3721" i="6"/>
  <c r="O2788" i="6"/>
  <c r="O4794" i="6"/>
  <c r="O3448" i="6"/>
  <c r="O165" i="6"/>
  <c r="O4767" i="6"/>
  <c r="O2600" i="6"/>
  <c r="O2246" i="6"/>
  <c r="O719" i="6"/>
  <c r="O1437" i="6"/>
  <c r="O559" i="6"/>
  <c r="O4048" i="6"/>
  <c r="O1898" i="6"/>
  <c r="O4557" i="6"/>
  <c r="O1883" i="6"/>
  <c r="O3900" i="6"/>
  <c r="O2747" i="6"/>
  <c r="O1389" i="6"/>
  <c r="O2309" i="6"/>
  <c r="O1608" i="6"/>
  <c r="O1949" i="6"/>
  <c r="O601" i="6"/>
  <c r="O1870" i="6"/>
  <c r="O618" i="6"/>
  <c r="O4027" i="6"/>
  <c r="O256" i="6"/>
  <c r="O3321" i="6"/>
  <c r="O1668" i="6"/>
  <c r="O2890" i="6"/>
  <c r="O2084" i="6"/>
  <c r="O4564" i="6"/>
  <c r="O2729" i="6"/>
  <c r="O1014" i="6"/>
  <c r="O1962" i="6"/>
  <c r="O110" i="6"/>
  <c r="O3356" i="6"/>
  <c r="O2337" i="6"/>
  <c r="O2319" i="6"/>
  <c r="O3704" i="6"/>
  <c r="O644" i="6"/>
  <c r="O1005" i="6"/>
  <c r="O100" i="6"/>
  <c r="O292" i="6"/>
  <c r="O616" i="6"/>
  <c r="O4559" i="6"/>
  <c r="O2467" i="6"/>
  <c r="O3080" i="6"/>
  <c r="O1582" i="6"/>
  <c r="O3568" i="6"/>
  <c r="O1948" i="6"/>
  <c r="O227" i="6"/>
  <c r="O3159" i="6"/>
  <c r="O4458" i="6"/>
  <c r="O202" i="6"/>
  <c r="O2765" i="6"/>
  <c r="O1987" i="6"/>
  <c r="O2288" i="6"/>
  <c r="O970" i="6"/>
  <c r="O61" i="6"/>
  <c r="O306" i="6"/>
  <c r="O1204" i="6"/>
  <c r="O4345" i="6"/>
  <c r="O1467" i="6"/>
  <c r="O4142" i="6"/>
  <c r="O2266" i="6"/>
  <c r="O4437" i="6"/>
  <c r="O35" i="6"/>
  <c r="O3638" i="6"/>
  <c r="O3287" i="6"/>
  <c r="O3308" i="6"/>
  <c r="O4705" i="6"/>
  <c r="O506" i="6"/>
  <c r="O4618" i="6"/>
  <c r="O922" i="6"/>
  <c r="O3204" i="6"/>
  <c r="O1599" i="6"/>
  <c r="O933" i="6"/>
  <c r="O1190" i="6"/>
  <c r="O3677" i="6"/>
  <c r="O4661" i="6"/>
  <c r="O945" i="6"/>
  <c r="O4507" i="6"/>
  <c r="O963" i="6"/>
  <c r="O2376" i="6"/>
  <c r="O2515" i="6"/>
  <c r="O919" i="6"/>
  <c r="O2783" i="6"/>
  <c r="O4528" i="6"/>
  <c r="O4234" i="6"/>
  <c r="O159" i="6"/>
  <c r="O1559" i="6"/>
  <c r="O2338" i="6"/>
  <c r="O2392" i="6"/>
  <c r="O4452" i="6"/>
  <c r="O530" i="6"/>
  <c r="O3158" i="6"/>
  <c r="O62" i="6"/>
  <c r="O3689" i="6"/>
  <c r="O1894" i="6"/>
  <c r="O1530" i="6"/>
  <c r="O2805" i="6"/>
  <c r="O918" i="6"/>
  <c r="O2710" i="6"/>
  <c r="O1131" i="6"/>
  <c r="O4619" i="6"/>
  <c r="O1843" i="6"/>
  <c r="O123" i="6"/>
  <c r="O2705" i="6"/>
  <c r="O4052" i="6"/>
  <c r="O494" i="6"/>
  <c r="O2813" i="6"/>
  <c r="O523" i="6"/>
  <c r="O1472" i="6"/>
  <c r="O4499" i="6"/>
  <c r="O2806" i="6"/>
  <c r="O3392" i="6"/>
  <c r="O67" i="6"/>
  <c r="O1574" i="6"/>
  <c r="O2846" i="6"/>
  <c r="O2464" i="6"/>
  <c r="O24" i="6"/>
  <c r="O1112" i="6"/>
  <c r="O1992" i="6"/>
  <c r="O2167" i="6"/>
  <c r="O4118" i="6"/>
  <c r="O4050" i="6"/>
  <c r="O3653" i="6"/>
  <c r="O581" i="6"/>
  <c r="O2500" i="6"/>
  <c r="O3982" i="6"/>
  <c r="O3968" i="6"/>
  <c r="O4488" i="6"/>
  <c r="O570" i="6"/>
  <c r="O2854" i="6"/>
  <c r="O1957" i="6"/>
  <c r="O3350" i="6"/>
  <c r="O3423" i="6"/>
  <c r="O4689" i="6"/>
  <c r="O2731" i="6"/>
  <c r="O597" i="6"/>
  <c r="O2192" i="6"/>
  <c r="O2721" i="6"/>
  <c r="O2005" i="6"/>
  <c r="O4212" i="6"/>
  <c r="O1672" i="6"/>
  <c r="O2937" i="6"/>
  <c r="O2244" i="6"/>
  <c r="O2449" i="6"/>
  <c r="O1953" i="6"/>
  <c r="O3780" i="6"/>
  <c r="O4500" i="6"/>
  <c r="O3402" i="6"/>
  <c r="O4087" i="6"/>
  <c r="O2163" i="6"/>
  <c r="O543" i="6"/>
  <c r="O3072" i="6"/>
  <c r="O3528" i="6"/>
  <c r="O1511" i="6"/>
  <c r="O1018" i="6"/>
  <c r="O3251" i="6"/>
  <c r="O3694" i="6"/>
  <c r="O279" i="6"/>
  <c r="O2766" i="6"/>
  <c r="O4722" i="6"/>
  <c r="O4179" i="6"/>
  <c r="O1871" i="6"/>
  <c r="O4751" i="6"/>
  <c r="O3199" i="6"/>
  <c r="O1445" i="6"/>
  <c r="O2741" i="6"/>
  <c r="O142" i="6"/>
  <c r="O1399" i="6"/>
  <c r="O3386" i="6"/>
  <c r="O4205" i="6"/>
  <c r="O3824" i="6"/>
  <c r="O1985" i="6"/>
  <c r="O1446" i="6"/>
  <c r="O3229" i="6"/>
  <c r="O3312" i="6"/>
  <c r="O2397" i="6"/>
  <c r="O4781" i="6"/>
  <c r="O1835" i="6"/>
  <c r="O4097" i="6"/>
  <c r="O3850" i="6"/>
  <c r="O4061" i="6"/>
  <c r="O2385" i="6"/>
  <c r="O3181" i="6"/>
  <c r="O2463" i="6"/>
  <c r="O1471" i="6"/>
  <c r="O1466" i="6"/>
  <c r="O976" i="6"/>
  <c r="O3767" i="6"/>
  <c r="O2423" i="6"/>
  <c r="O36" i="6"/>
  <c r="O623" i="6"/>
  <c r="O3166" i="6"/>
  <c r="O1374" i="6"/>
  <c r="O1663" i="6"/>
  <c r="O1171" i="6"/>
  <c r="O775" i="6"/>
  <c r="O3642" i="6"/>
  <c r="O1108" i="6"/>
  <c r="O2076" i="6"/>
  <c r="O3243" i="6"/>
  <c r="O1102" i="6"/>
  <c r="O2348" i="6"/>
  <c r="O2740" i="6"/>
  <c r="O2829" i="6"/>
  <c r="O4708" i="6"/>
  <c r="O52" i="6"/>
  <c r="O222" i="6"/>
  <c r="O4257" i="6"/>
  <c r="O2010" i="6"/>
  <c r="O4149" i="6"/>
  <c r="O2297" i="6"/>
  <c r="O657" i="6"/>
  <c r="O925" i="6"/>
  <c r="O4479" i="6"/>
  <c r="O4080" i="6"/>
  <c r="O3456" i="6"/>
  <c r="O1460" i="6"/>
  <c r="O3358" i="6"/>
  <c r="O3473" i="6"/>
  <c r="O2108" i="6"/>
  <c r="O4532" i="6"/>
  <c r="O480" i="6"/>
  <c r="O1851" i="6"/>
  <c r="O4298" i="6"/>
  <c r="O3241" i="6"/>
  <c r="O3661" i="6"/>
  <c r="O619" i="6"/>
  <c r="O1525" i="6"/>
  <c r="O4221" i="6"/>
  <c r="O3002" i="6"/>
  <c r="O4591" i="6"/>
  <c r="O4040" i="6"/>
  <c r="O2959" i="6"/>
  <c r="O2887" i="6"/>
  <c r="O648" i="6"/>
  <c r="O1061" i="6"/>
  <c r="O3664" i="6"/>
  <c r="O4160" i="6"/>
  <c r="O902" i="6"/>
  <c r="O4320" i="6"/>
  <c r="O335" i="6"/>
  <c r="O3601" i="6"/>
  <c r="O2059" i="6"/>
  <c r="O125" i="6"/>
  <c r="O2861" i="6"/>
  <c r="O989" i="6"/>
  <c r="O1371" i="6"/>
  <c r="O1364" i="6"/>
  <c r="O1817" i="6"/>
  <c r="O2538" i="6"/>
  <c r="O2552" i="6"/>
  <c r="O1117" i="6"/>
  <c r="O4514" i="6"/>
  <c r="O1134" i="6"/>
  <c r="O2333" i="6"/>
  <c r="O4213" i="6"/>
  <c r="O3639" i="6"/>
  <c r="O1378" i="6"/>
  <c r="O4278" i="6"/>
  <c r="O278" i="6"/>
  <c r="O3360" i="6"/>
  <c r="O2025" i="6"/>
  <c r="O4585" i="6"/>
  <c r="O2716" i="6"/>
  <c r="O3304" i="6"/>
  <c r="O1444" i="6"/>
  <c r="O3592" i="6"/>
  <c r="O2014" i="6"/>
  <c r="O1357" i="6"/>
  <c r="O1052" i="6"/>
  <c r="O10" i="6"/>
  <c r="O1442" i="6"/>
  <c r="O2429" i="6"/>
  <c r="O1476" i="6"/>
  <c r="O65" i="6"/>
  <c r="O1125" i="6"/>
  <c r="O4687" i="6"/>
  <c r="O2285" i="6"/>
  <c r="O3357" i="6"/>
  <c r="O1228" i="6"/>
  <c r="O547" i="6"/>
  <c r="O1161" i="6"/>
  <c r="O634" i="6"/>
  <c r="O3168" i="6"/>
  <c r="O510" i="6"/>
  <c r="O1799" i="6"/>
  <c r="O2283" i="6"/>
  <c r="O1678" i="6"/>
  <c r="O504" i="6"/>
  <c r="O4263" i="6"/>
  <c r="O3172" i="6"/>
  <c r="O2912" i="6"/>
  <c r="O485" i="6"/>
  <c r="O3512" i="6"/>
  <c r="O1423" i="6"/>
  <c r="O265" i="6"/>
  <c r="O1801" i="6"/>
  <c r="O1095" i="6"/>
  <c r="O2751" i="6"/>
  <c r="O4169" i="6"/>
  <c r="O1800" i="6"/>
  <c r="O2877" i="6"/>
  <c r="O4123" i="6"/>
  <c r="O4211" i="6"/>
  <c r="O916" i="6"/>
  <c r="O2282" i="6"/>
  <c r="O2462" i="6"/>
  <c r="O1984" i="6"/>
  <c r="O150" i="6"/>
  <c r="O3655" i="6"/>
  <c r="O4638" i="6"/>
  <c r="O1363" i="6"/>
  <c r="O663" i="6"/>
  <c r="O2627" i="6"/>
  <c r="O1863" i="6"/>
  <c r="O1918" i="6"/>
  <c r="O4675" i="6"/>
  <c r="O4249" i="6"/>
  <c r="O4238" i="6"/>
  <c r="O33" i="6"/>
  <c r="O972" i="6"/>
  <c r="O3424" i="6"/>
  <c r="O1860" i="6"/>
  <c r="O2011" i="6"/>
  <c r="O1158" i="6"/>
  <c r="O1087" i="6"/>
  <c r="O4608" i="6"/>
  <c r="O126" i="6"/>
  <c r="O736" i="6"/>
  <c r="O934" i="6"/>
  <c r="O4433" i="6"/>
  <c r="O2838" i="6"/>
  <c r="O4007" i="6"/>
  <c r="O1811" i="6"/>
  <c r="O1683" i="6"/>
  <c r="O1401" i="6"/>
  <c r="O3632" i="6"/>
  <c r="O4648" i="6"/>
  <c r="O2780" i="6"/>
  <c r="O2116" i="6"/>
  <c r="O1932" i="6"/>
  <c r="O2422" i="6"/>
  <c r="O1003" i="6"/>
  <c r="O4733" i="6"/>
  <c r="O4841" i="6"/>
  <c r="O1886" i="6"/>
  <c r="O752" i="6"/>
  <c r="O4678" i="6"/>
  <c r="O3794" i="6"/>
  <c r="O3749" i="6"/>
  <c r="O4606" i="6"/>
  <c r="O2140" i="6"/>
  <c r="O1628" i="6"/>
  <c r="O3735" i="6"/>
  <c r="O779" i="6"/>
  <c r="O25" i="6"/>
  <c r="O85" i="6"/>
  <c r="O2308" i="6"/>
  <c r="O3714" i="6"/>
  <c r="O3235" i="6"/>
  <c r="O262" i="6"/>
  <c r="O612" i="6"/>
  <c r="O1942" i="6"/>
  <c r="O2981" i="6"/>
  <c r="O2395" i="6"/>
  <c r="O2336" i="6"/>
  <c r="O1961" i="6"/>
  <c r="O3000" i="6"/>
  <c r="O461" i="6"/>
  <c r="O43" i="6"/>
  <c r="O7" i="6"/>
  <c r="O4332" i="6"/>
  <c r="O1491" i="6"/>
  <c r="O756" i="6"/>
  <c r="O2498" i="6"/>
  <c r="O3450" i="6"/>
  <c r="O4510" i="6"/>
  <c r="O1456" i="6"/>
  <c r="O3184" i="6"/>
  <c r="O1556" i="6"/>
  <c r="O2720" i="6"/>
  <c r="O4512" i="6"/>
  <c r="O171" i="6"/>
  <c r="O4110" i="6"/>
  <c r="O585" i="6"/>
  <c r="O1382" i="6"/>
  <c r="O4201" i="6"/>
  <c r="O2826" i="6"/>
  <c r="O722" i="6"/>
  <c r="O1666" i="6"/>
  <c r="O82" i="6"/>
  <c r="O4879" i="6"/>
  <c r="O473" i="6"/>
  <c r="O1712" i="6"/>
  <c r="O599" i="6"/>
  <c r="O4800" i="6"/>
  <c r="O2793" i="6"/>
  <c r="O3734" i="6"/>
  <c r="O3201" i="6"/>
  <c r="O4649" i="6"/>
  <c r="O3205" i="6"/>
  <c r="O4057" i="6"/>
  <c r="O157" i="6"/>
  <c r="O4630" i="6"/>
  <c r="O4688" i="6"/>
  <c r="O1833" i="6"/>
  <c r="O2413" i="6"/>
  <c r="O3668" i="6"/>
  <c r="O555" i="6"/>
  <c r="O4133" i="6"/>
  <c r="O3696" i="6"/>
  <c r="O3608" i="6"/>
  <c r="O3218" i="6"/>
  <c r="O1810" i="6"/>
  <c r="O1091" i="6"/>
  <c r="O3179" i="6"/>
  <c r="O257" i="6"/>
  <c r="O3443" i="6"/>
  <c r="O188" i="6"/>
  <c r="O2915" i="6"/>
  <c r="O2973" i="6"/>
  <c r="O4569" i="6"/>
  <c r="O1225" i="6"/>
  <c r="O4296" i="6"/>
  <c r="O3598" i="6"/>
  <c r="O463" i="6"/>
  <c r="O2742" i="6"/>
  <c r="O4138" i="6"/>
  <c r="O1853" i="6"/>
  <c r="O1820" i="6"/>
  <c r="O4667" i="6"/>
  <c r="O1895" i="6"/>
  <c r="O3831" i="6"/>
  <c r="O4789" i="6"/>
  <c r="O3875" i="6"/>
  <c r="O133" i="6"/>
  <c r="O2271" i="6"/>
  <c r="O177" i="6"/>
  <c r="O4620" i="6"/>
  <c r="O1938" i="6"/>
  <c r="O4629" i="6"/>
  <c r="O2001" i="6"/>
  <c r="O2406" i="6"/>
  <c r="O1916" i="6"/>
  <c r="O4191" i="6"/>
  <c r="O4673" i="6"/>
  <c r="O3310" i="6"/>
  <c r="O577" i="6"/>
  <c r="O3822" i="6"/>
  <c r="O4076" i="6"/>
  <c r="O3302" i="6"/>
  <c r="O1779" i="6"/>
  <c r="O3899" i="6"/>
  <c r="O3884" i="6"/>
  <c r="O3667" i="6"/>
  <c r="O4369" i="6"/>
  <c r="O1421" i="6"/>
  <c r="O2863" i="6"/>
  <c r="O3641" i="6"/>
  <c r="O3265" i="6"/>
  <c r="O3236" i="6"/>
  <c r="O2857" i="6"/>
  <c r="O2864" i="6"/>
  <c r="O3286" i="6"/>
  <c r="O2262" i="6"/>
  <c r="O4045" i="6"/>
  <c r="O1085" i="6"/>
  <c r="O4072" i="6"/>
  <c r="O4607" i="6"/>
  <c r="O962" i="6"/>
  <c r="O3615" i="6"/>
  <c r="O1822" i="6"/>
  <c r="O3919" i="6"/>
  <c r="O1050" i="6"/>
  <c r="O2647" i="6"/>
  <c r="O3346" i="6"/>
  <c r="O1579" i="6"/>
  <c r="O4544" i="6"/>
  <c r="O2154" i="6"/>
  <c r="O206" i="6"/>
  <c r="O1864" i="6"/>
  <c r="O145" i="6"/>
  <c r="O168" i="6"/>
  <c r="O4495" i="6"/>
  <c r="O3708" i="6"/>
  <c r="O617" i="6"/>
  <c r="O1505" i="6"/>
  <c r="O1622" i="6"/>
  <c r="O2126" i="6"/>
  <c r="O1343" i="6"/>
  <c r="O629" i="6"/>
  <c r="O3567" i="6"/>
  <c r="O4267" i="6"/>
  <c r="O1967" i="6"/>
  <c r="O672" i="6"/>
  <c r="O529" i="6"/>
  <c r="O215" i="6"/>
  <c r="O464" i="6"/>
  <c r="O627" i="6"/>
  <c r="O1004" i="6"/>
  <c r="O3547" i="6"/>
  <c r="O2769" i="6"/>
  <c r="O1814" i="6"/>
  <c r="O4174" i="6"/>
  <c r="O2834" i="6"/>
  <c r="O2447" i="6"/>
  <c r="O217" i="6"/>
  <c r="O2090" i="6"/>
  <c r="O1104" i="6"/>
  <c r="O19" i="6"/>
  <c r="O23" i="6"/>
  <c r="O579" i="6"/>
  <c r="O34" i="6"/>
  <c r="O1163" i="6"/>
  <c r="O3300" i="6"/>
  <c r="O1360" i="6"/>
  <c r="O2801" i="6"/>
  <c r="O4538" i="6"/>
  <c r="O324" i="6"/>
  <c r="O1882" i="6"/>
  <c r="O3745" i="6"/>
  <c r="O2714" i="6"/>
  <c r="O3827" i="6"/>
  <c r="O451" i="6"/>
  <c r="O4728" i="6"/>
  <c r="O193" i="6"/>
  <c r="O1637" i="6"/>
  <c r="O1847" i="6"/>
  <c r="O2068" i="6"/>
  <c r="O4206" i="6"/>
  <c r="O2568" i="6"/>
  <c r="O3227" i="6"/>
  <c r="O4185" i="6"/>
  <c r="O3391" i="6"/>
  <c r="O3014" i="6"/>
  <c r="O1073" i="6"/>
  <c r="O4490" i="6"/>
  <c r="O1604" i="6"/>
  <c r="O2327" i="6"/>
  <c r="O1996" i="6"/>
  <c r="O3660" i="6"/>
  <c r="O4203" i="6"/>
  <c r="O328" i="6"/>
  <c r="O4143" i="6"/>
  <c r="O929" i="6"/>
  <c r="O4491" i="6"/>
  <c r="O605" i="6"/>
  <c r="O554" i="6"/>
  <c r="O4183" i="6"/>
  <c r="O122" i="6"/>
  <c r="O452" i="6"/>
  <c r="O807" i="6"/>
  <c r="O669" i="6"/>
  <c r="O1406" i="6"/>
  <c r="O4102" i="6"/>
  <c r="O497" i="6"/>
  <c r="O2208" i="6"/>
  <c r="O4082" i="6"/>
  <c r="O2431" i="6"/>
  <c r="O3758" i="6"/>
  <c r="O1323" i="6"/>
  <c r="O2996" i="6"/>
  <c r="O3706" i="6"/>
  <c r="O632" i="6"/>
  <c r="O4581" i="6"/>
  <c r="O4613" i="6"/>
  <c r="O1007" i="6"/>
  <c r="O1619" i="6"/>
  <c r="O4731" i="6"/>
  <c r="O4099" i="6"/>
  <c r="O252" i="6"/>
  <c r="O957" i="6"/>
  <c r="O3261" i="6"/>
  <c r="O2187" i="6"/>
  <c r="O4104" i="6"/>
  <c r="O999" i="6"/>
  <c r="O3606" i="6"/>
  <c r="O4347" i="6"/>
  <c r="O4121" i="6"/>
  <c r="O1914" i="6"/>
  <c r="O4244" i="6"/>
  <c r="O1144" i="6"/>
  <c r="O2023" i="6"/>
  <c r="O3716" i="6"/>
  <c r="O201" i="6"/>
  <c r="O1838" i="6"/>
  <c r="O144" i="6"/>
  <c r="O4256" i="6"/>
  <c r="O1520" i="6"/>
  <c r="O4595" i="6"/>
  <c r="O1548" i="6"/>
  <c r="O773" i="6"/>
  <c r="O2940" i="6"/>
  <c r="O2456" i="6"/>
  <c r="O3420" i="6"/>
  <c r="O488" i="6"/>
  <c r="O1905" i="6"/>
  <c r="O4326" i="6"/>
  <c r="O4363" i="6"/>
  <c r="O4616" i="6"/>
  <c r="O3160" i="6"/>
  <c r="O1490" i="6"/>
  <c r="O4358" i="6"/>
  <c r="O3828" i="6"/>
  <c r="O1395" i="6"/>
  <c r="O565" i="6"/>
  <c r="O3630" i="6"/>
  <c r="O2298" i="6"/>
  <c r="O2744" i="6"/>
  <c r="O536" i="6"/>
  <c r="O3611" i="6"/>
  <c r="O3796" i="6"/>
  <c r="O1414" i="6"/>
  <c r="O1827" i="6"/>
  <c r="O45" i="6"/>
  <c r="O3650" i="6"/>
  <c r="O2508" i="6"/>
  <c r="O4084" i="6"/>
  <c r="O1965" i="6"/>
  <c r="O1620" i="6"/>
  <c r="O548" i="6"/>
  <c r="O1640" i="6"/>
  <c r="O4695" i="6"/>
  <c r="O474" i="6"/>
  <c r="O3334" i="6"/>
  <c r="O4558" i="6"/>
  <c r="O1807" i="6"/>
  <c r="O101" i="6"/>
  <c r="O2016" i="6"/>
  <c r="O2868" i="6"/>
  <c r="O2477" i="6"/>
  <c r="O3878" i="6"/>
  <c r="O4597" i="6"/>
  <c r="O4259" i="6"/>
  <c r="O2317" i="6"/>
  <c r="O4604" i="6"/>
  <c r="O3301" i="6"/>
  <c r="O1198" i="6"/>
  <c r="O2314" i="6"/>
  <c r="O348" i="6"/>
  <c r="O2417" i="6"/>
  <c r="O1054" i="6"/>
  <c r="O1011" i="6"/>
  <c r="O3593" i="6"/>
  <c r="O4773" i="6"/>
  <c r="O1834" i="6"/>
  <c r="O4693" i="6"/>
  <c r="O4912" i="6"/>
  <c r="O2421" i="6"/>
  <c r="O3196" i="6"/>
  <c r="O762" i="6"/>
  <c r="O1877" i="6"/>
  <c r="O28" i="6"/>
  <c r="O521" i="6"/>
  <c r="O3690" i="6"/>
  <c r="O4583" i="6"/>
  <c r="O3059" i="6"/>
  <c r="O4194" i="6"/>
  <c r="O1955" i="6"/>
  <c r="O1356" i="6"/>
  <c r="O969" i="6"/>
  <c r="O666" i="6"/>
  <c r="O3073" i="6"/>
  <c r="O2107" i="6"/>
  <c r="O1074" i="6"/>
  <c r="O959" i="6"/>
  <c r="O3396" i="6"/>
  <c r="O4644" i="6"/>
  <c r="O1522" i="6"/>
  <c r="O2050" i="6"/>
  <c r="O4637" i="6"/>
  <c r="O732" i="6"/>
  <c r="O3759" i="6"/>
  <c r="O3846" i="6"/>
  <c r="O568" i="6"/>
  <c r="O1589" i="6"/>
  <c r="O3161" i="6"/>
  <c r="O4724" i="6"/>
  <c r="O2316" i="6"/>
  <c r="O1517" i="6"/>
  <c r="O776" i="6"/>
  <c r="O4525" i="6"/>
  <c r="O3341" i="6"/>
  <c r="O914" i="6"/>
  <c r="O911" i="6"/>
  <c r="O699" i="6"/>
  <c r="O2796" i="6"/>
  <c r="O54" i="6"/>
  <c r="O3354" i="6"/>
  <c r="O4641" i="6"/>
  <c r="O102" i="6"/>
  <c r="O988" i="6"/>
  <c r="O2776" i="6"/>
  <c r="O4192" i="6"/>
  <c r="O2465" i="6"/>
  <c r="O50" i="6"/>
  <c r="O84" i="6"/>
  <c r="O1441" i="6"/>
  <c r="O1516" i="6"/>
  <c r="O1440" i="6"/>
  <c r="O3652" i="6"/>
  <c r="O2825" i="6"/>
  <c r="O1453" i="6"/>
  <c r="O3793" i="6"/>
  <c r="O1383" i="6"/>
  <c r="O3008" i="6"/>
  <c r="O3115" i="6"/>
  <c r="O4508" i="6"/>
  <c r="O524" i="6"/>
  <c r="O1499" i="6"/>
  <c r="O4168" i="6"/>
  <c r="O1494" i="6"/>
  <c r="O1830" i="6"/>
  <c r="O759" i="6"/>
  <c r="O1656" i="6"/>
  <c r="O3238" i="6"/>
  <c r="O3187" i="6"/>
  <c r="O2029" i="6"/>
  <c r="O3621" i="6"/>
  <c r="O4518" i="6"/>
  <c r="O908" i="6"/>
  <c r="O460" i="6"/>
  <c r="O4323" i="6"/>
  <c r="O1404" i="6"/>
  <c r="O4209" i="6"/>
  <c r="O1809" i="6"/>
  <c r="O633" i="6"/>
  <c r="O1369" i="6"/>
  <c r="O1976" i="6"/>
  <c r="O516" i="6"/>
  <c r="O2042" i="6"/>
  <c r="O41" i="6"/>
  <c r="O4302" i="6"/>
  <c r="O3469" i="6"/>
  <c r="O1988" i="6"/>
  <c r="O364" i="6"/>
  <c r="O716" i="6"/>
  <c r="O1118" i="6"/>
  <c r="O4927" i="6"/>
  <c r="O3317" i="6"/>
  <c r="O1032" i="6"/>
  <c r="O2184" i="6"/>
  <c r="O4286" i="6"/>
  <c r="O4570" i="6"/>
  <c r="O1001" i="6"/>
  <c r="O2079" i="6"/>
  <c r="O282" i="6"/>
  <c r="O3314" i="6"/>
  <c r="O3077" i="6"/>
  <c r="O4566" i="6"/>
  <c r="O1561" i="6"/>
  <c r="O2659" i="6"/>
  <c r="O1129" i="6"/>
  <c r="O3475" i="6"/>
  <c r="O608" i="6"/>
  <c r="O3600" i="6"/>
  <c r="O4060" i="6"/>
  <c r="O1884" i="6"/>
  <c r="O1624" i="6"/>
  <c r="O4386" i="6"/>
  <c r="O1856" i="6"/>
  <c r="O2755" i="6"/>
  <c r="O1536" i="6"/>
  <c r="O651" i="6"/>
  <c r="O3771" i="6"/>
  <c r="O3684" i="6"/>
  <c r="O1760" i="6"/>
  <c r="O4540" i="6"/>
  <c r="O1049" i="6"/>
  <c r="O1836" i="6"/>
  <c r="O2865" i="6"/>
  <c r="O3323" i="6"/>
  <c r="O4190" i="6"/>
  <c r="O186" i="6"/>
  <c r="O1023" i="6"/>
  <c r="O2294" i="6"/>
  <c r="O4590" i="6"/>
  <c r="O4200" i="6"/>
  <c r="O1066" i="6"/>
  <c r="O4248" i="6"/>
  <c r="O4650" i="6"/>
  <c r="O1596" i="6"/>
  <c r="O2893" i="6"/>
  <c r="O1033" i="6"/>
  <c r="O604" i="6"/>
  <c r="O81" i="6"/>
  <c r="O4552" i="6"/>
  <c r="O1196" i="6"/>
  <c r="O1872" i="6"/>
  <c r="O2762" i="6"/>
  <c r="O3596" i="6"/>
  <c r="O4287" i="6"/>
  <c r="O1070" i="6"/>
  <c r="O2443" i="6"/>
  <c r="O513" i="6"/>
  <c r="O3208" i="6"/>
  <c r="O3863" i="6"/>
  <c r="O2697" i="6"/>
  <c r="O3781" i="6"/>
  <c r="O682" i="6"/>
  <c r="O3904" i="6"/>
  <c r="O3887" i="6"/>
  <c r="O904" i="6"/>
  <c r="O939" i="6"/>
  <c r="O2340" i="6"/>
  <c r="O556" i="6"/>
  <c r="O3658" i="6"/>
  <c r="O563" i="6"/>
  <c r="O1920" i="6"/>
  <c r="O2248" i="6"/>
  <c r="O3785" i="6"/>
  <c r="O113" i="6"/>
  <c r="O1902" i="6"/>
  <c r="O139" i="6"/>
  <c r="O2989" i="6"/>
  <c r="O1615" i="6"/>
  <c r="O2918" i="6"/>
  <c r="O2749" i="6"/>
  <c r="O4780" i="6"/>
  <c r="O2760" i="6"/>
  <c r="O1100" i="6"/>
  <c r="O3295" i="6"/>
  <c r="O3192" i="6"/>
  <c r="O3217" i="6"/>
  <c r="O11" i="6"/>
  <c r="O2701" i="6"/>
  <c r="O106" i="6"/>
  <c r="O3782" i="6"/>
  <c r="O1415" i="6"/>
  <c r="O4747" i="6"/>
  <c r="O1575" i="6"/>
  <c r="O2305" i="6"/>
  <c r="O990" i="6"/>
  <c r="O3599" i="6"/>
  <c r="O4515" i="6"/>
  <c r="O4088" i="6"/>
  <c r="O4344" i="6"/>
  <c r="O1132" i="6"/>
  <c r="O2572" i="6"/>
  <c r="O80" i="6"/>
  <c r="O2330" i="6"/>
  <c r="O1069" i="6"/>
  <c r="O4497" i="6"/>
  <c r="O1006" i="6"/>
  <c r="O4195" i="6"/>
  <c r="O5" i="6"/>
  <c r="O195" i="6"/>
  <c r="O1029" i="6"/>
  <c r="O940" i="6"/>
  <c r="O3151" i="6"/>
  <c r="O3542" i="6"/>
  <c r="O4561" i="6"/>
  <c r="O2916" i="6"/>
  <c r="O1866" i="6"/>
  <c r="O334" i="6"/>
  <c r="O4662" i="6"/>
  <c r="O1361" i="6"/>
  <c r="O2833" i="6"/>
  <c r="O1416" i="6"/>
  <c r="O3459" i="6"/>
  <c r="O2149" i="6"/>
  <c r="O1366" i="6"/>
  <c r="O4643" i="6"/>
  <c r="O4141" i="6"/>
  <c r="O3659" i="6"/>
  <c r="O3523" i="6"/>
  <c r="O1951" i="6"/>
  <c r="O642" i="6"/>
  <c r="O1647" i="6"/>
  <c r="O1393" i="6"/>
  <c r="O4536" i="6"/>
  <c r="O984" i="6"/>
  <c r="O4198" i="6"/>
  <c r="O4614" i="6"/>
  <c r="O1943" i="6"/>
  <c r="O2732" i="6"/>
  <c r="O1244" i="6"/>
  <c r="O1148" i="6"/>
  <c r="O1508" i="6"/>
  <c r="O2536" i="6"/>
  <c r="O2396" i="6"/>
  <c r="O4586" i="6"/>
  <c r="O2286" i="6"/>
  <c r="O4292" i="6"/>
  <c r="O3572" i="6"/>
  <c r="O2576" i="6"/>
  <c r="O2885" i="6"/>
  <c r="O1110" i="6"/>
  <c r="O3293" i="6"/>
  <c r="O3587" i="6"/>
  <c r="O1390" i="6"/>
  <c r="O3678" i="6"/>
  <c r="O2598" i="6"/>
  <c r="O2488" i="6"/>
  <c r="O3910" i="6"/>
  <c r="O4334" i="6"/>
  <c r="O1109" i="6"/>
  <c r="O2895" i="6"/>
  <c r="O1554" i="6"/>
  <c r="O550" i="6"/>
  <c r="O2088" i="6"/>
  <c r="O4220" i="6"/>
  <c r="O2006" i="6"/>
  <c r="O2694" i="6"/>
  <c r="O1997" i="6"/>
  <c r="O2871" i="6"/>
  <c r="O1939" i="6"/>
  <c r="O1124" i="6"/>
  <c r="O1813" i="6"/>
  <c r="O526" i="6"/>
  <c r="O4119" i="6"/>
  <c r="O3883" i="6"/>
  <c r="O571" i="6"/>
  <c r="O3180" i="6"/>
  <c r="O3804" i="6"/>
  <c r="O1478" i="6"/>
  <c r="O3784" i="6"/>
  <c r="O163" i="6"/>
  <c r="O2491" i="6"/>
  <c r="O3605" i="6"/>
  <c r="O646" i="6"/>
  <c r="O1910" i="6"/>
  <c r="O3245" i="6"/>
  <c r="O2972" i="6"/>
  <c r="O1450" i="6"/>
  <c r="O4690" i="6"/>
  <c r="O220" i="6"/>
  <c r="O2377" i="6"/>
  <c r="O3454" i="6"/>
  <c r="O1642" i="6"/>
  <c r="O1881" i="6"/>
  <c r="O4164" i="6"/>
  <c r="O3203" i="6"/>
  <c r="O806" i="6"/>
  <c r="O1994" i="6"/>
  <c r="O2460" i="6"/>
  <c r="O537" i="6"/>
  <c r="O3628" i="6"/>
  <c r="O141" i="6"/>
  <c r="O3226" i="6"/>
  <c r="O2471" i="6"/>
  <c r="O2782" i="6"/>
  <c r="O2440" i="6"/>
  <c r="O4378" i="6"/>
  <c r="O1477" i="6"/>
  <c r="O1651" i="6"/>
  <c r="O1524" i="6"/>
  <c r="O1618" i="6"/>
  <c r="O3169" i="6"/>
  <c r="O21" i="6"/>
  <c r="O58" i="6"/>
  <c r="O4550" i="6"/>
  <c r="O4602" i="6"/>
  <c r="O4078" i="6"/>
  <c r="O4582" i="6"/>
  <c r="O2711" i="6"/>
  <c r="O1498" i="6"/>
  <c r="O946" i="6"/>
  <c r="O98" i="6"/>
  <c r="O876" i="6"/>
  <c r="O3139" i="6"/>
  <c r="O3224" i="6"/>
  <c r="O3744" i="6"/>
  <c r="O313" i="6"/>
  <c r="O4041" i="6"/>
  <c r="O1550" i="6"/>
  <c r="O1370" i="6"/>
  <c r="O4307" i="6"/>
  <c r="O182" i="6"/>
  <c r="O457" i="6"/>
  <c r="O662" i="6"/>
  <c r="O4553" i="6"/>
  <c r="O4283" i="6"/>
  <c r="O2012" i="6"/>
  <c r="O949" i="6"/>
  <c r="O1862" i="6"/>
  <c r="O1044" i="6"/>
  <c r="O4147" i="6"/>
  <c r="O1424" i="6"/>
  <c r="O1563" i="6"/>
  <c r="O4855" i="6"/>
  <c r="O3146" i="6"/>
  <c r="O2009" i="6"/>
  <c r="O1218" i="6"/>
  <c r="O3153" i="6"/>
  <c r="O2879" i="6"/>
  <c r="O1537" i="6"/>
  <c r="O3347" i="6"/>
  <c r="O2856" i="6"/>
  <c r="O2414" i="6"/>
  <c r="O91" i="6"/>
  <c r="O2391" i="6"/>
  <c r="O1904" i="6"/>
  <c r="O3914" i="6"/>
  <c r="O1425" i="6"/>
  <c r="O4494" i="6"/>
  <c r="O3643" i="6"/>
  <c r="O172" i="6"/>
  <c r="O2075" i="6"/>
  <c r="O467" i="6"/>
  <c r="O1832" i="6"/>
  <c r="O558" i="6"/>
  <c r="O1874" i="6"/>
  <c r="O574" i="6"/>
  <c r="O3403" i="6"/>
  <c r="O2968" i="6"/>
  <c r="O1603" i="6"/>
  <c r="O4739" i="6"/>
  <c r="O2499" i="6"/>
  <c r="O3683" i="6"/>
  <c r="O3333" i="6"/>
  <c r="O3594" i="6"/>
  <c r="O47" i="6"/>
  <c r="O16" i="6"/>
  <c r="O2310" i="6"/>
  <c r="O1659" i="6"/>
  <c r="O2138" i="6"/>
  <c r="O46" i="6"/>
  <c r="O4350" i="6"/>
  <c r="O2405" i="6"/>
  <c r="O2941" i="6"/>
  <c r="O2115" i="6"/>
  <c r="O1852" i="6"/>
  <c r="O1407" i="6"/>
  <c r="O3338" i="6"/>
  <c r="O777" i="6"/>
  <c r="O748" i="6"/>
  <c r="O2459" i="6"/>
  <c r="O1978" i="6"/>
  <c r="O4480" i="6"/>
  <c r="O2438" i="6"/>
  <c r="O1564" i="6"/>
  <c r="O3760" i="6"/>
  <c r="O3359" i="6"/>
  <c r="O595" i="6"/>
  <c r="O2478" i="6"/>
  <c r="O2256" i="6"/>
  <c r="O223" i="6"/>
  <c r="O953" i="6"/>
  <c r="O3656" i="6"/>
  <c r="O4284" i="6"/>
  <c r="O2378" i="6"/>
  <c r="O2261" i="6"/>
  <c r="O2883" i="6"/>
  <c r="O1934" i="6"/>
  <c r="O1873" i="6"/>
  <c r="O1518" i="6"/>
  <c r="O3242" i="6"/>
  <c r="O128" i="6"/>
  <c r="O31" i="6"/>
  <c r="O15" i="6"/>
  <c r="O509" i="6"/>
  <c r="O620" i="6"/>
  <c r="O210" i="6"/>
  <c r="O2712" i="6"/>
  <c r="O1535" i="6"/>
  <c r="O2304" i="6"/>
  <c r="O3666" i="6"/>
  <c r="O1909" i="6"/>
  <c r="O1139" i="6"/>
  <c r="O2763" i="6"/>
  <c r="O2264" i="6"/>
  <c r="O615" i="6"/>
  <c r="O4178" i="6"/>
  <c r="O1464" i="6"/>
  <c r="O2144" i="6"/>
  <c r="O2497" i="6"/>
  <c r="O653" i="6"/>
  <c r="O323" i="6"/>
  <c r="O1036" i="6"/>
  <c r="O2046" i="6"/>
  <c r="O3164" i="6"/>
  <c r="O3292" i="6"/>
  <c r="O119" i="6"/>
  <c r="O1222" i="6"/>
  <c r="O1214" i="6"/>
  <c r="O3644" i="6"/>
  <c r="O2388" i="6"/>
  <c r="O2560" i="6"/>
  <c r="O2290" i="6"/>
  <c r="O3225" i="6"/>
  <c r="O2814" i="6"/>
  <c r="O3865" i="6"/>
  <c r="O947" i="6"/>
  <c r="O552" i="6"/>
  <c r="O1339" i="6"/>
  <c r="O4268" i="6"/>
  <c r="O3289" i="6"/>
  <c r="O4753" i="6"/>
  <c r="O2875" i="6"/>
  <c r="O203" i="6"/>
  <c r="O124" i="6"/>
  <c r="O308" i="6"/>
  <c r="O3176" i="6"/>
  <c r="O3291" i="6"/>
  <c r="O4140" i="6"/>
  <c r="O1504" i="6"/>
  <c r="O3807" i="6"/>
  <c r="O4589" i="6"/>
  <c r="O204" i="6"/>
  <c r="O2044" i="6"/>
  <c r="O3725" i="6"/>
  <c r="O2096" i="6"/>
  <c r="O920" i="6"/>
  <c r="O698" i="6"/>
  <c r="O3297" i="6"/>
  <c r="O4187" i="6"/>
  <c r="O1063" i="6"/>
  <c r="O4702" i="6"/>
  <c r="O909" i="6"/>
  <c r="O3905" i="6"/>
  <c r="O22" i="6"/>
  <c r="O3856" i="6"/>
  <c r="O4677" i="6"/>
  <c r="O4156" i="6"/>
  <c r="O3496" i="6"/>
  <c r="O689" i="6"/>
  <c r="O4551" i="6"/>
  <c r="O598" i="6"/>
  <c r="O51" i="6"/>
  <c r="O924" i="6"/>
  <c r="O1435" i="6"/>
  <c r="O38" i="6"/>
</calcChain>
</file>

<file path=xl/sharedStrings.xml><?xml version="1.0" encoding="utf-8"?>
<sst xmlns="http://schemas.openxmlformats.org/spreadsheetml/2006/main" count="27876" uniqueCount="396">
  <si>
    <t>Age Band</t>
  </si>
  <si>
    <t>Sum Insured</t>
  </si>
  <si>
    <t>Cover Type</t>
  </si>
  <si>
    <t>No. of Members</t>
  </si>
  <si>
    <t>No. of Adults</t>
  </si>
  <si>
    <t>No. of Children</t>
  </si>
  <si>
    <t>Term</t>
  </si>
  <si>
    <t>Floater</t>
  </si>
  <si>
    <t>Premium</t>
  </si>
  <si>
    <t>00-04</t>
  </si>
  <si>
    <t>05-17</t>
  </si>
  <si>
    <t>18-24</t>
  </si>
  <si>
    <t>25-35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</si>
  <si>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</si>
  <si>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</si>
  <si>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</si>
  <si>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</si>
  <si>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</si>
  <si>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</si>
  <si>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</si>
  <si>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</si>
  <si>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75+</t>
  </si>
  <si>
    <t>&gt;75 Years</t>
  </si>
  <si>
    <t>Age From</t>
  </si>
  <si>
    <t>Age To</t>
  </si>
  <si>
    <t>24 Years</t>
  </si>
  <si>
    <t>INDIVIDUAL</t>
  </si>
  <si>
    <t>25 Years</t>
  </si>
  <si>
    <t>35 Years</t>
  </si>
  <si>
    <t>36 Years</t>
  </si>
  <si>
    <t>40 Years</t>
  </si>
  <si>
    <t>41 Years</t>
  </si>
  <si>
    <t>45 Years</t>
  </si>
  <si>
    <t>46 Years</t>
  </si>
  <si>
    <t>50 Years</t>
  </si>
  <si>
    <t>51 Years</t>
  </si>
  <si>
    <t>55 Years</t>
  </si>
  <si>
    <t>56 Years</t>
  </si>
  <si>
    <t>60 Years</t>
  </si>
  <si>
    <t>61 Years</t>
  </si>
  <si>
    <t>65 Years</t>
  </si>
  <si>
    <t>66 Years</t>
  </si>
  <si>
    <t>70 Years</t>
  </si>
  <si>
    <t>71 Years</t>
  </si>
  <si>
    <t>75 Years</t>
  </si>
  <si>
    <t>18 Years</t>
  </si>
  <si>
    <t>FLOATER</t>
  </si>
  <si>
    <t>0 years</t>
  </si>
  <si>
    <t>4 years</t>
  </si>
  <si>
    <t>5 years</t>
  </si>
  <si>
    <t>17 years</t>
  </si>
  <si>
    <t>zone</t>
  </si>
  <si>
    <t>Zone 1</t>
  </si>
  <si>
    <t>Zone 2</t>
  </si>
  <si>
    <t>Zone 3</t>
  </si>
  <si>
    <t>Zone 1A</t>
  </si>
  <si>
    <t>1A</t>
  </si>
  <si>
    <t>Care 4</t>
  </si>
  <si>
    <t>Care 5</t>
  </si>
  <si>
    <t>Care 6</t>
  </si>
  <si>
    <t>Age-Band/ SI</t>
  </si>
  <si>
    <t>1A1C</t>
  </si>
  <si>
    <t>1A2C</t>
  </si>
  <si>
    <t>1A3C</t>
  </si>
  <si>
    <t>1A4C</t>
  </si>
  <si>
    <t>2A</t>
  </si>
  <si>
    <t>2A1C</t>
  </si>
  <si>
    <t>2A2C</t>
  </si>
  <si>
    <t>2A3C</t>
  </si>
  <si>
    <t>2A4C</t>
  </si>
  <si>
    <t>5L</t>
  </si>
  <si>
    <t>7L</t>
  </si>
  <si>
    <t>10L</t>
  </si>
  <si>
    <t>15L</t>
  </si>
  <si>
    <t>20L</t>
  </si>
  <si>
    <t>25L</t>
  </si>
  <si>
    <t>30L</t>
  </si>
  <si>
    <t>40L</t>
  </si>
  <si>
    <t>50L</t>
  </si>
  <si>
    <t>60L</t>
  </si>
  <si>
    <t>75L</t>
  </si>
  <si>
    <t>ARRAY</t>
  </si>
  <si>
    <t>1+0</t>
  </si>
  <si>
    <t>1+1</t>
  </si>
  <si>
    <t>1+2</t>
  </si>
  <si>
    <t>1+3</t>
  </si>
  <si>
    <t>1+4</t>
  </si>
  <si>
    <t>2+0</t>
  </si>
  <si>
    <t>2+1</t>
  </si>
  <si>
    <t>2+2</t>
  </si>
  <si>
    <t>2+3</t>
  </si>
  <si>
    <t>2+4</t>
  </si>
  <si>
    <t>A3:L16</t>
  </si>
  <si>
    <t>A20:L31</t>
  </si>
  <si>
    <t>A35:L46</t>
  </si>
  <si>
    <t>A50:L61</t>
  </si>
  <si>
    <t>A65:L76</t>
  </si>
  <si>
    <t>A81:L92</t>
  </si>
  <si>
    <t>A98:L109</t>
  </si>
  <si>
    <t>A113:L124</t>
  </si>
  <si>
    <t>A128:L139</t>
  </si>
  <si>
    <t>A143:L154</t>
  </si>
  <si>
    <t>COMBINATIO</t>
  </si>
  <si>
    <t>ROW NO</t>
  </si>
  <si>
    <t>COLUMN NO</t>
  </si>
  <si>
    <t>APPLICABLE ARRAY</t>
  </si>
  <si>
    <t>ZONE 2</t>
  </si>
  <si>
    <t>ZONE- 1A</t>
  </si>
  <si>
    <t>ZONE 3</t>
  </si>
  <si>
    <t>Inputs</t>
  </si>
  <si>
    <t>Age</t>
  </si>
  <si>
    <t>DOB of Eldest member</t>
  </si>
  <si>
    <t>No. of Adults/Individual</t>
  </si>
  <si>
    <t>Basic Details</t>
  </si>
  <si>
    <t>ZONE</t>
  </si>
  <si>
    <t>ZONE 1</t>
  </si>
  <si>
    <t>Base Premium</t>
  </si>
  <si>
    <t>CARE</t>
  </si>
  <si>
    <t>ZONE 1A</t>
  </si>
  <si>
    <t>BASE PREMIUM</t>
  </si>
  <si>
    <t>Ncb-super</t>
  </si>
  <si>
    <t>Smart select</t>
  </si>
  <si>
    <t>Reduction in PED</t>
  </si>
  <si>
    <t>Room Rent modification</t>
  </si>
  <si>
    <t>Unlimited recharge</t>
  </si>
  <si>
    <t>CO-PAYMENT</t>
  </si>
  <si>
    <t>Everyday care</t>
  </si>
  <si>
    <t>Care Shield</t>
  </si>
  <si>
    <t>Air Ambulance</t>
  </si>
  <si>
    <t>OPD Care</t>
  </si>
  <si>
    <t>BE-FIT</t>
  </si>
  <si>
    <t>YES</t>
  </si>
  <si>
    <t>OPTIONAL BENEFITS</t>
  </si>
  <si>
    <t>No Claims Bonus Super - Optional Cover</t>
  </si>
  <si>
    <t>Percentage of the gross premium to be charged to the customers:</t>
  </si>
  <si>
    <t>Plan/Age Band</t>
  </si>
  <si>
    <t>Care 4/Care 9</t>
  </si>
  <si>
    <t>75 Lacs</t>
  </si>
  <si>
    <t>Less than or equal to 45 years</t>
  </si>
  <si>
    <t>Greater than 45 years</t>
  </si>
  <si>
    <t>Unlimited Automatic Recharge - Optional Cover</t>
  </si>
  <si>
    <t>EVERYDAY CARE - Optional Cover</t>
  </si>
  <si>
    <t>Flaoter Combination</t>
  </si>
  <si>
    <t>AGE BAND/SI</t>
  </si>
  <si>
    <t>Note:  Sum Insured mentioned is the OPD Care Sum Insured are over and above the Base Sum Insured</t>
  </si>
  <si>
    <t>Reduction in PED Wait Period - Optional Cover</t>
  </si>
  <si>
    <t>Following percentage of premium will be charged for reducing PED wait period to 2 years:</t>
  </si>
  <si>
    <t>Age band/Plan name</t>
  </si>
  <si>
    <t>% of base policy premium</t>
  </si>
  <si>
    <t>Upto 45 Years</t>
  </si>
  <si>
    <t>46 to 60 Years</t>
  </si>
  <si>
    <t>61 to 70 Years</t>
  </si>
  <si>
    <t>Above 70 Years</t>
  </si>
  <si>
    <t>AIR AMBULANCE-OPTIONAL COVER</t>
  </si>
  <si>
    <t>Gross Premium</t>
  </si>
  <si>
    <t>All age bands</t>
  </si>
  <si>
    <t>CARE SHIELD-OPTIONAL COVER</t>
  </si>
  <si>
    <t>Base Plan Sum Insured</t>
  </si>
  <si>
    <t>Care Shield Premium*</t>
  </si>
  <si>
    <t>Up to 5 Lakhs</t>
  </si>
  <si>
    <t>Greater than 5 Lakhs</t>
  </si>
  <si>
    <t>*This premium(%) will be applicable on base premium and any Cumulative Bonus premium (if available as Optional Cover/Benefit)</t>
  </si>
  <si>
    <t xml:space="preserve">Copayment </t>
  </si>
  <si>
    <t xml:space="preserve"> If age of Insured Person or eldest Insured Person (in case of Floater) is 61 years or more, then the Insured Person / Policyholder may choose for co-payment of 20% per claim and a corresponding 20% discount will be applicable</t>
  </si>
  <si>
    <t>Smart Select - Optional Cover</t>
  </si>
  <si>
    <t>Discount of 15% on the Individual/flaoter policy's gross premium if opted.</t>
  </si>
  <si>
    <t>Be-Fit Benefit</t>
  </si>
  <si>
    <t>Note: Premium is per insured</t>
  </si>
  <si>
    <t>Room Rent Modification</t>
  </si>
  <si>
    <t>Loading</t>
  </si>
  <si>
    <t>SI Less than 5L</t>
  </si>
  <si>
    <t>SI Greater &amp; Equal to 5L</t>
  </si>
  <si>
    <t>NO</t>
  </si>
  <si>
    <t>Care 2</t>
  </si>
  <si>
    <t>Care 3/Care 8</t>
  </si>
  <si>
    <t>2 Lacs</t>
  </si>
  <si>
    <t>Care 7</t>
  </si>
  <si>
    <t>Advance Annual Health Check up</t>
  </si>
  <si>
    <t>Option 1</t>
  </si>
  <si>
    <t>Option 2</t>
  </si>
  <si>
    <t>% of Base Premium</t>
  </si>
  <si>
    <t>Global coverage total</t>
  </si>
  <si>
    <t>Global Extension (excl US)</t>
  </si>
  <si>
    <t>5% of Base Premium</t>
  </si>
  <si>
    <t>Global Extension (incl US)</t>
  </si>
  <si>
    <t>Extension of Global coverage</t>
  </si>
  <si>
    <t>Individual</t>
  </si>
  <si>
    <t>Age band/Plan Name</t>
  </si>
  <si>
    <t>Premium Rate (per 1000 Rupees Sum Insured)</t>
  </si>
  <si>
    <t>Upto 45 years</t>
  </si>
  <si>
    <t>61 to 75 Years</t>
  </si>
  <si>
    <t>Above 75 Years</t>
  </si>
  <si>
    <t>A discount of 5% applies to each additional member added for floater policies.</t>
  </si>
  <si>
    <t>Daily Allowance+</t>
  </si>
  <si>
    <t>All Age Bands</t>
  </si>
  <si>
    <t>Per Lac</t>
  </si>
  <si>
    <t>Personal accident</t>
  </si>
  <si>
    <t>International Second Opinion - Optional Cover</t>
  </si>
  <si>
    <t>Gross Rate per policy:</t>
  </si>
  <si>
    <t>Deductible Option - Optional Cover</t>
  </si>
  <si>
    <t xml:space="preserve">Discount on the Gross Premium is applicable for the deductible option chosen by the customers: </t>
  </si>
  <si>
    <t>Plan &amp; Sum Insured/Dedcutible Amount:</t>
  </si>
  <si>
    <t>Care 1</t>
  </si>
  <si>
    <t>1 Lac</t>
  </si>
  <si>
    <t>INTERNATIONAL SECOND OPINION</t>
  </si>
  <si>
    <t>Personal Accident</t>
  </si>
  <si>
    <t>DEDUCTIBLE</t>
  </si>
  <si>
    <t>GLOBAL COVERAGE TOTAL</t>
  </si>
  <si>
    <t xml:space="preserve">EXT OF GLOBAL COVERAGE </t>
  </si>
  <si>
    <t>INCL US</t>
  </si>
  <si>
    <t>EXCL US</t>
  </si>
  <si>
    <t>Care 3</t>
  </si>
  <si>
    <t>X3:AP16</t>
  </si>
  <si>
    <t>X20:AP31</t>
  </si>
  <si>
    <t>X35:AP46</t>
  </si>
  <si>
    <t>X50:AP61</t>
  </si>
  <si>
    <t>X65:AP76</t>
  </si>
  <si>
    <t>X81:AP92</t>
  </si>
  <si>
    <t>X98:AP109</t>
  </si>
  <si>
    <t>X113:AP124</t>
  </si>
  <si>
    <t>X128:AP139</t>
  </si>
  <si>
    <t>X143:AP154</t>
  </si>
  <si>
    <t>AU3:BM16</t>
  </si>
  <si>
    <t>AU20:BM31</t>
  </si>
  <si>
    <t>AU35:BM46</t>
  </si>
  <si>
    <t>AU50:BM61</t>
  </si>
  <si>
    <t>AU65:BM76</t>
  </si>
  <si>
    <t>AU81:BM92</t>
  </si>
  <si>
    <t>AU98:BM109</t>
  </si>
  <si>
    <t>AU113:BM124</t>
  </si>
  <si>
    <t>AU128:BM139</t>
  </si>
  <si>
    <t>AU143:BM154</t>
  </si>
  <si>
    <t>CO3:DG16</t>
  </si>
  <si>
    <t>CO20:DG31</t>
  </si>
  <si>
    <t>CO35:DG46</t>
  </si>
  <si>
    <t>CO50:DG61</t>
  </si>
  <si>
    <t>CO65:DG76</t>
  </si>
  <si>
    <t>CO81:DG92</t>
  </si>
  <si>
    <t>CO98:DG109</t>
  </si>
  <si>
    <t>CO113:DG124</t>
  </si>
  <si>
    <t>CO128:DG139</t>
  </si>
  <si>
    <t>CO143:DG154</t>
  </si>
  <si>
    <t xml:space="preserve"> </t>
  </si>
  <si>
    <t>3L</t>
  </si>
  <si>
    <t>4L</t>
  </si>
  <si>
    <t>1 CR</t>
  </si>
  <si>
    <t>1.5 CR</t>
  </si>
  <si>
    <t>2 CR</t>
  </si>
  <si>
    <t>3 CR</t>
  </si>
  <si>
    <t>6CR</t>
  </si>
  <si>
    <t>Care 8</t>
  </si>
  <si>
    <t>Care 9</t>
  </si>
  <si>
    <t>Zone 1a</t>
  </si>
  <si>
    <t>B3:G16</t>
  </si>
  <si>
    <t>B20:G31</t>
  </si>
  <si>
    <t>B35:G46</t>
  </si>
  <si>
    <t>B50:G61</t>
  </si>
  <si>
    <t>B65:G76</t>
  </si>
  <si>
    <t>B81:G92</t>
  </si>
  <si>
    <t>B98:G109</t>
  </si>
  <si>
    <t>B113:G124</t>
  </si>
  <si>
    <t>B128:G139</t>
  </si>
  <si>
    <t>B143:G154</t>
  </si>
  <si>
    <t>L3:Q16</t>
  </si>
  <si>
    <t>L20:Q31</t>
  </si>
  <si>
    <t>L35:Q46</t>
  </si>
  <si>
    <t>L50:Q61</t>
  </si>
  <si>
    <t>L65:Q76</t>
  </si>
  <si>
    <t>L81:Q92</t>
  </si>
  <si>
    <t>L98:Q109</t>
  </si>
  <si>
    <t>L113:Q124</t>
  </si>
  <si>
    <t>L128:Q139</t>
  </si>
  <si>
    <t>L143:Q154</t>
  </si>
  <si>
    <t>V3:AA16</t>
  </si>
  <si>
    <t>V20:AA31</t>
  </si>
  <si>
    <t>V35:AA46</t>
  </si>
  <si>
    <t>V50:AA61</t>
  </si>
  <si>
    <t>V65:AA76</t>
  </si>
  <si>
    <t>V81:AA92</t>
  </si>
  <si>
    <t>V98:AA109</t>
  </si>
  <si>
    <t>V113:AA124</t>
  </si>
  <si>
    <t>V128:AA139</t>
  </si>
  <si>
    <t>V143:AA154</t>
  </si>
  <si>
    <t>AF3:AK16</t>
  </si>
  <si>
    <t>AF20:AK31</t>
  </si>
  <si>
    <t>AF35:AK46</t>
  </si>
  <si>
    <t>AF50:AK61</t>
  </si>
  <si>
    <t>AF65:AK76</t>
  </si>
  <si>
    <t>AF81:AK92</t>
  </si>
  <si>
    <t>AF98:AK109</t>
  </si>
  <si>
    <t>AF113:AK124</t>
  </si>
  <si>
    <t>AF128:AK139</t>
  </si>
  <si>
    <t>AF143:AK154</t>
  </si>
  <si>
    <t>CARE SENIOR</t>
  </si>
  <si>
    <t>PRODUCT</t>
  </si>
  <si>
    <t>CARE SHIELD</t>
  </si>
  <si>
    <t>AGE OF ALL MEMBERS</t>
  </si>
  <si>
    <t>ALLOWED</t>
  </si>
  <si>
    <t>DA+</t>
  </si>
  <si>
    <t>ADULT</t>
  </si>
  <si>
    <t>CHILD</t>
  </si>
  <si>
    <t>AAHC</t>
  </si>
  <si>
    <t>S%</t>
  </si>
  <si>
    <t>EXT</t>
  </si>
  <si>
    <t>Final premium excluding taxes( tenure 1 year)</t>
  </si>
  <si>
    <t>Final premium including GST@18% ( tenure 1 year)</t>
  </si>
  <si>
    <t>Final premium excluding taxes ( tenure 2 year)</t>
  </si>
  <si>
    <t>Final premium including GST@18% ( tenure 2 year)</t>
  </si>
  <si>
    <t>Final premium excluding taxes (tenure 3 year)</t>
  </si>
  <si>
    <t>Final premium including GST@18% (tenure 3 year)</t>
  </si>
  <si>
    <t>6 CR</t>
  </si>
  <si>
    <t>zone 1</t>
  </si>
  <si>
    <t>zone 2</t>
  </si>
  <si>
    <t>zone 1a</t>
  </si>
  <si>
    <t>TRAVEL PLUS</t>
  </si>
  <si>
    <t>ADD SI</t>
  </si>
  <si>
    <t>NOTES:</t>
  </si>
  <si>
    <t xml:space="preserve"> ANNUAL PREMIUM RATES FOR "TRAVEL PLUS" OPTIONAL COVER 
Please note that the maximum Sum Insured available for this option is lower of the 'Base Medical Sum Insured' or '20 Lacs'</t>
  </si>
  <si>
    <t>1. All amounts in INR</t>
  </si>
  <si>
    <t>Less than</t>
  </si>
  <si>
    <t>2. Rates are exclduing service tax</t>
  </si>
  <si>
    <t>Greater than</t>
  </si>
  <si>
    <t>3. Sum Insured mentioned is the Base Medical Sum Insured</t>
  </si>
  <si>
    <t>Care 5/6</t>
  </si>
  <si>
    <t>Age band/Sum Insured</t>
  </si>
  <si>
    <t>3 Lacs</t>
  </si>
  <si>
    <t>4 Lacs</t>
  </si>
  <si>
    <t>5 Lacs</t>
  </si>
  <si>
    <t>7 Lacs</t>
  </si>
  <si>
    <t>10 Lacs</t>
  </si>
  <si>
    <t>15 Lacs</t>
  </si>
  <si>
    <t>20 Lacs/25 Lacs/30 Lacs/40 Lacs/50 Lacs/60 Lacs/75 Lacs</t>
  </si>
  <si>
    <t>1A + 1C</t>
  </si>
  <si>
    <t>1A + 2C</t>
  </si>
  <si>
    <t>1A + 3C</t>
  </si>
  <si>
    <t>1A + 4C</t>
  </si>
  <si>
    <t>2A + 1C</t>
  </si>
  <si>
    <t>3.5 Lacs</t>
  </si>
  <si>
    <t>4.5 Lacs</t>
  </si>
  <si>
    <t>5.5 Lacs</t>
  </si>
  <si>
    <t>6 Lacs</t>
  </si>
  <si>
    <t>6.5 Lacs</t>
  </si>
  <si>
    <t>7.5 Lacs</t>
  </si>
  <si>
    <t>8 Lacs</t>
  </si>
  <si>
    <t>8.5 Lacs</t>
  </si>
  <si>
    <t>9 Lacs</t>
  </si>
  <si>
    <t>9.5 Lacs</t>
  </si>
  <si>
    <t>20 Lacs</t>
  </si>
  <si>
    <t>2A + 2C</t>
  </si>
  <si>
    <t>2A + 3C</t>
  </si>
  <si>
    <t>2A + 4C</t>
  </si>
  <si>
    <t>B8:K20</t>
  </si>
  <si>
    <t>B24:K35</t>
  </si>
  <si>
    <t>B39:K50</t>
  </si>
  <si>
    <t>B54:K65</t>
  </si>
  <si>
    <t>B69:K80</t>
  </si>
  <si>
    <t>B84:K95</t>
  </si>
  <si>
    <t>B99:K110</t>
  </si>
  <si>
    <t>B114:K125</t>
  </si>
  <si>
    <t>B129:K140</t>
  </si>
  <si>
    <t>B144:K155</t>
  </si>
  <si>
    <t>premium</t>
  </si>
  <si>
    <t>ANNUAL PREMIUM RATES FOR "ADDITIONAL SUM INSURED FOR ACCIDENTAL HOSPITALIZATION" OPTIONAL COVER</t>
  </si>
  <si>
    <t>A discount of 2.5% applies to each additional member added for floater policies.</t>
  </si>
  <si>
    <t>add si</t>
  </si>
  <si>
    <t>senior</t>
  </si>
  <si>
    <t>BR50:CJ61</t>
  </si>
  <si>
    <t>BR65:CJ76</t>
  </si>
  <si>
    <t>BR81:CJ92</t>
  </si>
  <si>
    <t>BR98:CJ109</t>
  </si>
  <si>
    <t>BR113:CJ124</t>
  </si>
  <si>
    <t>BR128:CJ139</t>
  </si>
  <si>
    <t>BR143:CJ154</t>
  </si>
  <si>
    <t>BR3:CJ16</t>
  </si>
  <si>
    <t>BR20:CJ31</t>
  </si>
  <si>
    <t>BR35:CJ46</t>
  </si>
  <si>
    <t>q</t>
  </si>
  <si>
    <t>Health Discount</t>
  </si>
  <si>
    <t>Senior citizen</t>
  </si>
  <si>
    <t>1. Grid for Health Score Calculation for each year of Policy</t>
  </si>
  <si>
    <t>Claim Paid for each Policy Period</t>
  </si>
  <si>
    <t>Health Score</t>
  </si>
  <si>
    <t>0 or No Claim</t>
  </si>
  <si>
    <t>Claim Up to INR 50000</t>
  </si>
  <si>
    <t>More than INR 50000 and up to INR 100,000</t>
  </si>
  <si>
    <t>More than INR100,000 and up to INR 200,000</t>
  </si>
  <si>
    <t>More than 200,000</t>
  </si>
  <si>
    <t>2.Grid for Discount on LifeTime Score</t>
  </si>
  <si>
    <t>LifeTime Score on Paid Claims</t>
  </si>
  <si>
    <t xml:space="preserve">Discount </t>
  </si>
  <si>
    <t>Additional Discounts:</t>
  </si>
  <si>
    <t>Discount</t>
  </si>
  <si>
    <t>Senior Citizen( 60 and above at the time of renewal or New Purcahse)</t>
  </si>
  <si>
    <t>If No claim under  Care Anywhere/Global cover</t>
  </si>
  <si>
    <t>HEALTH SCORE</t>
  </si>
  <si>
    <t>RED IN 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</si>
</sst>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₹&quot;\ #,##0;&quot;₹&quot;\ \-#,##0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#,##0_ ;\-#,##0\ "/>
    <numFmt numFmtId="168" formatCode="_ * #,##0_ ;_ * \-#,##0_ ;_ * &quot;-&quot;??_ ;_ @_ "/>
    <numFmt numFmtId="169" formatCode="_ [$Rs.-4009]\ * #,##0_ ;_ [$Rs.-4009]\ * \-#,##0_ ;_ [$Rs.-4009]\ * &quot;-&quot;??_ ;_ @_ "/>
    <numFmt numFmtId="170" formatCode="0.0%"/>
    <numFmt numFmtId="171" formatCode="_ * #,##0.0_ ;_ * \-#,##0.0_ ;_ * &quot;-&quot;??_ ;_ @_ "/>
  </numFmts>
  <fonts count="3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indexed="8"/>
      <name val="Calibri"/>
      <family val="2"/>
      <charset val="13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9"/>
      <name val="Calibri"/>
      <family val="2"/>
      <charset val="134"/>
    </font>
    <font>
      <sz val="11"/>
      <color indexed="9"/>
      <name val="Calibri"/>
      <family val="2"/>
      <charset val="134"/>
    </font>
    <font>
      <b/>
      <sz val="11"/>
      <color indexed="8"/>
      <name val="Calibri"/>
      <family val="2"/>
    </font>
    <font>
      <sz val="11"/>
      <color theme="0"/>
      <name val="Calibri"/>
      <family val="2"/>
      <charset val="134"/>
    </font>
    <font>
      <sz val="11"/>
      <color theme="0"/>
      <name val="Calibri"/>
      <family val="2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i/>
      <sz val="10"/>
      <color theme="1"/>
      <name val="Calibri"/>
      <family val="2"/>
      <scheme val="minor"/>
    </font>
    <font>
      <b/>
      <sz val="9"/>
      <color theme="4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1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3" fontId="10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15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197">
    <xf numFmtId="0" fontId="0" fillId="0" borderId="0" xfId="0">
      <alignment vertical="center"/>
    </xf>
    <xf numFmtId="0" fontId="0" fillId="0" borderId="0" xfId="0" applyAlignment="1"/>
    <xf numFmtId="0" fontId="12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1" fontId="0" fillId="0" borderId="0" xfId="0" applyNumberFormat="1">
      <alignment vertical="center"/>
    </xf>
    <xf numFmtId="0" fontId="12" fillId="0" borderId="0" xfId="0" applyFont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168" fontId="0" fillId="0" borderId="1" xfId="1" applyNumberFormat="1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4" fillId="6" borderId="0" xfId="0" applyFont="1" applyFill="1" applyAlignment="1"/>
    <xf numFmtId="0" fontId="0" fillId="0" borderId="0" xfId="0" quotePrefix="1" applyAlignment="1"/>
    <xf numFmtId="168" fontId="0" fillId="0" borderId="3" xfId="1" applyNumberFormat="1" applyFont="1" applyFill="1" applyBorder="1" applyAlignment="1">
      <alignment vertical="center"/>
    </xf>
    <xf numFmtId="168" fontId="0" fillId="0" borderId="0" xfId="1" applyNumberFormat="1" applyFont="1" applyFill="1" applyBorder="1" applyAlignment="1">
      <alignment vertical="center"/>
    </xf>
    <xf numFmtId="1" fontId="0" fillId="0" borderId="1" xfId="1" applyNumberFormat="1" applyFont="1" applyFill="1" applyBorder="1" applyAlignment="1">
      <alignment vertical="center"/>
    </xf>
    <xf numFmtId="0" fontId="0" fillId="0" borderId="0" xfId="0" applyAlignment="1" applyProtection="1">
      <protection hidden="1"/>
    </xf>
    <xf numFmtId="0" fontId="17" fillId="7" borderId="1" xfId="0" applyFont="1" applyFill="1" applyBorder="1" applyAlignment="1" applyProtection="1">
      <alignment horizontal="center"/>
      <protection hidden="1"/>
    </xf>
    <xf numFmtId="0" fontId="18" fillId="8" borderId="1" xfId="0" applyFont="1" applyFill="1" applyBorder="1" applyProtection="1">
      <alignment vertical="center"/>
      <protection hidden="1"/>
    </xf>
    <xf numFmtId="0" fontId="18" fillId="8" borderId="1" xfId="0" applyFont="1" applyFill="1" applyBorder="1" applyAlignment="1" applyProtection="1">
      <protection hidden="1"/>
    </xf>
    <xf numFmtId="164" fontId="0" fillId="0" borderId="0" xfId="0" applyNumberFormat="1" applyAlignment="1" applyProtection="1">
      <protection hidden="1"/>
    </xf>
    <xf numFmtId="0" fontId="0" fillId="9" borderId="1" xfId="0" applyFill="1" applyBorder="1" applyAlignment="1" applyProtection="1">
      <alignment horizontal="center" vertical="center"/>
      <protection locked="0"/>
    </xf>
    <xf numFmtId="14" fontId="19" fillId="0" borderId="4" xfId="0" applyNumberFormat="1" applyFont="1" applyBorder="1" applyAlignment="1" applyProtection="1">
      <alignment horizontal="center" vertical="center"/>
      <protection hidden="1"/>
    </xf>
    <xf numFmtId="0" fontId="17" fillId="8" borderId="1" xfId="0" applyFont="1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/>
      <protection locked="0"/>
    </xf>
    <xf numFmtId="0" fontId="20" fillId="8" borderId="1" xfId="0" applyFont="1" applyFill="1" applyBorder="1" applyAlignment="1" applyProtection="1">
      <protection hidden="1"/>
    </xf>
    <xf numFmtId="0" fontId="12" fillId="0" borderId="0" xfId="0" applyFont="1" applyAlignment="1" applyProtection="1">
      <protection hidden="1"/>
    </xf>
    <xf numFmtId="169" fontId="17" fillId="8" borderId="1" xfId="1" applyNumberFormat="1" applyFont="1" applyFill="1" applyBorder="1" applyAlignment="1" applyProtection="1">
      <protection hidden="1"/>
    </xf>
    <xf numFmtId="0" fontId="21" fillId="11" borderId="1" xfId="0" applyFont="1" applyFill="1" applyBorder="1" applyAlignment="1" applyProtection="1">
      <alignment horizontal="center"/>
      <protection hidden="1"/>
    </xf>
    <xf numFmtId="0" fontId="18" fillId="8" borderId="3" xfId="0" applyFont="1" applyFill="1" applyBorder="1" applyAlignment="1" applyProtection="1">
      <protection hidden="1"/>
    </xf>
    <xf numFmtId="0" fontId="0" fillId="10" borderId="1" xfId="0" applyFill="1" applyBorder="1" applyAlignment="1" applyProtection="1">
      <alignment horizontal="center"/>
      <protection locked="0"/>
    </xf>
    <xf numFmtId="0" fontId="16" fillId="11" borderId="1" xfId="0" applyFont="1" applyFill="1" applyBorder="1" applyAlignment="1" applyProtection="1">
      <protection hidden="1"/>
    </xf>
    <xf numFmtId="0" fontId="0" fillId="10" borderId="1" xfId="0" applyFill="1" applyBorder="1" applyAlignment="1" applyProtection="1">
      <protection locked="0"/>
    </xf>
    <xf numFmtId="0" fontId="0" fillId="10" borderId="2" xfId="0" applyFill="1" applyBorder="1" applyAlignment="1" applyProtection="1">
      <protection hidden="1"/>
    </xf>
    <xf numFmtId="1" fontId="16" fillId="11" borderId="1" xfId="0" applyNumberFormat="1" applyFont="1" applyFill="1" applyBorder="1" applyAlignment="1" applyProtection="1">
      <protection hidden="1"/>
    </xf>
    <xf numFmtId="0" fontId="0" fillId="0" borderId="1" xfId="0" applyBorder="1" applyAlignment="1"/>
    <xf numFmtId="0" fontId="22" fillId="0" borderId="0" xfId="0" applyFont="1">
      <alignment vertical="center"/>
    </xf>
    <xf numFmtId="0" fontId="9" fillId="2" borderId="0" xfId="0" applyFont="1" applyFill="1" applyAlignment="1"/>
    <xf numFmtId="0" fontId="24" fillId="2" borderId="0" xfId="0" applyFont="1" applyFill="1" applyAlignment="1"/>
    <xf numFmtId="0" fontId="23" fillId="12" borderId="5" xfId="0" applyFont="1" applyFill="1" applyBorder="1" applyAlignment="1">
      <alignment horizontal="left" wrapText="1"/>
    </xf>
    <xf numFmtId="166" fontId="23" fillId="12" borderId="1" xfId="2" applyNumberFormat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wrapText="1"/>
    </xf>
    <xf numFmtId="170" fontId="9" fillId="2" borderId="1" xfId="3" applyNumberFormat="1" applyFont="1" applyFill="1" applyBorder="1"/>
    <xf numFmtId="0" fontId="23" fillId="12" borderId="2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vertical="center"/>
    </xf>
    <xf numFmtId="168" fontId="9" fillId="2" borderId="1" xfId="1" applyNumberFormat="1" applyFont="1" applyFill="1" applyBorder="1"/>
    <xf numFmtId="0" fontId="12" fillId="0" borderId="1" xfId="0" applyFont="1" applyBorder="1" applyAlignment="1">
      <alignment horizontal="left"/>
    </xf>
    <xf numFmtId="167" fontId="12" fillId="14" borderId="1" xfId="0" applyNumberFormat="1" applyFont="1" applyFill="1" applyBorder="1" applyAlignment="1">
      <alignment horizontal="center" vertical="center"/>
    </xf>
    <xf numFmtId="168" fontId="0" fillId="0" borderId="1" xfId="1" applyNumberFormat="1" applyFont="1" applyBorder="1"/>
    <xf numFmtId="0" fontId="12" fillId="2" borderId="0" xfId="0" applyFont="1" applyFill="1" applyAlignment="1"/>
    <xf numFmtId="0" fontId="0" fillId="2" borderId="0" xfId="0" applyFill="1" applyAlignment="1"/>
    <xf numFmtId="0" fontId="23" fillId="12" borderId="7" xfId="0" applyFont="1" applyFill="1" applyBorder="1" applyAlignment="1">
      <alignment horizontal="center" wrapText="1"/>
    </xf>
    <xf numFmtId="0" fontId="23" fillId="12" borderId="8" xfId="0" applyFont="1" applyFill="1" applyBorder="1" applyAlignment="1">
      <alignment horizontal="center" wrapText="1"/>
    </xf>
    <xf numFmtId="0" fontId="13" fillId="2" borderId="9" xfId="0" applyFont="1" applyFill="1" applyBorder="1" applyAlignment="1">
      <alignment horizontal="center" vertical="center"/>
    </xf>
    <xf numFmtId="10" fontId="9" fillId="2" borderId="10" xfId="0" applyNumberFormat="1" applyFont="1" applyFill="1" applyBorder="1" applyAlignment="1">
      <alignment horizontal="center"/>
    </xf>
    <xf numFmtId="170" fontId="9" fillId="2" borderId="10" xfId="0" applyNumberFormat="1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 vertical="center"/>
    </xf>
    <xf numFmtId="10" fontId="9" fillId="2" borderId="12" xfId="0" applyNumberFormat="1" applyFont="1" applyFill="1" applyBorder="1" applyAlignment="1">
      <alignment horizontal="center"/>
    </xf>
    <xf numFmtId="0" fontId="12" fillId="12" borderId="1" xfId="0" applyFont="1" applyFill="1" applyBorder="1" applyAlignment="1"/>
    <xf numFmtId="0" fontId="0" fillId="2" borderId="1" xfId="0" applyFill="1" applyBorder="1" applyAlignment="1"/>
    <xf numFmtId="0" fontId="25" fillId="16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170" fontId="11" fillId="0" borderId="1" xfId="0" applyNumberFormat="1" applyFont="1" applyBorder="1" applyAlignment="1">
      <alignment horizontal="center"/>
    </xf>
    <xf numFmtId="0" fontId="12" fillId="17" borderId="0" xfId="0" applyFont="1" applyFill="1" applyAlignment="1"/>
    <xf numFmtId="0" fontId="0" fillId="17" borderId="0" xfId="0" applyFill="1" applyAlignment="1"/>
    <xf numFmtId="10" fontId="0" fillId="0" borderId="1" xfId="0" applyNumberFormat="1" applyBorder="1" applyAlignment="1"/>
    <xf numFmtId="9" fontId="0" fillId="0" borderId="0" xfId="0" applyNumberFormat="1">
      <alignment vertical="center"/>
    </xf>
    <xf numFmtId="0" fontId="6" fillId="0" borderId="0" xfId="0" applyFont="1">
      <alignment vertical="center"/>
    </xf>
    <xf numFmtId="0" fontId="23" fillId="18" borderId="2" xfId="0" applyFont="1" applyFill="1" applyBorder="1" applyAlignment="1"/>
    <xf numFmtId="0" fontId="23" fillId="18" borderId="1" xfId="0" applyFont="1" applyFill="1" applyBorder="1" applyAlignment="1">
      <alignment horizontal="center"/>
    </xf>
    <xf numFmtId="168" fontId="9" fillId="2" borderId="0" xfId="1" applyNumberFormat="1" applyFont="1" applyFill="1"/>
    <xf numFmtId="0" fontId="9" fillId="2" borderId="1" xfId="0" applyFont="1" applyFill="1" applyBorder="1" applyAlignment="1"/>
    <xf numFmtId="0" fontId="23" fillId="14" borderId="1" xfId="0" applyFont="1" applyFill="1" applyBorder="1" applyAlignment="1"/>
    <xf numFmtId="0" fontId="23" fillId="12" borderId="1" xfId="0" applyFont="1" applyFill="1" applyBorder="1" applyAlignment="1">
      <alignment horizontal="center" wrapText="1"/>
    </xf>
    <xf numFmtId="170" fontId="0" fillId="0" borderId="1" xfId="0" applyNumberFormat="1" applyBorder="1" applyAlignment="1"/>
    <xf numFmtId="0" fontId="5" fillId="0" borderId="0" xfId="0" applyFont="1">
      <alignment vertical="center"/>
    </xf>
    <xf numFmtId="10" fontId="27" fillId="0" borderId="16" xfId="0" applyNumberFormat="1" applyFont="1" applyBorder="1" applyAlignment="1">
      <alignment horizontal="right" vertical="center"/>
    </xf>
    <xf numFmtId="0" fontId="23" fillId="10" borderId="0" xfId="0" applyFont="1" applyFill="1" applyAlignment="1"/>
    <xf numFmtId="0" fontId="23" fillId="2" borderId="0" xfId="0" applyFont="1" applyFill="1" applyAlignment="1"/>
    <xf numFmtId="166" fontId="9" fillId="12" borderId="1" xfId="2" applyNumberFormat="1" applyFont="1" applyFill="1" applyBorder="1" applyAlignment="1">
      <alignment horizontal="center"/>
    </xf>
    <xf numFmtId="171" fontId="9" fillId="0" borderId="1" xfId="1" applyNumberFormat="1" applyFont="1" applyFill="1" applyBorder="1"/>
    <xf numFmtId="0" fontId="0" fillId="13" borderId="1" xfId="0" applyFill="1" applyBorder="1" applyAlignment="1"/>
    <xf numFmtId="10" fontId="9" fillId="0" borderId="1" xfId="3" applyNumberFormat="1" applyFont="1" applyFill="1" applyBorder="1"/>
    <xf numFmtId="16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167" fontId="12" fillId="0" borderId="0" xfId="0" applyNumberFormat="1" applyFont="1" applyAlignment="1">
      <alignment horizontal="center" vertical="center"/>
    </xf>
    <xf numFmtId="0" fontId="5" fillId="0" borderId="0" xfId="0" applyFont="1" applyAlignment="1"/>
    <xf numFmtId="0" fontId="5" fillId="0" borderId="0" xfId="0" quotePrefix="1" applyFont="1" applyAlignment="1"/>
    <xf numFmtId="0" fontId="5" fillId="0" borderId="0" xfId="0" quotePrefix="1" applyFont="1">
      <alignment vertical="center"/>
    </xf>
    <xf numFmtId="167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0" fillId="0" borderId="0" xfId="0" applyNumberFormat="1">
      <alignment vertical="center"/>
    </xf>
    <xf numFmtId="0" fontId="14" fillId="6" borderId="0" xfId="0" applyFont="1" applyFill="1" applyAlignment="1">
      <alignment horizontal="center"/>
    </xf>
    <xf numFmtId="1" fontId="17" fillId="7" borderId="1" xfId="0" applyNumberFormat="1" applyFont="1" applyFill="1" applyBorder="1" applyAlignment="1" applyProtection="1">
      <alignment horizontal="right" vertical="center"/>
      <protection hidden="1"/>
    </xf>
    <xf numFmtId="1" fontId="17" fillId="7" borderId="1" xfId="1" applyNumberFormat="1" applyFont="1" applyFill="1" applyBorder="1" applyAlignment="1" applyProtection="1">
      <alignment horizontal="right" vertical="center"/>
      <protection hidden="1"/>
    </xf>
    <xf numFmtId="167" fontId="12" fillId="19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 vertical="center"/>
      <protection locked="0"/>
    </xf>
    <xf numFmtId="0" fontId="4" fillId="0" borderId="0" xfId="0" applyFont="1">
      <alignment vertical="center"/>
    </xf>
    <xf numFmtId="9" fontId="9" fillId="2" borderId="0" xfId="0" applyNumberFormat="1" applyFont="1" applyFill="1" applyAlignment="1"/>
    <xf numFmtId="0" fontId="23" fillId="4" borderId="1" xfId="0" applyFont="1" applyFill="1" applyBorder="1" applyAlignment="1">
      <alignment horizontal="center"/>
    </xf>
    <xf numFmtId="0" fontId="18" fillId="8" borderId="0" xfId="0" applyFont="1" applyFill="1" applyAlignment="1" applyProtection="1">
      <protection hidden="1"/>
    </xf>
    <xf numFmtId="0" fontId="28" fillId="2" borderId="0" xfId="0" applyFont="1" applyFill="1" applyAlignment="1"/>
    <xf numFmtId="0" fontId="30" fillId="2" borderId="0" xfId="0" applyFont="1" applyFill="1" applyAlignment="1"/>
    <xf numFmtId="0" fontId="23" fillId="12" borderId="2" xfId="0" applyFont="1" applyFill="1" applyBorder="1" applyAlignment="1">
      <alignment horizontal="center" vertical="center" wrapText="1"/>
    </xf>
    <xf numFmtId="166" fontId="23" fillId="12" borderId="1" xfId="4" applyNumberFormat="1" applyFont="1" applyFill="1" applyBorder="1" applyAlignment="1">
      <alignment horizontal="center" vertical="center" wrapText="1"/>
    </xf>
    <xf numFmtId="5" fontId="9" fillId="2" borderId="1" xfId="0" applyNumberFormat="1" applyFont="1" applyFill="1" applyBorder="1" applyAlignment="1"/>
    <xf numFmtId="9" fontId="32" fillId="2" borderId="0" xfId="3" applyFont="1" applyFill="1"/>
    <xf numFmtId="9" fontId="9" fillId="2" borderId="0" xfId="3" applyFont="1" applyFill="1"/>
    <xf numFmtId="5" fontId="9" fillId="2" borderId="0" xfId="0" applyNumberFormat="1" applyFont="1" applyFill="1" applyAlignment="1"/>
    <xf numFmtId="1" fontId="9" fillId="2" borderId="0" xfId="0" applyNumberFormat="1" applyFont="1" applyFill="1" applyAlignment="1"/>
    <xf numFmtId="0" fontId="3" fillId="0" borderId="0" xfId="0" quotePrefix="1" applyFont="1" applyAlignment="1"/>
    <xf numFmtId="0" fontId="23" fillId="4" borderId="2" xfId="0" applyFont="1" applyFill="1" applyBorder="1" applyAlignment="1"/>
    <xf numFmtId="0" fontId="34" fillId="2" borderId="0" xfId="0" applyFont="1" applyFill="1" applyAlignment="1"/>
    <xf numFmtId="0" fontId="3" fillId="0" borderId="0" xfId="0" applyFont="1">
      <alignment vertical="center"/>
    </xf>
    <xf numFmtId="0" fontId="18" fillId="0" borderId="0" xfId="0" applyFont="1" applyAlignment="1" applyProtection="1">
      <protection hidden="1"/>
    </xf>
    <xf numFmtId="0" fontId="0" fillId="9" borderId="5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14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quotePrefix="1" applyFont="1" applyAlignment="1"/>
    <xf numFmtId="10" fontId="0" fillId="0" borderId="1" xfId="0" applyNumberFormat="1" applyBorder="1">
      <alignment vertical="center"/>
    </xf>
    <xf numFmtId="0" fontId="1" fillId="10" borderId="1" xfId="0" applyFont="1" applyFill="1" applyBorder="1">
      <alignment vertical="center"/>
    </xf>
    <xf numFmtId="0" fontId="23" fillId="0" borderId="0" xfId="0" applyFont="1" applyAlignment="1">
      <alignment horizontal="left" vertical="center"/>
    </xf>
    <xf numFmtId="0" fontId="9" fillId="0" borderId="0" xfId="0" applyFont="1" applyAlignment="1"/>
    <xf numFmtId="0" fontId="23" fillId="0" borderId="1" xfId="0" applyFont="1" applyBorder="1" applyAlignment="1"/>
    <xf numFmtId="0" fontId="9" fillId="0" borderId="1" xfId="0" quotePrefix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3" fillId="0" borderId="0" xfId="0" applyFont="1" applyAlignment="1"/>
    <xf numFmtId="0" fontId="9" fillId="0" borderId="1" xfId="0" applyFont="1" applyBorder="1" applyAlignment="1"/>
    <xf numFmtId="9" fontId="9" fillId="0" borderId="1" xfId="0" applyNumberFormat="1" applyFont="1" applyBorder="1" applyAlignment="1"/>
    <xf numFmtId="0" fontId="35" fillId="0" borderId="1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13" fillId="20" borderId="13" xfId="0" applyFont="1" applyFill="1" applyBorder="1" applyAlignment="1"/>
    <xf numFmtId="0" fontId="13" fillId="20" borderId="18" xfId="0" applyFont="1" applyFill="1" applyBorder="1" applyAlignment="1">
      <alignment horizontal="center"/>
    </xf>
    <xf numFmtId="0" fontId="36" fillId="20" borderId="0" xfId="0" applyFont="1" applyFill="1" applyAlignment="1"/>
    <xf numFmtId="0" fontId="23" fillId="0" borderId="1" xfId="0" applyFont="1" applyBorder="1" applyAlignment="1">
      <alignment horizontal="center" vertical="center"/>
    </xf>
    <xf numFmtId="170" fontId="9" fillId="0" borderId="1" xfId="3" applyNumberFormat="1" applyFont="1" applyFill="1" applyBorder="1" applyAlignment="1"/>
    <xf numFmtId="0" fontId="0" fillId="10" borderId="1" xfId="0" applyFill="1" applyBorder="1" applyAlignment="1">
      <alignment horizontal="center" vertical="center"/>
    </xf>
    <xf numFmtId="10" fontId="0" fillId="0" borderId="0" xfId="3" applyNumberFormat="1" applyFont="1" applyAlignment="1">
      <alignment vertical="center"/>
    </xf>
    <xf numFmtId="168" fontId="37" fillId="0" borderId="1" xfId="1" applyNumberFormat="1" applyFont="1" applyFill="1" applyBorder="1" applyAlignment="1">
      <alignment vertic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18" borderId="2" xfId="0" applyFill="1" applyBorder="1" applyAlignment="1">
      <alignment horizontal="center"/>
    </xf>
    <xf numFmtId="0" fontId="0" fillId="18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168" fontId="0" fillId="0" borderId="2" xfId="1" applyNumberFormat="1" applyFont="1" applyFill="1" applyBorder="1" applyAlignment="1">
      <alignment horizontal="center" vertical="center"/>
    </xf>
    <xf numFmtId="168" fontId="0" fillId="0" borderId="6" xfId="1" applyNumberFormat="1" applyFont="1" applyFill="1" applyBorder="1" applyAlignment="1">
      <alignment horizontal="center" vertical="center"/>
    </xf>
    <xf numFmtId="0" fontId="17" fillId="7" borderId="1" xfId="0" applyFont="1" applyFill="1" applyBorder="1" applyAlignment="1" applyProtection="1">
      <alignment horizontal="left" vertical="center"/>
      <protection hidden="1"/>
    </xf>
    <xf numFmtId="0" fontId="12" fillId="15" borderId="1" xfId="0" applyFont="1" applyFill="1" applyBorder="1" applyAlignment="1">
      <alignment horizontal="center" wrapText="1"/>
    </xf>
    <xf numFmtId="168" fontId="9" fillId="2" borderId="1" xfId="1" applyNumberFormat="1" applyFont="1" applyFill="1" applyBorder="1" applyAlignment="1">
      <alignment horizontal="center"/>
    </xf>
    <xf numFmtId="0" fontId="12" fillId="15" borderId="2" xfId="0" applyFont="1" applyFill="1" applyBorder="1" applyAlignment="1">
      <alignment horizontal="center" wrapText="1"/>
    </xf>
    <xf numFmtId="0" fontId="12" fillId="15" borderId="6" xfId="0" applyFont="1" applyFill="1" applyBorder="1" applyAlignment="1">
      <alignment horizontal="center" wrapText="1"/>
    </xf>
    <xf numFmtId="168" fontId="9" fillId="2" borderId="2" xfId="1" applyNumberFormat="1" applyFont="1" applyFill="1" applyBorder="1" applyAlignment="1">
      <alignment horizontal="center"/>
    </xf>
    <xf numFmtId="168" fontId="9" fillId="2" borderId="6" xfId="1" applyNumberFormat="1" applyFont="1" applyFill="1" applyBorder="1" applyAlignment="1">
      <alignment horizontal="center"/>
    </xf>
    <xf numFmtId="0" fontId="23" fillId="10" borderId="0" xfId="0" applyFont="1" applyFill="1" applyAlignment="1">
      <alignment horizontal="center"/>
    </xf>
    <xf numFmtId="0" fontId="23" fillId="15" borderId="2" xfId="0" applyFont="1" applyFill="1" applyBorder="1" applyAlignment="1">
      <alignment horizontal="center"/>
    </xf>
    <xf numFmtId="0" fontId="23" fillId="15" borderId="4" xfId="0" applyFont="1" applyFill="1" applyBorder="1" applyAlignment="1">
      <alignment horizontal="center"/>
    </xf>
    <xf numFmtId="0" fontId="23" fillId="13" borderId="2" xfId="0" applyFont="1" applyFill="1" applyBorder="1" applyAlignment="1">
      <alignment horizontal="center"/>
    </xf>
    <xf numFmtId="0" fontId="23" fillId="13" borderId="4" xfId="0" applyFont="1" applyFill="1" applyBorder="1" applyAlignment="1">
      <alignment horizontal="center"/>
    </xf>
    <xf numFmtId="0" fontId="23" fillId="13" borderId="6" xfId="0" applyFont="1" applyFill="1" applyBorder="1" applyAlignment="1">
      <alignment horizontal="center"/>
    </xf>
    <xf numFmtId="0" fontId="23" fillId="14" borderId="2" xfId="0" applyFont="1" applyFill="1" applyBorder="1" applyAlignment="1">
      <alignment horizontal="center"/>
    </xf>
    <xf numFmtId="0" fontId="23" fillId="14" borderId="4" xfId="0" applyFont="1" applyFill="1" applyBorder="1" applyAlignment="1">
      <alignment horizontal="center"/>
    </xf>
    <xf numFmtId="0" fontId="23" fillId="14" borderId="6" xfId="0" applyFont="1" applyFill="1" applyBorder="1" applyAlignment="1">
      <alignment horizontal="center"/>
    </xf>
    <xf numFmtId="0" fontId="26" fillId="0" borderId="0" xfId="0" applyFont="1" applyAlignment="1">
      <alignment horizontal="left" wrapText="1"/>
    </xf>
    <xf numFmtId="0" fontId="23" fillId="15" borderId="1" xfId="0" applyFont="1" applyFill="1" applyBorder="1" applyAlignment="1">
      <alignment horizontal="center"/>
    </xf>
    <xf numFmtId="0" fontId="23" fillId="13" borderId="1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23" fillId="15" borderId="6" xfId="0" applyFont="1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7" fillId="0" borderId="14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left" vertical="center" wrapText="1"/>
    </xf>
    <xf numFmtId="0" fontId="29" fillId="10" borderId="0" xfId="0" applyFont="1" applyFill="1" applyAlignment="1">
      <alignment horizontal="center" wrapText="1"/>
    </xf>
    <xf numFmtId="0" fontId="31" fillId="2" borderId="0" xfId="0" applyFont="1" applyFill="1" applyAlignment="1">
      <alignment horizontal="left" wrapText="1"/>
    </xf>
    <xf numFmtId="0" fontId="31" fillId="2" borderId="17" xfId="0" applyFont="1" applyFill="1" applyBorder="1" applyAlignment="1">
      <alignment horizontal="left" wrapText="1"/>
    </xf>
    <xf numFmtId="0" fontId="23" fillId="14" borderId="1" xfId="0" applyFont="1" applyFill="1" applyBorder="1" applyAlignment="1">
      <alignment horizontal="center"/>
    </xf>
    <xf numFmtId="0" fontId="33" fillId="10" borderId="0" xfId="0" applyFont="1" applyFill="1" applyAlignment="1">
      <alignment horizontal="center" wrapText="1"/>
    </xf>
  </cellXfs>
  <cellStyles count="5">
    <cellStyle name="Comma" xfId="1" builtinId="3"/>
    <cellStyle name="Comma 2" xfId="2" xr:uid="{00000000-0005-0000-0000-000001000000}"/>
    <cellStyle name="Comma 2 3" xfId="4" xr:uid="{00000000-0005-0000-0000-000002000000}"/>
    <cellStyle name="Normal" xfId="0" builtinId="0"/>
    <cellStyle name="Percent" xfId="3" builtinId="5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I4929"/>
  <sheetViews>
    <sheetView topLeftCell="O61" zoomScale="85" zoomScaleNormal="85" workbookViewId="0">
      <selection activeCell="U72" sqref="U72"/>
    </sheetView>
  </sheetViews>
  <sheetFormatPr defaultRowHeight="14.4"/>
  <cols>
    <col min="17" max="17" width="18.77734375" customWidth="1"/>
    <col min="19" max="19" width="12.21875" bestFit="1" customWidth="1"/>
    <col min="24" max="26" width="13.21875" customWidth="1"/>
    <col min="28" max="28" width="13.77734375" customWidth="1"/>
    <col min="29" max="29" width="12.44140625" customWidth="1"/>
    <col min="30" max="30" width="12.77734375" customWidth="1"/>
    <col min="31" max="31" width="11.77734375" customWidth="1"/>
    <col min="32" max="32" width="12.5546875" customWidth="1"/>
    <col min="33" max="33" width="12" customWidth="1"/>
    <col min="34" max="34" width="13" customWidth="1"/>
    <col min="35" max="35" width="11.21875" customWidth="1"/>
    <col min="36" max="36" width="11.77734375" customWidth="1"/>
    <col min="37" max="37" width="12.21875" customWidth="1"/>
    <col min="38" max="38" width="13.5546875" customWidth="1"/>
    <col min="39" max="39" width="11.44140625" customWidth="1"/>
    <col min="40" max="40" width="10.77734375" customWidth="1"/>
    <col min="41" max="42" width="11.21875" customWidth="1"/>
    <col min="47" max="49" width="9.21875" customWidth="1"/>
    <col min="52" max="52" width="10.77734375" customWidth="1"/>
    <col min="53" max="53" width="11.44140625" customWidth="1"/>
    <col min="54" max="54" width="10.21875" customWidth="1"/>
    <col min="55" max="55" width="10" customWidth="1"/>
    <col min="56" max="56" width="11.44140625" customWidth="1"/>
    <col min="57" max="57" width="10.5546875" customWidth="1"/>
    <col min="58" max="58" width="10.44140625" customWidth="1"/>
    <col min="59" max="60" width="10.21875" customWidth="1"/>
    <col min="61" max="61" width="13" customWidth="1"/>
    <col min="62" max="62" width="12.77734375" customWidth="1"/>
    <col min="63" max="63" width="13.21875" customWidth="1"/>
    <col min="64" max="64" width="12.77734375" customWidth="1"/>
    <col min="65" max="65" width="11.5546875" customWidth="1"/>
    <col min="75" max="76" width="11.77734375" customWidth="1"/>
    <col min="77" max="77" width="12.21875" customWidth="1"/>
    <col min="78" max="78" width="11" customWidth="1"/>
    <col min="79" max="79" width="13.44140625" customWidth="1"/>
    <col min="80" max="80" width="11.44140625" customWidth="1"/>
    <col min="81" max="81" width="11.21875" customWidth="1"/>
    <col min="82" max="82" width="11.77734375" customWidth="1"/>
    <col min="83" max="87" width="10.77734375" customWidth="1"/>
    <col min="88" max="88" width="11.21875" customWidth="1"/>
    <col min="98" max="98" width="11.77734375" customWidth="1"/>
    <col min="99" max="99" width="12.77734375" customWidth="1"/>
    <col min="100" max="100" width="11.77734375" customWidth="1"/>
    <col min="101" max="101" width="10.77734375" customWidth="1"/>
    <col min="102" max="102" width="13" customWidth="1"/>
    <col min="103" max="103" width="11.44140625" customWidth="1"/>
    <col min="104" max="104" width="11.21875" customWidth="1"/>
    <col min="105" max="105" width="10.5546875" customWidth="1"/>
    <col min="106" max="110" width="11" customWidth="1"/>
    <col min="111" max="111" width="11.5546875" customWidth="1"/>
  </cols>
  <sheetData>
    <row r="1" spans="1:113">
      <c r="A1" t="s">
        <v>0</v>
      </c>
      <c r="B1" t="s">
        <v>23</v>
      </c>
      <c r="C1" t="s">
        <v>24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51</v>
      </c>
      <c r="K1" s="3" t="s">
        <v>102</v>
      </c>
      <c r="L1" t="s">
        <v>103</v>
      </c>
      <c r="M1" t="s">
        <v>104</v>
      </c>
      <c r="N1" t="s">
        <v>105</v>
      </c>
      <c r="S1" t="str">
        <f>VLOOKUP('CALCULATOR CARE V6'!F2,DROPDOWN!K:L,2,0)</f>
        <v>18-24</v>
      </c>
      <c r="T1">
        <f>IF(R4="1+0",V5,V4)</f>
        <v>4</v>
      </c>
      <c r="U1" t="s">
        <v>395</v>
      </c>
      <c r="X1" s="5" t="s">
        <v>56</v>
      </c>
      <c r="Y1" s="5"/>
      <c r="Z1" s="5"/>
      <c r="AA1" t="s">
        <v>52</v>
      </c>
      <c r="AX1" s="3" t="s">
        <v>107</v>
      </c>
      <c r="BU1" s="3" t="s">
        <v>106</v>
      </c>
      <c r="CE1" s="73" t="s">
        <v>242</v>
      </c>
      <c r="CO1" s="3" t="s">
        <v>108</v>
      </c>
      <c r="CP1" s="3"/>
      <c r="CQ1" s="3"/>
    </row>
    <row r="2" spans="1:113">
      <c r="A2" s="2" t="s">
        <v>9</v>
      </c>
      <c r="B2" t="s">
        <v>47</v>
      </c>
      <c r="C2" t="s">
        <v>48</v>
      </c>
      <c r="D2">
        <v>5</v>
      </c>
      <c r="E2" t="s">
        <v>26</v>
      </c>
      <c r="F2">
        <v>1</v>
      </c>
      <c r="H2">
        <v>1</v>
      </c>
      <c r="I2">
        <v>1</v>
      </c>
      <c r="J2" s="4" t="s">
        <v>52</v>
      </c>
      <c r="K2" t="str">
        <f>G2&amp;"+"&amp;H2</f>
        <v>+1</v>
      </c>
      <c r="L2">
        <f>VLOOKUP(A2,'ZONE 1 PREMIUM'!$A$3:$M$16,13,0)</f>
        <v>2</v>
      </c>
      <c r="M2">
        <f>VLOOKUP(D2,DROPDOWN!B:C,2,0)</f>
        <v>4</v>
      </c>
      <c r="N2" t="e">
        <f>VLOOKUP(K2,$AQ$3:$AR$12,2,0)</f>
        <v>#N/A</v>
      </c>
      <c r="O2" s="13">
        <v>3298.4569122102048</v>
      </c>
      <c r="S2" t="str">
        <f>VLOOKUP('CALCULATOR CARE V6'!E2,DROPDOWN!K:L,2,0)</f>
        <v>18-24</v>
      </c>
      <c r="T2">
        <f>IF(R4="1+0",U5,U4)</f>
        <v>4</v>
      </c>
      <c r="U2" t="str">
        <f>VLOOKUP(S2,DROPDOWN!L20:M110,2,0)</f>
        <v>Upto 45 Years</v>
      </c>
      <c r="X2" s="1"/>
      <c r="Y2" s="153" t="s">
        <v>211</v>
      </c>
      <c r="Z2" s="153"/>
      <c r="AA2" s="143" t="s">
        <v>57</v>
      </c>
      <c r="AB2" s="143"/>
      <c r="AC2" s="143"/>
      <c r="AD2" s="144" t="s">
        <v>58</v>
      </c>
      <c r="AE2" s="144"/>
      <c r="AF2" s="144"/>
      <c r="AG2" s="144"/>
      <c r="AH2" s="144"/>
      <c r="AI2" s="142" t="s">
        <v>59</v>
      </c>
      <c r="AJ2" s="142"/>
      <c r="AK2" s="142"/>
      <c r="AL2" s="154" t="s">
        <v>176</v>
      </c>
      <c r="AM2" s="154"/>
      <c r="AN2" s="154"/>
      <c r="AO2" s="154"/>
      <c r="AP2" s="154"/>
      <c r="AQ2" s="1" t="s">
        <v>81</v>
      </c>
      <c r="AT2" s="5" t="s">
        <v>56</v>
      </c>
      <c r="AU2" s="1"/>
      <c r="AV2" s="153" t="s">
        <v>211</v>
      </c>
      <c r="AW2" s="153"/>
      <c r="AX2" s="143" t="s">
        <v>57</v>
      </c>
      <c r="AY2" s="143"/>
      <c r="AZ2" s="143"/>
      <c r="BA2" s="144" t="s">
        <v>58</v>
      </c>
      <c r="BB2" s="144"/>
      <c r="BC2" s="144"/>
      <c r="BD2" s="144"/>
      <c r="BE2" s="144"/>
      <c r="BF2" s="142" t="s">
        <v>59</v>
      </c>
      <c r="BG2" s="142"/>
      <c r="BH2" s="142"/>
      <c r="BI2" s="154" t="s">
        <v>176</v>
      </c>
      <c r="BJ2" s="154"/>
      <c r="BK2" s="154"/>
      <c r="BL2" s="154"/>
      <c r="BM2" s="154"/>
      <c r="BN2" s="1" t="s">
        <v>81</v>
      </c>
      <c r="BQ2" s="5" t="s">
        <v>56</v>
      </c>
      <c r="BR2" s="1"/>
      <c r="BS2" s="153" t="s">
        <v>211</v>
      </c>
      <c r="BT2" s="153"/>
      <c r="BU2" s="143" t="s">
        <v>57</v>
      </c>
      <c r="BV2" s="143"/>
      <c r="BW2" s="143"/>
      <c r="BX2" s="144" t="s">
        <v>58</v>
      </c>
      <c r="BY2" s="144"/>
      <c r="BZ2" s="144"/>
      <c r="CA2" s="144"/>
      <c r="CB2" s="144"/>
      <c r="CC2" s="142" t="s">
        <v>59</v>
      </c>
      <c r="CD2" s="142"/>
      <c r="CE2" s="142"/>
      <c r="CF2" s="154" t="s">
        <v>176</v>
      </c>
      <c r="CG2" s="154"/>
      <c r="CH2" s="154"/>
      <c r="CI2" s="154"/>
      <c r="CJ2" s="154"/>
      <c r="CK2" s="1" t="s">
        <v>81</v>
      </c>
      <c r="CN2" s="5" t="s">
        <v>56</v>
      </c>
      <c r="CO2" s="1"/>
      <c r="CP2" s="153" t="s">
        <v>211</v>
      </c>
      <c r="CQ2" s="153"/>
      <c r="CR2" s="143" t="s">
        <v>57</v>
      </c>
      <c r="CS2" s="143"/>
      <c r="CT2" s="143"/>
      <c r="CU2" s="144" t="s">
        <v>58</v>
      </c>
      <c r="CV2" s="144"/>
      <c r="CW2" s="144"/>
      <c r="CX2" s="144"/>
      <c r="CY2" s="144"/>
      <c r="CZ2" s="142" t="s">
        <v>59</v>
      </c>
      <c r="DA2" s="142"/>
      <c r="DB2" s="142"/>
      <c r="DC2" s="154" t="s">
        <v>176</v>
      </c>
      <c r="DD2" s="154"/>
      <c r="DE2" s="154"/>
      <c r="DF2" s="154"/>
      <c r="DG2" s="154"/>
    </row>
    <row r="3" spans="1:113">
      <c r="A3" s="2" t="s">
        <v>10</v>
      </c>
      <c r="B3" t="s">
        <v>49</v>
      </c>
      <c r="C3" t="s">
        <v>50</v>
      </c>
      <c r="D3">
        <v>5</v>
      </c>
      <c r="E3" t="s">
        <v>26</v>
      </c>
      <c r="F3">
        <v>1</v>
      </c>
      <c r="G3">
        <v>1</v>
      </c>
      <c r="H3">
        <v>0</v>
      </c>
      <c r="I3">
        <v>1</v>
      </c>
      <c r="J3" s="4" t="s">
        <v>52</v>
      </c>
      <c r="K3" t="s">
        <v>82</v>
      </c>
      <c r="L3">
        <f>VLOOKUP(A3,'ZONE 1 PREMIUM'!$A$3:$M$16,13,0)</f>
        <v>3</v>
      </c>
      <c r="M3">
        <f>VLOOKUP(D3,DROPDOWN!B:C,2,0)</f>
        <v>4</v>
      </c>
      <c r="N3" t="str">
        <f>VLOOKUP(K3,$AQ$3:$AR$12,2,0)</f>
        <v>X3:AP16</v>
      </c>
      <c r="O3" s="4">
        <f ca="1">INDEX(INDIRECT(N3),L3,M3)</f>
        <v>5817.8499999999995</v>
      </c>
      <c r="S3" t="str">
        <f>VLOOKUP('CALCULATOR CARE V6'!B2,DROPDOWN!K:L,2,0)</f>
        <v>18-24</v>
      </c>
      <c r="T3">
        <f>VLOOKUP('CALCULATOR CARE V6'!B6,DROPDOWN!A2:B19,2,0)</f>
        <v>600</v>
      </c>
      <c r="U3" t="str">
        <f>VLOOKUP(S1,DROPDOWN!L20:M110,2,0)</f>
        <v>Upto 45 Years</v>
      </c>
      <c r="X3" s="2" t="s">
        <v>60</v>
      </c>
      <c r="Y3" s="2" t="s">
        <v>243</v>
      </c>
      <c r="Z3" s="2" t="s">
        <v>244</v>
      </c>
      <c r="AA3" s="6" t="s">
        <v>70</v>
      </c>
      <c r="AB3" s="6" t="s">
        <v>71</v>
      </c>
      <c r="AC3" s="6" t="s">
        <v>72</v>
      </c>
      <c r="AD3" s="6" t="s">
        <v>73</v>
      </c>
      <c r="AE3" s="6" t="s">
        <v>74</v>
      </c>
      <c r="AF3" s="6" t="s">
        <v>75</v>
      </c>
      <c r="AG3" s="6" t="s">
        <v>76</v>
      </c>
      <c r="AH3" s="6" t="s">
        <v>77</v>
      </c>
      <c r="AI3" s="6" t="s">
        <v>78</v>
      </c>
      <c r="AJ3" s="6" t="s">
        <v>79</v>
      </c>
      <c r="AK3" s="6" t="s">
        <v>80</v>
      </c>
      <c r="AL3" s="2" t="s">
        <v>245</v>
      </c>
      <c r="AM3" s="2" t="s">
        <v>246</v>
      </c>
      <c r="AN3" s="2" t="s">
        <v>247</v>
      </c>
      <c r="AO3" s="2" t="s">
        <v>248</v>
      </c>
      <c r="AP3" s="2" t="s">
        <v>310</v>
      </c>
      <c r="AQ3" s="9" t="s">
        <v>82</v>
      </c>
      <c r="AR3" s="86" t="s">
        <v>212</v>
      </c>
      <c r="AT3" s="1"/>
      <c r="AU3" s="2" t="s">
        <v>60</v>
      </c>
      <c r="AV3" s="2" t="s">
        <v>243</v>
      </c>
      <c r="AW3" s="2" t="s">
        <v>244</v>
      </c>
      <c r="AX3" s="6" t="s">
        <v>70</v>
      </c>
      <c r="AY3" s="6" t="s">
        <v>71</v>
      </c>
      <c r="AZ3" s="6" t="s">
        <v>72</v>
      </c>
      <c r="BA3" s="6" t="s">
        <v>73</v>
      </c>
      <c r="BB3" s="6" t="s">
        <v>74</v>
      </c>
      <c r="BC3" s="6" t="s">
        <v>75</v>
      </c>
      <c r="BD3" s="6" t="s">
        <v>76</v>
      </c>
      <c r="BE3" s="6" t="s">
        <v>77</v>
      </c>
      <c r="BF3" s="6" t="s">
        <v>78</v>
      </c>
      <c r="BG3" s="6" t="s">
        <v>79</v>
      </c>
      <c r="BH3" s="6" t="s">
        <v>80</v>
      </c>
      <c r="BI3" s="2" t="s">
        <v>245</v>
      </c>
      <c r="BJ3" s="2" t="s">
        <v>246</v>
      </c>
      <c r="BK3" s="2" t="s">
        <v>247</v>
      </c>
      <c r="BL3" s="2" t="s">
        <v>248</v>
      </c>
      <c r="BM3" s="2" t="s">
        <v>310</v>
      </c>
      <c r="BN3" s="9" t="s">
        <v>82</v>
      </c>
      <c r="BO3" s="86" t="s">
        <v>222</v>
      </c>
      <c r="BQ3" s="1"/>
      <c r="BR3" s="2" t="s">
        <v>60</v>
      </c>
      <c r="BS3" s="2" t="s">
        <v>243</v>
      </c>
      <c r="BT3" s="2" t="s">
        <v>244</v>
      </c>
      <c r="BU3" s="6" t="s">
        <v>70</v>
      </c>
      <c r="BV3" s="6" t="s">
        <v>71</v>
      </c>
      <c r="BW3" s="6" t="s">
        <v>72</v>
      </c>
      <c r="BX3" s="6" t="s">
        <v>73</v>
      </c>
      <c r="BY3" s="6" t="s">
        <v>74</v>
      </c>
      <c r="BZ3" s="6" t="s">
        <v>75</v>
      </c>
      <c r="CA3" s="6" t="s">
        <v>76</v>
      </c>
      <c r="CB3" s="6" t="s">
        <v>77</v>
      </c>
      <c r="CC3" s="6" t="s">
        <v>78</v>
      </c>
      <c r="CD3" s="6" t="s">
        <v>79</v>
      </c>
      <c r="CE3" s="6" t="s">
        <v>80</v>
      </c>
      <c r="CF3" s="2" t="s">
        <v>245</v>
      </c>
      <c r="CG3" s="2" t="s">
        <v>246</v>
      </c>
      <c r="CH3" s="2" t="s">
        <v>247</v>
      </c>
      <c r="CI3" s="2" t="s">
        <v>248</v>
      </c>
      <c r="CJ3" s="2" t="s">
        <v>310</v>
      </c>
      <c r="CK3" s="9" t="s">
        <v>82</v>
      </c>
      <c r="CL3" s="121" t="s">
        <v>373</v>
      </c>
      <c r="CN3" s="1"/>
      <c r="CO3" s="2" t="s">
        <v>60</v>
      </c>
      <c r="CP3" s="2" t="s">
        <v>243</v>
      </c>
      <c r="CQ3" s="2" t="s">
        <v>244</v>
      </c>
      <c r="CR3" s="6" t="s">
        <v>70</v>
      </c>
      <c r="CS3" s="6" t="s">
        <v>71</v>
      </c>
      <c r="CT3" s="6" t="s">
        <v>72</v>
      </c>
      <c r="CU3" s="6" t="s">
        <v>73</v>
      </c>
      <c r="CV3" s="6" t="s">
        <v>74</v>
      </c>
      <c r="CW3" s="6" t="s">
        <v>75</v>
      </c>
      <c r="CX3" s="6" t="s">
        <v>76</v>
      </c>
      <c r="CY3" s="6" t="s">
        <v>77</v>
      </c>
      <c r="CZ3" s="6" t="s">
        <v>78</v>
      </c>
      <c r="DA3" s="6" t="s">
        <v>79</v>
      </c>
      <c r="DB3" s="6" t="s">
        <v>80</v>
      </c>
      <c r="DC3" s="2" t="s">
        <v>245</v>
      </c>
      <c r="DD3" s="2" t="s">
        <v>246</v>
      </c>
      <c r="DE3" s="2" t="s">
        <v>247</v>
      </c>
      <c r="DF3" s="2" t="s">
        <v>248</v>
      </c>
      <c r="DG3" s="2" t="s">
        <v>310</v>
      </c>
      <c r="DH3" s="1" t="s">
        <v>81</v>
      </c>
    </row>
    <row r="4" spans="1:113">
      <c r="A4" s="2" t="s">
        <v>11</v>
      </c>
      <c r="B4" t="s">
        <v>45</v>
      </c>
      <c r="C4" t="s">
        <v>25</v>
      </c>
      <c r="D4">
        <v>5</v>
      </c>
      <c r="E4" t="s">
        <v>26</v>
      </c>
      <c r="F4">
        <v>1</v>
      </c>
      <c r="G4">
        <v>1</v>
      </c>
      <c r="H4">
        <v>0</v>
      </c>
      <c r="I4">
        <v>1</v>
      </c>
      <c r="J4" s="4" t="s">
        <v>52</v>
      </c>
      <c r="K4" t="str">
        <f t="shared" ref="K4:K67" si="0">G4&amp;"+"&amp;H4</f>
        <v>1+0</v>
      </c>
      <c r="L4">
        <f>VLOOKUP(A4,'ZONE 1 PREMIUM'!$A$3:$M$16,13,0)</f>
        <v>4</v>
      </c>
      <c r="M4">
        <f>VLOOKUP(D4,DROPDOWN!B:C,2,0)</f>
        <v>4</v>
      </c>
      <c r="N4" t="str">
        <f t="shared" ref="N4:N67" si="1">VLOOKUP(K4,$AQ$3:$AR$12,2,0)</f>
        <v>X3:AP16</v>
      </c>
      <c r="O4" s="4">
        <f t="shared" ref="O4:O67" ca="1" si="2">INDEX(INDIRECT(N4),L4,M4)</f>
        <v>15584.8</v>
      </c>
      <c r="Q4" s="3" t="s">
        <v>102</v>
      </c>
      <c r="R4" t="str">
        <f>'CALCULATOR CARE V6'!B3&amp;"+"&amp;'CALCULATOR CARE V6'!B4</f>
        <v>1+0</v>
      </c>
      <c r="U4">
        <f>VLOOKUP(S2,DROPDOWN!O15:Q27,3,0)</f>
        <v>2</v>
      </c>
      <c r="V4">
        <f>VLOOKUP(S1,DROPDOWN!O15:Q27,3,0)</f>
        <v>2</v>
      </c>
      <c r="X4" s="2" t="s">
        <v>9</v>
      </c>
      <c r="Y4" s="141">
        <v>5413.0499999999993</v>
      </c>
      <c r="Z4" s="141">
        <v>6458.4</v>
      </c>
      <c r="AA4" s="141">
        <v>7586.5499999999993</v>
      </c>
      <c r="AB4" s="141">
        <v>8270.7999999999993</v>
      </c>
      <c r="AC4" s="141">
        <v>8898.6999999999989</v>
      </c>
      <c r="AD4" s="141">
        <v>10383.349999999999</v>
      </c>
      <c r="AE4" s="141">
        <v>11302.199999999999</v>
      </c>
      <c r="AF4" s="141">
        <v>12080.749999999998</v>
      </c>
      <c r="AG4" s="141">
        <v>13475.699999999999</v>
      </c>
      <c r="AH4" s="141">
        <v>16733.649999999998</v>
      </c>
      <c r="AI4" s="141">
        <v>25731.249999999996</v>
      </c>
      <c r="AJ4" s="141">
        <v>32788.799999999996</v>
      </c>
      <c r="AK4" s="141">
        <v>40684.699999999997</v>
      </c>
      <c r="AL4" s="141">
        <v>64608.149999999994</v>
      </c>
      <c r="AM4" s="141">
        <v>76854.5</v>
      </c>
      <c r="AN4" s="141">
        <v>90276.15</v>
      </c>
      <c r="AO4" s="141">
        <v>105751.7</v>
      </c>
      <c r="AP4" s="141">
        <v>141420.09999999998</v>
      </c>
      <c r="AQ4" s="9" t="s">
        <v>83</v>
      </c>
      <c r="AR4" s="86" t="s">
        <v>213</v>
      </c>
      <c r="AT4" s="1"/>
      <c r="AU4" s="2" t="s">
        <v>9</v>
      </c>
      <c r="AV4" s="141">
        <v>4806</v>
      </c>
      <c r="AW4" s="141">
        <v>5733</v>
      </c>
      <c r="AX4" s="141">
        <v>6730.875</v>
      </c>
      <c r="AY4" s="141">
        <v>7337.25</v>
      </c>
      <c r="AZ4" s="141">
        <v>7893</v>
      </c>
      <c r="BA4" s="141">
        <v>9208.125</v>
      </c>
      <c r="BB4" s="141">
        <v>10021.5</v>
      </c>
      <c r="BC4" s="141">
        <v>10711.125</v>
      </c>
      <c r="BD4" s="141">
        <v>11946.375</v>
      </c>
      <c r="BE4" s="141">
        <v>14832</v>
      </c>
      <c r="BF4" s="141">
        <v>22799.25</v>
      </c>
      <c r="BG4" s="141">
        <v>29048.625</v>
      </c>
      <c r="BH4" s="141">
        <v>36040.5</v>
      </c>
      <c r="BI4" s="141">
        <v>58054.5</v>
      </c>
      <c r="BJ4" s="141">
        <v>68899.5</v>
      </c>
      <c r="BK4" s="141">
        <v>80784</v>
      </c>
      <c r="BL4" s="141">
        <v>94488.75</v>
      </c>
      <c r="BM4" s="141">
        <v>126074.25</v>
      </c>
      <c r="BN4" s="9" t="s">
        <v>83</v>
      </c>
      <c r="BO4" s="86" t="s">
        <v>223</v>
      </c>
      <c r="BQ4" s="1"/>
      <c r="BR4" s="2" t="s">
        <v>9</v>
      </c>
      <c r="BS4" s="141">
        <v>4436.3</v>
      </c>
      <c r="BT4" s="141">
        <v>5289.9000000000005</v>
      </c>
      <c r="BU4" s="141">
        <v>6209.5000000000009</v>
      </c>
      <c r="BV4" s="141">
        <v>6768.3</v>
      </c>
      <c r="BW4" s="141">
        <v>7280.9000000000005</v>
      </c>
      <c r="BX4" s="141">
        <v>8492</v>
      </c>
      <c r="BY4" s="141">
        <v>9242.2000000000007</v>
      </c>
      <c r="BZ4" s="141">
        <v>9876.9000000000015</v>
      </c>
      <c r="CA4" s="141">
        <v>11015.400000000001</v>
      </c>
      <c r="CB4" s="141">
        <v>13674.1</v>
      </c>
      <c r="CC4" s="141">
        <v>21016.600000000002</v>
      </c>
      <c r="CD4" s="141">
        <v>26775.100000000002</v>
      </c>
      <c r="CE4" s="141">
        <v>33218.9</v>
      </c>
      <c r="CF4" s="141">
        <v>53941.8</v>
      </c>
      <c r="CG4" s="141">
        <v>63935.3</v>
      </c>
      <c r="CH4" s="141">
        <v>74886.900000000009</v>
      </c>
      <c r="CI4" s="141">
        <v>87516</v>
      </c>
      <c r="CJ4" s="141">
        <v>116623.1</v>
      </c>
      <c r="CK4" s="9" t="s">
        <v>83</v>
      </c>
      <c r="CL4" s="121" t="s">
        <v>374</v>
      </c>
      <c r="CN4" s="1"/>
      <c r="CO4" s="2" t="s">
        <v>9</v>
      </c>
      <c r="CP4" s="141">
        <v>4086.4100000000003</v>
      </c>
      <c r="CQ4" s="141">
        <v>4871.21</v>
      </c>
      <c r="CR4" s="141">
        <v>5717.05</v>
      </c>
      <c r="CS4" s="141">
        <v>6230.4400000000005</v>
      </c>
      <c r="CT4" s="141">
        <v>6701.3200000000006</v>
      </c>
      <c r="CU4" s="141">
        <v>7815.3</v>
      </c>
      <c r="CV4" s="141">
        <v>8505.27</v>
      </c>
      <c r="CW4" s="141">
        <v>9089.51</v>
      </c>
      <c r="CX4" s="141">
        <v>10135.91</v>
      </c>
      <c r="CY4" s="141">
        <v>12580.78</v>
      </c>
      <c r="CZ4" s="141">
        <v>19332.240000000002</v>
      </c>
      <c r="DA4" s="141">
        <v>24627.460000000003</v>
      </c>
      <c r="DB4" s="141">
        <v>30552.7</v>
      </c>
      <c r="DC4" s="141">
        <v>50049.530000000006</v>
      </c>
      <c r="DD4" s="141">
        <v>59239.320000000007</v>
      </c>
      <c r="DE4" s="141">
        <v>69308.740000000005</v>
      </c>
      <c r="DF4" s="141">
        <v>80921.600000000006</v>
      </c>
      <c r="DG4" s="141">
        <v>107686.55</v>
      </c>
      <c r="DH4" s="9" t="s">
        <v>82</v>
      </c>
      <c r="DI4" s="86" t="s">
        <v>232</v>
      </c>
    </row>
    <row r="5" spans="1:113">
      <c r="A5" s="2" t="s">
        <v>12</v>
      </c>
      <c r="B5" t="s">
        <v>27</v>
      </c>
      <c r="C5" t="s">
        <v>28</v>
      </c>
      <c r="D5">
        <v>5</v>
      </c>
      <c r="E5" t="s">
        <v>26</v>
      </c>
      <c r="F5">
        <v>1</v>
      </c>
      <c r="G5">
        <v>1</v>
      </c>
      <c r="H5">
        <v>0</v>
      </c>
      <c r="I5">
        <v>1</v>
      </c>
      <c r="J5" s="4" t="s">
        <v>52</v>
      </c>
      <c r="K5" t="str">
        <f t="shared" si="0"/>
        <v>1+0</v>
      </c>
      <c r="L5">
        <f>VLOOKUP(A5,'ZONE 1 PREMIUM'!$A$3:$M$16,13,0)</f>
        <v>5</v>
      </c>
      <c r="M5">
        <f>VLOOKUP(D5,DROPDOWN!B:C,2,0)</f>
        <v>4</v>
      </c>
      <c r="N5" t="str">
        <f t="shared" si="1"/>
        <v>X3:AP16</v>
      </c>
      <c r="O5" s="4">
        <f t="shared" ca="1" si="2"/>
        <v>17919.3</v>
      </c>
      <c r="Q5" t="s">
        <v>103</v>
      </c>
      <c r="R5">
        <f>IF(R4="1+0",S5,T5)</f>
        <v>4</v>
      </c>
      <c r="S5">
        <f>VLOOKUP(S3,DROPDOWN!O15:Q27,2,0)</f>
        <v>4</v>
      </c>
      <c r="T5">
        <f>VLOOKUP(S3,DROPDOWN!O15:Q27,3,0)</f>
        <v>2</v>
      </c>
      <c r="U5">
        <f>VLOOKUP(S2,DROPDOWN!O15:Q27,2,0)</f>
        <v>4</v>
      </c>
      <c r="V5">
        <f>VLOOKUP(S1,DROPDOWN!O15:Q27,2,0)</f>
        <v>4</v>
      </c>
      <c r="X5" s="2" t="s">
        <v>10</v>
      </c>
      <c r="Y5" s="141">
        <v>4068.7</v>
      </c>
      <c r="Z5" s="141">
        <v>4867.95</v>
      </c>
      <c r="AA5" s="141">
        <v>5817.8499999999995</v>
      </c>
      <c r="AB5" s="141">
        <v>6346.8499999999995</v>
      </c>
      <c r="AC5" s="141">
        <v>6833.2999999999993</v>
      </c>
      <c r="AD5" s="141">
        <v>7974.0999999999995</v>
      </c>
      <c r="AE5" s="141">
        <v>8687.0999999999985</v>
      </c>
      <c r="AF5" s="141">
        <v>9294.2999999999993</v>
      </c>
      <c r="AG5" s="141">
        <v>10374.15</v>
      </c>
      <c r="AH5" s="141">
        <v>12886.9</v>
      </c>
      <c r="AI5" s="141">
        <v>21072.6</v>
      </c>
      <c r="AJ5" s="141">
        <v>26569.599999999999</v>
      </c>
      <c r="AK5" s="141">
        <v>32718.649999999998</v>
      </c>
      <c r="AL5" s="141">
        <v>43824.2</v>
      </c>
      <c r="AM5" s="141">
        <v>53201.299999999996</v>
      </c>
      <c r="AN5" s="141">
        <v>63567.399999999994</v>
      </c>
      <c r="AO5" s="141">
        <v>75578</v>
      </c>
      <c r="AP5" s="141">
        <v>103210.2</v>
      </c>
      <c r="AQ5" s="9" t="s">
        <v>84</v>
      </c>
      <c r="AR5" s="86" t="s">
        <v>214</v>
      </c>
      <c r="AT5" s="1"/>
      <c r="AU5" s="2" t="s">
        <v>10</v>
      </c>
      <c r="AV5" s="141">
        <v>3615.75</v>
      </c>
      <c r="AW5" s="141">
        <v>4324.5</v>
      </c>
      <c r="AX5" s="141">
        <v>5164.875</v>
      </c>
      <c r="AY5" s="141">
        <v>5632.875</v>
      </c>
      <c r="AZ5" s="141">
        <v>6063.75</v>
      </c>
      <c r="BA5" s="141">
        <v>7075.125</v>
      </c>
      <c r="BB5" s="141">
        <v>7705.125</v>
      </c>
      <c r="BC5" s="141">
        <v>8242.875</v>
      </c>
      <c r="BD5" s="141">
        <v>9199.125</v>
      </c>
      <c r="BE5" s="141">
        <v>11424.375</v>
      </c>
      <c r="BF5" s="141">
        <v>18673.875</v>
      </c>
      <c r="BG5" s="141">
        <v>23540.625</v>
      </c>
      <c r="BH5" s="141">
        <v>28986.75</v>
      </c>
      <c r="BI5" s="141">
        <v>39103.875</v>
      </c>
      <c r="BJ5" s="141">
        <v>47407.5</v>
      </c>
      <c r="BK5" s="141">
        <v>56586.375</v>
      </c>
      <c r="BL5" s="141">
        <v>67222.125</v>
      </c>
      <c r="BM5" s="141">
        <v>91692</v>
      </c>
      <c r="BN5" s="9" t="s">
        <v>84</v>
      </c>
      <c r="BO5" s="86" t="s">
        <v>224</v>
      </c>
      <c r="BQ5" s="1"/>
      <c r="BR5" s="2" t="s">
        <v>10</v>
      </c>
      <c r="BS5" s="141">
        <v>3339.6000000000004</v>
      </c>
      <c r="BT5" s="141">
        <v>3991.9000000000005</v>
      </c>
      <c r="BU5" s="141">
        <v>4766.3</v>
      </c>
      <c r="BV5" s="141">
        <v>5197.5</v>
      </c>
      <c r="BW5" s="141">
        <v>5594.6</v>
      </c>
      <c r="BX5" s="141">
        <v>6526.3</v>
      </c>
      <c r="BY5" s="141">
        <v>7108.2000000000007</v>
      </c>
      <c r="BZ5" s="141">
        <v>7603.2000000000007</v>
      </c>
      <c r="CA5" s="141">
        <v>8484.3000000000011</v>
      </c>
      <c r="CB5" s="141">
        <v>10534.7</v>
      </c>
      <c r="CC5" s="141">
        <v>17215</v>
      </c>
      <c r="CD5" s="141">
        <v>21700.800000000003</v>
      </c>
      <c r="CE5" s="141">
        <v>26717.9</v>
      </c>
      <c r="CF5" s="141">
        <v>36191.100000000006</v>
      </c>
      <c r="CG5" s="141">
        <v>43842.700000000004</v>
      </c>
      <c r="CH5" s="141">
        <v>52301.700000000004</v>
      </c>
      <c r="CI5" s="141">
        <v>62102.700000000004</v>
      </c>
      <c r="CJ5" s="141">
        <v>84652.700000000012</v>
      </c>
      <c r="CK5" s="9" t="s">
        <v>84</v>
      </c>
      <c r="CL5" s="121" t="s">
        <v>375</v>
      </c>
      <c r="CN5" s="1"/>
      <c r="CO5" s="2" t="s">
        <v>10</v>
      </c>
      <c r="CP5" s="141">
        <v>3077.07</v>
      </c>
      <c r="CQ5" s="141">
        <v>3677.6600000000003</v>
      </c>
      <c r="CR5" s="141">
        <v>4389.43</v>
      </c>
      <c r="CS5" s="141">
        <v>4786.1900000000005</v>
      </c>
      <c r="CT5" s="141">
        <v>5151.34</v>
      </c>
      <c r="CU5" s="141">
        <v>6008.0800000000008</v>
      </c>
      <c r="CV5" s="141">
        <v>6542.18</v>
      </c>
      <c r="CW5" s="141">
        <v>6997.8</v>
      </c>
      <c r="CX5" s="141">
        <v>7808.76</v>
      </c>
      <c r="CY5" s="141">
        <v>9694.4600000000009</v>
      </c>
      <c r="CZ5" s="141">
        <v>15836.61</v>
      </c>
      <c r="DA5" s="141">
        <v>19961.170000000002</v>
      </c>
      <c r="DB5" s="141">
        <v>24575.140000000003</v>
      </c>
      <c r="DC5" s="141">
        <v>33436.840000000004</v>
      </c>
      <c r="DD5" s="141">
        <v>40472.79</v>
      </c>
      <c r="DE5" s="141">
        <v>48251.030000000006</v>
      </c>
      <c r="DF5" s="141">
        <v>57263.15</v>
      </c>
      <c r="DG5" s="141">
        <v>77997.13</v>
      </c>
      <c r="DH5" s="9" t="s">
        <v>83</v>
      </c>
      <c r="DI5" s="86" t="s">
        <v>233</v>
      </c>
    </row>
    <row r="6" spans="1:113">
      <c r="A6" s="2" t="s">
        <v>13</v>
      </c>
      <c r="B6" t="s">
        <v>29</v>
      </c>
      <c r="C6" t="s">
        <v>30</v>
      </c>
      <c r="D6">
        <v>5</v>
      </c>
      <c r="E6" t="s">
        <v>26</v>
      </c>
      <c r="F6">
        <v>1</v>
      </c>
      <c r="G6">
        <v>1</v>
      </c>
      <c r="H6">
        <v>0</v>
      </c>
      <c r="I6">
        <v>1</v>
      </c>
      <c r="J6" s="4" t="s">
        <v>52</v>
      </c>
      <c r="K6" t="str">
        <f t="shared" si="0"/>
        <v>1+0</v>
      </c>
      <c r="L6">
        <f>VLOOKUP(A6,'ZONE 1 PREMIUM'!$A$3:$M$16,13,0)</f>
        <v>6</v>
      </c>
      <c r="M6">
        <f>VLOOKUP(D6,DROPDOWN!B:C,2,0)</f>
        <v>4</v>
      </c>
      <c r="N6" t="str">
        <f t="shared" si="1"/>
        <v>X3:AP16</v>
      </c>
      <c r="O6" s="4">
        <f t="shared" ca="1" si="2"/>
        <v>20648.25</v>
      </c>
      <c r="Q6" t="s">
        <v>104</v>
      </c>
      <c r="R6">
        <f>VLOOKUP('CALCULATOR CARE V6'!B6,DROPDOWN!A:C,3,0)</f>
        <v>19</v>
      </c>
      <c r="X6" s="2" t="s">
        <v>11</v>
      </c>
      <c r="Y6" s="141">
        <v>10297.099999999999</v>
      </c>
      <c r="Z6" s="141">
        <v>12675.3</v>
      </c>
      <c r="AA6" s="141">
        <v>15584.8</v>
      </c>
      <c r="AB6" s="141">
        <v>17001.599999999999</v>
      </c>
      <c r="AC6" s="141">
        <v>18303.399999999998</v>
      </c>
      <c r="AD6" s="141">
        <v>21542.949999999997</v>
      </c>
      <c r="AE6" s="141">
        <v>23710.699999999997</v>
      </c>
      <c r="AF6" s="141">
        <v>25618.55</v>
      </c>
      <c r="AG6" s="141">
        <v>28574.05</v>
      </c>
      <c r="AH6" s="141">
        <v>35452.199999999997</v>
      </c>
      <c r="AI6" s="141">
        <v>74110.599999999991</v>
      </c>
      <c r="AJ6" s="141">
        <v>88767.349999999991</v>
      </c>
      <c r="AK6" s="141">
        <v>105253.74999999999</v>
      </c>
      <c r="AL6" s="141">
        <v>146358.19999999998</v>
      </c>
      <c r="AM6" s="141">
        <v>173886.9</v>
      </c>
      <c r="AN6" s="141">
        <v>204381.44999999998</v>
      </c>
      <c r="AO6" s="141">
        <v>239773.84999999998</v>
      </c>
      <c r="AP6" s="141">
        <v>321052.39999999997</v>
      </c>
      <c r="AQ6" s="9" t="s">
        <v>85</v>
      </c>
      <c r="AR6" s="86" t="s">
        <v>215</v>
      </c>
      <c r="AT6" s="1"/>
      <c r="AU6" s="2" t="s">
        <v>11</v>
      </c>
      <c r="AV6" s="141">
        <v>9137.25</v>
      </c>
      <c r="AW6" s="141">
        <v>11242.125</v>
      </c>
      <c r="AX6" s="141">
        <v>13834.125</v>
      </c>
      <c r="AY6" s="141">
        <v>15088.5</v>
      </c>
      <c r="AZ6" s="141">
        <v>16240.5</v>
      </c>
      <c r="BA6" s="141">
        <v>19123.875</v>
      </c>
      <c r="BB6" s="141">
        <v>21044.25</v>
      </c>
      <c r="BC6" s="141">
        <v>22734</v>
      </c>
      <c r="BD6" s="141">
        <v>25349.625</v>
      </c>
      <c r="BE6" s="141">
        <v>31440.375</v>
      </c>
      <c r="BF6" s="141">
        <v>65674.125</v>
      </c>
      <c r="BG6" s="141">
        <v>78654.375</v>
      </c>
      <c r="BH6" s="141">
        <v>93253.5</v>
      </c>
      <c r="BI6" s="141">
        <v>129713.625</v>
      </c>
      <c r="BJ6" s="141">
        <v>154091.25</v>
      </c>
      <c r="BK6" s="141">
        <v>181095.75</v>
      </c>
      <c r="BL6" s="141">
        <v>212436</v>
      </c>
      <c r="BM6" s="141">
        <v>284410.125</v>
      </c>
      <c r="BN6" s="9" t="s">
        <v>85</v>
      </c>
      <c r="BO6" s="86" t="s">
        <v>225</v>
      </c>
      <c r="BQ6" s="1"/>
      <c r="BR6" s="2" t="s">
        <v>11</v>
      </c>
      <c r="BS6" s="141">
        <v>8429.3000000000011</v>
      </c>
      <c r="BT6" s="141">
        <v>10369.700000000001</v>
      </c>
      <c r="BU6" s="141">
        <v>12765.500000000002</v>
      </c>
      <c r="BV6" s="141">
        <v>13921.6</v>
      </c>
      <c r="BW6" s="141">
        <v>14983.1</v>
      </c>
      <c r="BX6" s="141">
        <v>17648.400000000001</v>
      </c>
      <c r="BY6" s="141">
        <v>19417.2</v>
      </c>
      <c r="BZ6" s="141">
        <v>20974.800000000003</v>
      </c>
      <c r="CA6" s="141">
        <v>23386.000000000004</v>
      </c>
      <c r="CB6" s="141">
        <v>28998.2</v>
      </c>
      <c r="CC6" s="141">
        <v>60545.100000000006</v>
      </c>
      <c r="CD6" s="141">
        <v>72505.400000000009</v>
      </c>
      <c r="CE6" s="141">
        <v>85959.5</v>
      </c>
      <c r="CF6" s="141">
        <v>119590.90000000001</v>
      </c>
      <c r="CG6" s="141">
        <v>142055.1</v>
      </c>
      <c r="CH6" s="141">
        <v>166940.40000000002</v>
      </c>
      <c r="CI6" s="141">
        <v>195820.90000000002</v>
      </c>
      <c r="CJ6" s="141">
        <v>262146.5</v>
      </c>
      <c r="CK6" s="9" t="s">
        <v>85</v>
      </c>
      <c r="CL6" s="121" t="s">
        <v>366</v>
      </c>
      <c r="CN6" s="1"/>
      <c r="CO6" s="2" t="s">
        <v>11</v>
      </c>
      <c r="CP6" s="141">
        <v>7760.8</v>
      </c>
      <c r="CQ6" s="141">
        <v>9545.130000000001</v>
      </c>
      <c r="CR6" s="141">
        <v>11755.650000000001</v>
      </c>
      <c r="CS6" s="141">
        <v>12818.400000000001</v>
      </c>
      <c r="CT6" s="141">
        <v>13795.04</v>
      </c>
      <c r="CU6" s="141">
        <v>16252.990000000002</v>
      </c>
      <c r="CV6" s="141">
        <v>17880.36</v>
      </c>
      <c r="CW6" s="141">
        <v>19311.530000000002</v>
      </c>
      <c r="CX6" s="141">
        <v>21528.59</v>
      </c>
      <c r="CY6" s="141">
        <v>26689.74</v>
      </c>
      <c r="CZ6" s="141">
        <v>55697.91</v>
      </c>
      <c r="DA6" s="141">
        <v>66696.010000000009</v>
      </c>
      <c r="DB6" s="141">
        <v>79066.420000000013</v>
      </c>
      <c r="DC6" s="141">
        <v>110024.6</v>
      </c>
      <c r="DD6" s="141">
        <v>130681.19</v>
      </c>
      <c r="DE6" s="141">
        <v>153563.56</v>
      </c>
      <c r="DF6" s="141">
        <v>180120.32000000001</v>
      </c>
      <c r="DG6" s="141">
        <v>241109.09000000003</v>
      </c>
      <c r="DH6" s="9" t="s">
        <v>84</v>
      </c>
      <c r="DI6" s="86" t="s">
        <v>234</v>
      </c>
    </row>
    <row r="7" spans="1:113">
      <c r="A7" s="2" t="s">
        <v>14</v>
      </c>
      <c r="B7" t="s">
        <v>31</v>
      </c>
      <c r="C7" t="s">
        <v>32</v>
      </c>
      <c r="D7">
        <v>5</v>
      </c>
      <c r="E7" t="s">
        <v>26</v>
      </c>
      <c r="F7">
        <v>1</v>
      </c>
      <c r="G7">
        <v>1</v>
      </c>
      <c r="H7">
        <v>0</v>
      </c>
      <c r="I7">
        <v>1</v>
      </c>
      <c r="J7" s="4" t="s">
        <v>52</v>
      </c>
      <c r="K7" t="str">
        <f t="shared" si="0"/>
        <v>1+0</v>
      </c>
      <c r="L7">
        <f>VLOOKUP(A7,'ZONE 1 PREMIUM'!$A$3:$M$16,13,0)</f>
        <v>7</v>
      </c>
      <c r="M7">
        <f>VLOOKUP(D7,DROPDOWN!B:C,2,0)</f>
        <v>4</v>
      </c>
      <c r="N7" t="str">
        <f t="shared" si="1"/>
        <v>X3:AP16</v>
      </c>
      <c r="O7" s="4">
        <f t="shared" ca="1" si="2"/>
        <v>23997.05</v>
      </c>
      <c r="Q7" t="s">
        <v>105</v>
      </c>
      <c r="R7" t="str">
        <f>HLOOKUP(R8,S7:V8,2,0)</f>
        <v>CO3:DG16</v>
      </c>
      <c r="S7" t="s">
        <v>115</v>
      </c>
      <c r="T7" t="s">
        <v>118</v>
      </c>
      <c r="U7" t="s">
        <v>106</v>
      </c>
      <c r="V7" t="s">
        <v>108</v>
      </c>
      <c r="X7" s="2" t="s">
        <v>12</v>
      </c>
      <c r="Y7" s="141">
        <v>12023.249999999998</v>
      </c>
      <c r="Z7" s="141">
        <v>14494.599999999999</v>
      </c>
      <c r="AA7" s="141">
        <v>17919.3</v>
      </c>
      <c r="AB7" s="141">
        <v>19554.599999999999</v>
      </c>
      <c r="AC7" s="141">
        <v>21061.1</v>
      </c>
      <c r="AD7" s="141">
        <v>24835.399999999998</v>
      </c>
      <c r="AE7" s="141">
        <v>27181.399999999998</v>
      </c>
      <c r="AF7" s="141">
        <v>29242.199999999997</v>
      </c>
      <c r="AG7" s="141">
        <v>32623.199999999997</v>
      </c>
      <c r="AH7" s="141">
        <v>40468.5</v>
      </c>
      <c r="AI7" s="141">
        <v>83744.149999999994</v>
      </c>
      <c r="AJ7" s="141">
        <v>101433.45</v>
      </c>
      <c r="AK7" s="141">
        <v>121761.99999999999</v>
      </c>
      <c r="AL7" s="141">
        <v>164939.9</v>
      </c>
      <c r="AM7" s="141">
        <v>197145.65</v>
      </c>
      <c r="AN7" s="141">
        <v>232939.4</v>
      </c>
      <c r="AO7" s="141">
        <v>274569.39999999997</v>
      </c>
      <c r="AP7" s="141">
        <v>370004.44999999995</v>
      </c>
      <c r="AQ7" s="9" t="s">
        <v>86</v>
      </c>
      <c r="AR7" s="86" t="s">
        <v>216</v>
      </c>
      <c r="AT7" s="1"/>
      <c r="AU7" s="2" t="s">
        <v>12</v>
      </c>
      <c r="AV7" s="141">
        <v>10672.875</v>
      </c>
      <c r="AW7" s="141">
        <v>12861</v>
      </c>
      <c r="AX7" s="141">
        <v>15914.25</v>
      </c>
      <c r="AY7" s="141">
        <v>17362.125</v>
      </c>
      <c r="AZ7" s="141">
        <v>18695.25</v>
      </c>
      <c r="BA7" s="141">
        <v>22059</v>
      </c>
      <c r="BB7" s="141">
        <v>24135.75</v>
      </c>
      <c r="BC7" s="141">
        <v>25961.625</v>
      </c>
      <c r="BD7" s="141">
        <v>28955.25</v>
      </c>
      <c r="BE7" s="141">
        <v>35902.125</v>
      </c>
      <c r="BF7" s="141">
        <v>74224.125</v>
      </c>
      <c r="BG7" s="141">
        <v>89888.625</v>
      </c>
      <c r="BH7" s="141">
        <v>107890.875</v>
      </c>
      <c r="BI7" s="141">
        <v>146211.75</v>
      </c>
      <c r="BJ7" s="141">
        <v>174730.5</v>
      </c>
      <c r="BK7" s="141">
        <v>206427.375</v>
      </c>
      <c r="BL7" s="141">
        <v>243292.5</v>
      </c>
      <c r="BM7" s="141">
        <v>327802.5</v>
      </c>
      <c r="BN7" s="9" t="s">
        <v>86</v>
      </c>
      <c r="BO7" s="86" t="s">
        <v>226</v>
      </c>
      <c r="BQ7" s="1"/>
      <c r="BR7" s="2" t="s">
        <v>12</v>
      </c>
      <c r="BS7" s="141">
        <v>9848.3000000000011</v>
      </c>
      <c r="BT7" s="141">
        <v>11865.7</v>
      </c>
      <c r="BU7" s="141">
        <v>14689.400000000001</v>
      </c>
      <c r="BV7" s="141">
        <v>16023.7</v>
      </c>
      <c r="BW7" s="141">
        <v>17252.400000000001</v>
      </c>
      <c r="BX7" s="141">
        <v>20363.2</v>
      </c>
      <c r="BY7" s="141">
        <v>22276.100000000002</v>
      </c>
      <c r="BZ7" s="141">
        <v>23959.100000000002</v>
      </c>
      <c r="CA7" s="141">
        <v>26717.9</v>
      </c>
      <c r="CB7" s="141">
        <v>33119.9</v>
      </c>
      <c r="CC7" s="141">
        <v>68434.3</v>
      </c>
      <c r="CD7" s="141">
        <v>82869.600000000006</v>
      </c>
      <c r="CE7" s="141">
        <v>99457.600000000006</v>
      </c>
      <c r="CF7" s="141">
        <v>134818.20000000001</v>
      </c>
      <c r="CG7" s="141">
        <v>161098.30000000002</v>
      </c>
      <c r="CH7" s="141">
        <v>190307.7</v>
      </c>
      <c r="CI7" s="141">
        <v>224279.00000000003</v>
      </c>
      <c r="CJ7" s="141">
        <v>302156.80000000005</v>
      </c>
      <c r="CK7" s="9" t="s">
        <v>86</v>
      </c>
      <c r="CL7" s="121" t="s">
        <v>367</v>
      </c>
      <c r="CN7" s="1"/>
      <c r="CO7" s="2" t="s">
        <v>12</v>
      </c>
      <c r="CP7" s="141">
        <v>9068.8000000000011</v>
      </c>
      <c r="CQ7" s="141">
        <v>10923.980000000001</v>
      </c>
      <c r="CR7" s="141">
        <v>13531.26</v>
      </c>
      <c r="CS7" s="141">
        <v>14758.6</v>
      </c>
      <c r="CT7" s="141">
        <v>15888.93</v>
      </c>
      <c r="CU7" s="141">
        <v>18758.900000000001</v>
      </c>
      <c r="CV7" s="141">
        <v>20519.25</v>
      </c>
      <c r="CW7" s="141">
        <v>22065.960000000003</v>
      </c>
      <c r="CX7" s="141">
        <v>24603.480000000003</v>
      </c>
      <c r="CY7" s="141">
        <v>30489.480000000003</v>
      </c>
      <c r="CZ7" s="141">
        <v>62962.76</v>
      </c>
      <c r="DA7" s="141">
        <v>76235.69</v>
      </c>
      <c r="DB7" s="141">
        <v>91489.150000000009</v>
      </c>
      <c r="DC7" s="141">
        <v>124049.63</v>
      </c>
      <c r="DD7" s="141">
        <v>148214.93000000002</v>
      </c>
      <c r="DE7" s="141">
        <v>175073.62000000002</v>
      </c>
      <c r="DF7" s="141">
        <v>206311.93000000002</v>
      </c>
      <c r="DG7" s="141">
        <v>277921.66000000003</v>
      </c>
      <c r="DH7" s="9" t="s">
        <v>85</v>
      </c>
      <c r="DI7" s="86" t="s">
        <v>235</v>
      </c>
    </row>
    <row r="8" spans="1:113">
      <c r="A8" s="2" t="s">
        <v>15</v>
      </c>
      <c r="B8" t="s">
        <v>33</v>
      </c>
      <c r="C8" t="s">
        <v>34</v>
      </c>
      <c r="D8">
        <v>5</v>
      </c>
      <c r="E8" t="s">
        <v>26</v>
      </c>
      <c r="F8">
        <v>1</v>
      </c>
      <c r="G8">
        <v>1</v>
      </c>
      <c r="H8">
        <v>0</v>
      </c>
      <c r="I8">
        <v>1</v>
      </c>
      <c r="J8" s="4" t="s">
        <v>52</v>
      </c>
      <c r="K8" t="str">
        <f t="shared" si="0"/>
        <v>1+0</v>
      </c>
      <c r="L8">
        <f>VLOOKUP(A8,'ZONE 1 PREMIUM'!$A$3:$M$16,13,0)</f>
        <v>8</v>
      </c>
      <c r="M8">
        <f>VLOOKUP(D8,DROPDOWN!B:C,2,0)</f>
        <v>4</v>
      </c>
      <c r="N8" t="str">
        <f t="shared" si="1"/>
        <v>X3:AP16</v>
      </c>
      <c r="O8" s="4">
        <f t="shared" ca="1" si="2"/>
        <v>29750.499999999996</v>
      </c>
      <c r="Q8" t="s">
        <v>114</v>
      </c>
      <c r="R8" t="str">
        <f>'CALCULATOR CARE V6'!B8</f>
        <v>ZONE 3</v>
      </c>
      <c r="S8" t="str">
        <f>VLOOKUP(R4,AQ2:AR12,2,0)</f>
        <v>X3:AP16</v>
      </c>
      <c r="T8" t="str">
        <f>VLOOKUP(R4,BN3:BO12,2,0)</f>
        <v>AU3:BM16</v>
      </c>
      <c r="U8" t="str">
        <f>VLOOKUP(R4,CK2:CL12,2,0)</f>
        <v>BR3:CJ16</v>
      </c>
      <c r="V8" t="str">
        <f>VLOOKUP(R4,DH4:DI13,2,0)</f>
        <v>CO3:DG16</v>
      </c>
      <c r="X8" s="2" t="s">
        <v>13</v>
      </c>
      <c r="Y8" s="141">
        <v>13796.55</v>
      </c>
      <c r="Z8" s="141">
        <v>16666.949999999997</v>
      </c>
      <c r="AA8" s="141">
        <v>20648.25</v>
      </c>
      <c r="AB8" s="141">
        <v>22563</v>
      </c>
      <c r="AC8" s="141">
        <v>24330.55</v>
      </c>
      <c r="AD8" s="141">
        <v>28695.949999999997</v>
      </c>
      <c r="AE8" s="141">
        <v>31413.399999999998</v>
      </c>
      <c r="AF8" s="141">
        <v>33800.799999999996</v>
      </c>
      <c r="AG8" s="141">
        <v>37761.399999999994</v>
      </c>
      <c r="AH8" s="141">
        <v>46916.549999999996</v>
      </c>
      <c r="AI8" s="141">
        <v>87420.7</v>
      </c>
      <c r="AJ8" s="141">
        <v>108177.04999999999</v>
      </c>
      <c r="AK8" s="141">
        <v>132074.04999999999</v>
      </c>
      <c r="AL8" s="141">
        <v>171404.05</v>
      </c>
      <c r="AM8" s="141">
        <v>208124.69999999998</v>
      </c>
      <c r="AN8" s="141">
        <v>249102.65</v>
      </c>
      <c r="AO8" s="141">
        <v>296882.84999999998</v>
      </c>
      <c r="AP8" s="141">
        <v>406216.8</v>
      </c>
      <c r="AQ8" s="9" t="s">
        <v>87</v>
      </c>
      <c r="AR8" s="86" t="s">
        <v>217</v>
      </c>
      <c r="AT8" s="1"/>
      <c r="AU8" s="2" t="s">
        <v>13</v>
      </c>
      <c r="AV8" s="141">
        <v>12242.25</v>
      </c>
      <c r="AW8" s="141">
        <v>14784.75</v>
      </c>
      <c r="AX8" s="141">
        <v>18330.75</v>
      </c>
      <c r="AY8" s="141">
        <v>20026.125</v>
      </c>
      <c r="AZ8" s="141">
        <v>21592.125</v>
      </c>
      <c r="BA8" s="141">
        <v>25476.75</v>
      </c>
      <c r="BB8" s="141">
        <v>27883.125</v>
      </c>
      <c r="BC8" s="141">
        <v>29998.125</v>
      </c>
      <c r="BD8" s="141">
        <v>33504.75</v>
      </c>
      <c r="BE8" s="141">
        <v>41612.625</v>
      </c>
      <c r="BF8" s="141">
        <v>77479.875</v>
      </c>
      <c r="BG8" s="141">
        <v>95860.125</v>
      </c>
      <c r="BH8" s="141">
        <v>117021.375</v>
      </c>
      <c r="BI8" s="141">
        <v>151935.75</v>
      </c>
      <c r="BJ8" s="141">
        <v>184453.875</v>
      </c>
      <c r="BK8" s="141">
        <v>220740.75</v>
      </c>
      <c r="BL8" s="141">
        <v>263050.875</v>
      </c>
      <c r="BM8" s="141">
        <v>359870.625</v>
      </c>
      <c r="BN8" s="9" t="s">
        <v>87</v>
      </c>
      <c r="BO8" s="86" t="s">
        <v>227</v>
      </c>
      <c r="BQ8" s="1"/>
      <c r="BR8" s="2" t="s">
        <v>13</v>
      </c>
      <c r="BS8" s="141">
        <v>11294.800000000001</v>
      </c>
      <c r="BT8" s="141">
        <v>13637.800000000001</v>
      </c>
      <c r="BU8" s="141">
        <v>16915.800000000003</v>
      </c>
      <c r="BV8" s="141">
        <v>18478.900000000001</v>
      </c>
      <c r="BW8" s="141">
        <v>19921</v>
      </c>
      <c r="BX8" s="141">
        <v>23512.500000000004</v>
      </c>
      <c r="BY8" s="141">
        <v>25730.100000000002</v>
      </c>
      <c r="BZ8" s="141">
        <v>27678.2</v>
      </c>
      <c r="CA8" s="141">
        <v>30910.000000000004</v>
      </c>
      <c r="CB8" s="141">
        <v>38381.200000000004</v>
      </c>
      <c r="CC8" s="141">
        <v>71434</v>
      </c>
      <c r="CD8" s="141">
        <v>88371.8</v>
      </c>
      <c r="CE8" s="141">
        <v>107872.6</v>
      </c>
      <c r="CF8" s="141">
        <v>140092.70000000001</v>
      </c>
      <c r="CG8" s="141">
        <v>170057.80000000002</v>
      </c>
      <c r="CH8" s="141">
        <v>203496.7</v>
      </c>
      <c r="CI8" s="141">
        <v>242487.30000000002</v>
      </c>
      <c r="CJ8" s="141">
        <v>331708.30000000005</v>
      </c>
      <c r="CK8" s="9" t="s">
        <v>87</v>
      </c>
      <c r="CL8" s="121" t="s">
        <v>368</v>
      </c>
      <c r="CN8" s="1"/>
      <c r="CO8" s="2" t="s">
        <v>13</v>
      </c>
      <c r="CP8" s="141">
        <v>10399.69</v>
      </c>
      <c r="CQ8" s="141">
        <v>12553.53</v>
      </c>
      <c r="CR8" s="141">
        <v>15579.37</v>
      </c>
      <c r="CS8" s="141">
        <v>17015.990000000002</v>
      </c>
      <c r="CT8" s="141">
        <v>18342.52</v>
      </c>
      <c r="CU8" s="141">
        <v>21655.030000000002</v>
      </c>
      <c r="CV8" s="141">
        <v>23694.420000000002</v>
      </c>
      <c r="CW8" s="141">
        <v>25486.38</v>
      </c>
      <c r="CX8" s="141">
        <v>28457.72</v>
      </c>
      <c r="CY8" s="141">
        <v>35327.990000000005</v>
      </c>
      <c r="CZ8" s="141">
        <v>65720.460000000006</v>
      </c>
      <c r="DA8" s="141">
        <v>81295.47</v>
      </c>
      <c r="DB8" s="141">
        <v>99227.060000000012</v>
      </c>
      <c r="DC8" s="141">
        <v>128900.13</v>
      </c>
      <c r="DD8" s="141">
        <v>156454.24000000002</v>
      </c>
      <c r="DE8" s="141">
        <v>187202.05000000002</v>
      </c>
      <c r="DF8" s="141">
        <v>223054.33000000002</v>
      </c>
      <c r="DG8" s="141">
        <v>305095.36000000004</v>
      </c>
      <c r="DH8" s="9" t="s">
        <v>86</v>
      </c>
      <c r="DI8" s="86" t="s">
        <v>236</v>
      </c>
    </row>
    <row r="9" spans="1:113">
      <c r="A9" s="2" t="s">
        <v>16</v>
      </c>
      <c r="B9" t="s">
        <v>35</v>
      </c>
      <c r="C9" t="s">
        <v>36</v>
      </c>
      <c r="D9">
        <v>5</v>
      </c>
      <c r="E9" t="s">
        <v>26</v>
      </c>
      <c r="F9">
        <v>1</v>
      </c>
      <c r="G9">
        <v>1</v>
      </c>
      <c r="H9">
        <v>0</v>
      </c>
      <c r="I9">
        <v>1</v>
      </c>
      <c r="J9" s="4" t="s">
        <v>52</v>
      </c>
      <c r="K9" t="str">
        <f t="shared" si="0"/>
        <v>1+0</v>
      </c>
      <c r="L9">
        <f>VLOOKUP(A9,'ZONE 1 PREMIUM'!$A$3:$M$16,13,0)</f>
        <v>9</v>
      </c>
      <c r="M9">
        <f>VLOOKUP(D9,DROPDOWN!B:C,2,0)</f>
        <v>4</v>
      </c>
      <c r="N9" t="str">
        <f t="shared" si="1"/>
        <v>X3:AP16</v>
      </c>
      <c r="O9" s="4">
        <f t="shared" ca="1" si="2"/>
        <v>39063.199999999997</v>
      </c>
      <c r="X9" s="2" t="s">
        <v>14</v>
      </c>
      <c r="Y9" s="141">
        <v>15997.65</v>
      </c>
      <c r="Z9" s="141">
        <v>19361.399999999998</v>
      </c>
      <c r="AA9" s="141">
        <v>23997.05</v>
      </c>
      <c r="AB9" s="141">
        <v>26256.799999999999</v>
      </c>
      <c r="AC9" s="141">
        <v>28349.8</v>
      </c>
      <c r="AD9" s="141">
        <v>33442</v>
      </c>
      <c r="AE9" s="141">
        <v>36520.549999999996</v>
      </c>
      <c r="AF9" s="141">
        <v>39175.899999999994</v>
      </c>
      <c r="AG9" s="141">
        <v>43826.5</v>
      </c>
      <c r="AH9" s="141">
        <v>54534.149999999994</v>
      </c>
      <c r="AI9" s="141">
        <v>98832.15</v>
      </c>
      <c r="AJ9" s="141">
        <v>123391.54999999999</v>
      </c>
      <c r="AK9" s="141">
        <v>151704.54999999999</v>
      </c>
      <c r="AL9" s="141">
        <v>185825.05</v>
      </c>
      <c r="AM9" s="141">
        <v>228186.44999999998</v>
      </c>
      <c r="AN9" s="141">
        <v>275599.8</v>
      </c>
      <c r="AO9" s="141">
        <v>330998.75</v>
      </c>
      <c r="AP9" s="141">
        <v>457535.55</v>
      </c>
      <c r="AQ9" s="9" t="s">
        <v>88</v>
      </c>
      <c r="AR9" s="86" t="s">
        <v>218</v>
      </c>
      <c r="AT9" s="1"/>
      <c r="AU9" s="2" t="s">
        <v>14</v>
      </c>
      <c r="AV9" s="141">
        <v>14191.875</v>
      </c>
      <c r="AW9" s="141">
        <v>17170.875</v>
      </c>
      <c r="AX9" s="141">
        <v>21295.125</v>
      </c>
      <c r="AY9" s="141">
        <v>23297.625</v>
      </c>
      <c r="AZ9" s="141">
        <v>25150.5</v>
      </c>
      <c r="BA9" s="141">
        <v>29680.875</v>
      </c>
      <c r="BB9" s="141">
        <v>32405.625</v>
      </c>
      <c r="BC9" s="141">
        <v>34758</v>
      </c>
      <c r="BD9" s="141">
        <v>38875.5</v>
      </c>
      <c r="BE9" s="141">
        <v>48358.125</v>
      </c>
      <c r="BF9" s="141">
        <v>87584.625</v>
      </c>
      <c r="BG9" s="141">
        <v>109333.125</v>
      </c>
      <c r="BH9" s="141">
        <v>134404.875</v>
      </c>
      <c r="BI9" s="141">
        <v>164705.625</v>
      </c>
      <c r="BJ9" s="141">
        <v>202218.75</v>
      </c>
      <c r="BK9" s="141">
        <v>244204.875</v>
      </c>
      <c r="BL9" s="141">
        <v>293262.75</v>
      </c>
      <c r="BM9" s="141">
        <v>405313.875</v>
      </c>
      <c r="BN9" s="9" t="s">
        <v>88</v>
      </c>
      <c r="BO9" s="86" t="s">
        <v>228</v>
      </c>
      <c r="BQ9" s="1"/>
      <c r="BR9" s="2" t="s">
        <v>14</v>
      </c>
      <c r="BS9" s="141">
        <v>13092.2</v>
      </c>
      <c r="BT9" s="141">
        <v>15836.7</v>
      </c>
      <c r="BU9" s="141">
        <v>19648.2</v>
      </c>
      <c r="BV9" s="141">
        <v>21492.9</v>
      </c>
      <c r="BW9" s="141">
        <v>23200.100000000002</v>
      </c>
      <c r="BX9" s="141">
        <v>27385.600000000002</v>
      </c>
      <c r="BY9" s="141">
        <v>29898.000000000004</v>
      </c>
      <c r="BZ9" s="141">
        <v>32065.000000000004</v>
      </c>
      <c r="CA9" s="141">
        <v>35858.9</v>
      </c>
      <c r="CB9" s="141">
        <v>44597.3</v>
      </c>
      <c r="CC9" s="141">
        <v>80746.600000000006</v>
      </c>
      <c r="CD9" s="141">
        <v>100787.50000000001</v>
      </c>
      <c r="CE9" s="141">
        <v>123890.8</v>
      </c>
      <c r="CF9" s="141">
        <v>151860.5</v>
      </c>
      <c r="CG9" s="141">
        <v>186429.1</v>
      </c>
      <c r="CH9" s="141">
        <v>225120.50000000003</v>
      </c>
      <c r="CI9" s="141">
        <v>270327.2</v>
      </c>
      <c r="CJ9" s="141">
        <v>373585.30000000005</v>
      </c>
      <c r="CK9" s="9" t="s">
        <v>88</v>
      </c>
      <c r="CL9" s="121" t="s">
        <v>369</v>
      </c>
      <c r="CN9" s="1"/>
      <c r="CO9" s="2" t="s">
        <v>14</v>
      </c>
      <c r="CP9" s="141">
        <v>12052.130000000001</v>
      </c>
      <c r="CQ9" s="141">
        <v>14575.480000000001</v>
      </c>
      <c r="CR9" s="141">
        <v>18091.82</v>
      </c>
      <c r="CS9" s="141">
        <v>19787.86</v>
      </c>
      <c r="CT9" s="141">
        <v>21357.460000000003</v>
      </c>
      <c r="CU9" s="141">
        <v>25217.15</v>
      </c>
      <c r="CV9" s="141">
        <v>27526.86</v>
      </c>
      <c r="CW9" s="141">
        <v>29519.38</v>
      </c>
      <c r="CX9" s="141">
        <v>33008.47</v>
      </c>
      <c r="CY9" s="141">
        <v>41043.950000000004</v>
      </c>
      <c r="CZ9" s="141">
        <v>74283.5</v>
      </c>
      <c r="DA9" s="141">
        <v>92712.13</v>
      </c>
      <c r="DB9" s="141">
        <v>113956.23000000001</v>
      </c>
      <c r="DC9" s="141">
        <v>139720.56</v>
      </c>
      <c r="DD9" s="141">
        <v>171507.14</v>
      </c>
      <c r="DE9" s="141">
        <v>207084.74000000002</v>
      </c>
      <c r="DF9" s="141">
        <v>248654.07</v>
      </c>
      <c r="DG9" s="141">
        <v>343601.79000000004</v>
      </c>
      <c r="DH9" s="9" t="s">
        <v>87</v>
      </c>
      <c r="DI9" s="86" t="s">
        <v>237</v>
      </c>
    </row>
    <row r="10" spans="1:113">
      <c r="A10" s="2" t="s">
        <v>17</v>
      </c>
      <c r="B10" t="s">
        <v>37</v>
      </c>
      <c r="C10" t="s">
        <v>38</v>
      </c>
      <c r="D10">
        <v>5</v>
      </c>
      <c r="E10" t="s">
        <v>26</v>
      </c>
      <c r="F10">
        <v>1</v>
      </c>
      <c r="G10">
        <v>1</v>
      </c>
      <c r="H10">
        <v>0</v>
      </c>
      <c r="I10">
        <v>1</v>
      </c>
      <c r="J10" s="4" t="s">
        <v>52</v>
      </c>
      <c r="K10" t="str">
        <f t="shared" si="0"/>
        <v>1+0</v>
      </c>
      <c r="L10">
        <f>VLOOKUP(A10,'ZONE 1 PREMIUM'!$A$3:$M$16,13,0)</f>
        <v>10</v>
      </c>
      <c r="M10">
        <f>VLOOKUP(D10,DROPDOWN!B:C,2,0)</f>
        <v>4</v>
      </c>
      <c r="N10" t="str">
        <f t="shared" si="1"/>
        <v>X3:AP16</v>
      </c>
      <c r="O10" s="4">
        <f t="shared" ca="1" si="2"/>
        <v>52811.45</v>
      </c>
      <c r="Q10" t="s">
        <v>119</v>
      </c>
      <c r="R10" s="4">
        <f ca="1">INDEX(INDIRECT(R7),R5,R6)</f>
        <v>241109.09000000003</v>
      </c>
      <c r="S10">
        <f ca="1">INDEX(INDIRECT(R7),T2,R6)</f>
        <v>241109.09000000003</v>
      </c>
      <c r="T10">
        <f ca="1">INDEX(INDIRECT(R7),T1,R6)</f>
        <v>241109.09000000003</v>
      </c>
      <c r="X10" s="2" t="s">
        <v>15</v>
      </c>
      <c r="Y10" s="141">
        <v>19736.3</v>
      </c>
      <c r="Z10" s="141">
        <v>23917.699999999997</v>
      </c>
      <c r="AA10" s="141">
        <v>29750.499999999996</v>
      </c>
      <c r="AB10" s="141">
        <v>32584.1</v>
      </c>
      <c r="AC10" s="141">
        <v>35214.149999999994</v>
      </c>
      <c r="AD10" s="141">
        <v>41587.449999999997</v>
      </c>
      <c r="AE10" s="141">
        <v>45460.649999999994</v>
      </c>
      <c r="AF10" s="141">
        <v>48817.499999999993</v>
      </c>
      <c r="AG10" s="141">
        <v>54664.1</v>
      </c>
      <c r="AH10" s="141">
        <v>68076.549999999988</v>
      </c>
      <c r="AI10" s="141">
        <v>119073.29999999999</v>
      </c>
      <c r="AJ10" s="141">
        <v>150173.9</v>
      </c>
      <c r="AK10" s="141">
        <v>186076.9</v>
      </c>
      <c r="AL10" s="141">
        <v>213205.4</v>
      </c>
      <c r="AM10" s="141">
        <v>265352.14999999997</v>
      </c>
      <c r="AN10" s="141">
        <v>323932</v>
      </c>
      <c r="AO10" s="141">
        <v>392535.24999999994</v>
      </c>
      <c r="AP10" s="141">
        <v>548950.19999999995</v>
      </c>
      <c r="AQ10" s="9" t="s">
        <v>89</v>
      </c>
      <c r="AR10" s="86" t="s">
        <v>219</v>
      </c>
      <c r="AT10" s="1"/>
      <c r="AU10" s="2" t="s">
        <v>15</v>
      </c>
      <c r="AV10" s="141">
        <v>17509.5</v>
      </c>
      <c r="AW10" s="141">
        <v>21213</v>
      </c>
      <c r="AX10" s="141">
        <v>26403.75</v>
      </c>
      <c r="AY10" s="141">
        <v>28913.625</v>
      </c>
      <c r="AZ10" s="141">
        <v>31242.375</v>
      </c>
      <c r="BA10" s="141">
        <v>36912.375</v>
      </c>
      <c r="BB10" s="141">
        <v>40342.5</v>
      </c>
      <c r="BC10" s="141">
        <v>43314.75</v>
      </c>
      <c r="BD10" s="141">
        <v>48492</v>
      </c>
      <c r="BE10" s="141">
        <v>60368.625</v>
      </c>
      <c r="BF10" s="141">
        <v>105527.25</v>
      </c>
      <c r="BG10" s="141">
        <v>133068.375</v>
      </c>
      <c r="BH10" s="141">
        <v>164862</v>
      </c>
      <c r="BI10" s="141">
        <v>188995.5</v>
      </c>
      <c r="BJ10" s="141">
        <v>235174.5</v>
      </c>
      <c r="BK10" s="141">
        <v>287047.125</v>
      </c>
      <c r="BL10" s="141">
        <v>347798.25</v>
      </c>
      <c r="BM10" s="141">
        <v>486308.25</v>
      </c>
      <c r="BN10" s="9" t="s">
        <v>89</v>
      </c>
      <c r="BO10" s="86" t="s">
        <v>229</v>
      </c>
      <c r="BQ10" s="1"/>
      <c r="BR10" s="2" t="s">
        <v>15</v>
      </c>
      <c r="BS10" s="141">
        <v>16152.400000000001</v>
      </c>
      <c r="BT10" s="141">
        <v>19564.600000000002</v>
      </c>
      <c r="BU10" s="141">
        <v>24362.800000000003</v>
      </c>
      <c r="BV10" s="141">
        <v>26675.000000000004</v>
      </c>
      <c r="BW10" s="141">
        <v>28821.100000000002</v>
      </c>
      <c r="BX10" s="141">
        <v>34060.400000000001</v>
      </c>
      <c r="BY10" s="141">
        <v>37220.700000000004</v>
      </c>
      <c r="BZ10" s="141">
        <v>39960.800000000003</v>
      </c>
      <c r="CA10" s="141">
        <v>44731.5</v>
      </c>
      <c r="CB10" s="141">
        <v>55675.4</v>
      </c>
      <c r="CC10" s="141">
        <v>97290.6</v>
      </c>
      <c r="CD10" s="141">
        <v>122669.8</v>
      </c>
      <c r="CE10" s="141">
        <v>151968.30000000002</v>
      </c>
      <c r="CF10" s="141">
        <v>174266.40000000002</v>
      </c>
      <c r="CG10" s="141">
        <v>216821.00000000003</v>
      </c>
      <c r="CH10" s="141">
        <v>264622.60000000003</v>
      </c>
      <c r="CI10" s="141">
        <v>320606</v>
      </c>
      <c r="CJ10" s="141">
        <v>448245.60000000003</v>
      </c>
      <c r="CK10" s="9" t="s">
        <v>89</v>
      </c>
      <c r="CL10" s="121" t="s">
        <v>370</v>
      </c>
      <c r="CN10" s="1"/>
      <c r="CO10" s="2" t="s">
        <v>15</v>
      </c>
      <c r="CP10" s="141">
        <v>14869.78</v>
      </c>
      <c r="CQ10" s="141">
        <v>18007.890000000003</v>
      </c>
      <c r="CR10" s="141">
        <v>22433.29</v>
      </c>
      <c r="CS10" s="141">
        <v>24559.88</v>
      </c>
      <c r="CT10" s="141">
        <v>26532.780000000002</v>
      </c>
      <c r="CU10" s="141">
        <v>31364.750000000004</v>
      </c>
      <c r="CV10" s="141">
        <v>34270.69</v>
      </c>
      <c r="CW10" s="141">
        <v>36789.68</v>
      </c>
      <c r="CX10" s="141">
        <v>41176.93</v>
      </c>
      <c r="CY10" s="141">
        <v>51240.9</v>
      </c>
      <c r="CZ10" s="141">
        <v>89506.44</v>
      </c>
      <c r="DA10" s="141">
        <v>112843.34000000001</v>
      </c>
      <c r="DB10" s="141">
        <v>139783.78</v>
      </c>
      <c r="DC10" s="141">
        <v>160346.63</v>
      </c>
      <c r="DD10" s="141">
        <v>199476.54</v>
      </c>
      <c r="DE10" s="141">
        <v>243431.88</v>
      </c>
      <c r="DF10" s="141">
        <v>294910.40000000002</v>
      </c>
      <c r="DG10" s="141">
        <v>412278.33</v>
      </c>
      <c r="DH10" s="9" t="s">
        <v>88</v>
      </c>
      <c r="DI10" s="86" t="s">
        <v>238</v>
      </c>
    </row>
    <row r="11" spans="1:113">
      <c r="A11" s="2" t="s">
        <v>18</v>
      </c>
      <c r="B11" t="s">
        <v>39</v>
      </c>
      <c r="C11" t="s">
        <v>40</v>
      </c>
      <c r="D11">
        <v>5</v>
      </c>
      <c r="E11" t="s">
        <v>26</v>
      </c>
      <c r="F11">
        <v>1</v>
      </c>
      <c r="G11">
        <v>1</v>
      </c>
      <c r="H11">
        <v>0</v>
      </c>
      <c r="I11">
        <v>1</v>
      </c>
      <c r="J11" s="4" t="s">
        <v>52</v>
      </c>
      <c r="K11" t="str">
        <f t="shared" si="0"/>
        <v>1+0</v>
      </c>
      <c r="L11">
        <f>VLOOKUP(A11,'ZONE 1 PREMIUM'!$A$3:$M$16,13,0)</f>
        <v>11</v>
      </c>
      <c r="M11">
        <f>VLOOKUP(D11,DROPDOWN!B:C,2,0)</f>
        <v>4</v>
      </c>
      <c r="N11" t="str">
        <f t="shared" si="1"/>
        <v>X3:AP16</v>
      </c>
      <c r="O11" s="4">
        <f t="shared" ca="1" si="2"/>
        <v>72870.899999999994</v>
      </c>
      <c r="R11" s="4">
        <f ca="1">IF('CALCULATOR CARE V6'!B7='CARE SENIOR'!AP12,'CARE SENIOR'!AQ12,'CARE SHEET'!R10)*'CALCULATOR CARE V6'!N3</f>
        <v>186859.54475000003</v>
      </c>
      <c r="S11" t="str">
        <f>IF('CALCULATOR CARE V6'!B2&lt;=45,'optional benefits'!B7,'optional benefits'!B8)</f>
        <v>Less than or equal to 45 years</v>
      </c>
      <c r="T11" t="str">
        <f>IF('CALCULATOR CARE V6'!E2&lt;=45,'optional benefits'!B7,'optional benefits'!B8)</f>
        <v>Less than or equal to 45 years</v>
      </c>
      <c r="U11" t="str">
        <f>IF('CALCULATOR CARE V6'!F2&lt;=45,'optional benefits'!B7,'optional benefits'!B8)</f>
        <v>Less than or equal to 45 years</v>
      </c>
      <c r="X11" s="2" t="s">
        <v>16</v>
      </c>
      <c r="Y11" s="141">
        <v>25847.399999999998</v>
      </c>
      <c r="Z11" s="141">
        <v>31391.55</v>
      </c>
      <c r="AA11" s="141">
        <v>39063.199999999997</v>
      </c>
      <c r="AB11" s="141">
        <v>42850.149999999994</v>
      </c>
      <c r="AC11" s="141">
        <v>46374.899999999994</v>
      </c>
      <c r="AD11" s="141">
        <v>54760.7</v>
      </c>
      <c r="AE11" s="141">
        <v>59958.7</v>
      </c>
      <c r="AF11" s="141">
        <v>64483.95</v>
      </c>
      <c r="AG11" s="141">
        <v>72322.349999999991</v>
      </c>
      <c r="AH11" s="141">
        <v>90237.049999999988</v>
      </c>
      <c r="AI11" s="141">
        <v>167150.19999999998</v>
      </c>
      <c r="AJ11" s="141">
        <v>209187.3</v>
      </c>
      <c r="AK11" s="141">
        <v>257778.24999999997</v>
      </c>
      <c r="AL11" s="141">
        <v>283550.89999999997</v>
      </c>
      <c r="AM11" s="141">
        <v>353568.64999999997</v>
      </c>
      <c r="AN11" s="141">
        <v>432395.39999999997</v>
      </c>
      <c r="AO11" s="141">
        <v>524864.6</v>
      </c>
      <c r="AP11" s="141">
        <v>735313.45</v>
      </c>
      <c r="AQ11" s="9" t="s">
        <v>90</v>
      </c>
      <c r="AR11" s="86" t="s">
        <v>220</v>
      </c>
      <c r="AT11" s="1"/>
      <c r="AU11" s="2" t="s">
        <v>16</v>
      </c>
      <c r="AV11" s="141">
        <v>22920.75</v>
      </c>
      <c r="AW11" s="141">
        <v>27831.375</v>
      </c>
      <c r="AX11" s="141">
        <v>34650</v>
      </c>
      <c r="AY11" s="141">
        <v>38003.625</v>
      </c>
      <c r="AZ11" s="141">
        <v>41125.5</v>
      </c>
      <c r="BA11" s="141">
        <v>48577.5</v>
      </c>
      <c r="BB11" s="141">
        <v>53179.875</v>
      </c>
      <c r="BC11" s="141">
        <v>57187.125</v>
      </c>
      <c r="BD11" s="141">
        <v>64128.375</v>
      </c>
      <c r="BE11" s="141">
        <v>79993.125</v>
      </c>
      <c r="BF11" s="141">
        <v>148101.75</v>
      </c>
      <c r="BG11" s="141">
        <v>185326.875</v>
      </c>
      <c r="BH11" s="141">
        <v>228355.875</v>
      </c>
      <c r="BI11" s="141">
        <v>251309.25</v>
      </c>
      <c r="BJ11" s="141">
        <v>313311.375</v>
      </c>
      <c r="BK11" s="141">
        <v>383115.375</v>
      </c>
      <c r="BL11" s="141">
        <v>464999.625</v>
      </c>
      <c r="BM11" s="141">
        <v>651358.125</v>
      </c>
      <c r="BN11" s="9" t="s">
        <v>90</v>
      </c>
      <c r="BO11" s="86" t="s">
        <v>230</v>
      </c>
      <c r="BQ11" s="1"/>
      <c r="BR11" s="2" t="s">
        <v>16</v>
      </c>
      <c r="BS11" s="141">
        <v>21139.800000000003</v>
      </c>
      <c r="BT11" s="141">
        <v>25664.100000000002</v>
      </c>
      <c r="BU11" s="141">
        <v>31961.600000000002</v>
      </c>
      <c r="BV11" s="141">
        <v>35051.5</v>
      </c>
      <c r="BW11" s="141">
        <v>37928</v>
      </c>
      <c r="BX11" s="141">
        <v>44809.600000000006</v>
      </c>
      <c r="BY11" s="141">
        <v>49051.200000000004</v>
      </c>
      <c r="BZ11" s="141">
        <v>52743.9</v>
      </c>
      <c r="CA11" s="141">
        <v>59140.4</v>
      </c>
      <c r="CB11" s="141">
        <v>73759.400000000009</v>
      </c>
      <c r="CC11" s="141">
        <v>136523.20000000001</v>
      </c>
      <c r="CD11" s="141">
        <v>170826.7</v>
      </c>
      <c r="CE11" s="141">
        <v>210478.40000000002</v>
      </c>
      <c r="CF11" s="141">
        <v>231699.6</v>
      </c>
      <c r="CG11" s="141">
        <v>288836.90000000002</v>
      </c>
      <c r="CH11" s="141">
        <v>353161.60000000003</v>
      </c>
      <c r="CI11" s="141">
        <v>428620.50000000006</v>
      </c>
      <c r="CJ11" s="141">
        <v>600352.5</v>
      </c>
      <c r="CK11" s="9" t="s">
        <v>90</v>
      </c>
      <c r="CL11" s="121" t="s">
        <v>371</v>
      </c>
      <c r="CN11" s="1"/>
      <c r="CO11" s="2" t="s">
        <v>16</v>
      </c>
      <c r="CP11" s="141">
        <v>19455.41</v>
      </c>
      <c r="CQ11" s="141">
        <v>23615.940000000002</v>
      </c>
      <c r="CR11" s="141">
        <v>29421.280000000002</v>
      </c>
      <c r="CS11" s="141">
        <v>32262.910000000003</v>
      </c>
      <c r="CT11" s="141">
        <v>34907.25</v>
      </c>
      <c r="CU11" s="141">
        <v>41248.870000000003</v>
      </c>
      <c r="CV11" s="141">
        <v>45148.890000000007</v>
      </c>
      <c r="CW11" s="141">
        <v>48545.33</v>
      </c>
      <c r="CX11" s="141">
        <v>54425.880000000005</v>
      </c>
      <c r="CY11" s="141">
        <v>67868.850000000006</v>
      </c>
      <c r="CZ11" s="141">
        <v>125582.17000000001</v>
      </c>
      <c r="DA11" s="141">
        <v>157124.59000000003</v>
      </c>
      <c r="DB11" s="141">
        <v>193586.18000000002</v>
      </c>
      <c r="DC11" s="141">
        <v>213169.12000000002</v>
      </c>
      <c r="DD11" s="141">
        <v>265707.12</v>
      </c>
      <c r="DE11" s="141">
        <v>324855.97000000003</v>
      </c>
      <c r="DF11" s="141">
        <v>394242.10000000003</v>
      </c>
      <c r="DG11" s="141">
        <v>552154.76</v>
      </c>
      <c r="DH11" s="9" t="s">
        <v>89</v>
      </c>
      <c r="DI11" s="86" t="s">
        <v>239</v>
      </c>
    </row>
    <row r="12" spans="1:113">
      <c r="A12" s="2" t="s">
        <v>19</v>
      </c>
      <c r="B12" t="s">
        <v>41</v>
      </c>
      <c r="C12" t="s">
        <v>42</v>
      </c>
      <c r="D12">
        <v>5</v>
      </c>
      <c r="E12" t="s">
        <v>26</v>
      </c>
      <c r="F12">
        <v>1</v>
      </c>
      <c r="G12">
        <v>1</v>
      </c>
      <c r="H12">
        <v>0</v>
      </c>
      <c r="I12">
        <v>1</v>
      </c>
      <c r="J12" s="4" t="s">
        <v>52</v>
      </c>
      <c r="K12" t="str">
        <f t="shared" si="0"/>
        <v>1+0</v>
      </c>
      <c r="L12">
        <f>VLOOKUP(A12,'ZONE 1 PREMIUM'!$A$3:$M$16,13,0)</f>
        <v>12</v>
      </c>
      <c r="M12">
        <f>VLOOKUP(D12,DROPDOWN!B:C,2,0)</f>
        <v>4</v>
      </c>
      <c r="N12" t="str">
        <f t="shared" si="1"/>
        <v>X3:AP16</v>
      </c>
      <c r="O12" s="4">
        <f t="shared" ca="1" si="2"/>
        <v>92842.95</v>
      </c>
      <c r="Q12" s="27" t="s">
        <v>120</v>
      </c>
      <c r="R12" s="64" t="e">
        <f>INDEX('optional benefits'!C7:P8,MATCH('CARE SHEET'!S11,'optional benefits'!B7:B8,0),MATCH('CALCULATOR CARE V6'!B6,'optional benefits'!C6:P6,0))</f>
        <v>#N/A</v>
      </c>
      <c r="S12" s="90">
        <f>IF('CALCULATOR CARE V6'!B12="YES",1+'CARE SHEET'!R12,1)</f>
        <v>1</v>
      </c>
      <c r="T12">
        <f>IF('CALCULATOR CARE V6'!B12="YES",1+INDEX('optional benefits'!C7:P8,MATCH('CARE SHEET'!T11,'optional benefits'!B7:B8,0),MATCH('CALCULATOR CARE V6'!B6,'optional benefits'!C6:P6,0)),1)</f>
        <v>1</v>
      </c>
      <c r="U12">
        <f>IF('CALCULATOR CARE V6'!B12="YES",1+INDEX('optional benefits'!C7:P8,MATCH('CARE SHEET'!U11,'optional benefits'!B7:B8,0),MATCH('CALCULATOR CARE V6'!B6,'optional benefits'!C6:P6,0)),1)</f>
        <v>1</v>
      </c>
      <c r="X12" s="2" t="s">
        <v>17</v>
      </c>
      <c r="Y12" s="141">
        <v>34827.75</v>
      </c>
      <c r="Z12" s="141">
        <v>42355.649999999994</v>
      </c>
      <c r="AA12" s="141">
        <v>52811.45</v>
      </c>
      <c r="AB12" s="141">
        <v>57992.2</v>
      </c>
      <c r="AC12" s="141">
        <v>62829.1</v>
      </c>
      <c r="AD12" s="141">
        <v>74262.399999999994</v>
      </c>
      <c r="AE12" s="141">
        <v>81402.75</v>
      </c>
      <c r="AF12" s="141">
        <v>86599.599999999991</v>
      </c>
      <c r="AG12" s="141">
        <v>97227.9</v>
      </c>
      <c r="AH12" s="141">
        <v>121431.95</v>
      </c>
      <c r="AI12" s="141">
        <v>223332.3</v>
      </c>
      <c r="AJ12" s="141">
        <v>280053.75</v>
      </c>
      <c r="AK12" s="141">
        <v>345761.3</v>
      </c>
      <c r="AL12" s="141">
        <v>382320.94999999995</v>
      </c>
      <c r="AM12" s="141">
        <v>477404.1</v>
      </c>
      <c r="AN12" s="141">
        <v>584669.19999999995</v>
      </c>
      <c r="AO12" s="141">
        <v>710700</v>
      </c>
      <c r="AP12" s="141">
        <v>997012.04999999993</v>
      </c>
      <c r="AQ12" s="9" t="s">
        <v>91</v>
      </c>
      <c r="AR12" s="86" t="s">
        <v>221</v>
      </c>
      <c r="AT12" s="1"/>
      <c r="AU12" s="2" t="s">
        <v>17</v>
      </c>
      <c r="AV12" s="141">
        <v>30884.625</v>
      </c>
      <c r="AW12" s="141">
        <v>37551.375</v>
      </c>
      <c r="AX12" s="141">
        <v>46845</v>
      </c>
      <c r="AY12" s="141">
        <v>51432.75</v>
      </c>
      <c r="AZ12" s="141">
        <v>55715.625</v>
      </c>
      <c r="BA12" s="141">
        <v>65874.375</v>
      </c>
      <c r="BB12" s="141">
        <v>72198</v>
      </c>
      <c r="BC12" s="141">
        <v>76799.25</v>
      </c>
      <c r="BD12" s="141">
        <v>86212.125</v>
      </c>
      <c r="BE12" s="141">
        <v>107645.625</v>
      </c>
      <c r="BF12" s="141">
        <v>197880.75</v>
      </c>
      <c r="BG12" s="141">
        <v>248109.75</v>
      </c>
      <c r="BH12" s="141">
        <v>306295.875</v>
      </c>
      <c r="BI12" s="141">
        <v>338837.625</v>
      </c>
      <c r="BJ12" s="141">
        <v>423037.125</v>
      </c>
      <c r="BK12" s="141">
        <v>518024.25</v>
      </c>
      <c r="BL12" s="141">
        <v>629627.625</v>
      </c>
      <c r="BM12" s="141">
        <v>883165.5</v>
      </c>
      <c r="BN12" s="9" t="s">
        <v>91</v>
      </c>
      <c r="BO12" s="86" t="s">
        <v>231</v>
      </c>
      <c r="BQ12" s="1"/>
      <c r="BR12" s="2" t="s">
        <v>17</v>
      </c>
      <c r="BS12" s="141">
        <v>28484.500000000004</v>
      </c>
      <c r="BT12" s="141">
        <v>34626.9</v>
      </c>
      <c r="BU12" s="141">
        <v>43209.100000000006</v>
      </c>
      <c r="BV12" s="141">
        <v>47437.500000000007</v>
      </c>
      <c r="BW12" s="141">
        <v>51384.3</v>
      </c>
      <c r="BX12" s="141">
        <v>60765.100000000006</v>
      </c>
      <c r="BY12" s="141">
        <v>66591.8</v>
      </c>
      <c r="BZ12" s="141">
        <v>70832.3</v>
      </c>
      <c r="CA12" s="141">
        <v>79505.8</v>
      </c>
      <c r="CB12" s="141">
        <v>99257.400000000009</v>
      </c>
      <c r="CC12" s="141">
        <v>182410.80000000002</v>
      </c>
      <c r="CD12" s="141">
        <v>228697.7</v>
      </c>
      <c r="CE12" s="141">
        <v>282317.2</v>
      </c>
      <c r="CF12" s="141">
        <v>312393.40000000002</v>
      </c>
      <c r="CG12" s="141">
        <v>389985.2</v>
      </c>
      <c r="CH12" s="141">
        <v>477517.7</v>
      </c>
      <c r="CI12" s="141">
        <v>580362.20000000007</v>
      </c>
      <c r="CJ12" s="141">
        <v>814002.20000000007</v>
      </c>
      <c r="CK12" s="9" t="s">
        <v>91</v>
      </c>
      <c r="CL12" s="121" t="s">
        <v>372</v>
      </c>
      <c r="CN12" s="1"/>
      <c r="CO12" s="2" t="s">
        <v>17</v>
      </c>
      <c r="CP12" s="141">
        <v>26215.59</v>
      </c>
      <c r="CQ12" s="141">
        <v>31863.97</v>
      </c>
      <c r="CR12" s="141">
        <v>39774.100000000006</v>
      </c>
      <c r="CS12" s="141">
        <v>43662.130000000005</v>
      </c>
      <c r="CT12" s="141">
        <v>47290.740000000005</v>
      </c>
      <c r="CU12" s="141">
        <v>55935.530000000006</v>
      </c>
      <c r="CV12" s="141">
        <v>61292.880000000005</v>
      </c>
      <c r="CW12" s="141">
        <v>65191.810000000005</v>
      </c>
      <c r="CX12" s="141">
        <v>73168.430000000008</v>
      </c>
      <c r="CY12" s="141">
        <v>91330.010000000009</v>
      </c>
      <c r="CZ12" s="141">
        <v>167791.33000000002</v>
      </c>
      <c r="DA12" s="141">
        <v>210353.65000000002</v>
      </c>
      <c r="DB12" s="141">
        <v>259657.62000000002</v>
      </c>
      <c r="DC12" s="141">
        <v>287403.57</v>
      </c>
      <c r="DD12" s="141">
        <v>358750.61000000004</v>
      </c>
      <c r="DE12" s="141">
        <v>439239.48000000004</v>
      </c>
      <c r="DF12" s="141">
        <v>533806.79</v>
      </c>
      <c r="DG12" s="141">
        <v>748644.70000000007</v>
      </c>
      <c r="DH12" s="9" t="s">
        <v>90</v>
      </c>
      <c r="DI12" s="86" t="s">
        <v>240</v>
      </c>
    </row>
    <row r="13" spans="1:113">
      <c r="A13" s="2" t="s">
        <v>20</v>
      </c>
      <c r="B13" t="s">
        <v>43</v>
      </c>
      <c r="C13" t="s">
        <v>44</v>
      </c>
      <c r="D13">
        <v>5</v>
      </c>
      <c r="E13" t="s">
        <v>26</v>
      </c>
      <c r="F13">
        <v>1</v>
      </c>
      <c r="G13">
        <v>1</v>
      </c>
      <c r="H13">
        <v>0</v>
      </c>
      <c r="I13">
        <v>1</v>
      </c>
      <c r="J13" s="4" t="s">
        <v>52</v>
      </c>
      <c r="K13" t="str">
        <f t="shared" si="0"/>
        <v>1+0</v>
      </c>
      <c r="L13">
        <f>VLOOKUP(A13,'ZONE 1 PREMIUM'!$A$3:$M$16,13,0)</f>
        <v>13</v>
      </c>
      <c r="M13">
        <f>VLOOKUP(D13,DROPDOWN!B:C,2,0)</f>
        <v>4</v>
      </c>
      <c r="N13" t="str">
        <f t="shared" si="1"/>
        <v>X3:AP16</v>
      </c>
      <c r="O13" s="4">
        <f t="shared" ca="1" si="2"/>
        <v>111223.4</v>
      </c>
      <c r="Q13" s="27" t="s">
        <v>121</v>
      </c>
      <c r="R13" s="64">
        <f>15%</f>
        <v>0.15</v>
      </c>
      <c r="S13" s="90">
        <f>IF('CALCULATOR CARE V6'!B13="YES",1-'CARE SHEET'!R13,1)</f>
        <v>1</v>
      </c>
      <c r="X13" s="2" t="s">
        <v>18</v>
      </c>
      <c r="Y13" s="141">
        <v>47927.399999999994</v>
      </c>
      <c r="Z13" s="141">
        <v>58408.499999999993</v>
      </c>
      <c r="AA13" s="141">
        <v>72870.899999999994</v>
      </c>
      <c r="AB13" s="141">
        <v>80142.349999999991</v>
      </c>
      <c r="AC13" s="141">
        <v>86946.9</v>
      </c>
      <c r="AD13" s="141">
        <v>102776.65</v>
      </c>
      <c r="AE13" s="141">
        <v>112839.15</v>
      </c>
      <c r="AF13" s="141">
        <v>119781.7</v>
      </c>
      <c r="AG13" s="141">
        <v>134693.75</v>
      </c>
      <c r="AH13" s="141">
        <v>168524.44999999998</v>
      </c>
      <c r="AI13" s="141">
        <v>306799.3</v>
      </c>
      <c r="AJ13" s="141">
        <v>385914.69999999995</v>
      </c>
      <c r="AK13" s="141">
        <v>477765.19999999995</v>
      </c>
      <c r="AL13" s="141">
        <v>531930.19999999995</v>
      </c>
      <c r="AM13" s="141">
        <v>665515.35</v>
      </c>
      <c r="AN13" s="141">
        <v>816535.64999999991</v>
      </c>
      <c r="AO13" s="141">
        <v>994261.24999999988</v>
      </c>
      <c r="AP13" s="141">
        <v>1397293.7</v>
      </c>
      <c r="AT13" s="1"/>
      <c r="AU13" s="2" t="s">
        <v>18</v>
      </c>
      <c r="AV13" s="141">
        <v>42484.5</v>
      </c>
      <c r="AW13" s="141">
        <v>51765.75</v>
      </c>
      <c r="AX13" s="141">
        <v>64607.625</v>
      </c>
      <c r="AY13" s="141">
        <v>71047.125</v>
      </c>
      <c r="AZ13" s="141">
        <v>77072.625</v>
      </c>
      <c r="BA13" s="141">
        <v>91125</v>
      </c>
      <c r="BB13" s="141">
        <v>100036.125</v>
      </c>
      <c r="BC13" s="141">
        <v>106184.25</v>
      </c>
      <c r="BD13" s="141">
        <v>119388.375</v>
      </c>
      <c r="BE13" s="141">
        <v>149347.125</v>
      </c>
      <c r="BF13" s="141">
        <v>271793.25</v>
      </c>
      <c r="BG13" s="141">
        <v>341852.625</v>
      </c>
      <c r="BH13" s="141">
        <v>423189</v>
      </c>
      <c r="BI13" s="141">
        <v>471322.125</v>
      </c>
      <c r="BJ13" s="141">
        <v>589614.75</v>
      </c>
      <c r="BK13" s="141">
        <v>723348</v>
      </c>
      <c r="BL13" s="141">
        <v>880729.875</v>
      </c>
      <c r="BM13" s="141">
        <v>1237627.125</v>
      </c>
      <c r="BQ13" s="1"/>
      <c r="BR13" s="2" t="s">
        <v>18</v>
      </c>
      <c r="BS13" s="141">
        <v>39173.200000000004</v>
      </c>
      <c r="BT13" s="141">
        <v>47725.700000000004</v>
      </c>
      <c r="BU13" s="141">
        <v>59578.200000000004</v>
      </c>
      <c r="BV13" s="141">
        <v>65512.700000000004</v>
      </c>
      <c r="BW13" s="141">
        <v>71065.5</v>
      </c>
      <c r="BX13" s="141">
        <v>84033.400000000009</v>
      </c>
      <c r="BY13" s="141">
        <v>92244.900000000009</v>
      </c>
      <c r="BZ13" s="141">
        <v>97909.900000000009</v>
      </c>
      <c r="CA13" s="141">
        <v>110078.1</v>
      </c>
      <c r="CB13" s="141">
        <v>137685.90000000002</v>
      </c>
      <c r="CC13" s="141">
        <v>250521.7</v>
      </c>
      <c r="CD13" s="141">
        <v>315084</v>
      </c>
      <c r="CE13" s="141">
        <v>390035.80000000005</v>
      </c>
      <c r="CF13" s="141">
        <v>434480.2</v>
      </c>
      <c r="CG13" s="141">
        <v>543490.20000000007</v>
      </c>
      <c r="CH13" s="141">
        <v>666727.60000000009</v>
      </c>
      <c r="CI13" s="141">
        <v>811757.10000000009</v>
      </c>
      <c r="CJ13" s="141">
        <v>1140645</v>
      </c>
      <c r="CN13" s="1"/>
      <c r="CO13" s="2" t="s">
        <v>18</v>
      </c>
      <c r="CP13" s="141">
        <v>36044.120000000003</v>
      </c>
      <c r="CQ13" s="141">
        <v>43908.47</v>
      </c>
      <c r="CR13" s="141">
        <v>54825.91</v>
      </c>
      <c r="CS13" s="141">
        <v>60282.450000000004</v>
      </c>
      <c r="CT13" s="141">
        <v>65388.01</v>
      </c>
      <c r="CU13" s="141">
        <v>77331.14</v>
      </c>
      <c r="CV13" s="141">
        <v>84881.57</v>
      </c>
      <c r="CW13" s="141">
        <v>90091.77</v>
      </c>
      <c r="CX13" s="141">
        <v>101280.62000000001</v>
      </c>
      <c r="CY13" s="141">
        <v>126666.72000000002</v>
      </c>
      <c r="CZ13" s="141">
        <v>230421.64</v>
      </c>
      <c r="DA13" s="141">
        <v>289787.40000000002</v>
      </c>
      <c r="DB13" s="141">
        <v>358708.10000000003</v>
      </c>
      <c r="DC13" s="141">
        <v>399665.94</v>
      </c>
      <c r="DD13" s="141">
        <v>499902.34</v>
      </c>
      <c r="DE13" s="141">
        <v>613222.01</v>
      </c>
      <c r="DF13" s="141">
        <v>746581.33000000007</v>
      </c>
      <c r="DG13" s="141">
        <v>1049001.83</v>
      </c>
      <c r="DH13" s="9" t="s">
        <v>91</v>
      </c>
      <c r="DI13" s="86" t="s">
        <v>241</v>
      </c>
    </row>
    <row r="14" spans="1:113">
      <c r="A14" s="2" t="s">
        <v>21</v>
      </c>
      <c r="B14" t="s">
        <v>22</v>
      </c>
      <c r="D14">
        <v>5</v>
      </c>
      <c r="E14" t="s">
        <v>26</v>
      </c>
      <c r="F14">
        <v>1</v>
      </c>
      <c r="G14">
        <v>1</v>
      </c>
      <c r="H14">
        <v>0</v>
      </c>
      <c r="I14">
        <v>1</v>
      </c>
      <c r="J14" s="4" t="s">
        <v>52</v>
      </c>
      <c r="K14" t="str">
        <f t="shared" si="0"/>
        <v>1+0</v>
      </c>
      <c r="L14">
        <f>VLOOKUP(A14,'ZONE 1 PREMIUM'!$A$3:$M$16,13,0)</f>
        <v>14</v>
      </c>
      <c r="M14">
        <f>VLOOKUP(D14,DROPDOWN!B:C,2,0)</f>
        <v>4</v>
      </c>
      <c r="N14" t="str">
        <f t="shared" si="1"/>
        <v>X3:AP16</v>
      </c>
      <c r="O14" s="4">
        <f t="shared" ca="1" si="2"/>
        <v>148912.34999999998</v>
      </c>
      <c r="Q14" s="27" t="s">
        <v>122</v>
      </c>
      <c r="R14" s="64">
        <f>VLOOKUP(T14,'optional benefits'!B51:C54,2,0)</f>
        <v>0.15</v>
      </c>
      <c r="S14" s="90">
        <f>IF('CALCULATOR CARE V6'!B14="YES",1+'CARE SHEET'!R14,1)</f>
        <v>1</v>
      </c>
      <c r="T14" t="str">
        <f>VLOOKUP(S3,DROPDOWN!L20:M110,2,0)</f>
        <v>Upto 45 Years</v>
      </c>
      <c r="U14">
        <f>IF('CALCULATOR CARE V6'!B14="YES",1+VLOOKUP(U2,'optional benefits'!B51:C54,2,0),1)</f>
        <v>1</v>
      </c>
      <c r="V14">
        <f>IF('CALCULATOR CARE V6'!B14="YES",1+VLOOKUP(U3,'optional benefits'!B51:C54,2,0),1)</f>
        <v>1</v>
      </c>
      <c r="X14" s="2" t="s">
        <v>19</v>
      </c>
      <c r="Y14" s="141">
        <v>60880.999999999993</v>
      </c>
      <c r="Z14" s="141">
        <v>74322.2</v>
      </c>
      <c r="AA14" s="141">
        <v>92842.95</v>
      </c>
      <c r="AB14" s="141">
        <v>102241.9</v>
      </c>
      <c r="AC14" s="141">
        <v>111062.39999999999</v>
      </c>
      <c r="AD14" s="141">
        <v>131342.65</v>
      </c>
      <c r="AE14" s="141">
        <v>144449.19999999998</v>
      </c>
      <c r="AF14" s="141">
        <v>155968.75</v>
      </c>
      <c r="AG14" s="141">
        <v>175617.65</v>
      </c>
      <c r="AH14" s="141">
        <v>220032.94999999998</v>
      </c>
      <c r="AI14" s="141">
        <v>389046.14999999997</v>
      </c>
      <c r="AJ14" s="141">
        <v>492314.99999999994</v>
      </c>
      <c r="AK14" s="141">
        <v>612501.5</v>
      </c>
      <c r="AL14" s="141">
        <v>695669.5</v>
      </c>
      <c r="AM14" s="141">
        <v>871932.29999999993</v>
      </c>
      <c r="AN14" s="141">
        <v>1071630.95</v>
      </c>
      <c r="AO14" s="141">
        <v>1307027.8999999999</v>
      </c>
      <c r="AP14" s="141">
        <v>1839893.0499999998</v>
      </c>
      <c r="AT14" s="1"/>
      <c r="AU14" s="2" t="s">
        <v>19</v>
      </c>
      <c r="AV14" s="141">
        <v>53958.375</v>
      </c>
      <c r="AW14" s="141">
        <v>65859.75</v>
      </c>
      <c r="AX14" s="141">
        <v>82296</v>
      </c>
      <c r="AY14" s="141">
        <v>90619.875</v>
      </c>
      <c r="AZ14" s="141">
        <v>98429.625</v>
      </c>
      <c r="BA14" s="141">
        <v>116422.875</v>
      </c>
      <c r="BB14" s="141">
        <v>128034</v>
      </c>
      <c r="BC14" s="141">
        <v>138234.375</v>
      </c>
      <c r="BD14" s="141">
        <v>155633.625</v>
      </c>
      <c r="BE14" s="141">
        <v>194964.75</v>
      </c>
      <c r="BF14" s="141">
        <v>344640.375</v>
      </c>
      <c r="BG14" s="141">
        <v>436087.125</v>
      </c>
      <c r="BH14" s="141">
        <v>542515.5</v>
      </c>
      <c r="BI14" s="141">
        <v>616317.75</v>
      </c>
      <c r="BJ14" s="141">
        <v>772403.625</v>
      </c>
      <c r="BK14" s="141">
        <v>949242.375</v>
      </c>
      <c r="BL14" s="141">
        <v>1157693.625</v>
      </c>
      <c r="BM14" s="141">
        <v>1629561.375</v>
      </c>
      <c r="BQ14" s="1"/>
      <c r="BR14" s="2" t="s">
        <v>19</v>
      </c>
      <c r="BS14" s="141">
        <v>49747.500000000007</v>
      </c>
      <c r="BT14" s="141">
        <v>60715.600000000006</v>
      </c>
      <c r="BU14" s="141">
        <v>75880.200000000012</v>
      </c>
      <c r="BV14" s="141">
        <v>83550.5</v>
      </c>
      <c r="BW14" s="141">
        <v>90747.8</v>
      </c>
      <c r="BX14" s="141">
        <v>107346.8</v>
      </c>
      <c r="BY14" s="141">
        <v>118048.70000000001</v>
      </c>
      <c r="BZ14" s="141">
        <v>127449.30000000002</v>
      </c>
      <c r="CA14" s="141">
        <v>143482.90000000002</v>
      </c>
      <c r="CB14" s="141">
        <v>179726.80000000002</v>
      </c>
      <c r="CC14" s="141">
        <v>317659.10000000003</v>
      </c>
      <c r="CD14" s="141">
        <v>401930.10000000003</v>
      </c>
      <c r="CE14" s="141">
        <v>500006.10000000003</v>
      </c>
      <c r="CF14" s="141">
        <v>568097.20000000007</v>
      </c>
      <c r="CG14" s="141">
        <v>711933.20000000007</v>
      </c>
      <c r="CH14" s="141">
        <v>874892.70000000007</v>
      </c>
      <c r="CI14" s="141">
        <v>1066985.7000000002</v>
      </c>
      <c r="CJ14" s="141">
        <v>1501820.1</v>
      </c>
      <c r="CN14" s="1"/>
      <c r="CO14" s="2" t="s">
        <v>19</v>
      </c>
      <c r="CP14" s="141">
        <v>45769.100000000006</v>
      </c>
      <c r="CQ14" s="141">
        <v>55853.780000000006</v>
      </c>
      <c r="CR14" s="141">
        <v>69816.680000000008</v>
      </c>
      <c r="CS14" s="141">
        <v>76870.070000000007</v>
      </c>
      <c r="CT14" s="141">
        <v>83487.460000000006</v>
      </c>
      <c r="CU14" s="141">
        <v>98770.35</v>
      </c>
      <c r="CV14" s="141">
        <v>108611.96</v>
      </c>
      <c r="CW14" s="141">
        <v>117256.75000000001</v>
      </c>
      <c r="CX14" s="141">
        <v>132000.09</v>
      </c>
      <c r="CY14" s="141">
        <v>165327.93000000002</v>
      </c>
      <c r="CZ14" s="141">
        <v>292163.60000000003</v>
      </c>
      <c r="DA14" s="141">
        <v>369652.79000000004</v>
      </c>
      <c r="DB14" s="141">
        <v>459836.12000000005</v>
      </c>
      <c r="DC14" s="141">
        <v>522529.65</v>
      </c>
      <c r="DD14" s="141">
        <v>654790.25</v>
      </c>
      <c r="DE14" s="141">
        <v>804635.82000000007</v>
      </c>
      <c r="DF14" s="141">
        <v>981269.2300000001</v>
      </c>
      <c r="DG14" s="141">
        <v>1381110.6600000001</v>
      </c>
    </row>
    <row r="15" spans="1:113">
      <c r="A15" s="2" t="s">
        <v>11</v>
      </c>
      <c r="B15" t="s">
        <v>45</v>
      </c>
      <c r="C15" t="s">
        <v>25</v>
      </c>
      <c r="D15">
        <v>5</v>
      </c>
      <c r="E15" t="s">
        <v>46</v>
      </c>
      <c r="F15">
        <v>2</v>
      </c>
      <c r="G15">
        <v>1</v>
      </c>
      <c r="H15">
        <v>1</v>
      </c>
      <c r="I15">
        <v>1</v>
      </c>
      <c r="J15" s="4" t="s">
        <v>52</v>
      </c>
      <c r="K15" t="str">
        <f t="shared" si="0"/>
        <v>1+1</v>
      </c>
      <c r="L15">
        <f>VLOOKUP(A15,'ZONE 1 PREMIUM'!$A$4:$N$16,14,0)</f>
        <v>2</v>
      </c>
      <c r="M15">
        <f>VLOOKUP(D15,DROPDOWN!B:C,2,0)</f>
        <v>4</v>
      </c>
      <c r="N15" t="str">
        <f t="shared" si="1"/>
        <v>X20:AP31</v>
      </c>
      <c r="O15" s="4">
        <f t="shared" ca="1" si="2"/>
        <v>16951</v>
      </c>
      <c r="Q15" s="27" t="s">
        <v>123</v>
      </c>
      <c r="R15" s="90">
        <f>IF(T3&lt;5,'optional benefits'!C87,'optional benefits'!C88)</f>
        <v>0.125</v>
      </c>
      <c r="S15" s="90">
        <f>IF('CALCULATOR CARE V6'!B15="YES",1+'CARE SHEET'!R15,1)</f>
        <v>1</v>
      </c>
      <c r="V15" s="73" t="s">
        <v>295</v>
      </c>
      <c r="X15" s="2" t="s">
        <v>20</v>
      </c>
      <c r="Y15" s="141">
        <v>72692.649999999994</v>
      </c>
      <c r="Z15" s="141">
        <v>88885.799999999988</v>
      </c>
      <c r="AA15" s="141">
        <v>111223.4</v>
      </c>
      <c r="AB15" s="141">
        <v>122635.99999999999</v>
      </c>
      <c r="AC15" s="141">
        <v>133374.69999999998</v>
      </c>
      <c r="AD15" s="141">
        <v>157846.69999999998</v>
      </c>
      <c r="AE15" s="141">
        <v>173817.9</v>
      </c>
      <c r="AF15" s="141">
        <v>187923.8</v>
      </c>
      <c r="AG15" s="141">
        <v>211866.8</v>
      </c>
      <c r="AH15" s="141">
        <v>265792.59999999998</v>
      </c>
      <c r="AI15" s="141">
        <v>455161.94999999995</v>
      </c>
      <c r="AJ15" s="141">
        <v>579790.89999999991</v>
      </c>
      <c r="AK15" s="141">
        <v>725204.95</v>
      </c>
      <c r="AL15" s="141">
        <v>842438.24999999988</v>
      </c>
      <c r="AM15" s="141">
        <v>1057553.7999999998</v>
      </c>
      <c r="AN15" s="141">
        <v>1301772.3999999999</v>
      </c>
      <c r="AO15" s="141">
        <v>1590109.5999999999</v>
      </c>
      <c r="AP15" s="141">
        <v>2241659.3499999996</v>
      </c>
      <c r="AT15" s="1"/>
      <c r="AU15" s="2" t="s">
        <v>20</v>
      </c>
      <c r="AV15" s="141">
        <v>64417.5</v>
      </c>
      <c r="AW15" s="141">
        <v>78756.75</v>
      </c>
      <c r="AX15" s="141">
        <v>98572.5</v>
      </c>
      <c r="AY15" s="141">
        <v>108679.5</v>
      </c>
      <c r="AZ15" s="141">
        <v>118188</v>
      </c>
      <c r="BA15" s="141">
        <v>139893.75</v>
      </c>
      <c r="BB15" s="141">
        <v>154040.625</v>
      </c>
      <c r="BC15" s="141">
        <v>166532.625</v>
      </c>
      <c r="BD15" s="141">
        <v>187734.375</v>
      </c>
      <c r="BE15" s="141">
        <v>235487.25</v>
      </c>
      <c r="BF15" s="141">
        <v>403187.625</v>
      </c>
      <c r="BG15" s="141">
        <v>513550.125</v>
      </c>
      <c r="BH15" s="141">
        <v>642318.75</v>
      </c>
      <c r="BI15" s="141">
        <v>746286.75</v>
      </c>
      <c r="BJ15" s="141">
        <v>936777.375</v>
      </c>
      <c r="BK15" s="141">
        <v>1153039.5</v>
      </c>
      <c r="BL15" s="141">
        <v>1408371.75</v>
      </c>
      <c r="BM15" s="141">
        <v>1985338.125</v>
      </c>
      <c r="BQ15" s="1"/>
      <c r="BR15" s="2" t="s">
        <v>20</v>
      </c>
      <c r="BS15" s="141">
        <v>59386.8</v>
      </c>
      <c r="BT15" s="141">
        <v>72600</v>
      </c>
      <c r="BU15" s="141">
        <v>90878.700000000012</v>
      </c>
      <c r="BV15" s="141">
        <v>100192.40000000001</v>
      </c>
      <c r="BW15" s="141">
        <v>108955.00000000001</v>
      </c>
      <c r="BX15" s="141">
        <v>128976.1</v>
      </c>
      <c r="BY15" s="141">
        <v>142014.40000000002</v>
      </c>
      <c r="BZ15" s="141">
        <v>153525.90000000002</v>
      </c>
      <c r="CA15" s="141">
        <v>173064.1</v>
      </c>
      <c r="CB15" s="141">
        <v>217069.6</v>
      </c>
      <c r="CC15" s="141">
        <v>371611.9</v>
      </c>
      <c r="CD15" s="141">
        <v>473313.50000000006</v>
      </c>
      <c r="CE15" s="141">
        <v>591976</v>
      </c>
      <c r="CF15" s="141">
        <v>687865.20000000007</v>
      </c>
      <c r="CG15" s="141">
        <v>863405.4</v>
      </c>
      <c r="CH15" s="141">
        <v>1062695.7000000002</v>
      </c>
      <c r="CI15" s="141">
        <v>1297989</v>
      </c>
      <c r="CJ15" s="141">
        <v>1829675.1</v>
      </c>
      <c r="CN15" s="1"/>
      <c r="CO15" s="2" t="s">
        <v>20</v>
      </c>
      <c r="CP15" s="141">
        <v>54631.890000000007</v>
      </c>
      <c r="CQ15" s="141">
        <v>66782.12000000001</v>
      </c>
      <c r="CR15" s="141">
        <v>83608.450000000012</v>
      </c>
      <c r="CS15" s="141">
        <v>92172.58</v>
      </c>
      <c r="CT15" s="141">
        <v>100230.95000000001</v>
      </c>
      <c r="CU15" s="141">
        <v>118658.49</v>
      </c>
      <c r="CV15" s="141">
        <v>130649.58000000002</v>
      </c>
      <c r="CW15" s="141">
        <v>141234.57</v>
      </c>
      <c r="CX15" s="141">
        <v>159199.95000000001</v>
      </c>
      <c r="CY15" s="141">
        <v>199664.02000000002</v>
      </c>
      <c r="CZ15" s="141">
        <v>341774.95</v>
      </c>
      <c r="DA15" s="141">
        <v>435291.50000000006</v>
      </c>
      <c r="DB15" s="141">
        <v>544404.86</v>
      </c>
      <c r="DC15" s="141">
        <v>632658.89</v>
      </c>
      <c r="DD15" s="141">
        <v>794073.72000000009</v>
      </c>
      <c r="DE15" s="141">
        <v>977325.6100000001</v>
      </c>
      <c r="DF15" s="141">
        <v>1193682.98</v>
      </c>
      <c r="DG15" s="141">
        <v>1682581.77</v>
      </c>
    </row>
    <row r="16" spans="1:113">
      <c r="A16" s="2" t="s">
        <v>12</v>
      </c>
      <c r="B16" t="s">
        <v>27</v>
      </c>
      <c r="C16" t="s">
        <v>28</v>
      </c>
      <c r="D16">
        <v>5</v>
      </c>
      <c r="E16" t="s">
        <v>46</v>
      </c>
      <c r="F16">
        <v>2</v>
      </c>
      <c r="G16">
        <v>1</v>
      </c>
      <c r="H16">
        <v>1</v>
      </c>
      <c r="I16">
        <v>1</v>
      </c>
      <c r="J16" s="4" t="s">
        <v>52</v>
      </c>
      <c r="K16" t="str">
        <f t="shared" si="0"/>
        <v>1+1</v>
      </c>
      <c r="L16">
        <f>VLOOKUP(A16,'ZONE 1 PREMIUM'!$A$4:$N$16,14,0)</f>
        <v>3</v>
      </c>
      <c r="M16">
        <f>VLOOKUP(D16,DROPDOWN!B:C,2,0)</f>
        <v>4</v>
      </c>
      <c r="N16" t="str">
        <f t="shared" si="1"/>
        <v>X20:AP31</v>
      </c>
      <c r="O16" s="4">
        <f t="shared" ca="1" si="2"/>
        <v>18759.949999999997</v>
      </c>
      <c r="Q16" s="27" t="s">
        <v>124</v>
      </c>
      <c r="R16" s="90" t="e">
        <f>INDEX('optional benefits'!C14:P15,MATCH('CARE SHEET'!S11,'optional benefits'!B14:B15,0),MATCH('CALCULATOR CARE V6'!B6,'optional benefits'!C13:P13,0))</f>
        <v>#N/A</v>
      </c>
      <c r="S16" s="90">
        <f>IF('CALCULATOR CARE V6'!B16="YES",1+'CARE SHEET'!R16,1)</f>
        <v>1</v>
      </c>
      <c r="T16">
        <f>IF('CALCULATOR CARE V6'!B16="YES",1+INDEX('optional benefits'!C14:P15,MATCH('CARE SHEET'!T11,'optional benefits'!B14:B15,0),MATCH('CALCULATOR CARE V6'!B6,'optional benefits'!C13:P13,0)),1)</f>
        <v>1</v>
      </c>
      <c r="U16">
        <f>IF('CALCULATOR CARE V6'!B16="YES",1+INDEX('optional benefits'!C14:P15,MATCH('CARE SHEET'!U11,'optional benefits'!B14:B15,0),MATCH('CALCULATOR CARE V6'!B6,'optional benefits'!C13:P13,0)),1)</f>
        <v>1</v>
      </c>
      <c r="V16" s="90">
        <v>8.5000000000000006E-2</v>
      </c>
      <c r="X16" s="2" t="s">
        <v>21</v>
      </c>
      <c r="Y16" s="141">
        <v>97080.7</v>
      </c>
      <c r="Z16" s="141">
        <v>118895.04999999999</v>
      </c>
      <c r="AA16" s="141">
        <v>148912.34999999998</v>
      </c>
      <c r="AB16" s="141">
        <v>164409.75</v>
      </c>
      <c r="AC16" s="141">
        <v>179030.84999999998</v>
      </c>
      <c r="AD16" s="141">
        <v>212022.05</v>
      </c>
      <c r="AE16" s="141">
        <v>233781.19999999998</v>
      </c>
      <c r="AF16" s="141">
        <v>253096.59999999998</v>
      </c>
      <c r="AG16" s="141">
        <v>285723.25</v>
      </c>
      <c r="AH16" s="141">
        <v>358940.3</v>
      </c>
      <c r="AI16" s="141">
        <v>593725.44999999995</v>
      </c>
      <c r="AJ16" s="141">
        <v>761879.6</v>
      </c>
      <c r="AK16" s="141">
        <v>958587.1</v>
      </c>
      <c r="AL16" s="141">
        <v>1140764.3499999999</v>
      </c>
      <c r="AM16" s="141">
        <v>1434366.25</v>
      </c>
      <c r="AN16" s="141">
        <v>1768372.2499999998</v>
      </c>
      <c r="AO16" s="141">
        <v>2163347.7999999998</v>
      </c>
      <c r="AP16" s="141">
        <v>3054293.05</v>
      </c>
      <c r="AT16" s="1"/>
      <c r="AU16" s="2" t="s">
        <v>21</v>
      </c>
      <c r="AV16" s="141">
        <v>86013</v>
      </c>
      <c r="AW16" s="141">
        <v>105331.5</v>
      </c>
      <c r="AX16" s="141">
        <v>131947.875</v>
      </c>
      <c r="AY16" s="141">
        <v>145670.625</v>
      </c>
      <c r="AZ16" s="141">
        <v>158618.25</v>
      </c>
      <c r="BA16" s="141">
        <v>187867.125</v>
      </c>
      <c r="BB16" s="141">
        <v>207139.5</v>
      </c>
      <c r="BC16" s="141">
        <v>224244</v>
      </c>
      <c r="BD16" s="141">
        <v>253136.25</v>
      </c>
      <c r="BE16" s="141">
        <v>317972.25</v>
      </c>
      <c r="BF16" s="141">
        <v>525889.125</v>
      </c>
      <c r="BG16" s="141">
        <v>674794.125</v>
      </c>
      <c r="BH16" s="141">
        <v>848984.625</v>
      </c>
      <c r="BI16" s="141">
        <v>1010462.625</v>
      </c>
      <c r="BJ16" s="141">
        <v>1270455.75</v>
      </c>
      <c r="BK16" s="141">
        <v>1566228.375</v>
      </c>
      <c r="BL16" s="141">
        <v>1915990.875</v>
      </c>
      <c r="BM16" s="141">
        <v>2704948.875</v>
      </c>
      <c r="BO16" s="87"/>
      <c r="BQ16" s="1"/>
      <c r="BR16" s="2" t="s">
        <v>21</v>
      </c>
      <c r="BS16" s="141">
        <v>79286.900000000009</v>
      </c>
      <c r="BT16" s="141">
        <v>97089.3</v>
      </c>
      <c r="BU16" s="141">
        <v>121634.70000000001</v>
      </c>
      <c r="BV16" s="141">
        <v>134281.40000000002</v>
      </c>
      <c r="BW16" s="141">
        <v>146212</v>
      </c>
      <c r="BX16" s="141">
        <v>173184</v>
      </c>
      <c r="BY16" s="141">
        <v>190946.80000000002</v>
      </c>
      <c r="BZ16" s="141">
        <v>206708.7</v>
      </c>
      <c r="CA16" s="141">
        <v>233333.1</v>
      </c>
      <c r="CB16" s="141">
        <v>293080.7</v>
      </c>
      <c r="CC16" s="141">
        <v>484684.2</v>
      </c>
      <c r="CD16" s="141">
        <v>621903.70000000007</v>
      </c>
      <c r="CE16" s="141">
        <v>782423.4</v>
      </c>
      <c r="CF16" s="141">
        <v>931308.4</v>
      </c>
      <c r="CG16" s="141">
        <v>1170898.3</v>
      </c>
      <c r="CH16" s="141">
        <v>1443457.4000000001</v>
      </c>
      <c r="CI16" s="141">
        <v>1765769.5000000002</v>
      </c>
      <c r="CJ16" s="141">
        <v>2492810.1</v>
      </c>
      <c r="CN16" s="1"/>
      <c r="CO16" s="2" t="s">
        <v>21</v>
      </c>
      <c r="CP16" s="141">
        <v>72930.810000000012</v>
      </c>
      <c r="CQ16" s="141">
        <v>89300.430000000008</v>
      </c>
      <c r="CR16" s="141">
        <v>111889.59000000001</v>
      </c>
      <c r="CS16" s="141">
        <v>123517.71</v>
      </c>
      <c r="CT16" s="141">
        <v>134488.56</v>
      </c>
      <c r="CU16" s="141">
        <v>159308.95000000001</v>
      </c>
      <c r="CV16" s="141">
        <v>175643.69</v>
      </c>
      <c r="CW16" s="141">
        <v>190137.42</v>
      </c>
      <c r="CX16" s="141">
        <v>214618.82</v>
      </c>
      <c r="CY16" s="141">
        <v>269558.09000000003</v>
      </c>
      <c r="CZ16" s="141">
        <v>445746.78</v>
      </c>
      <c r="DA16" s="141">
        <v>571924.09000000008</v>
      </c>
      <c r="DB16" s="141">
        <v>719525.35000000009</v>
      </c>
      <c r="DC16" s="141">
        <v>856511.10000000009</v>
      </c>
      <c r="DD16" s="141">
        <v>1076819.72</v>
      </c>
      <c r="DE16" s="141">
        <v>1327445.6000000001</v>
      </c>
      <c r="DF16" s="141">
        <v>1623819.87</v>
      </c>
      <c r="DG16" s="141">
        <v>2292351.75</v>
      </c>
    </row>
    <row r="17" spans="1:111">
      <c r="A17" s="2" t="s">
        <v>13</v>
      </c>
      <c r="B17" t="s">
        <v>29</v>
      </c>
      <c r="C17" t="s">
        <v>30</v>
      </c>
      <c r="D17">
        <v>5</v>
      </c>
      <c r="E17" t="s">
        <v>46</v>
      </c>
      <c r="F17">
        <v>2</v>
      </c>
      <c r="G17">
        <v>1</v>
      </c>
      <c r="H17">
        <v>1</v>
      </c>
      <c r="I17">
        <v>1</v>
      </c>
      <c r="J17" s="4" t="s">
        <v>52</v>
      </c>
      <c r="K17" t="str">
        <f t="shared" si="0"/>
        <v>1+1</v>
      </c>
      <c r="L17">
        <f>VLOOKUP(A17,'ZONE 1 PREMIUM'!$A$4:$N$16,14,0)</f>
        <v>4</v>
      </c>
      <c r="M17">
        <f>VLOOKUP(D17,DROPDOWN!B:C,2,0)</f>
        <v>4</v>
      </c>
      <c r="N17" t="str">
        <f t="shared" si="1"/>
        <v>X20:AP31</v>
      </c>
      <c r="O17" s="4">
        <f t="shared" ca="1" si="2"/>
        <v>21637.25</v>
      </c>
      <c r="Q17" s="27" t="s">
        <v>125</v>
      </c>
      <c r="R17" s="90">
        <f>20%</f>
        <v>0.2</v>
      </c>
      <c r="S17" s="90">
        <f>IF('CALCULATOR CARE V6'!B17="YES",1-'CARE SHEET'!R17,1)</f>
        <v>0.8</v>
      </c>
      <c r="V17">
        <f ca="1">R11*S12*S17*S27</f>
        <v>149487.63580000002</v>
      </c>
      <c r="X17" s="1"/>
      <c r="Y17" s="1" t="s">
        <v>376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</row>
    <row r="18" spans="1:111">
      <c r="A18" s="2" t="s">
        <v>14</v>
      </c>
      <c r="B18" t="s">
        <v>31</v>
      </c>
      <c r="C18" t="s">
        <v>32</v>
      </c>
      <c r="D18">
        <v>5</v>
      </c>
      <c r="E18" t="s">
        <v>46</v>
      </c>
      <c r="F18">
        <v>2</v>
      </c>
      <c r="G18">
        <v>1</v>
      </c>
      <c r="H18">
        <v>1</v>
      </c>
      <c r="I18">
        <v>1</v>
      </c>
      <c r="J18" s="4" t="s">
        <v>52</v>
      </c>
      <c r="K18" t="str">
        <f t="shared" si="0"/>
        <v>1+1</v>
      </c>
      <c r="L18">
        <f>VLOOKUP(A18,'ZONE 1 PREMIUM'!$A$4:$N$16,14,0)</f>
        <v>5</v>
      </c>
      <c r="M18">
        <f>VLOOKUP(D18,DROPDOWN!B:C,2,0)</f>
        <v>4</v>
      </c>
      <c r="N18" t="str">
        <f t="shared" si="1"/>
        <v>X20:AP31</v>
      </c>
      <c r="O18" s="4">
        <f t="shared" ca="1" si="2"/>
        <v>25416.149999999998</v>
      </c>
      <c r="Q18" s="27" t="s">
        <v>126</v>
      </c>
      <c r="R18" s="4">
        <f>IF('CALCULATOR CARE V6'!B18="YES",INDEX('optional benefits'!B21:T30,MATCH('CARE SHEET'!R4,'optional benefits'!A21:A30,0),MATCH('CALCULATOR CARE V6'!B6,'optional benefits'!B20:T20,0)),0)</f>
        <v>31906.687031008278</v>
      </c>
      <c r="V18">
        <f ca="1">V17*V16</f>
        <v>12706.449043000002</v>
      </c>
      <c r="X18" s="5" t="s">
        <v>61</v>
      </c>
      <c r="Y18" s="1" t="s">
        <v>376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</row>
    <row r="19" spans="1:111">
      <c r="A19" s="2" t="s">
        <v>15</v>
      </c>
      <c r="B19" t="s">
        <v>33</v>
      </c>
      <c r="C19" t="s">
        <v>34</v>
      </c>
      <c r="D19">
        <v>5</v>
      </c>
      <c r="E19" t="s">
        <v>46</v>
      </c>
      <c r="F19">
        <v>2</v>
      </c>
      <c r="G19">
        <v>1</v>
      </c>
      <c r="H19">
        <v>1</v>
      </c>
      <c r="I19">
        <v>1</v>
      </c>
      <c r="J19" s="4" t="s">
        <v>52</v>
      </c>
      <c r="K19" t="str">
        <f t="shared" si="0"/>
        <v>1+1</v>
      </c>
      <c r="L19">
        <f>VLOOKUP(A19,'ZONE 1 PREMIUM'!$A$4:$N$16,14,0)</f>
        <v>6</v>
      </c>
      <c r="M19">
        <f>VLOOKUP(D19,DROPDOWN!B:C,2,0)</f>
        <v>4</v>
      </c>
      <c r="N19" t="str">
        <f t="shared" si="1"/>
        <v>X20:AP31</v>
      </c>
      <c r="O19" s="4">
        <f t="shared" ca="1" si="2"/>
        <v>30929.249999999996</v>
      </c>
      <c r="Q19" s="27" t="s">
        <v>127</v>
      </c>
      <c r="R19" s="4">
        <f ca="1">IF('CALCULATOR CARE V6'!B19="YES",'CARE SHEET'!V18,0)</f>
        <v>12706.449043000002</v>
      </c>
      <c r="W19" t="s">
        <v>364</v>
      </c>
      <c r="X19" s="1"/>
      <c r="Y19" s="153" t="s">
        <v>211</v>
      </c>
      <c r="Z19" s="153"/>
      <c r="AA19" s="143" t="s">
        <v>57</v>
      </c>
      <c r="AB19" s="143"/>
      <c r="AC19" s="143"/>
      <c r="AD19" s="144" t="s">
        <v>58</v>
      </c>
      <c r="AE19" s="144"/>
      <c r="AF19" s="144"/>
      <c r="AG19" s="144"/>
      <c r="AH19" s="144"/>
      <c r="AI19" s="142" t="s">
        <v>59</v>
      </c>
      <c r="AJ19" s="142"/>
      <c r="AK19" s="142"/>
      <c r="AL19" s="154" t="s">
        <v>176</v>
      </c>
      <c r="AM19" s="154"/>
      <c r="AN19" s="154"/>
      <c r="AO19" s="154"/>
      <c r="AP19" s="154"/>
      <c r="AT19" s="5" t="s">
        <v>61</v>
      </c>
      <c r="AU19" s="1"/>
      <c r="AV19" s="153" t="s">
        <v>211</v>
      </c>
      <c r="AW19" s="153"/>
      <c r="AX19" s="143" t="s">
        <v>57</v>
      </c>
      <c r="AY19" s="143"/>
      <c r="AZ19" s="143"/>
      <c r="BA19" s="144" t="s">
        <v>58</v>
      </c>
      <c r="BB19" s="144"/>
      <c r="BC19" s="144"/>
      <c r="BD19" s="144"/>
      <c r="BE19" s="144"/>
      <c r="BF19" s="142" t="s">
        <v>59</v>
      </c>
      <c r="BG19" s="142"/>
      <c r="BH19" s="142"/>
      <c r="BI19" s="154" t="s">
        <v>176</v>
      </c>
      <c r="BJ19" s="154"/>
      <c r="BK19" s="154"/>
      <c r="BL19" s="154"/>
      <c r="BM19" s="154"/>
      <c r="BQ19" s="5" t="s">
        <v>61</v>
      </c>
      <c r="BR19" s="1"/>
      <c r="BS19" s="148" t="s">
        <v>211</v>
      </c>
      <c r="BT19" s="149"/>
      <c r="BU19" s="145" t="s">
        <v>57</v>
      </c>
      <c r="BV19" s="146"/>
      <c r="BW19" s="147"/>
      <c r="BX19" s="150" t="s">
        <v>58</v>
      </c>
      <c r="BY19" s="151"/>
      <c r="BZ19" s="151"/>
      <c r="CA19" s="151"/>
      <c r="CB19" s="152"/>
      <c r="CC19" s="158" t="s">
        <v>59</v>
      </c>
      <c r="CD19" s="159"/>
      <c r="CE19" s="160"/>
      <c r="CF19" s="155" t="s">
        <v>176</v>
      </c>
      <c r="CG19" s="156"/>
      <c r="CH19" s="156"/>
      <c r="CI19" s="156"/>
      <c r="CJ19" s="157"/>
      <c r="CN19" s="5" t="s">
        <v>61</v>
      </c>
      <c r="CO19" s="1"/>
      <c r="CP19" s="153" t="s">
        <v>211</v>
      </c>
      <c r="CQ19" s="153"/>
      <c r="CR19" s="143" t="s">
        <v>57</v>
      </c>
      <c r="CS19" s="143"/>
      <c r="CT19" s="143"/>
      <c r="CU19" s="144" t="s">
        <v>58</v>
      </c>
      <c r="CV19" s="144"/>
      <c r="CW19" s="144"/>
      <c r="CX19" s="144"/>
      <c r="CY19" s="144"/>
      <c r="CZ19" s="142" t="s">
        <v>59</v>
      </c>
      <c r="DA19" s="142"/>
      <c r="DB19" s="142"/>
      <c r="DC19" s="154" t="s">
        <v>176</v>
      </c>
      <c r="DD19" s="154"/>
      <c r="DE19" s="154"/>
      <c r="DF19" s="154"/>
      <c r="DG19" s="154"/>
    </row>
    <row r="20" spans="1:111">
      <c r="A20" s="2" t="s">
        <v>16</v>
      </c>
      <c r="B20" t="s">
        <v>35</v>
      </c>
      <c r="C20" t="s">
        <v>36</v>
      </c>
      <c r="D20">
        <v>5</v>
      </c>
      <c r="E20" t="s">
        <v>46</v>
      </c>
      <c r="F20">
        <v>2</v>
      </c>
      <c r="G20">
        <v>1</v>
      </c>
      <c r="H20">
        <v>1</v>
      </c>
      <c r="I20">
        <v>1</v>
      </c>
      <c r="J20" s="4" t="s">
        <v>52</v>
      </c>
      <c r="K20" t="str">
        <f t="shared" si="0"/>
        <v>1+1</v>
      </c>
      <c r="L20">
        <f>VLOOKUP(A20,'ZONE 1 PREMIUM'!$A$4:$N$16,14,0)</f>
        <v>7</v>
      </c>
      <c r="M20">
        <f>VLOOKUP(D20,DROPDOWN!B:C,2,0)</f>
        <v>4</v>
      </c>
      <c r="N20" t="str">
        <f t="shared" si="1"/>
        <v>X20:AP31</v>
      </c>
      <c r="O20" s="4">
        <f t="shared" ca="1" si="2"/>
        <v>40040.699999999997</v>
      </c>
      <c r="Q20" s="27" t="s">
        <v>129</v>
      </c>
      <c r="R20" s="4">
        <f>IF('CALCULATOR CARE V6'!B20="YES",INDEX('optional benefits'!C35:L44,MATCH('CARE SHEET'!R4,'optional benefits'!B35:B44,0),MATCH('CALCULATOR CARE V6'!C20,'optional benefits'!C34:L34,0)),0)</f>
        <v>2285.3707657131267</v>
      </c>
      <c r="V20" s="73" t="s">
        <v>298</v>
      </c>
      <c r="W20">
        <f>VLOOKUP('CALCULATOR CARE V6'!C24,DROPDOWN!F5:G14,2,0)</f>
        <v>1</v>
      </c>
      <c r="X20" s="2" t="s">
        <v>60</v>
      </c>
      <c r="Y20" s="2" t="s">
        <v>243</v>
      </c>
      <c r="Z20" s="2" t="s">
        <v>244</v>
      </c>
      <c r="AA20" s="6" t="s">
        <v>70</v>
      </c>
      <c r="AB20" s="6" t="s">
        <v>71</v>
      </c>
      <c r="AC20" s="6" t="s">
        <v>72</v>
      </c>
      <c r="AD20" s="6" t="s">
        <v>73</v>
      </c>
      <c r="AE20" s="6" t="s">
        <v>74</v>
      </c>
      <c r="AF20" s="6" t="s">
        <v>75</v>
      </c>
      <c r="AG20" s="6" t="s">
        <v>76</v>
      </c>
      <c r="AH20" s="6" t="s">
        <v>77</v>
      </c>
      <c r="AI20" s="6" t="s">
        <v>78</v>
      </c>
      <c r="AJ20" s="6" t="s">
        <v>79</v>
      </c>
      <c r="AK20" s="6" t="s">
        <v>80</v>
      </c>
      <c r="AL20" s="2" t="s">
        <v>245</v>
      </c>
      <c r="AM20" s="2" t="s">
        <v>246</v>
      </c>
      <c r="AN20" s="2" t="s">
        <v>247</v>
      </c>
      <c r="AO20" s="2" t="s">
        <v>248</v>
      </c>
      <c r="AP20" s="2" t="s">
        <v>310</v>
      </c>
      <c r="AT20" s="1"/>
      <c r="AU20" s="2" t="s">
        <v>60</v>
      </c>
      <c r="AV20" s="2" t="s">
        <v>243</v>
      </c>
      <c r="AW20" s="2" t="s">
        <v>244</v>
      </c>
      <c r="AX20" s="6" t="s">
        <v>70</v>
      </c>
      <c r="AY20" s="6" t="s">
        <v>71</v>
      </c>
      <c r="AZ20" s="6" t="s">
        <v>72</v>
      </c>
      <c r="BA20" s="6" t="s">
        <v>73</v>
      </c>
      <c r="BB20" s="6" t="s">
        <v>74</v>
      </c>
      <c r="BC20" s="6" t="s">
        <v>75</v>
      </c>
      <c r="BD20" s="6" t="s">
        <v>76</v>
      </c>
      <c r="BE20" s="6" t="s">
        <v>77</v>
      </c>
      <c r="BF20" s="6" t="s">
        <v>78</v>
      </c>
      <c r="BG20" s="6" t="s">
        <v>79</v>
      </c>
      <c r="BH20" s="6" t="s">
        <v>80</v>
      </c>
      <c r="BI20" s="2" t="s">
        <v>245</v>
      </c>
      <c r="BJ20" s="2" t="s">
        <v>246</v>
      </c>
      <c r="BK20" s="2" t="s">
        <v>247</v>
      </c>
      <c r="BL20" s="2" t="s">
        <v>248</v>
      </c>
      <c r="BM20" s="2" t="s">
        <v>310</v>
      </c>
      <c r="BQ20" s="1"/>
      <c r="BR20" s="2" t="s">
        <v>60</v>
      </c>
      <c r="BS20" s="2" t="s">
        <v>243</v>
      </c>
      <c r="BT20" s="2" t="s">
        <v>244</v>
      </c>
      <c r="BU20" s="6" t="s">
        <v>70</v>
      </c>
      <c r="BV20" s="6" t="s">
        <v>71</v>
      </c>
      <c r="BW20" s="6" t="s">
        <v>72</v>
      </c>
      <c r="BX20" s="6" t="s">
        <v>73</v>
      </c>
      <c r="BY20" s="6" t="s">
        <v>74</v>
      </c>
      <c r="BZ20" s="6" t="s">
        <v>75</v>
      </c>
      <c r="CA20" s="6" t="s">
        <v>76</v>
      </c>
      <c r="CB20" s="6" t="s">
        <v>77</v>
      </c>
      <c r="CC20" s="6" t="s">
        <v>78</v>
      </c>
      <c r="CD20" s="6" t="s">
        <v>79</v>
      </c>
      <c r="CE20" s="6" t="s">
        <v>80</v>
      </c>
      <c r="CF20" s="2" t="s">
        <v>245</v>
      </c>
      <c r="CG20" s="2" t="s">
        <v>246</v>
      </c>
      <c r="CH20" s="2" t="s">
        <v>247</v>
      </c>
      <c r="CI20" s="2" t="s">
        <v>248</v>
      </c>
      <c r="CJ20" s="2" t="s">
        <v>310</v>
      </c>
      <c r="CN20" s="1"/>
      <c r="CO20" s="2" t="s">
        <v>60</v>
      </c>
      <c r="CP20" s="2" t="s">
        <v>243</v>
      </c>
      <c r="CQ20" s="2" t="s">
        <v>244</v>
      </c>
      <c r="CR20" s="6" t="s">
        <v>70</v>
      </c>
      <c r="CS20" s="6" t="s">
        <v>71</v>
      </c>
      <c r="CT20" s="6" t="s">
        <v>72</v>
      </c>
      <c r="CU20" s="6" t="s">
        <v>73</v>
      </c>
      <c r="CV20" s="6" t="s">
        <v>74</v>
      </c>
      <c r="CW20" s="6" t="s">
        <v>75</v>
      </c>
      <c r="CX20" s="6" t="s">
        <v>76</v>
      </c>
      <c r="CY20" s="6" t="s">
        <v>77</v>
      </c>
      <c r="CZ20" s="6" t="s">
        <v>78</v>
      </c>
      <c r="DA20" s="6" t="s">
        <v>79</v>
      </c>
      <c r="DB20" s="6" t="s">
        <v>80</v>
      </c>
      <c r="DC20" s="2" t="s">
        <v>245</v>
      </c>
      <c r="DD20" s="2" t="s">
        <v>246</v>
      </c>
      <c r="DE20" s="2" t="s">
        <v>247</v>
      </c>
      <c r="DF20" s="2" t="s">
        <v>248</v>
      </c>
      <c r="DG20" s="2" t="s">
        <v>310</v>
      </c>
    </row>
    <row r="21" spans="1:111">
      <c r="A21" s="2" t="s">
        <v>17</v>
      </c>
      <c r="B21" t="s">
        <v>37</v>
      </c>
      <c r="C21" t="s">
        <v>38</v>
      </c>
      <c r="D21">
        <v>5</v>
      </c>
      <c r="E21" t="s">
        <v>46</v>
      </c>
      <c r="F21">
        <v>2</v>
      </c>
      <c r="G21">
        <v>1</v>
      </c>
      <c r="H21">
        <v>1</v>
      </c>
      <c r="I21">
        <v>1</v>
      </c>
      <c r="J21" s="4" t="s">
        <v>52</v>
      </c>
      <c r="K21" t="str">
        <f t="shared" si="0"/>
        <v>1+1</v>
      </c>
      <c r="L21">
        <f>VLOOKUP(A21,'ZONE 1 PREMIUM'!$A$4:$N$16,14,0)</f>
        <v>8</v>
      </c>
      <c r="M21">
        <f>VLOOKUP(D21,DROPDOWN!B:C,2,0)</f>
        <v>4</v>
      </c>
      <c r="N21" t="str">
        <f t="shared" si="1"/>
        <v>X20:AP31</v>
      </c>
      <c r="O21" s="4">
        <f t="shared" ca="1" si="2"/>
        <v>54439.85</v>
      </c>
      <c r="Q21" s="27" t="s">
        <v>128</v>
      </c>
      <c r="R21" s="4">
        <f>IF('CALCULATOR CARE V6'!B21="YES",'optional benefits'!C59*'CARE SHEET'!S17*S27,0)</f>
        <v>0</v>
      </c>
      <c r="U21" t="str">
        <f>VLOOKUP('CALCULATOR CARE V6'!H3,DROPDOWN!$K:$N,4,0)</f>
        <v>Upto 45 Years</v>
      </c>
      <c r="V21">
        <f>IF('CALCULATOR CARE V6'!I3="YES",VLOOKUP(U21,'optional benefits'!$A$115:$C$118,2,0)*$W$20,0)</f>
        <v>413.08982072297061</v>
      </c>
      <c r="W21" t="e">
        <f>IF('CALCULATOR CARE V6'!I3="yes",INDEX('ADD SI'!$B$45:$AB$49,MATCH('CARE SHEET'!U21,'ADD SI'!$B$45:$B$49,0),MATCH('CARE SHEET'!$T$3,'ADD SI'!$B$45:$Q$45,0)),0)</f>
        <v>#N/A</v>
      </c>
      <c r="X21" s="2" t="s">
        <v>11</v>
      </c>
      <c r="Y21" s="141">
        <v>11110.15</v>
      </c>
      <c r="Z21" s="141">
        <v>13517.099999999999</v>
      </c>
      <c r="AA21" s="141">
        <v>16951</v>
      </c>
      <c r="AB21" s="141">
        <v>17891.699999999997</v>
      </c>
      <c r="AC21" s="141">
        <v>19245.25</v>
      </c>
      <c r="AD21" s="141">
        <v>24315.599999999999</v>
      </c>
      <c r="AE21" s="141">
        <v>26655.85</v>
      </c>
      <c r="AF21" s="141">
        <v>28694.799999999999</v>
      </c>
      <c r="AG21" s="141">
        <v>31984.949999999997</v>
      </c>
      <c r="AH21" s="141">
        <v>39652</v>
      </c>
      <c r="AI21" s="141">
        <v>76208.2</v>
      </c>
      <c r="AJ21" s="141">
        <v>92630.2</v>
      </c>
      <c r="AK21" s="141">
        <v>111071.59999999999</v>
      </c>
      <c r="AL21" s="141">
        <v>162783.65</v>
      </c>
      <c r="AM21" s="141">
        <v>192907.9</v>
      </c>
      <c r="AN21" s="141">
        <v>226178.55</v>
      </c>
      <c r="AO21" s="141">
        <v>264723.09999999998</v>
      </c>
      <c r="AP21" s="141">
        <v>353329.44999999995</v>
      </c>
      <c r="AT21" s="1"/>
      <c r="AU21" s="2" t="s">
        <v>11</v>
      </c>
      <c r="AV21" s="141">
        <v>9869.625</v>
      </c>
      <c r="AW21" s="141">
        <v>12001.5</v>
      </c>
      <c r="AX21" s="141">
        <v>15058.125</v>
      </c>
      <c r="AY21" s="141">
        <v>15889.5</v>
      </c>
      <c r="AZ21" s="141">
        <v>17087.625</v>
      </c>
      <c r="BA21" s="141">
        <v>21592.125</v>
      </c>
      <c r="BB21" s="141">
        <v>23664.375</v>
      </c>
      <c r="BC21" s="141">
        <v>25470</v>
      </c>
      <c r="BD21" s="141">
        <v>28383.75</v>
      </c>
      <c r="BE21" s="141">
        <v>35173.125</v>
      </c>
      <c r="BF21" s="141">
        <v>67545</v>
      </c>
      <c r="BG21" s="141">
        <v>82086.75</v>
      </c>
      <c r="BH21" s="141">
        <v>98417.25</v>
      </c>
      <c r="BI21" s="141">
        <v>145074.375</v>
      </c>
      <c r="BJ21" s="141">
        <v>171749.25</v>
      </c>
      <c r="BK21" s="141">
        <v>201211.875</v>
      </c>
      <c r="BL21" s="141">
        <v>235343.25</v>
      </c>
      <c r="BM21" s="141">
        <v>313807.5</v>
      </c>
      <c r="BQ21" s="1"/>
      <c r="BR21" s="2" t="s">
        <v>11</v>
      </c>
      <c r="BS21" s="141">
        <v>9111.3000000000011</v>
      </c>
      <c r="BT21" s="141">
        <v>11075.900000000001</v>
      </c>
      <c r="BU21" s="141">
        <v>13900.7</v>
      </c>
      <c r="BV21" s="141">
        <v>14666.300000000001</v>
      </c>
      <c r="BW21" s="141">
        <v>15770.7</v>
      </c>
      <c r="BX21" s="141">
        <v>19929.800000000003</v>
      </c>
      <c r="BY21" s="141">
        <v>21839.4</v>
      </c>
      <c r="BZ21" s="141">
        <v>23502.600000000002</v>
      </c>
      <c r="CA21" s="141">
        <v>26187.7</v>
      </c>
      <c r="CB21" s="141">
        <v>32444.500000000004</v>
      </c>
      <c r="CC21" s="141">
        <v>62275.4</v>
      </c>
      <c r="CD21" s="141">
        <v>75676.700000000012</v>
      </c>
      <c r="CE21" s="141">
        <v>90724.700000000012</v>
      </c>
      <c r="CF21" s="141">
        <v>134174.70000000001</v>
      </c>
      <c r="CG21" s="141">
        <v>158757.5</v>
      </c>
      <c r="CH21" s="141">
        <v>185906.6</v>
      </c>
      <c r="CI21" s="141">
        <v>217360.00000000003</v>
      </c>
      <c r="CJ21" s="141">
        <v>289666.30000000005</v>
      </c>
      <c r="CN21" s="1"/>
      <c r="CO21" s="2" t="s">
        <v>11</v>
      </c>
      <c r="CP21" s="141">
        <v>8395.18</v>
      </c>
      <c r="CQ21" s="141">
        <v>10201.310000000001</v>
      </c>
      <c r="CR21" s="141">
        <v>12807.500000000002</v>
      </c>
      <c r="CS21" s="141">
        <v>13510.550000000001</v>
      </c>
      <c r="CT21" s="141">
        <v>14526.43</v>
      </c>
      <c r="CU21" s="141">
        <v>18357.780000000002</v>
      </c>
      <c r="CV21" s="141">
        <v>20113.77</v>
      </c>
      <c r="CW21" s="141">
        <v>21644.13</v>
      </c>
      <c r="CX21" s="141">
        <v>24112.980000000003</v>
      </c>
      <c r="CY21" s="141">
        <v>29866.000000000004</v>
      </c>
      <c r="CZ21" s="141">
        <v>57295.850000000006</v>
      </c>
      <c r="DA21" s="141">
        <v>69618.3</v>
      </c>
      <c r="DB21" s="141">
        <v>83455.850000000006</v>
      </c>
      <c r="DC21" s="141">
        <v>123869.78000000001</v>
      </c>
      <c r="DD21" s="141">
        <v>146473.11000000002</v>
      </c>
      <c r="DE21" s="141">
        <v>171438.47</v>
      </c>
      <c r="DF21" s="141">
        <v>200360.53000000003</v>
      </c>
      <c r="DG21" s="141">
        <v>266847.26</v>
      </c>
    </row>
    <row r="22" spans="1:111">
      <c r="A22" s="2" t="s">
        <v>18</v>
      </c>
      <c r="B22" t="s">
        <v>39</v>
      </c>
      <c r="C22" t="s">
        <v>40</v>
      </c>
      <c r="D22">
        <v>5</v>
      </c>
      <c r="E22" t="s">
        <v>46</v>
      </c>
      <c r="F22">
        <v>2</v>
      </c>
      <c r="G22">
        <v>1</v>
      </c>
      <c r="H22">
        <v>1</v>
      </c>
      <c r="I22">
        <v>1</v>
      </c>
      <c r="J22" s="4" t="s">
        <v>52</v>
      </c>
      <c r="K22" t="str">
        <f t="shared" si="0"/>
        <v>1+1</v>
      </c>
      <c r="L22">
        <f>VLOOKUP(A22,'ZONE 1 PREMIUM'!$A$4:$N$16,14,0)</f>
        <v>9</v>
      </c>
      <c r="M22">
        <f>VLOOKUP(D22,DROPDOWN!B:C,2,0)</f>
        <v>4</v>
      </c>
      <c r="N22" t="str">
        <f t="shared" si="1"/>
        <v>X20:AP31</v>
      </c>
      <c r="O22" s="4">
        <f t="shared" ca="1" si="2"/>
        <v>73485</v>
      </c>
      <c r="Q22" s="27" t="s">
        <v>130</v>
      </c>
      <c r="R22" s="4">
        <f>IF('CALCULATOR CARE V6'!B22="YES",'optional benefits'!C81*'CALCULATOR CARE V6'!K10,0)</f>
        <v>0</v>
      </c>
      <c r="U22" t="str">
        <f>VLOOKUP('CALCULATOR CARE V6'!H4,DROPDOWN!$K:$N,4,0)</f>
        <v>Upto 45 Years</v>
      </c>
      <c r="V22">
        <f>IF('CALCULATOR CARE V6'!I4="YES",VLOOKUP(U22,'optional benefits'!$A$115:$C$118,2,0)*$W$20,0)</f>
        <v>0</v>
      </c>
      <c r="W22">
        <f>IF('CALCULATOR CARE V6'!I4="yes",INDEX('ADD SI'!$B$45:$AB$49,MATCH('CARE SHEET'!U22,'ADD SI'!$B$45:$B$49,0),MATCH('CARE SHEET'!$T$3,'ADD SI'!$B$45:$Q$45,0)),0)</f>
        <v>0</v>
      </c>
      <c r="X22" s="2" t="s">
        <v>12</v>
      </c>
      <c r="Y22" s="141">
        <v>12390.099999999999</v>
      </c>
      <c r="Z22" s="141">
        <v>14867.199999999999</v>
      </c>
      <c r="AA22" s="141">
        <v>18759.949999999997</v>
      </c>
      <c r="AB22" s="141">
        <v>19804.149999999998</v>
      </c>
      <c r="AC22" s="141">
        <v>21307.199999999997</v>
      </c>
      <c r="AD22" s="141">
        <v>26939.899999999998</v>
      </c>
      <c r="AE22" s="141">
        <v>29420.449999999997</v>
      </c>
      <c r="AF22" s="141">
        <v>31580.149999999998</v>
      </c>
      <c r="AG22" s="141">
        <v>35203.799999999996</v>
      </c>
      <c r="AH22" s="141">
        <v>43627.549999999996</v>
      </c>
      <c r="AI22" s="141">
        <v>83941.95</v>
      </c>
      <c r="AJ22" s="141">
        <v>102738.7</v>
      </c>
      <c r="AK22" s="141">
        <v>124190.79999999999</v>
      </c>
      <c r="AL22" s="141">
        <v>177019.5</v>
      </c>
      <c r="AM22" s="141">
        <v>210804.19999999998</v>
      </c>
      <c r="AN22" s="141">
        <v>248230.94999999998</v>
      </c>
      <c r="AO22" s="141">
        <v>291671.05</v>
      </c>
      <c r="AP22" s="141">
        <v>391385.24999999994</v>
      </c>
      <c r="AT22" s="1"/>
      <c r="AU22" s="2" t="s">
        <v>12</v>
      </c>
      <c r="AV22" s="141">
        <v>11010.375</v>
      </c>
      <c r="AW22" s="141">
        <v>13204.125</v>
      </c>
      <c r="AX22" s="141">
        <v>16673.625</v>
      </c>
      <c r="AY22" s="141">
        <v>17596.125</v>
      </c>
      <c r="AZ22" s="141">
        <v>18927</v>
      </c>
      <c r="BA22" s="141">
        <v>23936.625</v>
      </c>
      <c r="BB22" s="141">
        <v>26131.5</v>
      </c>
      <c r="BC22" s="141">
        <v>28045.125</v>
      </c>
      <c r="BD22" s="141">
        <v>31253.625</v>
      </c>
      <c r="BE22" s="141">
        <v>38713.5</v>
      </c>
      <c r="BF22" s="141">
        <v>74413.125</v>
      </c>
      <c r="BG22" s="141">
        <v>91057.5</v>
      </c>
      <c r="BH22" s="141">
        <v>110054.25</v>
      </c>
      <c r="BI22" s="141">
        <v>157686.75</v>
      </c>
      <c r="BJ22" s="141">
        <v>187605</v>
      </c>
      <c r="BK22" s="141">
        <v>220746.375</v>
      </c>
      <c r="BL22" s="141">
        <v>259214.625</v>
      </c>
      <c r="BM22" s="141">
        <v>347514.75</v>
      </c>
      <c r="BQ22" s="1"/>
      <c r="BR22" s="2" t="s">
        <v>12</v>
      </c>
      <c r="BS22" s="141">
        <v>10167.300000000001</v>
      </c>
      <c r="BT22" s="141">
        <v>12188.000000000002</v>
      </c>
      <c r="BU22" s="141">
        <v>15397.800000000001</v>
      </c>
      <c r="BV22" s="141">
        <v>16247.000000000002</v>
      </c>
      <c r="BW22" s="141">
        <v>17473.5</v>
      </c>
      <c r="BX22" s="141">
        <v>22099</v>
      </c>
      <c r="BY22" s="141">
        <v>24123.000000000004</v>
      </c>
      <c r="BZ22" s="141">
        <v>25886.300000000003</v>
      </c>
      <c r="CA22" s="141">
        <v>28843.100000000002</v>
      </c>
      <c r="CB22" s="141">
        <v>35717</v>
      </c>
      <c r="CC22" s="141">
        <v>68614.700000000012</v>
      </c>
      <c r="CD22" s="141">
        <v>83953.1</v>
      </c>
      <c r="CE22" s="141">
        <v>101458.50000000001</v>
      </c>
      <c r="CF22" s="141">
        <v>145801.70000000001</v>
      </c>
      <c r="CG22" s="141">
        <v>173372.1</v>
      </c>
      <c r="CH22" s="141">
        <v>203912.50000000003</v>
      </c>
      <c r="CI22" s="141">
        <v>239362.2</v>
      </c>
      <c r="CJ22" s="141">
        <v>320731.40000000002</v>
      </c>
      <c r="CN22" s="1"/>
      <c r="CO22" s="2" t="s">
        <v>12</v>
      </c>
      <c r="CP22" s="141">
        <v>9369.6400000000012</v>
      </c>
      <c r="CQ22" s="141">
        <v>11228.09</v>
      </c>
      <c r="CR22" s="141">
        <v>14190.710000000001</v>
      </c>
      <c r="CS22" s="141">
        <v>14971.150000000001</v>
      </c>
      <c r="CT22" s="141">
        <v>16098.210000000001</v>
      </c>
      <c r="CU22" s="141">
        <v>20363.38</v>
      </c>
      <c r="CV22" s="141">
        <v>22224.010000000002</v>
      </c>
      <c r="CW22" s="141">
        <v>23844.84</v>
      </c>
      <c r="CX22" s="141">
        <v>26564.390000000003</v>
      </c>
      <c r="CY22" s="141">
        <v>32885.300000000003</v>
      </c>
      <c r="CZ22" s="141">
        <v>63136.070000000007</v>
      </c>
      <c r="DA22" s="141">
        <v>77239.58</v>
      </c>
      <c r="DB22" s="141">
        <v>93336.700000000012</v>
      </c>
      <c r="DC22" s="141">
        <v>134564.86000000002</v>
      </c>
      <c r="DD22" s="141">
        <v>159916.08000000002</v>
      </c>
      <c r="DE22" s="141">
        <v>187998.84000000003</v>
      </c>
      <c r="DF22" s="141">
        <v>220595.29</v>
      </c>
      <c r="DG22" s="141">
        <v>295416.16000000003</v>
      </c>
    </row>
    <row r="23" spans="1:111">
      <c r="A23" s="2" t="s">
        <v>19</v>
      </c>
      <c r="B23" t="s">
        <v>41</v>
      </c>
      <c r="C23" t="s">
        <v>42</v>
      </c>
      <c r="D23">
        <v>5</v>
      </c>
      <c r="E23" t="s">
        <v>46</v>
      </c>
      <c r="F23">
        <v>2</v>
      </c>
      <c r="G23">
        <v>1</v>
      </c>
      <c r="H23">
        <v>1</v>
      </c>
      <c r="I23">
        <v>1</v>
      </c>
      <c r="J23" s="4" t="s">
        <v>52</v>
      </c>
      <c r="K23" t="str">
        <f t="shared" si="0"/>
        <v>1+1</v>
      </c>
      <c r="L23">
        <f>VLOOKUP(A23,'ZONE 1 PREMIUM'!$A$4:$N$16,14,0)</f>
        <v>10</v>
      </c>
      <c r="M23">
        <f>VLOOKUP(D23,DROPDOWN!B:C,2,0)</f>
        <v>4</v>
      </c>
      <c r="N23" t="str">
        <f t="shared" si="1"/>
        <v>X20:AP31</v>
      </c>
      <c r="O23" s="4">
        <f t="shared" ca="1" si="2"/>
        <v>95891.599999999991</v>
      </c>
      <c r="Q23" s="27" t="s">
        <v>204</v>
      </c>
      <c r="R23">
        <f>IF('CALCULATOR CARE V6'!B23="YES",'optional benefits'!C126,0)</f>
        <v>0</v>
      </c>
      <c r="U23" t="str">
        <f>VLOOKUP('CALCULATOR CARE V6'!H5,DROPDOWN!$K:$N,4,0)</f>
        <v>Upto 45 Years</v>
      </c>
      <c r="V23">
        <f>IF('CALCULATOR CARE V6'!I5="YES",VLOOKUP(U23,'optional benefits'!$A$115:$C$118,2,0)*$W$20,0)</f>
        <v>0</v>
      </c>
      <c r="W23">
        <f>IF('CALCULATOR CARE V6'!I5="yes",INDEX('ADD SI'!$B$45:$AB$49,MATCH('CARE SHEET'!U23,'ADD SI'!$B$45:$B$49,0),MATCH('CARE SHEET'!$T$3,'ADD SI'!$B$45:$Q$45,0)),0)</f>
        <v>0</v>
      </c>
      <c r="X23" s="2" t="s">
        <v>13</v>
      </c>
      <c r="Y23" s="141">
        <v>14143.849999999999</v>
      </c>
      <c r="Z23" s="141">
        <v>17045.3</v>
      </c>
      <c r="AA23" s="141">
        <v>21637.25</v>
      </c>
      <c r="AB23" s="141">
        <v>22866.6</v>
      </c>
      <c r="AC23" s="141">
        <v>24628.399999999998</v>
      </c>
      <c r="AD23" s="141">
        <v>31174.199999999997</v>
      </c>
      <c r="AE23" s="141">
        <v>34083.699999999997</v>
      </c>
      <c r="AF23" s="141">
        <v>36626.35</v>
      </c>
      <c r="AG23" s="141">
        <v>40872.149999999994</v>
      </c>
      <c r="AH23" s="141">
        <v>50711.549999999996</v>
      </c>
      <c r="AI23" s="141">
        <v>89686.2</v>
      </c>
      <c r="AJ23" s="141">
        <v>111702.95</v>
      </c>
      <c r="AK23" s="141">
        <v>136874.15</v>
      </c>
      <c r="AL23" s="141">
        <v>186281.59999999998</v>
      </c>
      <c r="AM23" s="141">
        <v>225271.19999999998</v>
      </c>
      <c r="AN23" s="141">
        <v>268631.94999999995</v>
      </c>
      <c r="AO23" s="141">
        <v>319087.05</v>
      </c>
      <c r="AP23" s="141">
        <v>434709.19999999995</v>
      </c>
      <c r="AT23" s="1"/>
      <c r="AU23" s="2" t="s">
        <v>13</v>
      </c>
      <c r="AV23" s="141">
        <v>12564</v>
      </c>
      <c r="AW23" s="141">
        <v>15133.5</v>
      </c>
      <c r="AX23" s="141">
        <v>19225.125</v>
      </c>
      <c r="AY23" s="141">
        <v>20311.875</v>
      </c>
      <c r="AZ23" s="141">
        <v>21871.125</v>
      </c>
      <c r="BA23" s="141">
        <v>27690.75</v>
      </c>
      <c r="BB23" s="141">
        <v>30268.125</v>
      </c>
      <c r="BC23" s="141">
        <v>32519.25</v>
      </c>
      <c r="BD23" s="141">
        <v>36279</v>
      </c>
      <c r="BE23" s="141">
        <v>44992.125</v>
      </c>
      <c r="BF23" s="141">
        <v>79504.875</v>
      </c>
      <c r="BG23" s="141">
        <v>99002.25</v>
      </c>
      <c r="BH23" s="141">
        <v>121291.875</v>
      </c>
      <c r="BI23" s="141">
        <v>165692.25</v>
      </c>
      <c r="BJ23" s="141">
        <v>200218.5</v>
      </c>
      <c r="BK23" s="141">
        <v>238615.875</v>
      </c>
      <c r="BL23" s="141">
        <v>283295.25</v>
      </c>
      <c r="BM23" s="141">
        <v>385681.5</v>
      </c>
      <c r="BQ23" s="1"/>
      <c r="BR23" s="2" t="s">
        <v>13</v>
      </c>
      <c r="BS23" s="141">
        <v>11598.400000000001</v>
      </c>
      <c r="BT23" s="141">
        <v>13966.7</v>
      </c>
      <c r="BU23" s="141">
        <v>17750.7</v>
      </c>
      <c r="BV23" s="141">
        <v>18750.600000000002</v>
      </c>
      <c r="BW23" s="141">
        <v>20188.300000000003</v>
      </c>
      <c r="BX23" s="141">
        <v>25562.9</v>
      </c>
      <c r="BY23" s="141">
        <v>27937.800000000003</v>
      </c>
      <c r="BZ23" s="141">
        <v>30012.400000000001</v>
      </c>
      <c r="CA23" s="141">
        <v>33477.4</v>
      </c>
      <c r="CB23" s="141">
        <v>41506.300000000003</v>
      </c>
      <c r="CC23" s="141">
        <v>73310.600000000006</v>
      </c>
      <c r="CD23" s="141">
        <v>91276.900000000009</v>
      </c>
      <c r="CE23" s="141">
        <v>111818.3</v>
      </c>
      <c r="CF23" s="141">
        <v>153074.90000000002</v>
      </c>
      <c r="CG23" s="141">
        <v>184891.30000000002</v>
      </c>
      <c r="CH23" s="141">
        <v>220275.00000000003</v>
      </c>
      <c r="CI23" s="141">
        <v>261448.00000000003</v>
      </c>
      <c r="CJ23" s="141">
        <v>355799.4</v>
      </c>
      <c r="CN23" s="1"/>
      <c r="CO23" s="2" t="s">
        <v>13</v>
      </c>
      <c r="CP23" s="141">
        <v>10686.36</v>
      </c>
      <c r="CQ23" s="141">
        <v>12864.18</v>
      </c>
      <c r="CR23" s="141">
        <v>16356.54</v>
      </c>
      <c r="CS23" s="141">
        <v>17275.41</v>
      </c>
      <c r="CT23" s="141">
        <v>18596.490000000002</v>
      </c>
      <c r="CU23" s="141">
        <v>23551.63</v>
      </c>
      <c r="CV23" s="141">
        <v>25734.9</v>
      </c>
      <c r="CW23" s="141">
        <v>27642.400000000001</v>
      </c>
      <c r="CX23" s="141">
        <v>30828.47</v>
      </c>
      <c r="CY23" s="141">
        <v>38212.130000000005</v>
      </c>
      <c r="CZ23" s="141">
        <v>67456.83</v>
      </c>
      <c r="DA23" s="141">
        <v>83976.87000000001</v>
      </c>
      <c r="DB23" s="141">
        <v>102864.39000000001</v>
      </c>
      <c r="DC23" s="141">
        <v>141147.37000000002</v>
      </c>
      <c r="DD23" s="141">
        <v>170402.97</v>
      </c>
      <c r="DE23" s="141">
        <v>202939.47</v>
      </c>
      <c r="DF23" s="141">
        <v>240798.44000000003</v>
      </c>
      <c r="DG23" s="141">
        <v>327556.99000000005</v>
      </c>
    </row>
    <row r="24" spans="1:111">
      <c r="A24" s="2" t="s">
        <v>20</v>
      </c>
      <c r="B24" t="s">
        <v>43</v>
      </c>
      <c r="C24" t="s">
        <v>44</v>
      </c>
      <c r="D24">
        <v>5</v>
      </c>
      <c r="E24" t="s">
        <v>46</v>
      </c>
      <c r="F24">
        <v>2</v>
      </c>
      <c r="G24">
        <v>1</v>
      </c>
      <c r="H24">
        <v>1</v>
      </c>
      <c r="I24">
        <v>1</v>
      </c>
      <c r="J24" s="4" t="s">
        <v>52</v>
      </c>
      <c r="K24" t="str">
        <f t="shared" si="0"/>
        <v>1+1</v>
      </c>
      <c r="L24">
        <f>VLOOKUP(A24,'ZONE 1 PREMIUM'!$A$4:$N$16,14,0)</f>
        <v>11</v>
      </c>
      <c r="M24">
        <f>VLOOKUP(D24,DROPDOWN!B:C,2,0)</f>
        <v>4</v>
      </c>
      <c r="N24" t="str">
        <f t="shared" si="1"/>
        <v>X20:AP31</v>
      </c>
      <c r="O24" s="4">
        <f ca="1">INDEX(INDIRECT($N$24),$L$24,$M$24)</f>
        <v>112788.54999999999</v>
      </c>
      <c r="Q24" s="27" t="s">
        <v>193</v>
      </c>
      <c r="R24">
        <f>IF('CALCULATOR CARE V6'!B24="YES",V41*S12*S14*S16,0)</f>
        <v>0</v>
      </c>
      <c r="U24" t="str">
        <f>VLOOKUP('CALCULATOR CARE V6'!H6,DROPDOWN!$K:$N,4,0)</f>
        <v>Upto 45 Years</v>
      </c>
      <c r="V24">
        <f>IF('CALCULATOR CARE V6'!I6="YES",VLOOKUP(U24,'optional benefits'!$A$115:$C$118,2,0)*$W$20,0)</f>
        <v>0</v>
      </c>
      <c r="W24">
        <f>IF('CALCULATOR CARE V6'!I6="yes",INDEX('ADD SI'!$B$45:$AB$49,MATCH('CARE SHEET'!U24,'ADD SI'!$B$45:$B$49,0),MATCH('CARE SHEET'!$T$3,'ADD SI'!$B$45:$Q$45,0)),0)</f>
        <v>0</v>
      </c>
      <c r="X24" s="2" t="s">
        <v>14</v>
      </c>
      <c r="Y24" s="141">
        <v>16495.599999999999</v>
      </c>
      <c r="Z24" s="141">
        <v>19943.3</v>
      </c>
      <c r="AA24" s="141">
        <v>25416.149999999998</v>
      </c>
      <c r="AB24" s="141">
        <v>26891.599999999999</v>
      </c>
      <c r="AC24" s="141">
        <v>28992.649999999998</v>
      </c>
      <c r="AD24" s="141">
        <v>36714.899999999994</v>
      </c>
      <c r="AE24" s="141">
        <v>40097.049999999996</v>
      </c>
      <c r="AF24" s="141">
        <v>43018.049999999996</v>
      </c>
      <c r="AG24" s="141">
        <v>48057.35</v>
      </c>
      <c r="AH24" s="141">
        <v>59696.499999999993</v>
      </c>
      <c r="AI24" s="141">
        <v>103625.34999999999</v>
      </c>
      <c r="AJ24" s="141">
        <v>129909.74999999999</v>
      </c>
      <c r="AK24" s="141">
        <v>160013.29999999999</v>
      </c>
      <c r="AL24" s="141">
        <v>204763.24999999997</v>
      </c>
      <c r="AM24" s="141">
        <v>250572.34999999998</v>
      </c>
      <c r="AN24" s="141">
        <v>301684.09999999998</v>
      </c>
      <c r="AO24" s="141">
        <v>361281.69999999995</v>
      </c>
      <c r="AP24" s="141">
        <v>497629.14999999997</v>
      </c>
      <c r="AT24" s="1"/>
      <c r="AU24" s="2" t="s">
        <v>14</v>
      </c>
      <c r="AV24" s="141">
        <v>14649.75</v>
      </c>
      <c r="AW24" s="141">
        <v>17701.875</v>
      </c>
      <c r="AX24" s="141">
        <v>22576.5</v>
      </c>
      <c r="AY24" s="141">
        <v>23880.375</v>
      </c>
      <c r="AZ24" s="141">
        <v>25742.25</v>
      </c>
      <c r="BA24" s="141">
        <v>32605.875</v>
      </c>
      <c r="BB24" s="141">
        <v>35599.5</v>
      </c>
      <c r="BC24" s="141">
        <v>38187</v>
      </c>
      <c r="BD24" s="141">
        <v>42649.875</v>
      </c>
      <c r="BE24" s="141">
        <v>52956</v>
      </c>
      <c r="BF24" s="141">
        <v>91857.375</v>
      </c>
      <c r="BG24" s="141">
        <v>115131.375</v>
      </c>
      <c r="BH24" s="141">
        <v>141789.375</v>
      </c>
      <c r="BI24" s="141">
        <v>181846.125</v>
      </c>
      <c r="BJ24" s="141">
        <v>222411.375</v>
      </c>
      <c r="BK24" s="141">
        <v>267672.375</v>
      </c>
      <c r="BL24" s="141">
        <v>320448.375</v>
      </c>
      <c r="BM24" s="141">
        <v>441187.875</v>
      </c>
      <c r="BQ24" s="1"/>
      <c r="BR24" s="2" t="s">
        <v>14</v>
      </c>
      <c r="BS24" s="141">
        <v>13522.300000000001</v>
      </c>
      <c r="BT24" s="141">
        <v>16335.000000000002</v>
      </c>
      <c r="BU24" s="141">
        <v>20841.7</v>
      </c>
      <c r="BV24" s="141">
        <v>22041.800000000003</v>
      </c>
      <c r="BW24" s="141">
        <v>23756.7</v>
      </c>
      <c r="BX24" s="141">
        <v>30096.000000000004</v>
      </c>
      <c r="BY24" s="141">
        <v>32854.800000000003</v>
      </c>
      <c r="BZ24" s="141">
        <v>35238.5</v>
      </c>
      <c r="CA24" s="141">
        <v>39351.4</v>
      </c>
      <c r="CB24" s="141">
        <v>48849.9</v>
      </c>
      <c r="CC24" s="141">
        <v>84696.700000000012</v>
      </c>
      <c r="CD24" s="141">
        <v>106145.60000000001</v>
      </c>
      <c r="CE24" s="141">
        <v>130710.80000000002</v>
      </c>
      <c r="CF24" s="141">
        <v>167849</v>
      </c>
      <c r="CG24" s="141">
        <v>205231.40000000002</v>
      </c>
      <c r="CH24" s="141">
        <v>246940.1</v>
      </c>
      <c r="CI24" s="141">
        <v>295574.40000000002</v>
      </c>
      <c r="CJ24" s="141">
        <v>406838.30000000005</v>
      </c>
      <c r="CN24" s="1"/>
      <c r="CO24" s="2" t="s">
        <v>14</v>
      </c>
      <c r="CP24" s="141">
        <v>12455.43</v>
      </c>
      <c r="CQ24" s="141">
        <v>15042.000000000002</v>
      </c>
      <c r="CR24" s="141">
        <v>19201.440000000002</v>
      </c>
      <c r="CS24" s="141">
        <v>20303.43</v>
      </c>
      <c r="CT24" s="141">
        <v>21880.66</v>
      </c>
      <c r="CU24" s="141">
        <v>27723.06</v>
      </c>
      <c r="CV24" s="141">
        <v>30260.58</v>
      </c>
      <c r="CW24" s="141">
        <v>32452.570000000003</v>
      </c>
      <c r="CX24" s="141">
        <v>36234.870000000003</v>
      </c>
      <c r="CY24" s="141">
        <v>44967.950000000004</v>
      </c>
      <c r="CZ24" s="141">
        <v>77930.64</v>
      </c>
      <c r="DA24" s="141">
        <v>97653.1</v>
      </c>
      <c r="DB24" s="141">
        <v>120241.17000000001</v>
      </c>
      <c r="DC24" s="141">
        <v>154619.77000000002</v>
      </c>
      <c r="DD24" s="141">
        <v>188992.92</v>
      </c>
      <c r="DE24" s="141">
        <v>227345.66</v>
      </c>
      <c r="DF24" s="141">
        <v>272066.18</v>
      </c>
      <c r="DG24" s="141">
        <v>374375.76</v>
      </c>
    </row>
    <row r="25" spans="1:111">
      <c r="A25" s="2" t="s">
        <v>21</v>
      </c>
      <c r="B25" t="s">
        <v>22</v>
      </c>
      <c r="D25">
        <v>5</v>
      </c>
      <c r="E25" t="s">
        <v>46</v>
      </c>
      <c r="F25">
        <v>2</v>
      </c>
      <c r="G25">
        <v>1</v>
      </c>
      <c r="H25">
        <v>1</v>
      </c>
      <c r="I25">
        <v>1</v>
      </c>
      <c r="J25" s="4" t="s">
        <v>52</v>
      </c>
      <c r="K25" t="str">
        <f t="shared" si="0"/>
        <v>1+1</v>
      </c>
      <c r="L25">
        <f>VLOOKUP(A25,'ZONE 1 PREMIUM'!$A$4:$N$16,14,0)</f>
        <v>12</v>
      </c>
      <c r="M25">
        <f>VLOOKUP(D25,DROPDOWN!B:C,2,0)</f>
        <v>4</v>
      </c>
      <c r="N25" t="str">
        <f t="shared" si="1"/>
        <v>X20:AP31</v>
      </c>
      <c r="O25" s="4">
        <f t="shared" ca="1" si="2"/>
        <v>152572.79999999999</v>
      </c>
      <c r="Q25" s="27" t="s">
        <v>177</v>
      </c>
      <c r="R25">
        <f>IF('CALCULATOR CARE V6'!B25="YES",'CARE SHEET'!V31,0)</f>
        <v>0</v>
      </c>
      <c r="U25" t="str">
        <f>VLOOKUP('CALCULATOR CARE V6'!H7,DROPDOWN!$K:$N,4,0)</f>
        <v>Upto 45 Years</v>
      </c>
      <c r="V25">
        <f>IF('CALCULATOR CARE V6'!I7="YES",VLOOKUP(U25,'optional benefits'!$A$115:$C$118,2,0)*$W$20,0)</f>
        <v>0</v>
      </c>
      <c r="W25">
        <f>IF('CALCULATOR CARE V6'!I7="yes",INDEX('ADD SI'!$B$45:$AB$49,MATCH('CARE SHEET'!U25,'ADD SI'!$B$45:$B$49,0),MATCH('CARE SHEET'!$T$3,'ADD SI'!$B$45:$Q$45,0)),0)</f>
        <v>0</v>
      </c>
      <c r="X25" s="2" t="s">
        <v>15</v>
      </c>
      <c r="Y25" s="141">
        <v>20020.349999999999</v>
      </c>
      <c r="Z25" s="141">
        <v>24262.699999999997</v>
      </c>
      <c r="AA25" s="141">
        <v>30929.249999999996</v>
      </c>
      <c r="AB25" s="141">
        <v>34506.899999999994</v>
      </c>
      <c r="AC25" s="141">
        <v>37243.899999999994</v>
      </c>
      <c r="AD25" s="141">
        <v>45268.6</v>
      </c>
      <c r="AE25" s="141">
        <v>49499.45</v>
      </c>
      <c r="AF25" s="141">
        <v>53171.399999999994</v>
      </c>
      <c r="AG25" s="141">
        <v>59457.299999999996</v>
      </c>
      <c r="AH25" s="141">
        <v>73924.299999999988</v>
      </c>
      <c r="AI25" s="141">
        <v>125191.29999999999</v>
      </c>
      <c r="AJ25" s="141">
        <v>158191.69999999998</v>
      </c>
      <c r="AK25" s="141">
        <v>196071.55</v>
      </c>
      <c r="AL25" s="141">
        <v>235547.59999999998</v>
      </c>
      <c r="AM25" s="141">
        <v>291893</v>
      </c>
      <c r="AN25" s="141">
        <v>354983.14999999997</v>
      </c>
      <c r="AO25" s="141">
        <v>428717.69999999995</v>
      </c>
      <c r="AP25" s="141">
        <v>597114.5</v>
      </c>
      <c r="AT25" s="1"/>
      <c r="AU25" s="2" t="s">
        <v>15</v>
      </c>
      <c r="AV25" s="141">
        <v>17776.125</v>
      </c>
      <c r="AW25" s="141">
        <v>21534.75</v>
      </c>
      <c r="AX25" s="141">
        <v>27471.375</v>
      </c>
      <c r="AY25" s="141">
        <v>30637.125</v>
      </c>
      <c r="AZ25" s="141">
        <v>33061.5</v>
      </c>
      <c r="BA25" s="141">
        <v>40200.75</v>
      </c>
      <c r="BB25" s="141">
        <v>43947</v>
      </c>
      <c r="BC25" s="141">
        <v>47198.25</v>
      </c>
      <c r="BD25" s="141">
        <v>52764.75</v>
      </c>
      <c r="BE25" s="141">
        <v>65575.125</v>
      </c>
      <c r="BF25" s="141">
        <v>110974.5</v>
      </c>
      <c r="BG25" s="141">
        <v>140197.5</v>
      </c>
      <c r="BH25" s="141">
        <v>173740.5</v>
      </c>
      <c r="BI25" s="141">
        <v>208992.375</v>
      </c>
      <c r="BJ25" s="141">
        <v>258888.375</v>
      </c>
      <c r="BK25" s="141">
        <v>314757</v>
      </c>
      <c r="BL25" s="141">
        <v>380050.875</v>
      </c>
      <c r="BM25" s="141">
        <v>529170.75</v>
      </c>
      <c r="BQ25" s="1"/>
      <c r="BR25" s="2" t="s">
        <v>15</v>
      </c>
      <c r="BS25" s="141">
        <v>16406.5</v>
      </c>
      <c r="BT25" s="141">
        <v>19869.300000000003</v>
      </c>
      <c r="BU25" s="141">
        <v>25359.4</v>
      </c>
      <c r="BV25" s="141">
        <v>28275.500000000004</v>
      </c>
      <c r="BW25" s="141">
        <v>30509.600000000002</v>
      </c>
      <c r="BX25" s="141">
        <v>37105.200000000004</v>
      </c>
      <c r="BY25" s="141">
        <v>40558.100000000006</v>
      </c>
      <c r="BZ25" s="141">
        <v>43554.5</v>
      </c>
      <c r="CA25" s="141">
        <v>48683.8</v>
      </c>
      <c r="CB25" s="141">
        <v>60489.000000000007</v>
      </c>
      <c r="CC25" s="141">
        <v>102325.3</v>
      </c>
      <c r="CD25" s="141">
        <v>129254.40000000001</v>
      </c>
      <c r="CE25" s="141">
        <v>160165.5</v>
      </c>
      <c r="CF25" s="141">
        <v>192805.80000000002</v>
      </c>
      <c r="CG25" s="141">
        <v>238785.80000000002</v>
      </c>
      <c r="CH25" s="141">
        <v>290270.2</v>
      </c>
      <c r="CI25" s="141">
        <v>350439.10000000003</v>
      </c>
      <c r="CJ25" s="141">
        <v>487856.60000000003</v>
      </c>
      <c r="CN25" s="1"/>
      <c r="CO25" s="2" t="s">
        <v>15</v>
      </c>
      <c r="CP25" s="141">
        <v>15112.85</v>
      </c>
      <c r="CQ25" s="141">
        <v>18296.740000000002</v>
      </c>
      <c r="CR25" s="141">
        <v>23363.06</v>
      </c>
      <c r="CS25" s="141">
        <v>26043.370000000003</v>
      </c>
      <c r="CT25" s="141">
        <v>28096.93</v>
      </c>
      <c r="CU25" s="141">
        <v>34179.130000000005</v>
      </c>
      <c r="CV25" s="141">
        <v>37354.300000000003</v>
      </c>
      <c r="CW25" s="141">
        <v>40109.82</v>
      </c>
      <c r="CX25" s="141">
        <v>44826.25</v>
      </c>
      <c r="CY25" s="141">
        <v>55681.560000000005</v>
      </c>
      <c r="CZ25" s="141">
        <v>94150.930000000008</v>
      </c>
      <c r="DA25" s="141">
        <v>118913.55</v>
      </c>
      <c r="DB25" s="141">
        <v>147336.39000000001</v>
      </c>
      <c r="DC25" s="141">
        <v>177507.59000000003</v>
      </c>
      <c r="DD25" s="141">
        <v>219786.51</v>
      </c>
      <c r="DE25" s="141">
        <v>267127.39</v>
      </c>
      <c r="DF25" s="141">
        <v>322454.7</v>
      </c>
      <c r="DG25" s="141">
        <v>448814.04000000004</v>
      </c>
    </row>
    <row r="26" spans="1:111">
      <c r="A26" s="2" t="s">
        <v>11</v>
      </c>
      <c r="B26" t="s">
        <v>45</v>
      </c>
      <c r="C26" t="s">
        <v>25</v>
      </c>
      <c r="D26">
        <v>5</v>
      </c>
      <c r="E26" t="s">
        <v>46</v>
      </c>
      <c r="F26">
        <v>3</v>
      </c>
      <c r="G26">
        <v>1</v>
      </c>
      <c r="H26">
        <v>2</v>
      </c>
      <c r="I26">
        <v>1</v>
      </c>
      <c r="J26" s="4" t="s">
        <v>52</v>
      </c>
      <c r="K26" t="str">
        <f t="shared" si="0"/>
        <v>1+2</v>
      </c>
      <c r="L26">
        <f>VLOOKUP(A26,'ZONE 1 PREMIUM'!$A$4:$N$16,14,0)</f>
        <v>2</v>
      </c>
      <c r="M26">
        <f>VLOOKUP(D26,DROPDOWN!B:C,2,0)</f>
        <v>4</v>
      </c>
      <c r="N26" t="str">
        <f t="shared" si="1"/>
        <v>X35:AP46</v>
      </c>
      <c r="O26" s="4">
        <f t="shared" ca="1" si="2"/>
        <v>21185.3</v>
      </c>
      <c r="Q26" s="27" t="s">
        <v>205</v>
      </c>
      <c r="R26">
        <f>IF('CALCULATOR CARE V6'!B26="YES",'optional benefits'!B123*'CALCULATOR CARE V6'!C26,0)</f>
        <v>0</v>
      </c>
      <c r="U26" t="str">
        <f>VLOOKUP('CALCULATOR CARE V6'!H8,DROPDOWN!$K:$N,4,0)</f>
        <v>Upto 45 Years</v>
      </c>
      <c r="V26">
        <f>IF('CALCULATOR CARE V6'!I8="YES",VLOOKUP(U26,'optional benefits'!$A$115:$C$118,2,0)*$W$20,0)</f>
        <v>0</v>
      </c>
      <c r="W26">
        <f>IF('CALCULATOR CARE V6'!I8="yes",INDEX('ADD SI'!$B$45:$AB$49,MATCH('CARE SHEET'!U26,'ADD SI'!$B$45:$B$49,0),MATCH('CARE SHEET'!$T$3,'ADD SI'!$B$45:$Q$45,0)),0)</f>
        <v>0</v>
      </c>
      <c r="X26" s="2" t="s">
        <v>16</v>
      </c>
      <c r="Y26" s="141">
        <v>26252.199999999997</v>
      </c>
      <c r="Z26" s="141">
        <v>31911.35</v>
      </c>
      <c r="AA26" s="141">
        <v>40040.699999999997</v>
      </c>
      <c r="AB26" s="141">
        <v>44779.85</v>
      </c>
      <c r="AC26" s="141">
        <v>48391.999999999993</v>
      </c>
      <c r="AD26" s="141">
        <v>58789.149999999994</v>
      </c>
      <c r="AE26" s="141">
        <v>64393.1</v>
      </c>
      <c r="AF26" s="141">
        <v>69278.299999999988</v>
      </c>
      <c r="AG26" s="141">
        <v>77572.099999999991</v>
      </c>
      <c r="AH26" s="141">
        <v>96602.299999999988</v>
      </c>
      <c r="AI26" s="141">
        <v>171071.69999999998</v>
      </c>
      <c r="AJ26" s="141">
        <v>214895.9</v>
      </c>
      <c r="AK26" s="141">
        <v>265280.84999999998</v>
      </c>
      <c r="AL26" s="141">
        <v>307837.75</v>
      </c>
      <c r="AM26" s="141">
        <v>382437.1</v>
      </c>
      <c r="AN26" s="141">
        <v>466134.1</v>
      </c>
      <c r="AO26" s="141">
        <v>564093.39999999991</v>
      </c>
      <c r="AP26" s="141">
        <v>787464.79999999993</v>
      </c>
      <c r="AT26" s="1"/>
      <c r="AU26" s="2" t="s">
        <v>16</v>
      </c>
      <c r="AV26" s="141">
        <v>23297.625</v>
      </c>
      <c r="AW26" s="141">
        <v>28308.375</v>
      </c>
      <c r="AX26" s="141">
        <v>35546.625</v>
      </c>
      <c r="AY26" s="141">
        <v>39739.5</v>
      </c>
      <c r="AZ26" s="141">
        <v>42939</v>
      </c>
      <c r="BA26" s="141">
        <v>52182</v>
      </c>
      <c r="BB26" s="141">
        <v>57143.25</v>
      </c>
      <c r="BC26" s="141">
        <v>61470</v>
      </c>
      <c r="BD26" s="141">
        <v>68815.125</v>
      </c>
      <c r="BE26" s="141">
        <v>85666.5</v>
      </c>
      <c r="BF26" s="141">
        <v>151611.75</v>
      </c>
      <c r="BG26" s="141">
        <v>190418.625</v>
      </c>
      <c r="BH26" s="141">
        <v>235036.125</v>
      </c>
      <c r="BI26" s="141">
        <v>272981.25</v>
      </c>
      <c r="BJ26" s="141">
        <v>339041.25</v>
      </c>
      <c r="BK26" s="141">
        <v>413156.25</v>
      </c>
      <c r="BL26" s="141">
        <v>499902.75</v>
      </c>
      <c r="BM26" s="141">
        <v>697704.75</v>
      </c>
      <c r="BQ26" s="1"/>
      <c r="BR26" s="2" t="s">
        <v>16</v>
      </c>
      <c r="BS26" s="141">
        <v>21495.100000000002</v>
      </c>
      <c r="BT26" s="141">
        <v>26114.000000000004</v>
      </c>
      <c r="BU26" s="141">
        <v>32803.100000000006</v>
      </c>
      <c r="BV26" s="141">
        <v>36666.300000000003</v>
      </c>
      <c r="BW26" s="141">
        <v>39614.300000000003</v>
      </c>
      <c r="BX26" s="141">
        <v>48150.3</v>
      </c>
      <c r="BY26" s="141">
        <v>52723.000000000007</v>
      </c>
      <c r="BZ26" s="141">
        <v>56710.500000000007</v>
      </c>
      <c r="CA26" s="141">
        <v>63478.8</v>
      </c>
      <c r="CB26" s="141">
        <v>79007.5</v>
      </c>
      <c r="CC26" s="141">
        <v>139777</v>
      </c>
      <c r="CD26" s="141">
        <v>175539.1</v>
      </c>
      <c r="CE26" s="141">
        <v>216654.90000000002</v>
      </c>
      <c r="CF26" s="141">
        <v>251758.1</v>
      </c>
      <c r="CG26" s="141">
        <v>312634.30000000005</v>
      </c>
      <c r="CH26" s="141">
        <v>380932.2</v>
      </c>
      <c r="CI26" s="141">
        <v>460870.30000000005</v>
      </c>
      <c r="CJ26" s="141">
        <v>643149.10000000009</v>
      </c>
      <c r="CN26" s="1"/>
      <c r="CO26" s="2" t="s">
        <v>16</v>
      </c>
      <c r="CP26" s="141">
        <v>19792.22</v>
      </c>
      <c r="CQ26" s="141">
        <v>24038.86</v>
      </c>
      <c r="CR26" s="141">
        <v>30210.440000000002</v>
      </c>
      <c r="CS26" s="141">
        <v>33760.57</v>
      </c>
      <c r="CT26" s="141">
        <v>36471.4</v>
      </c>
      <c r="CU26" s="141">
        <v>44341.200000000004</v>
      </c>
      <c r="CV26" s="141">
        <v>48545.33</v>
      </c>
      <c r="CW26" s="141">
        <v>52212.090000000004</v>
      </c>
      <c r="CX26" s="141">
        <v>58434.9</v>
      </c>
      <c r="CY26" s="141">
        <v>72713.900000000009</v>
      </c>
      <c r="CZ26" s="141">
        <v>128593.84000000001</v>
      </c>
      <c r="DA26" s="141">
        <v>161476.96000000002</v>
      </c>
      <c r="DB26" s="141">
        <v>199284.7</v>
      </c>
      <c r="DC26" s="141">
        <v>231700.21000000002</v>
      </c>
      <c r="DD26" s="141">
        <v>287678.25</v>
      </c>
      <c r="DE26" s="141">
        <v>350479.69</v>
      </c>
      <c r="DF26" s="141">
        <v>423984.93000000005</v>
      </c>
      <c r="DG26" s="141">
        <v>591594.2300000001</v>
      </c>
    </row>
    <row r="27" spans="1:111">
      <c r="A27" s="2" t="s">
        <v>12</v>
      </c>
      <c r="B27" t="s">
        <v>27</v>
      </c>
      <c r="C27" t="s">
        <v>28</v>
      </c>
      <c r="D27">
        <v>5</v>
      </c>
      <c r="E27" t="s">
        <v>46</v>
      </c>
      <c r="F27">
        <v>3</v>
      </c>
      <c r="G27">
        <v>1</v>
      </c>
      <c r="H27">
        <v>2</v>
      </c>
      <c r="I27">
        <v>1</v>
      </c>
      <c r="J27" s="4" t="s">
        <v>52</v>
      </c>
      <c r="K27" t="str">
        <f t="shared" si="0"/>
        <v>1+2</v>
      </c>
      <c r="L27">
        <f>VLOOKUP(A27,'ZONE 1 PREMIUM'!$A$4:$N$16,14,0)</f>
        <v>3</v>
      </c>
      <c r="M27">
        <f>VLOOKUP(D27,DROPDOWN!B:C,2,0)</f>
        <v>4</v>
      </c>
      <c r="N27" t="str">
        <f t="shared" si="1"/>
        <v>X35:AP46</v>
      </c>
      <c r="O27" s="4">
        <f t="shared" ca="1" si="2"/>
        <v>22760.799999999999</v>
      </c>
      <c r="Q27" s="27" t="s">
        <v>206</v>
      </c>
      <c r="R27" s="90">
        <f>INDEX('optional benefits'!C133:V140,MATCH('CALCULATOR CARE V6'!C27,'optional benefits'!B133:B140,0),MATCH('CALCULATOR CARE V6'!B6,'optional benefits'!C132:V132,0))</f>
        <v>2.5000000000000027E-3</v>
      </c>
      <c r="S27" s="90">
        <f>IF('CALCULATOR CARE V6'!B27="YES",1-'CARE SHEET'!R27,1)</f>
        <v>1</v>
      </c>
      <c r="X27" s="2" t="s">
        <v>17</v>
      </c>
      <c r="Y27" s="141">
        <v>35308.449999999997</v>
      </c>
      <c r="Z27" s="141">
        <v>42972.049999999996</v>
      </c>
      <c r="AA27" s="141">
        <v>54439.85</v>
      </c>
      <c r="AB27" s="141">
        <v>59231.899999999994</v>
      </c>
      <c r="AC27" s="141">
        <v>64081.45</v>
      </c>
      <c r="AD27" s="141">
        <v>78394.349999999991</v>
      </c>
      <c r="AE27" s="141">
        <v>85947.549999999988</v>
      </c>
      <c r="AF27" s="141">
        <v>91646.95</v>
      </c>
      <c r="AG27" s="141">
        <v>102737.54999999999</v>
      </c>
      <c r="AH27" s="141">
        <v>128088.15</v>
      </c>
      <c r="AI27" s="141">
        <v>227176.74999999997</v>
      </c>
      <c r="AJ27" s="141">
        <v>285693.34999999998</v>
      </c>
      <c r="AK27" s="141">
        <v>353165</v>
      </c>
      <c r="AL27" s="141">
        <v>407562.3</v>
      </c>
      <c r="AM27" s="141">
        <v>507368.49999999994</v>
      </c>
      <c r="AN27" s="141">
        <v>619609.64999999991</v>
      </c>
      <c r="AO27" s="141">
        <v>751212.2</v>
      </c>
      <c r="AP27" s="141">
        <v>1050733.1499999999</v>
      </c>
      <c r="AT27" s="1"/>
      <c r="AU27" s="2" t="s">
        <v>17</v>
      </c>
      <c r="AV27" s="141">
        <v>31327.875</v>
      </c>
      <c r="AW27" s="141">
        <v>38115</v>
      </c>
      <c r="AX27" s="141">
        <v>48318.75</v>
      </c>
      <c r="AY27" s="141">
        <v>52558.875</v>
      </c>
      <c r="AZ27" s="141">
        <v>56854.125</v>
      </c>
      <c r="BA27" s="141">
        <v>69574.5</v>
      </c>
      <c r="BB27" s="141">
        <v>76263.75</v>
      </c>
      <c r="BC27" s="141">
        <v>81309.375</v>
      </c>
      <c r="BD27" s="141">
        <v>91131.75</v>
      </c>
      <c r="BE27" s="141">
        <v>113580</v>
      </c>
      <c r="BF27" s="141">
        <v>201325.5</v>
      </c>
      <c r="BG27" s="141">
        <v>253143</v>
      </c>
      <c r="BH27" s="141">
        <v>312891.75</v>
      </c>
      <c r="BI27" s="141">
        <v>361337.625</v>
      </c>
      <c r="BJ27" s="141">
        <v>449717.625</v>
      </c>
      <c r="BK27" s="141">
        <v>549111.375</v>
      </c>
      <c r="BL27" s="141">
        <v>665649</v>
      </c>
      <c r="BM27" s="141">
        <v>930883.5</v>
      </c>
      <c r="BQ27" s="1"/>
      <c r="BR27" s="2" t="s">
        <v>17</v>
      </c>
      <c r="BS27" s="141">
        <v>28902.500000000004</v>
      </c>
      <c r="BT27" s="141">
        <v>35156</v>
      </c>
      <c r="BU27" s="141">
        <v>44585.200000000004</v>
      </c>
      <c r="BV27" s="141">
        <v>48490.200000000004</v>
      </c>
      <c r="BW27" s="141">
        <v>52448.000000000007</v>
      </c>
      <c r="BX27" s="141">
        <v>64194.900000000009</v>
      </c>
      <c r="BY27" s="141">
        <v>70359.3</v>
      </c>
      <c r="BZ27" s="141">
        <v>75010.100000000006</v>
      </c>
      <c r="CA27" s="141">
        <v>84060.900000000009</v>
      </c>
      <c r="CB27" s="141">
        <v>104746.40000000001</v>
      </c>
      <c r="CC27" s="141">
        <v>185606.30000000002</v>
      </c>
      <c r="CD27" s="141">
        <v>233357.30000000002</v>
      </c>
      <c r="CE27" s="141">
        <v>288416.7</v>
      </c>
      <c r="CF27" s="141">
        <v>333204.30000000005</v>
      </c>
      <c r="CG27" s="141">
        <v>414649.4</v>
      </c>
      <c r="CH27" s="141">
        <v>506242.00000000006</v>
      </c>
      <c r="CI27" s="141">
        <v>613633.9</v>
      </c>
      <c r="CJ27" s="141">
        <v>858052.8</v>
      </c>
      <c r="CN27" s="1"/>
      <c r="CO27" s="2" t="s">
        <v>17</v>
      </c>
      <c r="CP27" s="141">
        <v>26609.08</v>
      </c>
      <c r="CQ27" s="141">
        <v>32359.920000000002</v>
      </c>
      <c r="CR27" s="141">
        <v>41055.94</v>
      </c>
      <c r="CS27" s="141">
        <v>44645.310000000005</v>
      </c>
      <c r="CT27" s="141">
        <v>48284.820000000007</v>
      </c>
      <c r="CU27" s="141">
        <v>59110.700000000004</v>
      </c>
      <c r="CV27" s="141">
        <v>64778.700000000004</v>
      </c>
      <c r="CW27" s="141">
        <v>69054.77</v>
      </c>
      <c r="CX27" s="141">
        <v>77378.010000000009</v>
      </c>
      <c r="CY27" s="141">
        <v>96399.6</v>
      </c>
      <c r="CZ27" s="141">
        <v>170751.77000000002</v>
      </c>
      <c r="DA27" s="141">
        <v>214660.24000000002</v>
      </c>
      <c r="DB27" s="141">
        <v>265288.56</v>
      </c>
      <c r="DC27" s="141">
        <v>306618.09000000003</v>
      </c>
      <c r="DD27" s="141">
        <v>381507.63</v>
      </c>
      <c r="DE27" s="141">
        <v>465729.75000000006</v>
      </c>
      <c r="DF27" s="141">
        <v>564479.39</v>
      </c>
      <c r="DG27" s="141">
        <v>789228.67</v>
      </c>
    </row>
    <row r="28" spans="1:111">
      <c r="A28" s="2" t="s">
        <v>13</v>
      </c>
      <c r="B28" t="s">
        <v>29</v>
      </c>
      <c r="C28" t="s">
        <v>30</v>
      </c>
      <c r="D28">
        <v>5</v>
      </c>
      <c r="E28" t="s">
        <v>46</v>
      </c>
      <c r="F28">
        <v>3</v>
      </c>
      <c r="G28">
        <v>1</v>
      </c>
      <c r="H28">
        <v>2</v>
      </c>
      <c r="I28">
        <v>1</v>
      </c>
      <c r="J28" s="4" t="s">
        <v>52</v>
      </c>
      <c r="K28" t="str">
        <f t="shared" si="0"/>
        <v>1+2</v>
      </c>
      <c r="L28">
        <f>VLOOKUP(A28,'ZONE 1 PREMIUM'!$A$4:$N$16,14,0)</f>
        <v>4</v>
      </c>
      <c r="M28">
        <f>VLOOKUP(D28,DROPDOWN!B:C,2,0)</f>
        <v>4</v>
      </c>
      <c r="N28" t="str">
        <f t="shared" si="1"/>
        <v>X35:AP46</v>
      </c>
      <c r="O28" s="4">
        <f t="shared" ca="1" si="2"/>
        <v>26272.899999999998</v>
      </c>
      <c r="Q28" s="27" t="s">
        <v>207</v>
      </c>
      <c r="R28" s="90">
        <f>HLOOKUP('CALCULATOR CARE V6'!B6,'optional benefits'!B99:F100,2,0)</f>
        <v>0.4</v>
      </c>
      <c r="S28" s="4">
        <f>IF('CALCULATOR CARE V6'!B28="YES",S31*'CARE SHEET'!R28,0)</f>
        <v>0</v>
      </c>
      <c r="U28">
        <f>V21+SUM(V22:V26)*95%</f>
        <v>413.08982072297061</v>
      </c>
      <c r="V28">
        <f>V21+V22*95%+V23*95%+V24*95%+V25*95%+V26*95%</f>
        <v>413.08982072297061</v>
      </c>
      <c r="W28" t="e">
        <f>W21+SUM(W22:W26)*97.5%</f>
        <v>#N/A</v>
      </c>
      <c r="X28" s="2" t="s">
        <v>18</v>
      </c>
      <c r="Y28" s="141">
        <v>48477.1</v>
      </c>
      <c r="Z28" s="141">
        <v>59098.499999999993</v>
      </c>
      <c r="AA28" s="141">
        <v>73485</v>
      </c>
      <c r="AB28" s="141">
        <v>82624.049999999988</v>
      </c>
      <c r="AC28" s="141">
        <v>89534.399999999994</v>
      </c>
      <c r="AD28" s="141">
        <v>108111.49999999999</v>
      </c>
      <c r="AE28" s="141">
        <v>118692.65</v>
      </c>
      <c r="AF28" s="141">
        <v>126257.34999999999</v>
      </c>
      <c r="AG28" s="141">
        <v>141784.65</v>
      </c>
      <c r="AH28" s="141">
        <v>177127.59999999998</v>
      </c>
      <c r="AI28" s="141">
        <v>314112.14999999997</v>
      </c>
      <c r="AJ28" s="141">
        <v>395849.55</v>
      </c>
      <c r="AK28" s="141">
        <v>490394.49999999994</v>
      </c>
      <c r="AL28" s="141">
        <v>563348.19999999995</v>
      </c>
      <c r="AM28" s="141">
        <v>703052.5</v>
      </c>
      <c r="AN28" s="141">
        <v>860584.1</v>
      </c>
      <c r="AO28" s="141">
        <v>1045647.85</v>
      </c>
      <c r="AP28" s="141">
        <v>1465986.65</v>
      </c>
      <c r="AT28" s="1"/>
      <c r="AU28" s="2" t="s">
        <v>18</v>
      </c>
      <c r="AV28" s="141">
        <v>42991.875</v>
      </c>
      <c r="AW28" s="141">
        <v>52398</v>
      </c>
      <c r="AX28" s="141">
        <v>65187</v>
      </c>
      <c r="AY28" s="141">
        <v>73276.875</v>
      </c>
      <c r="AZ28" s="141">
        <v>79395.75</v>
      </c>
      <c r="BA28" s="141">
        <v>95895</v>
      </c>
      <c r="BB28" s="141">
        <v>105264</v>
      </c>
      <c r="BC28" s="141">
        <v>111963.375</v>
      </c>
      <c r="BD28" s="141">
        <v>125713.125</v>
      </c>
      <c r="BE28" s="141">
        <v>157010.625</v>
      </c>
      <c r="BF28" s="141">
        <v>278313.75</v>
      </c>
      <c r="BG28" s="141">
        <v>350696.25</v>
      </c>
      <c r="BH28" s="141">
        <v>434417.625</v>
      </c>
      <c r="BI28" s="141">
        <v>499295.25</v>
      </c>
      <c r="BJ28" s="141">
        <v>623008.125</v>
      </c>
      <c r="BK28" s="141">
        <v>762507</v>
      </c>
      <c r="BL28" s="141">
        <v>926385.75</v>
      </c>
      <c r="BM28" s="141">
        <v>1298608.875</v>
      </c>
      <c r="BQ28" s="1"/>
      <c r="BR28" s="2" t="s">
        <v>18</v>
      </c>
      <c r="BS28" s="141">
        <v>39651.700000000004</v>
      </c>
      <c r="BT28" s="141">
        <v>48319.700000000004</v>
      </c>
      <c r="BU28" s="141">
        <v>60131.500000000007</v>
      </c>
      <c r="BV28" s="141">
        <v>67584</v>
      </c>
      <c r="BW28" s="141">
        <v>73222.600000000006</v>
      </c>
      <c r="BX28" s="141">
        <v>88452.1</v>
      </c>
      <c r="BY28" s="141">
        <v>97087.1</v>
      </c>
      <c r="BZ28" s="141">
        <v>103260.3</v>
      </c>
      <c r="CA28" s="141">
        <v>115931.20000000001</v>
      </c>
      <c r="CB28" s="141">
        <v>144771</v>
      </c>
      <c r="CC28" s="141">
        <v>256555.2</v>
      </c>
      <c r="CD28" s="141">
        <v>323255.90000000002</v>
      </c>
      <c r="CE28" s="141">
        <v>400407.7</v>
      </c>
      <c r="CF28" s="141">
        <v>460339.00000000006</v>
      </c>
      <c r="CG28" s="141">
        <v>574343</v>
      </c>
      <c r="CH28" s="141">
        <v>702893.4</v>
      </c>
      <c r="CI28" s="141">
        <v>853911.3</v>
      </c>
      <c r="CJ28" s="141">
        <v>1196921</v>
      </c>
      <c r="CN28" s="1"/>
      <c r="CO28" s="2" t="s">
        <v>18</v>
      </c>
      <c r="CP28" s="141">
        <v>36495.380000000005</v>
      </c>
      <c r="CQ28" s="141">
        <v>44466.55</v>
      </c>
      <c r="CR28" s="141">
        <v>55352.380000000005</v>
      </c>
      <c r="CS28" s="141">
        <v>62204.12</v>
      </c>
      <c r="CT28" s="141">
        <v>67389.25</v>
      </c>
      <c r="CU28" s="141">
        <v>81418.64</v>
      </c>
      <c r="CV28" s="141">
        <v>89358.200000000012</v>
      </c>
      <c r="CW28" s="141">
        <v>95034.920000000013</v>
      </c>
      <c r="CX28" s="141">
        <v>106685.93000000001</v>
      </c>
      <c r="CY28" s="141">
        <v>133205.63</v>
      </c>
      <c r="CZ28" s="141">
        <v>235993.72000000003</v>
      </c>
      <c r="DA28" s="141">
        <v>297326.93</v>
      </c>
      <c r="DB28" s="141">
        <v>368269.58</v>
      </c>
      <c r="DC28" s="141">
        <v>423523.86000000004</v>
      </c>
      <c r="DD28" s="141">
        <v>528353.52</v>
      </c>
      <c r="DE28" s="141">
        <v>646558.57000000007</v>
      </c>
      <c r="DF28" s="141">
        <v>785423.4800000001</v>
      </c>
      <c r="DG28" s="141">
        <v>1100830.24</v>
      </c>
    </row>
    <row r="29" spans="1:111">
      <c r="A29" s="2" t="s">
        <v>14</v>
      </c>
      <c r="B29" t="s">
        <v>31</v>
      </c>
      <c r="C29" t="s">
        <v>32</v>
      </c>
      <c r="D29">
        <v>5</v>
      </c>
      <c r="E29" t="s">
        <v>46</v>
      </c>
      <c r="F29">
        <v>3</v>
      </c>
      <c r="G29">
        <v>1</v>
      </c>
      <c r="H29">
        <v>2</v>
      </c>
      <c r="I29">
        <v>1</v>
      </c>
      <c r="J29" s="4" t="s">
        <v>52</v>
      </c>
      <c r="K29" t="str">
        <f t="shared" si="0"/>
        <v>1+2</v>
      </c>
      <c r="L29">
        <f>VLOOKUP(A29,'ZONE 1 PREMIUM'!$A$4:$N$16,14,0)</f>
        <v>5</v>
      </c>
      <c r="M29">
        <f>VLOOKUP(D29,DROPDOWN!B:C,2,0)</f>
        <v>4</v>
      </c>
      <c r="N29" t="str">
        <f t="shared" si="1"/>
        <v>X35:AP46</v>
      </c>
      <c r="O29" s="4">
        <f t="shared" ca="1" si="2"/>
        <v>29431.949999999997</v>
      </c>
      <c r="Q29" s="27" t="s">
        <v>208</v>
      </c>
      <c r="R29" s="90">
        <f>IF('CALCULATOR CARE V6'!C29=U34,'CARE SHEET'!V34,'CARE SHEET'!V35)</f>
        <v>0.1</v>
      </c>
      <c r="S29" s="4">
        <f>IF('CALCULATOR CARE V6'!B29="YES",S32*'CARE SHEET'!R29,0)</f>
        <v>0</v>
      </c>
      <c r="V29" s="73" t="s">
        <v>301</v>
      </c>
      <c r="X29" s="2" t="s">
        <v>19</v>
      </c>
      <c r="Y29" s="141">
        <v>61397.35</v>
      </c>
      <c r="Z29" s="141">
        <v>74982.299999999988</v>
      </c>
      <c r="AA29" s="141">
        <v>95891.599999999991</v>
      </c>
      <c r="AB29" s="141">
        <v>104613.2</v>
      </c>
      <c r="AC29" s="141">
        <v>113522.24999999999</v>
      </c>
      <c r="AD29" s="141">
        <v>136746.5</v>
      </c>
      <c r="AE29" s="141">
        <v>150382.04999999999</v>
      </c>
      <c r="AF29" s="141">
        <v>162363.9</v>
      </c>
      <c r="AG29" s="141">
        <v>182611.94999999998</v>
      </c>
      <c r="AH29" s="141">
        <v>228513.05</v>
      </c>
      <c r="AI29" s="141">
        <v>396721.24999999994</v>
      </c>
      <c r="AJ29" s="141">
        <v>502570.69999999995</v>
      </c>
      <c r="AK29" s="141">
        <v>625382.64999999991</v>
      </c>
      <c r="AL29" s="141">
        <v>726580.35</v>
      </c>
      <c r="AM29" s="141">
        <v>908859.95</v>
      </c>
      <c r="AN29" s="141">
        <v>1114916.95</v>
      </c>
      <c r="AO29" s="141">
        <v>1357442.75</v>
      </c>
      <c r="AP29" s="141">
        <v>1907211.7499999998</v>
      </c>
      <c r="AT29" s="1"/>
      <c r="AU29" s="2" t="s">
        <v>19</v>
      </c>
      <c r="AV29" s="141">
        <v>54432</v>
      </c>
      <c r="AW29" s="141">
        <v>66461.625</v>
      </c>
      <c r="AX29" s="141">
        <v>85027.5</v>
      </c>
      <c r="AY29" s="141">
        <v>92746.125</v>
      </c>
      <c r="AZ29" s="141">
        <v>100635.75</v>
      </c>
      <c r="BA29" s="141">
        <v>121249.125</v>
      </c>
      <c r="BB29" s="141">
        <v>133327.125</v>
      </c>
      <c r="BC29" s="141">
        <v>143938.125</v>
      </c>
      <c r="BD29" s="141">
        <v>161868.375</v>
      </c>
      <c r="BE29" s="141">
        <v>202514.625</v>
      </c>
      <c r="BF29" s="141">
        <v>351475.875</v>
      </c>
      <c r="BG29" s="141">
        <v>445208.625</v>
      </c>
      <c r="BH29" s="141">
        <v>553962.375</v>
      </c>
      <c r="BI29" s="141">
        <v>643801.5</v>
      </c>
      <c r="BJ29" s="141">
        <v>805215.375</v>
      </c>
      <c r="BK29" s="141">
        <v>987684.75</v>
      </c>
      <c r="BL29" s="141">
        <v>1202448.375</v>
      </c>
      <c r="BM29" s="141">
        <v>1689286.5</v>
      </c>
      <c r="BQ29" s="1"/>
      <c r="BR29" s="2" t="s">
        <v>19</v>
      </c>
      <c r="BS29" s="141">
        <v>50193.000000000007</v>
      </c>
      <c r="BT29" s="141">
        <v>61278.8</v>
      </c>
      <c r="BU29" s="141">
        <v>78413.5</v>
      </c>
      <c r="BV29" s="141">
        <v>85525</v>
      </c>
      <c r="BW29" s="141">
        <v>92796.000000000015</v>
      </c>
      <c r="BX29" s="141">
        <v>111815.00000000001</v>
      </c>
      <c r="BY29" s="141">
        <v>122947.00000000001</v>
      </c>
      <c r="BZ29" s="141">
        <v>132724.90000000002</v>
      </c>
      <c r="CA29" s="141">
        <v>149248</v>
      </c>
      <c r="CB29" s="141">
        <v>186705.2</v>
      </c>
      <c r="CC29" s="141">
        <v>323979.7</v>
      </c>
      <c r="CD29" s="141">
        <v>410357.2</v>
      </c>
      <c r="CE29" s="141">
        <v>510574.9</v>
      </c>
      <c r="CF29" s="141">
        <v>593481.9</v>
      </c>
      <c r="CG29" s="141">
        <v>742228.3</v>
      </c>
      <c r="CH29" s="141">
        <v>910376.50000000012</v>
      </c>
      <c r="CI29" s="141">
        <v>1108286.3</v>
      </c>
      <c r="CJ29" s="141">
        <v>1556915.8</v>
      </c>
      <c r="CN29" s="1"/>
      <c r="CO29" s="2" t="s">
        <v>19</v>
      </c>
      <c r="CP29" s="141">
        <v>46186.570000000007</v>
      </c>
      <c r="CQ29" s="141">
        <v>56380.250000000007</v>
      </c>
      <c r="CR29" s="141">
        <v>72163.450000000012</v>
      </c>
      <c r="CS29" s="141">
        <v>78700.180000000008</v>
      </c>
      <c r="CT29" s="141">
        <v>85386.240000000005</v>
      </c>
      <c r="CU29" s="141">
        <v>102900.36</v>
      </c>
      <c r="CV29" s="141">
        <v>113137.64000000001</v>
      </c>
      <c r="CW29" s="141">
        <v>122129.05</v>
      </c>
      <c r="CX29" s="141">
        <v>137322.56</v>
      </c>
      <c r="CY29" s="141">
        <v>171765.47</v>
      </c>
      <c r="CZ29" s="141">
        <v>297996.19</v>
      </c>
      <c r="DA29" s="141">
        <v>377422.31000000006</v>
      </c>
      <c r="DB29" s="141">
        <v>469575.27</v>
      </c>
      <c r="DC29" s="141">
        <v>545930.86</v>
      </c>
      <c r="DD29" s="141">
        <v>682706.24000000011</v>
      </c>
      <c r="DE29" s="141">
        <v>837322.74000000011</v>
      </c>
      <c r="DF29" s="141">
        <v>1019305.8700000001</v>
      </c>
      <c r="DG29" s="141">
        <v>1431831.6300000001</v>
      </c>
    </row>
    <row r="30" spans="1:111">
      <c r="A30" s="2" t="s">
        <v>15</v>
      </c>
      <c r="B30" t="s">
        <v>33</v>
      </c>
      <c r="C30" t="s">
        <v>34</v>
      </c>
      <c r="D30">
        <v>5</v>
      </c>
      <c r="E30" t="s">
        <v>46</v>
      </c>
      <c r="F30">
        <v>3</v>
      </c>
      <c r="G30">
        <v>1</v>
      </c>
      <c r="H30">
        <v>2</v>
      </c>
      <c r="I30">
        <v>1</v>
      </c>
      <c r="J30" s="4" t="s">
        <v>52</v>
      </c>
      <c r="K30" t="str">
        <f t="shared" si="0"/>
        <v>1+2</v>
      </c>
      <c r="L30">
        <f>VLOOKUP(A30,'ZONE 1 PREMIUM'!$A$4:$N$16,14,0)</f>
        <v>6</v>
      </c>
      <c r="M30">
        <f>VLOOKUP(D30,DROPDOWN!B:C,2,0)</f>
        <v>4</v>
      </c>
      <c r="N30" t="str">
        <f t="shared" si="1"/>
        <v>X35:AP46</v>
      </c>
      <c r="O30" s="4">
        <f t="shared" ca="1" si="2"/>
        <v>36417.049999999996</v>
      </c>
      <c r="Q30" s="27" t="s">
        <v>314</v>
      </c>
      <c r="R30">
        <f>IF('CALCULATOR CARE V6'!B30="yes",'TRAVEL PLUS'!N14*S14*S15,0)</f>
        <v>0</v>
      </c>
      <c r="V30">
        <f>IF('CALCULATOR CARE V6'!C25='optional benefits'!B93,'optional benefits'!C93,'optional benefits'!C94)</f>
        <v>268.53197289998531</v>
      </c>
      <c r="X30" s="2" t="s">
        <v>20</v>
      </c>
      <c r="Y30" s="141">
        <v>73238.899999999994</v>
      </c>
      <c r="Z30" s="141">
        <v>89573.5</v>
      </c>
      <c r="AA30" s="141">
        <v>112788.54999999999</v>
      </c>
      <c r="AB30" s="141">
        <v>123256.99999999999</v>
      </c>
      <c r="AC30" s="141">
        <v>133919.79999999999</v>
      </c>
      <c r="AD30" s="141">
        <v>161249.54999999999</v>
      </c>
      <c r="AE30" s="141">
        <v>177534.69999999998</v>
      </c>
      <c r="AF30" s="141">
        <v>191910.84999999998</v>
      </c>
      <c r="AG30" s="141">
        <v>216127.55</v>
      </c>
      <c r="AH30" s="141">
        <v>270820.39999999997</v>
      </c>
      <c r="AI30" s="141">
        <v>457637.89999999997</v>
      </c>
      <c r="AJ30" s="141">
        <v>583213.29999999993</v>
      </c>
      <c r="AK30" s="141">
        <v>729319.64999999991</v>
      </c>
      <c r="AL30" s="141">
        <v>862299.89999999991</v>
      </c>
      <c r="AM30" s="141">
        <v>1080508.95</v>
      </c>
      <c r="AN30" s="141">
        <v>1327733.6499999999</v>
      </c>
      <c r="AO30" s="141">
        <v>1619209.2</v>
      </c>
      <c r="AP30" s="141">
        <v>2278725</v>
      </c>
      <c r="AT30" s="1"/>
      <c r="AU30" s="2" t="s">
        <v>20</v>
      </c>
      <c r="AV30" s="141">
        <v>64918.125</v>
      </c>
      <c r="AW30" s="141">
        <v>79383.375</v>
      </c>
      <c r="AX30" s="141">
        <v>99990</v>
      </c>
      <c r="AY30" s="141">
        <v>109256.625</v>
      </c>
      <c r="AZ30" s="141">
        <v>118699.875</v>
      </c>
      <c r="BA30" s="141">
        <v>142947</v>
      </c>
      <c r="BB30" s="141">
        <v>157371.75</v>
      </c>
      <c r="BC30" s="141">
        <v>170103.375</v>
      </c>
      <c r="BD30" s="141">
        <v>191548.125</v>
      </c>
      <c r="BE30" s="141">
        <v>239979.375</v>
      </c>
      <c r="BF30" s="141">
        <v>405419.625</v>
      </c>
      <c r="BG30" s="141">
        <v>516621.375</v>
      </c>
      <c r="BH30" s="141">
        <v>646002</v>
      </c>
      <c r="BI30" s="141">
        <v>763979.625</v>
      </c>
      <c r="BJ30" s="141">
        <v>957210.75</v>
      </c>
      <c r="BK30" s="141">
        <v>1176134.625</v>
      </c>
      <c r="BL30" s="141">
        <v>1434245.625</v>
      </c>
      <c r="BM30" s="141">
        <v>2018265.75</v>
      </c>
      <c r="BQ30" s="1"/>
      <c r="BR30" s="2" t="s">
        <v>20</v>
      </c>
      <c r="BS30" s="141">
        <v>59857.600000000006</v>
      </c>
      <c r="BT30" s="141">
        <v>73187.400000000009</v>
      </c>
      <c r="BU30" s="141">
        <v>92202.000000000015</v>
      </c>
      <c r="BV30" s="141">
        <v>100740.20000000001</v>
      </c>
      <c r="BW30" s="141">
        <v>109441.20000000001</v>
      </c>
      <c r="BX30" s="141">
        <v>131810.80000000002</v>
      </c>
      <c r="BY30" s="141">
        <v>145105.40000000002</v>
      </c>
      <c r="BZ30" s="141">
        <v>156836.90000000002</v>
      </c>
      <c r="CA30" s="141">
        <v>176599.5</v>
      </c>
      <c r="CB30" s="141">
        <v>221229.80000000002</v>
      </c>
      <c r="CC30" s="141">
        <v>373690.9</v>
      </c>
      <c r="CD30" s="141">
        <v>476164.7</v>
      </c>
      <c r="CE30" s="141">
        <v>595391.5</v>
      </c>
      <c r="CF30" s="141">
        <v>704225.5</v>
      </c>
      <c r="CG30" s="141">
        <v>882291.3</v>
      </c>
      <c r="CH30" s="141">
        <v>1084034.6000000001</v>
      </c>
      <c r="CI30" s="141">
        <v>1321888.7000000002</v>
      </c>
      <c r="CJ30" s="141">
        <v>1860074.7000000002</v>
      </c>
      <c r="CN30" s="1"/>
      <c r="CO30" s="2" t="s">
        <v>20</v>
      </c>
      <c r="CP30" s="141">
        <v>55074.430000000008</v>
      </c>
      <c r="CQ30" s="141">
        <v>67331.48000000001</v>
      </c>
      <c r="CR30" s="141">
        <v>84842.33</v>
      </c>
      <c r="CS30" s="141">
        <v>92690.33</v>
      </c>
      <c r="CT30" s="141">
        <v>100692.02</v>
      </c>
      <c r="CU30" s="141">
        <v>121286.48000000001</v>
      </c>
      <c r="CV30" s="141">
        <v>133513.01</v>
      </c>
      <c r="CW30" s="141">
        <v>144300.74000000002</v>
      </c>
      <c r="CX30" s="141">
        <v>162472.13</v>
      </c>
      <c r="CY30" s="141">
        <v>203511.72</v>
      </c>
      <c r="CZ30" s="141">
        <v>343707.52</v>
      </c>
      <c r="DA30" s="141">
        <v>437934.75000000006</v>
      </c>
      <c r="DB30" s="141">
        <v>547565.86</v>
      </c>
      <c r="DC30" s="141">
        <v>647758.66</v>
      </c>
      <c r="DD30" s="141">
        <v>811495.19000000006</v>
      </c>
      <c r="DE30" s="141">
        <v>997003.38000000012</v>
      </c>
      <c r="DF30" s="141">
        <v>1215715.1500000001</v>
      </c>
      <c r="DG30" s="141">
        <v>1710591.5000000002</v>
      </c>
    </row>
    <row r="31" spans="1:111">
      <c r="A31" s="2" t="s">
        <v>16</v>
      </c>
      <c r="B31" t="s">
        <v>35</v>
      </c>
      <c r="C31" t="s">
        <v>36</v>
      </c>
      <c r="D31">
        <v>5</v>
      </c>
      <c r="E31" t="s">
        <v>46</v>
      </c>
      <c r="F31">
        <v>3</v>
      </c>
      <c r="G31">
        <v>1</v>
      </c>
      <c r="H31">
        <v>2</v>
      </c>
      <c r="I31">
        <v>1</v>
      </c>
      <c r="J31" s="4" t="s">
        <v>52</v>
      </c>
      <c r="K31" t="str">
        <f t="shared" si="0"/>
        <v>1+2</v>
      </c>
      <c r="L31">
        <f>VLOOKUP(A31,'ZONE 1 PREMIUM'!$A$4:$N$16,14,0)</f>
        <v>7</v>
      </c>
      <c r="M31">
        <f>VLOOKUP(D31,DROPDOWN!B:C,2,0)</f>
        <v>4</v>
      </c>
      <c r="N31" t="str">
        <f t="shared" si="1"/>
        <v>X35:AP46</v>
      </c>
      <c r="O31" s="4">
        <f t="shared" ca="1" si="2"/>
        <v>46790.049999999996</v>
      </c>
      <c r="R31">
        <f ca="1">R11*S12*S13*S14*S15*S16*S17*S27+R18+R19+R20+R21+R22+R23+R24+R25+R26+S28+S29+R30+R32</f>
        <v>196386.14263972142</v>
      </c>
      <c r="S31">
        <f ca="1">R11*S14*S15*S17*S27</f>
        <v>149487.63580000002</v>
      </c>
      <c r="V31">
        <f>V30*'CALCULATOR CARE V6'!J10</f>
        <v>268.53197289998531</v>
      </c>
      <c r="X31" s="2" t="s">
        <v>21</v>
      </c>
      <c r="Y31" s="141">
        <v>97856.95</v>
      </c>
      <c r="Z31" s="141">
        <v>119855.29999999999</v>
      </c>
      <c r="AA31" s="141">
        <v>152572.79999999999</v>
      </c>
      <c r="AB31" s="141">
        <v>167082.34999999998</v>
      </c>
      <c r="AC31" s="141">
        <v>181792</v>
      </c>
      <c r="AD31" s="141">
        <v>218673.65</v>
      </c>
      <c r="AE31" s="141">
        <v>241062.99999999997</v>
      </c>
      <c r="AF31" s="141">
        <v>260923.49999999997</v>
      </c>
      <c r="AG31" s="141">
        <v>294289.59999999998</v>
      </c>
      <c r="AH31" s="141">
        <v>369338.6</v>
      </c>
      <c r="AI31" s="141">
        <v>606031.6</v>
      </c>
      <c r="AJ31" s="141">
        <v>777609.29999999993</v>
      </c>
      <c r="AK31" s="141">
        <v>977864.54999999993</v>
      </c>
      <c r="AL31" s="141">
        <v>1177658.6499999999</v>
      </c>
      <c r="AM31" s="141">
        <v>1478545.7999999998</v>
      </c>
      <c r="AN31" s="141">
        <v>1820271.7499999998</v>
      </c>
      <c r="AO31" s="141">
        <v>2223910.25</v>
      </c>
      <c r="AP31" s="141">
        <v>3135399.0999999996</v>
      </c>
      <c r="AT31" s="1"/>
      <c r="AU31" s="2" t="s">
        <v>21</v>
      </c>
      <c r="AV31" s="141">
        <v>86720.625</v>
      </c>
      <c r="AW31" s="141">
        <v>106201.125</v>
      </c>
      <c r="AX31" s="141">
        <v>135223.875</v>
      </c>
      <c r="AY31" s="141">
        <v>148069.125</v>
      </c>
      <c r="AZ31" s="141">
        <v>161094.375</v>
      </c>
      <c r="BA31" s="141">
        <v>193803.75</v>
      </c>
      <c r="BB31" s="141">
        <v>213633</v>
      </c>
      <c r="BC31" s="141">
        <v>231220.125</v>
      </c>
      <c r="BD31" s="141">
        <v>260767.125</v>
      </c>
      <c r="BE31" s="141">
        <v>327225.375</v>
      </c>
      <c r="BF31" s="141">
        <v>536833.125</v>
      </c>
      <c r="BG31" s="141">
        <v>688770</v>
      </c>
      <c r="BH31" s="141">
        <v>866101.5</v>
      </c>
      <c r="BI31" s="141">
        <v>1043251.875</v>
      </c>
      <c r="BJ31" s="141">
        <v>1309696.875</v>
      </c>
      <c r="BK31" s="141">
        <v>1612305</v>
      </c>
      <c r="BL31" s="141">
        <v>1969738.875</v>
      </c>
      <c r="BM31" s="141">
        <v>2776889.25</v>
      </c>
      <c r="BQ31" s="1"/>
      <c r="BR31" s="2" t="s">
        <v>21</v>
      </c>
      <c r="BS31" s="141">
        <v>79949.100000000006</v>
      </c>
      <c r="BT31" s="141">
        <v>97900.000000000015</v>
      </c>
      <c r="BU31" s="141">
        <v>124672.90000000001</v>
      </c>
      <c r="BV31" s="141">
        <v>136507.80000000002</v>
      </c>
      <c r="BW31" s="141">
        <v>148511</v>
      </c>
      <c r="BX31" s="141">
        <v>178678.5</v>
      </c>
      <c r="BY31" s="141">
        <v>196953.90000000002</v>
      </c>
      <c r="BZ31" s="141">
        <v>213161.30000000002</v>
      </c>
      <c r="CA31" s="141">
        <v>240389.6</v>
      </c>
      <c r="CB31" s="141">
        <v>301632.10000000003</v>
      </c>
      <c r="CC31" s="141">
        <v>494793.2</v>
      </c>
      <c r="CD31" s="141">
        <v>634805.60000000009</v>
      </c>
      <c r="CE31" s="141">
        <v>798220.50000000012</v>
      </c>
      <c r="CF31" s="141">
        <v>961587.00000000012</v>
      </c>
      <c r="CG31" s="141">
        <v>1207121.3</v>
      </c>
      <c r="CH31" s="141">
        <v>1485980.1</v>
      </c>
      <c r="CI31" s="141">
        <v>1815361.9000000001</v>
      </c>
      <c r="CJ31" s="141">
        <v>2559167.6</v>
      </c>
      <c r="CN31" s="1"/>
      <c r="CO31" s="2" t="s">
        <v>21</v>
      </c>
      <c r="CP31" s="141">
        <v>73549.930000000008</v>
      </c>
      <c r="CQ31" s="141">
        <v>90055.8</v>
      </c>
      <c r="CR31" s="141">
        <v>114701.79000000001</v>
      </c>
      <c r="CS31" s="141">
        <v>125583.26000000001</v>
      </c>
      <c r="CT31" s="141">
        <v>136619.51</v>
      </c>
      <c r="CU31" s="141">
        <v>164386.17000000001</v>
      </c>
      <c r="CV31" s="141">
        <v>181192.88</v>
      </c>
      <c r="CW31" s="141">
        <v>196095.36000000002</v>
      </c>
      <c r="CX31" s="141">
        <v>221131.57</v>
      </c>
      <c r="CY31" s="141">
        <v>277445.33</v>
      </c>
      <c r="CZ31" s="141">
        <v>455066.28</v>
      </c>
      <c r="DA31" s="141">
        <v>583812.72000000009</v>
      </c>
      <c r="DB31" s="141">
        <v>734075.76</v>
      </c>
      <c r="DC31" s="141">
        <v>884416.19000000006</v>
      </c>
      <c r="DD31" s="141">
        <v>1110191.1600000001</v>
      </c>
      <c r="DE31" s="141">
        <v>1366609.3</v>
      </c>
      <c r="DF31" s="141">
        <v>1669484.33</v>
      </c>
      <c r="DG31" s="141">
        <v>2353430.9900000002</v>
      </c>
    </row>
    <row r="32" spans="1:111">
      <c r="A32" s="2" t="s">
        <v>17</v>
      </c>
      <c r="B32" t="s">
        <v>37</v>
      </c>
      <c r="C32" t="s">
        <v>38</v>
      </c>
      <c r="D32">
        <v>5</v>
      </c>
      <c r="E32" t="s">
        <v>46</v>
      </c>
      <c r="F32">
        <v>3</v>
      </c>
      <c r="G32">
        <v>1</v>
      </c>
      <c r="H32">
        <v>2</v>
      </c>
      <c r="I32">
        <v>1</v>
      </c>
      <c r="J32" s="4" t="s">
        <v>52</v>
      </c>
      <c r="K32" t="str">
        <f t="shared" si="0"/>
        <v>1+2</v>
      </c>
      <c r="L32">
        <f>VLOOKUP(A32,'ZONE 1 PREMIUM'!$A$4:$N$16,14,0)</f>
        <v>8</v>
      </c>
      <c r="M32">
        <f>VLOOKUP(D32,DROPDOWN!B:C,2,0)</f>
        <v>4</v>
      </c>
      <c r="N32" t="str">
        <f t="shared" si="1"/>
        <v>X35:AP46</v>
      </c>
      <c r="O32" s="4">
        <f t="shared" ca="1" si="2"/>
        <v>61353.649999999994</v>
      </c>
      <c r="Q32" s="99" t="s">
        <v>315</v>
      </c>
      <c r="R32">
        <f>IF('CALCULATOR CARE V6'!B31="yes",'CARE SHEET'!V56*S27*S13*S15*S17,0)</f>
        <v>0</v>
      </c>
      <c r="S32" s="4">
        <f ca="1">S31+S28</f>
        <v>149487.63580000002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</row>
    <row r="33" spans="1:111">
      <c r="A33" s="2" t="s">
        <v>18</v>
      </c>
      <c r="B33" t="s">
        <v>39</v>
      </c>
      <c r="C33" t="s">
        <v>40</v>
      </c>
      <c r="D33">
        <v>5</v>
      </c>
      <c r="E33" t="s">
        <v>46</v>
      </c>
      <c r="F33">
        <v>3</v>
      </c>
      <c r="G33">
        <v>1</v>
      </c>
      <c r="H33">
        <v>2</v>
      </c>
      <c r="I33">
        <v>1</v>
      </c>
      <c r="J33" s="4" t="s">
        <v>52</v>
      </c>
      <c r="K33" t="str">
        <f t="shared" si="0"/>
        <v>1+2</v>
      </c>
      <c r="L33">
        <f>VLOOKUP(A33,'ZONE 1 PREMIUM'!$A$4:$N$16,14,0)</f>
        <v>9</v>
      </c>
      <c r="M33">
        <f>VLOOKUP(D33,DROPDOWN!B:C,2,0)</f>
        <v>4</v>
      </c>
      <c r="N33" t="str">
        <f t="shared" si="1"/>
        <v>X35:AP46</v>
      </c>
      <c r="O33" s="4">
        <f t="shared" ca="1" si="2"/>
        <v>78218.399999999994</v>
      </c>
      <c r="V33" s="73" t="s">
        <v>303</v>
      </c>
      <c r="X33" s="85" t="s">
        <v>62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</row>
    <row r="34" spans="1:111">
      <c r="A34" s="2" t="s">
        <v>19</v>
      </c>
      <c r="B34" t="s">
        <v>41</v>
      </c>
      <c r="C34" t="s">
        <v>42</v>
      </c>
      <c r="D34">
        <v>5</v>
      </c>
      <c r="E34" t="s">
        <v>46</v>
      </c>
      <c r="F34">
        <v>3</v>
      </c>
      <c r="G34">
        <v>1</v>
      </c>
      <c r="H34">
        <v>2</v>
      </c>
      <c r="I34">
        <v>1</v>
      </c>
      <c r="J34" s="4" t="s">
        <v>52</v>
      </c>
      <c r="K34" t="str">
        <f t="shared" si="0"/>
        <v>1+2</v>
      </c>
      <c r="L34">
        <f>VLOOKUP(A34,'ZONE 1 PREMIUM'!$A$4:$N$16,14,0)</f>
        <v>10</v>
      </c>
      <c r="M34">
        <f>VLOOKUP(D34,DROPDOWN!B:C,2,0)</f>
        <v>4</v>
      </c>
      <c r="N34" t="str">
        <f t="shared" si="1"/>
        <v>X35:AP46</v>
      </c>
      <c r="O34" s="4">
        <f t="shared" ca="1" si="2"/>
        <v>101466.79999999999</v>
      </c>
      <c r="Q34" s="96" t="s">
        <v>298</v>
      </c>
      <c r="R34" s="96" t="s">
        <v>56</v>
      </c>
      <c r="S34">
        <v>2</v>
      </c>
      <c r="T34">
        <v>3</v>
      </c>
      <c r="U34" s="73" t="s">
        <v>210</v>
      </c>
      <c r="V34" s="64">
        <v>0.05</v>
      </c>
      <c r="X34" s="1"/>
      <c r="Y34" s="153" t="s">
        <v>211</v>
      </c>
      <c r="Z34" s="153"/>
      <c r="AA34" s="143" t="s">
        <v>57</v>
      </c>
      <c r="AB34" s="143"/>
      <c r="AC34" s="143"/>
      <c r="AD34" s="144" t="s">
        <v>58</v>
      </c>
      <c r="AE34" s="144"/>
      <c r="AF34" s="144"/>
      <c r="AG34" s="144"/>
      <c r="AH34" s="144"/>
      <c r="AI34" s="142" t="s">
        <v>59</v>
      </c>
      <c r="AJ34" s="142"/>
      <c r="AK34" s="142"/>
      <c r="AL34" s="154" t="s">
        <v>176</v>
      </c>
      <c r="AM34" s="154"/>
      <c r="AN34" s="154"/>
      <c r="AO34" s="154"/>
      <c r="AP34" s="154"/>
      <c r="AT34" s="5" t="s">
        <v>62</v>
      </c>
      <c r="AU34" s="1"/>
      <c r="AV34" s="153" t="s">
        <v>211</v>
      </c>
      <c r="AW34" s="153"/>
      <c r="AX34" s="143" t="s">
        <v>57</v>
      </c>
      <c r="AY34" s="143"/>
      <c r="AZ34" s="143"/>
      <c r="BA34" s="144" t="s">
        <v>58</v>
      </c>
      <c r="BB34" s="144"/>
      <c r="BC34" s="144"/>
      <c r="BD34" s="144"/>
      <c r="BE34" s="144"/>
      <c r="BF34" s="142" t="s">
        <v>59</v>
      </c>
      <c r="BG34" s="142"/>
      <c r="BH34" s="142"/>
      <c r="BI34" s="154" t="s">
        <v>176</v>
      </c>
      <c r="BJ34" s="154"/>
      <c r="BK34" s="154"/>
      <c r="BL34" s="154"/>
      <c r="BM34" s="154"/>
      <c r="BQ34" s="5" t="s">
        <v>62</v>
      </c>
      <c r="BR34" s="1"/>
      <c r="BS34" s="148" t="s">
        <v>211</v>
      </c>
      <c r="BT34" s="149"/>
      <c r="BU34" s="145" t="s">
        <v>57</v>
      </c>
      <c r="BV34" s="146"/>
      <c r="BW34" s="147"/>
      <c r="BX34" s="150" t="s">
        <v>58</v>
      </c>
      <c r="BY34" s="151"/>
      <c r="BZ34" s="151"/>
      <c r="CA34" s="151"/>
      <c r="CB34" s="152"/>
      <c r="CC34" s="158" t="s">
        <v>59</v>
      </c>
      <c r="CD34" s="159"/>
      <c r="CE34" s="160"/>
      <c r="CF34" s="155" t="s">
        <v>176</v>
      </c>
      <c r="CG34" s="156"/>
      <c r="CH34" s="156"/>
      <c r="CI34" s="156"/>
      <c r="CJ34" s="157"/>
      <c r="CN34" s="5" t="s">
        <v>62</v>
      </c>
      <c r="CO34" s="1"/>
      <c r="CP34" s="153" t="s">
        <v>211</v>
      </c>
      <c r="CQ34" s="153"/>
      <c r="CR34" s="143" t="s">
        <v>57</v>
      </c>
      <c r="CS34" s="143"/>
      <c r="CT34" s="143"/>
      <c r="CU34" s="144" t="s">
        <v>58</v>
      </c>
      <c r="CV34" s="144"/>
      <c r="CW34" s="144"/>
      <c r="CX34" s="144"/>
      <c r="CY34" s="144"/>
      <c r="CZ34" s="142" t="s">
        <v>59</v>
      </c>
      <c r="DA34" s="142"/>
      <c r="DB34" s="142"/>
      <c r="DC34" s="154" t="s">
        <v>176</v>
      </c>
      <c r="DD34" s="154"/>
      <c r="DE34" s="154"/>
      <c r="DF34" s="154"/>
      <c r="DG34" s="154"/>
    </row>
    <row r="35" spans="1:111">
      <c r="A35" s="2" t="s">
        <v>20</v>
      </c>
      <c r="B35" t="s">
        <v>43</v>
      </c>
      <c r="C35" t="s">
        <v>44</v>
      </c>
      <c r="D35">
        <v>5</v>
      </c>
      <c r="E35" t="s">
        <v>46</v>
      </c>
      <c r="F35">
        <v>3</v>
      </c>
      <c r="G35">
        <v>1</v>
      </c>
      <c r="H35">
        <v>2</v>
      </c>
      <c r="I35">
        <v>1</v>
      </c>
      <c r="J35" s="4" t="s">
        <v>52</v>
      </c>
      <c r="K35" t="str">
        <f t="shared" si="0"/>
        <v>1+2</v>
      </c>
      <c r="L35">
        <f>VLOOKUP(A35,'ZONE 1 PREMIUM'!$A$4:$N$16,14,0)</f>
        <v>11</v>
      </c>
      <c r="M35">
        <f>VLOOKUP(D35,DROPDOWN!B:C,2,0)</f>
        <v>4</v>
      </c>
      <c r="N35" t="str">
        <f t="shared" si="1"/>
        <v>X35:AP46</v>
      </c>
      <c r="O35" s="4">
        <f t="shared" ca="1" si="2"/>
        <v>119402.2</v>
      </c>
      <c r="Q35" t="str">
        <f>VLOOKUP('CALCULATOR CARE V6'!H3,DROPDOWN!K:N,4,0)</f>
        <v>Upto 45 Years</v>
      </c>
      <c r="R35">
        <f>IF('CALCULATOR CARE V6'!I3="YES",VLOOKUP(Q35,'optional benefits'!$E$114:$G$118,2,0)*$W$20,0)</f>
        <v>378.66566899605647</v>
      </c>
      <c r="S35">
        <f>IF('CALCULATOR CARE V6'!I3="YES",VLOOKUP(Q35,'optional benefits'!$I$114:$K$118,2,0)*$W$20,0)</f>
        <v>361.45359313259934</v>
      </c>
      <c r="T35">
        <f>IF('CALCULATOR CARE V6'!I3="YES",VLOOKUP(Q35,'optional benefits'!$M$114:$O$118,2,0)*$W$20,0)</f>
        <v>344.24151726914221</v>
      </c>
      <c r="U35" s="73" t="s">
        <v>209</v>
      </c>
      <c r="V35" s="90">
        <f>HLOOKUP('CALCULATOR CARE V6'!B6,'optional benefits'!B110:F111,2,0)</f>
        <v>0.1</v>
      </c>
      <c r="X35" s="2" t="s">
        <v>60</v>
      </c>
      <c r="Y35" s="2" t="s">
        <v>243</v>
      </c>
      <c r="Z35" s="2" t="s">
        <v>244</v>
      </c>
      <c r="AA35" s="6" t="s">
        <v>70</v>
      </c>
      <c r="AB35" s="6" t="s">
        <v>71</v>
      </c>
      <c r="AC35" s="6" t="s">
        <v>72</v>
      </c>
      <c r="AD35" s="6" t="s">
        <v>73</v>
      </c>
      <c r="AE35" s="6" t="s">
        <v>74</v>
      </c>
      <c r="AF35" s="6" t="s">
        <v>75</v>
      </c>
      <c r="AG35" s="6" t="s">
        <v>76</v>
      </c>
      <c r="AH35" s="6" t="s">
        <v>77</v>
      </c>
      <c r="AI35" s="6" t="s">
        <v>78</v>
      </c>
      <c r="AJ35" s="6" t="s">
        <v>79</v>
      </c>
      <c r="AK35" s="6" t="s">
        <v>80</v>
      </c>
      <c r="AL35" s="2" t="s">
        <v>245</v>
      </c>
      <c r="AM35" s="2" t="s">
        <v>246</v>
      </c>
      <c r="AN35" s="2" t="s">
        <v>247</v>
      </c>
      <c r="AO35" s="2" t="s">
        <v>248</v>
      </c>
      <c r="AP35" s="2" t="s">
        <v>310</v>
      </c>
      <c r="AT35" s="1"/>
      <c r="AU35" s="2" t="s">
        <v>60</v>
      </c>
      <c r="AV35" s="2" t="s">
        <v>243</v>
      </c>
      <c r="AW35" s="2" t="s">
        <v>244</v>
      </c>
      <c r="AX35" s="6" t="s">
        <v>70</v>
      </c>
      <c r="AY35" s="6" t="s">
        <v>71</v>
      </c>
      <c r="AZ35" s="6" t="s">
        <v>72</v>
      </c>
      <c r="BA35" s="6" t="s">
        <v>73</v>
      </c>
      <c r="BB35" s="6" t="s">
        <v>74</v>
      </c>
      <c r="BC35" s="6" t="s">
        <v>75</v>
      </c>
      <c r="BD35" s="6" t="s">
        <v>76</v>
      </c>
      <c r="BE35" s="6" t="s">
        <v>77</v>
      </c>
      <c r="BF35" s="6" t="s">
        <v>78</v>
      </c>
      <c r="BG35" s="6" t="s">
        <v>79</v>
      </c>
      <c r="BH35" s="6" t="s">
        <v>80</v>
      </c>
      <c r="BI35" s="2" t="s">
        <v>245</v>
      </c>
      <c r="BJ35" s="2" t="s">
        <v>246</v>
      </c>
      <c r="BK35" s="2" t="s">
        <v>247</v>
      </c>
      <c r="BL35" s="2" t="s">
        <v>248</v>
      </c>
      <c r="BM35" s="2" t="s">
        <v>310</v>
      </c>
      <c r="BQ35" s="1"/>
      <c r="BR35" s="2" t="s">
        <v>60</v>
      </c>
      <c r="BS35" s="2" t="s">
        <v>243</v>
      </c>
      <c r="BT35" s="2" t="s">
        <v>244</v>
      </c>
      <c r="BU35" s="6" t="s">
        <v>70</v>
      </c>
      <c r="BV35" s="6" t="s">
        <v>71</v>
      </c>
      <c r="BW35" s="6" t="s">
        <v>72</v>
      </c>
      <c r="BX35" s="6" t="s">
        <v>73</v>
      </c>
      <c r="BY35" s="6" t="s">
        <v>74</v>
      </c>
      <c r="BZ35" s="6" t="s">
        <v>75</v>
      </c>
      <c r="CA35" s="6" t="s">
        <v>76</v>
      </c>
      <c r="CB35" s="6" t="s">
        <v>77</v>
      </c>
      <c r="CC35" s="6" t="s">
        <v>78</v>
      </c>
      <c r="CD35" s="6" t="s">
        <v>79</v>
      </c>
      <c r="CE35" s="6" t="s">
        <v>80</v>
      </c>
      <c r="CF35" s="2" t="s">
        <v>245</v>
      </c>
      <c r="CG35" s="2" t="s">
        <v>246</v>
      </c>
      <c r="CH35" s="2" t="s">
        <v>247</v>
      </c>
      <c r="CI35" s="2" t="s">
        <v>248</v>
      </c>
      <c r="CJ35" s="2" t="s">
        <v>310</v>
      </c>
      <c r="CN35" s="1"/>
      <c r="CO35" s="2" t="s">
        <v>60</v>
      </c>
      <c r="CP35" s="2" t="s">
        <v>243</v>
      </c>
      <c r="CQ35" s="2" t="s">
        <v>244</v>
      </c>
      <c r="CR35" s="6" t="s">
        <v>70</v>
      </c>
      <c r="CS35" s="6" t="s">
        <v>71</v>
      </c>
      <c r="CT35" s="6" t="s">
        <v>72</v>
      </c>
      <c r="CU35" s="6" t="s">
        <v>73</v>
      </c>
      <c r="CV35" s="6" t="s">
        <v>74</v>
      </c>
      <c r="CW35" s="6" t="s">
        <v>75</v>
      </c>
      <c r="CX35" s="6" t="s">
        <v>76</v>
      </c>
      <c r="CY35" s="6" t="s">
        <v>77</v>
      </c>
      <c r="CZ35" s="6" t="s">
        <v>78</v>
      </c>
      <c r="DA35" s="6" t="s">
        <v>79</v>
      </c>
      <c r="DB35" s="6" t="s">
        <v>80</v>
      </c>
      <c r="DC35" s="2" t="s">
        <v>245</v>
      </c>
      <c r="DD35" s="2" t="s">
        <v>246</v>
      </c>
      <c r="DE35" s="2" t="s">
        <v>247</v>
      </c>
      <c r="DF35" s="2" t="s">
        <v>248</v>
      </c>
      <c r="DG35" s="2" t="s">
        <v>310</v>
      </c>
    </row>
    <row r="36" spans="1:111">
      <c r="A36" s="2" t="s">
        <v>21</v>
      </c>
      <c r="B36" t="s">
        <v>22</v>
      </c>
      <c r="D36">
        <v>5</v>
      </c>
      <c r="E36" t="s">
        <v>46</v>
      </c>
      <c r="F36">
        <v>3</v>
      </c>
      <c r="G36">
        <v>1</v>
      </c>
      <c r="H36">
        <v>2</v>
      </c>
      <c r="I36">
        <v>1</v>
      </c>
      <c r="J36" s="4" t="s">
        <v>52</v>
      </c>
      <c r="K36" t="str">
        <f t="shared" si="0"/>
        <v>1+2</v>
      </c>
      <c r="L36">
        <f>VLOOKUP(A36,'ZONE 1 PREMIUM'!$A$4:$N$16,14,0)</f>
        <v>12</v>
      </c>
      <c r="M36">
        <f>VLOOKUP(D36,DROPDOWN!B:C,2,0)</f>
        <v>4</v>
      </c>
      <c r="N36" t="str">
        <f t="shared" si="1"/>
        <v>X35:AP46</v>
      </c>
      <c r="O36" s="4">
        <f t="shared" ca="1" si="2"/>
        <v>155360.4</v>
      </c>
      <c r="Q36" t="str">
        <f>VLOOKUP('CALCULATOR CARE V6'!H4,DROPDOWN!K:N,4,0)</f>
        <v>Upto 45 Years</v>
      </c>
      <c r="R36">
        <f>IF('CALCULATOR CARE V6'!I4="YES",VLOOKUP(Q36,'optional benefits'!$E$114:$G$118,2,0)*$W$20,0)</f>
        <v>0</v>
      </c>
      <c r="S36">
        <f>IF('CALCULATOR CARE V6'!I4="YES",VLOOKUP(Q36,'optional benefits'!$I$114:$K$118,2,0)*$W$20,0)</f>
        <v>0</v>
      </c>
      <c r="T36">
        <f>IF('CALCULATOR CARE V6'!I4="YES",VLOOKUP(Q36,'optional benefits'!$M$114:$O$118,2,0)*$W$20,0)</f>
        <v>0</v>
      </c>
      <c r="X36" s="2" t="s">
        <v>11</v>
      </c>
      <c r="Y36" s="141">
        <v>14478.499999999998</v>
      </c>
      <c r="Z36" s="141">
        <v>17558.199999999997</v>
      </c>
      <c r="AA36" s="141">
        <v>21185.3</v>
      </c>
      <c r="AB36" s="141">
        <v>23100.05</v>
      </c>
      <c r="AC36" s="141">
        <v>24856.1</v>
      </c>
      <c r="AD36" s="141">
        <v>31535.3</v>
      </c>
      <c r="AE36" s="141">
        <v>34524.149999999994</v>
      </c>
      <c r="AF36" s="141">
        <v>37113.949999999997</v>
      </c>
      <c r="AG36" s="141">
        <v>41389.649999999994</v>
      </c>
      <c r="AH36" s="141">
        <v>51360.149999999994</v>
      </c>
      <c r="AI36" s="141">
        <v>94318.399999999994</v>
      </c>
      <c r="AJ36" s="141">
        <v>115729.09999999999</v>
      </c>
      <c r="AK36" s="141">
        <v>139752.59999999998</v>
      </c>
      <c r="AL36" s="141">
        <v>200990.09999999998</v>
      </c>
      <c r="AM36" s="141">
        <v>239764.65</v>
      </c>
      <c r="AN36" s="141">
        <v>282519.34999999998</v>
      </c>
      <c r="AO36" s="141">
        <v>332002.69999999995</v>
      </c>
      <c r="AP36" s="141">
        <v>445818.19999999995</v>
      </c>
      <c r="AT36" s="1"/>
      <c r="AU36" s="2" t="s">
        <v>11</v>
      </c>
      <c r="AV36" s="141">
        <v>12853.125</v>
      </c>
      <c r="AW36" s="141">
        <v>15579</v>
      </c>
      <c r="AX36" s="141">
        <v>18806.625</v>
      </c>
      <c r="AY36" s="141">
        <v>20502</v>
      </c>
      <c r="AZ36" s="141">
        <v>22056.75</v>
      </c>
      <c r="BA36" s="141">
        <v>27985.5</v>
      </c>
      <c r="BB36" s="141">
        <v>30632.625</v>
      </c>
      <c r="BC36" s="141">
        <v>32926.5</v>
      </c>
      <c r="BD36" s="141">
        <v>36712.125</v>
      </c>
      <c r="BE36" s="141">
        <v>45541.125</v>
      </c>
      <c r="BF36" s="141">
        <v>83581.875</v>
      </c>
      <c r="BG36" s="141">
        <v>102541.5</v>
      </c>
      <c r="BH36" s="141">
        <v>123815.25</v>
      </c>
      <c r="BI36" s="141">
        <v>178906.5</v>
      </c>
      <c r="BJ36" s="141">
        <v>213242.625</v>
      </c>
      <c r="BK36" s="141">
        <v>251103.375</v>
      </c>
      <c r="BL36" s="141">
        <v>294922.125</v>
      </c>
      <c r="BM36" s="141">
        <v>395708.625</v>
      </c>
      <c r="BQ36" s="1"/>
      <c r="BR36" s="2" t="s">
        <v>11</v>
      </c>
      <c r="BS36" s="141">
        <v>11860.2</v>
      </c>
      <c r="BT36" s="141">
        <v>14373.7</v>
      </c>
      <c r="BU36" s="141">
        <v>17354.7</v>
      </c>
      <c r="BV36" s="141">
        <v>18916.7</v>
      </c>
      <c r="BW36" s="141">
        <v>20350</v>
      </c>
      <c r="BX36" s="141">
        <v>25821.4</v>
      </c>
      <c r="BY36" s="141">
        <v>28261.200000000001</v>
      </c>
      <c r="BZ36" s="141">
        <v>30374.300000000003</v>
      </c>
      <c r="CA36" s="141">
        <v>33862.400000000001</v>
      </c>
      <c r="CB36" s="141">
        <v>41999.100000000006</v>
      </c>
      <c r="CC36" s="141">
        <v>77053.900000000009</v>
      </c>
      <c r="CD36" s="141">
        <v>94526.3</v>
      </c>
      <c r="CE36" s="141">
        <v>114130.50000000001</v>
      </c>
      <c r="CF36" s="141">
        <v>165352</v>
      </c>
      <c r="CG36" s="141">
        <v>196993.50000000003</v>
      </c>
      <c r="CH36" s="141">
        <v>231883.30000000002</v>
      </c>
      <c r="CI36" s="141">
        <v>272262.10000000003</v>
      </c>
      <c r="CJ36" s="141">
        <v>365139.50000000006</v>
      </c>
      <c r="CN36" s="1"/>
      <c r="CO36" s="2" t="s">
        <v>11</v>
      </c>
      <c r="CP36" s="141">
        <v>10922.890000000001</v>
      </c>
      <c r="CQ36" s="141">
        <v>13233.69</v>
      </c>
      <c r="CR36" s="141">
        <v>15982.670000000002</v>
      </c>
      <c r="CS36" s="141">
        <v>17419.29</v>
      </c>
      <c r="CT36" s="141">
        <v>18737.100000000002</v>
      </c>
      <c r="CU36" s="141">
        <v>23775.08</v>
      </c>
      <c r="CV36" s="141">
        <v>26018.300000000003</v>
      </c>
      <c r="CW36" s="141">
        <v>27961.77</v>
      </c>
      <c r="CX36" s="141">
        <v>31169.640000000003</v>
      </c>
      <c r="CY36" s="141">
        <v>38651.4</v>
      </c>
      <c r="CZ36" s="141">
        <v>70885.97</v>
      </c>
      <c r="DA36" s="141">
        <v>86951.48000000001</v>
      </c>
      <c r="DB36" s="141">
        <v>104977.90000000001</v>
      </c>
      <c r="DC36" s="141">
        <v>152537.87000000002</v>
      </c>
      <c r="DD36" s="141">
        <v>181632.15000000002</v>
      </c>
      <c r="DE36" s="141">
        <v>213714.12000000002</v>
      </c>
      <c r="DF36" s="141">
        <v>250843.88</v>
      </c>
      <c r="DG36" s="141">
        <v>336247.56</v>
      </c>
    </row>
    <row r="37" spans="1:111">
      <c r="A37" s="2" t="s">
        <v>11</v>
      </c>
      <c r="B37" t="s">
        <v>45</v>
      </c>
      <c r="C37" t="s">
        <v>25</v>
      </c>
      <c r="D37">
        <v>5</v>
      </c>
      <c r="E37" t="s">
        <v>46</v>
      </c>
      <c r="F37">
        <v>4</v>
      </c>
      <c r="G37">
        <v>1</v>
      </c>
      <c r="H37">
        <v>3</v>
      </c>
      <c r="I37">
        <v>1</v>
      </c>
      <c r="J37" s="4" t="s">
        <v>52</v>
      </c>
      <c r="K37" t="str">
        <f t="shared" si="0"/>
        <v>1+3</v>
      </c>
      <c r="L37">
        <f>VLOOKUP(A37,'ZONE 1 PREMIUM'!$A$4:$N$16,14,0)</f>
        <v>2</v>
      </c>
      <c r="M37">
        <f>VLOOKUP(D37,DROPDOWN!B:C,2,0)</f>
        <v>4</v>
      </c>
      <c r="N37" t="str">
        <f t="shared" si="1"/>
        <v>X50:AP61</v>
      </c>
      <c r="O37" s="4">
        <f t="shared" ca="1" si="2"/>
        <v>25953.199999999997</v>
      </c>
      <c r="Q37" t="str">
        <f>VLOOKUP('CALCULATOR CARE V6'!H5,DROPDOWN!K:N,4,0)</f>
        <v>Upto 45 Years</v>
      </c>
      <c r="R37">
        <f>IF('CALCULATOR CARE V6'!I5="YES",VLOOKUP(Q37,'optional benefits'!$E$114:$G$118,2,0)*$W$20,0)</f>
        <v>0</v>
      </c>
      <c r="S37">
        <f>IF('CALCULATOR CARE V6'!I5="YES",VLOOKUP(Q37,'optional benefits'!$I$114:$K$118,2,0)*$W$20,0)</f>
        <v>0</v>
      </c>
      <c r="T37">
        <f>IF('CALCULATOR CARE V6'!I5="YES",VLOOKUP(Q37,'optional benefits'!$M$114:$O$118,2,0)*$W$20,0)</f>
        <v>0</v>
      </c>
      <c r="X37" s="2" t="s">
        <v>12</v>
      </c>
      <c r="Y37" s="141">
        <v>15631.949999999999</v>
      </c>
      <c r="Z37" s="141">
        <v>18756.5</v>
      </c>
      <c r="AA37" s="141">
        <v>22760.799999999999</v>
      </c>
      <c r="AB37" s="141">
        <v>24820.449999999997</v>
      </c>
      <c r="AC37" s="141">
        <v>26712.199999999997</v>
      </c>
      <c r="AD37" s="141">
        <v>33897.399999999994</v>
      </c>
      <c r="AE37" s="141">
        <v>37002.399999999994</v>
      </c>
      <c r="AF37" s="141">
        <v>39693.399999999994</v>
      </c>
      <c r="AG37" s="141">
        <v>44268.1</v>
      </c>
      <c r="AH37" s="141">
        <v>54912.499999999993</v>
      </c>
      <c r="AI37" s="141">
        <v>101385.15</v>
      </c>
      <c r="AJ37" s="141">
        <v>124993.49999999999</v>
      </c>
      <c r="AK37" s="141">
        <v>151826.44999999998</v>
      </c>
      <c r="AL37" s="141">
        <v>213592.94999999998</v>
      </c>
      <c r="AM37" s="141">
        <v>255708.24999999997</v>
      </c>
      <c r="AN37" s="141">
        <v>302268.3</v>
      </c>
      <c r="AO37" s="141">
        <v>356245.85</v>
      </c>
      <c r="AP37" s="141">
        <v>480241.14999999997</v>
      </c>
      <c r="AT37" s="1"/>
      <c r="AU37" s="2" t="s">
        <v>12</v>
      </c>
      <c r="AV37" s="141">
        <v>13881.375</v>
      </c>
      <c r="AW37" s="141">
        <v>16647.75</v>
      </c>
      <c r="AX37" s="141">
        <v>20214</v>
      </c>
      <c r="AY37" s="141">
        <v>22037.625</v>
      </c>
      <c r="AZ37" s="141">
        <v>23712.75</v>
      </c>
      <c r="BA37" s="141">
        <v>30096</v>
      </c>
      <c r="BB37" s="141">
        <v>32846.625</v>
      </c>
      <c r="BC37" s="141">
        <v>35229.375</v>
      </c>
      <c r="BD37" s="141">
        <v>39279.375</v>
      </c>
      <c r="BE37" s="141">
        <v>48705.75</v>
      </c>
      <c r="BF37" s="141">
        <v>89859.375</v>
      </c>
      <c r="BG37" s="141">
        <v>110765.25</v>
      </c>
      <c r="BH37" s="141">
        <v>134526.375</v>
      </c>
      <c r="BI37" s="141">
        <v>190069.875</v>
      </c>
      <c r="BJ37" s="141">
        <v>227363.625</v>
      </c>
      <c r="BK37" s="141">
        <v>268593.75</v>
      </c>
      <c r="BL37" s="141">
        <v>316392.75</v>
      </c>
      <c r="BM37" s="141">
        <v>426195</v>
      </c>
      <c r="BQ37" s="1"/>
      <c r="BR37" s="2" t="s">
        <v>12</v>
      </c>
      <c r="BS37" s="141">
        <v>12811.7</v>
      </c>
      <c r="BT37" s="141">
        <v>15361.500000000002</v>
      </c>
      <c r="BU37" s="141">
        <v>18659.300000000003</v>
      </c>
      <c r="BV37" s="141">
        <v>20339</v>
      </c>
      <c r="BW37" s="141">
        <v>21883.4</v>
      </c>
      <c r="BX37" s="141">
        <v>27776.100000000002</v>
      </c>
      <c r="BY37" s="141">
        <v>30310.500000000004</v>
      </c>
      <c r="BZ37" s="141">
        <v>32506.100000000002</v>
      </c>
      <c r="CA37" s="141">
        <v>36238.400000000001</v>
      </c>
      <c r="CB37" s="141">
        <v>44925.100000000006</v>
      </c>
      <c r="CC37" s="141">
        <v>82848.700000000012</v>
      </c>
      <c r="CD37" s="141">
        <v>102113.00000000001</v>
      </c>
      <c r="CE37" s="141">
        <v>124010.70000000001</v>
      </c>
      <c r="CF37" s="141">
        <v>175640.30000000002</v>
      </c>
      <c r="CG37" s="141">
        <v>210007.6</v>
      </c>
      <c r="CH37" s="141">
        <v>248002.7</v>
      </c>
      <c r="CI37" s="141">
        <v>292050</v>
      </c>
      <c r="CJ37" s="141">
        <v>393234.60000000003</v>
      </c>
      <c r="CN37" s="1"/>
      <c r="CO37" s="2" t="s">
        <v>12</v>
      </c>
      <c r="CP37" s="141">
        <v>11801.43</v>
      </c>
      <c r="CQ37" s="141">
        <v>14146.02</v>
      </c>
      <c r="CR37" s="141">
        <v>17189.300000000003</v>
      </c>
      <c r="CS37" s="141">
        <v>18733.830000000002</v>
      </c>
      <c r="CT37" s="141">
        <v>20153.010000000002</v>
      </c>
      <c r="CU37" s="141">
        <v>25582.300000000003</v>
      </c>
      <c r="CV37" s="141">
        <v>27912.720000000001</v>
      </c>
      <c r="CW37" s="141">
        <v>29932.49</v>
      </c>
      <c r="CX37" s="141">
        <v>33364.9</v>
      </c>
      <c r="CY37" s="141">
        <v>41352.420000000006</v>
      </c>
      <c r="CZ37" s="141">
        <v>76223.700000000012</v>
      </c>
      <c r="DA37" s="141">
        <v>93938.38</v>
      </c>
      <c r="DB37" s="141">
        <v>114072.86000000002</v>
      </c>
      <c r="DC37" s="141">
        <v>161999.07</v>
      </c>
      <c r="DD37" s="141">
        <v>193601.44</v>
      </c>
      <c r="DE37" s="141">
        <v>228538.12000000002</v>
      </c>
      <c r="DF37" s="141">
        <v>269040.34000000003</v>
      </c>
      <c r="DG37" s="141">
        <v>362082.74000000005</v>
      </c>
    </row>
    <row r="38" spans="1:111">
      <c r="A38" s="2" t="s">
        <v>12</v>
      </c>
      <c r="B38" t="s">
        <v>27</v>
      </c>
      <c r="C38" t="s">
        <v>28</v>
      </c>
      <c r="D38">
        <v>5</v>
      </c>
      <c r="E38" t="s">
        <v>46</v>
      </c>
      <c r="F38">
        <v>4</v>
      </c>
      <c r="G38">
        <v>1</v>
      </c>
      <c r="H38">
        <v>3</v>
      </c>
      <c r="I38">
        <v>1</v>
      </c>
      <c r="J38" s="4" t="s">
        <v>52</v>
      </c>
      <c r="K38" t="str">
        <f t="shared" si="0"/>
        <v>1+3</v>
      </c>
      <c r="L38">
        <f>VLOOKUP(A38,'ZONE 1 PREMIUM'!$A$4:$N$16,14,0)</f>
        <v>3</v>
      </c>
      <c r="M38">
        <f>VLOOKUP(D38,DROPDOWN!B:C,2,0)</f>
        <v>4</v>
      </c>
      <c r="N38" t="str">
        <f t="shared" si="1"/>
        <v>X50:AP61</v>
      </c>
      <c r="O38" s="4">
        <f t="shared" ca="1" si="2"/>
        <v>27442.449999999997</v>
      </c>
      <c r="Q38" t="str">
        <f>VLOOKUP('CALCULATOR CARE V6'!H6,DROPDOWN!K:N,4,0)</f>
        <v>Upto 45 Years</v>
      </c>
      <c r="R38">
        <f>IF('CALCULATOR CARE V6'!I6="YES",VLOOKUP(Q38,'optional benefits'!$E$114:$G$118,2,0)*$W$20,0)</f>
        <v>0</v>
      </c>
      <c r="S38">
        <f>IF('CALCULATOR CARE V6'!I6="YES",VLOOKUP(Q38,'optional benefits'!$I$114:$K$118,2,0)*$W$20,0)</f>
        <v>0</v>
      </c>
      <c r="T38">
        <f>IF('CALCULATOR CARE V6'!I6="YES",VLOOKUP(Q38,'optional benefits'!$M$114:$O$118,2,0)*$W$20,0)</f>
        <v>0</v>
      </c>
      <c r="X38" s="2" t="s">
        <v>13</v>
      </c>
      <c r="Y38" s="141">
        <v>17815.8</v>
      </c>
      <c r="Z38" s="141">
        <v>21494.649999999998</v>
      </c>
      <c r="AA38" s="141">
        <v>26272.899999999998</v>
      </c>
      <c r="AB38" s="141">
        <v>28676.399999999998</v>
      </c>
      <c r="AC38" s="141">
        <v>30890.149999999998</v>
      </c>
      <c r="AD38" s="141">
        <v>39236.85</v>
      </c>
      <c r="AE38" s="141">
        <v>42908.799999999996</v>
      </c>
      <c r="AF38" s="141">
        <v>46105.799999999996</v>
      </c>
      <c r="AG38" s="141">
        <v>51467.1</v>
      </c>
      <c r="AH38" s="141">
        <v>63905.499999999993</v>
      </c>
      <c r="AI38" s="141">
        <v>109873.29999999999</v>
      </c>
      <c r="AJ38" s="141">
        <v>137497.44999999998</v>
      </c>
      <c r="AK38" s="141">
        <v>168949.94999999998</v>
      </c>
      <c r="AL38" s="141">
        <v>229426.15</v>
      </c>
      <c r="AM38" s="141">
        <v>278373.59999999998</v>
      </c>
      <c r="AN38" s="141">
        <v>332703.05</v>
      </c>
      <c r="AO38" s="141">
        <v>395840.35</v>
      </c>
      <c r="AP38" s="141">
        <v>540652.94999999995</v>
      </c>
      <c r="AT38" s="1"/>
      <c r="AU38" s="2" t="s">
        <v>13</v>
      </c>
      <c r="AV38" s="141">
        <v>15815.25</v>
      </c>
      <c r="AW38" s="141">
        <v>19073.25</v>
      </c>
      <c r="AX38" s="141">
        <v>23328</v>
      </c>
      <c r="AY38" s="141">
        <v>25456.5</v>
      </c>
      <c r="AZ38" s="141">
        <v>27416.25</v>
      </c>
      <c r="BA38" s="141">
        <v>34831.125</v>
      </c>
      <c r="BB38" s="141">
        <v>38082.375</v>
      </c>
      <c r="BC38" s="141">
        <v>40912.875</v>
      </c>
      <c r="BD38" s="141">
        <v>45660.375</v>
      </c>
      <c r="BE38" s="141">
        <v>56675.25</v>
      </c>
      <c r="BF38" s="141">
        <v>97382.25</v>
      </c>
      <c r="BG38" s="141">
        <v>121843.125</v>
      </c>
      <c r="BH38" s="141">
        <v>149695.875</v>
      </c>
      <c r="BI38" s="141">
        <v>203893.875</v>
      </c>
      <c r="BJ38" s="141">
        <v>247239</v>
      </c>
      <c r="BK38" s="141">
        <v>295348.5</v>
      </c>
      <c r="BL38" s="141">
        <v>351258.75</v>
      </c>
      <c r="BM38" s="141">
        <v>479495.25</v>
      </c>
      <c r="BQ38" s="1"/>
      <c r="BR38" s="2" t="s">
        <v>13</v>
      </c>
      <c r="BS38" s="141">
        <v>14594.800000000001</v>
      </c>
      <c r="BT38" s="141">
        <v>17596.7</v>
      </c>
      <c r="BU38" s="141">
        <v>21529.200000000001</v>
      </c>
      <c r="BV38" s="141">
        <v>23491.600000000002</v>
      </c>
      <c r="BW38" s="141">
        <v>25297.800000000003</v>
      </c>
      <c r="BX38" s="141">
        <v>32142.000000000004</v>
      </c>
      <c r="BY38" s="141">
        <v>35138.400000000001</v>
      </c>
      <c r="BZ38" s="141">
        <v>37747.600000000006</v>
      </c>
      <c r="CA38" s="141">
        <v>42122.3</v>
      </c>
      <c r="CB38" s="141">
        <v>52272.000000000007</v>
      </c>
      <c r="CC38" s="141">
        <v>89784.200000000012</v>
      </c>
      <c r="CD38" s="141">
        <v>112325.40000000001</v>
      </c>
      <c r="CE38" s="141">
        <v>137992.80000000002</v>
      </c>
      <c r="CF38" s="141">
        <v>188276.00000000003</v>
      </c>
      <c r="CG38" s="141">
        <v>228219.2</v>
      </c>
      <c r="CH38" s="141">
        <v>272553.60000000003</v>
      </c>
      <c r="CI38" s="141">
        <v>324076.5</v>
      </c>
      <c r="CJ38" s="141">
        <v>442248.4</v>
      </c>
      <c r="CN38" s="1"/>
      <c r="CO38" s="2" t="s">
        <v>13</v>
      </c>
      <c r="CP38" s="141">
        <v>13441.880000000001</v>
      </c>
      <c r="CQ38" s="141">
        <v>16201.760000000002</v>
      </c>
      <c r="CR38" s="141">
        <v>19830.370000000003</v>
      </c>
      <c r="CS38" s="141">
        <v>21634.320000000003</v>
      </c>
      <c r="CT38" s="141">
        <v>23295.480000000003</v>
      </c>
      <c r="CU38" s="141">
        <v>29601.13</v>
      </c>
      <c r="CV38" s="141">
        <v>32356.65</v>
      </c>
      <c r="CW38" s="141">
        <v>34754.65</v>
      </c>
      <c r="CX38" s="141">
        <v>38777.840000000004</v>
      </c>
      <c r="CY38" s="141">
        <v>48111.51</v>
      </c>
      <c r="CZ38" s="141">
        <v>82604.560000000012</v>
      </c>
      <c r="DA38" s="141">
        <v>103332.00000000001</v>
      </c>
      <c r="DB38" s="141">
        <v>126932.68000000001</v>
      </c>
      <c r="DC38" s="141">
        <v>173513.83000000002</v>
      </c>
      <c r="DD38" s="141">
        <v>210242.47</v>
      </c>
      <c r="DE38" s="141">
        <v>251008.47000000003</v>
      </c>
      <c r="DF38" s="141">
        <v>298385.32</v>
      </c>
      <c r="DG38" s="141">
        <v>407047.42000000004</v>
      </c>
    </row>
    <row r="39" spans="1:111">
      <c r="A39" s="2" t="s">
        <v>13</v>
      </c>
      <c r="B39" t="s">
        <v>29</v>
      </c>
      <c r="C39" t="s">
        <v>30</v>
      </c>
      <c r="D39">
        <v>5</v>
      </c>
      <c r="E39" t="s">
        <v>46</v>
      </c>
      <c r="F39">
        <v>4</v>
      </c>
      <c r="G39">
        <v>1</v>
      </c>
      <c r="H39">
        <v>3</v>
      </c>
      <c r="I39">
        <v>1</v>
      </c>
      <c r="J39" s="4" t="s">
        <v>52</v>
      </c>
      <c r="K39" t="str">
        <f t="shared" si="0"/>
        <v>1+3</v>
      </c>
      <c r="L39">
        <f>VLOOKUP(A39,'ZONE 1 PREMIUM'!$A$4:$N$16,14,0)</f>
        <v>4</v>
      </c>
      <c r="M39">
        <f>VLOOKUP(D39,DROPDOWN!B:C,2,0)</f>
        <v>4</v>
      </c>
      <c r="N39" t="str">
        <f t="shared" si="1"/>
        <v>X50:AP61</v>
      </c>
      <c r="O39" s="4">
        <f t="shared" ca="1" si="2"/>
        <v>31692.85</v>
      </c>
      <c r="Q39" t="str">
        <f>VLOOKUP('CALCULATOR CARE V6'!H7,DROPDOWN!K:N,4,0)</f>
        <v>Upto 45 Years</v>
      </c>
      <c r="R39">
        <f>IF('CALCULATOR CARE V6'!I7="YES",VLOOKUP(Q39,'optional benefits'!$E$114:$G$118,2,0)*$W$20,0)</f>
        <v>0</v>
      </c>
      <c r="S39">
        <f>IF('CALCULATOR CARE V6'!I7="YES",VLOOKUP(Q39,'optional benefits'!$I$114:$K$118,2,0)*$W$20,0)</f>
        <v>0</v>
      </c>
      <c r="T39">
        <f>IF('CALCULATOR CARE V6'!I7="YES",VLOOKUP(Q39,'optional benefits'!$M$114:$O$118,2,0)*$W$20,0)</f>
        <v>0</v>
      </c>
      <c r="X39" s="2" t="s">
        <v>14</v>
      </c>
      <c r="Y39" s="141">
        <v>19777.699999999997</v>
      </c>
      <c r="Z39" s="141">
        <v>23952.199999999997</v>
      </c>
      <c r="AA39" s="141">
        <v>29431.949999999997</v>
      </c>
      <c r="AB39" s="141">
        <v>32157.449999999997</v>
      </c>
      <c r="AC39" s="141">
        <v>34671.35</v>
      </c>
      <c r="AD39" s="141">
        <v>44049.599999999999</v>
      </c>
      <c r="AE39" s="141">
        <v>48152.799999999996</v>
      </c>
      <c r="AF39" s="141">
        <v>51698.249999999993</v>
      </c>
      <c r="AG39" s="141">
        <v>57763.35</v>
      </c>
      <c r="AH39" s="141">
        <v>71794.5</v>
      </c>
      <c r="AI39" s="141">
        <v>121720.59999999999</v>
      </c>
      <c r="AJ39" s="141">
        <v>153109.84999999998</v>
      </c>
      <c r="AK39" s="141">
        <v>188917.4</v>
      </c>
      <c r="AL39" s="141">
        <v>244074.84999999998</v>
      </c>
      <c r="AM39" s="141">
        <v>299127.64999999997</v>
      </c>
      <c r="AN39" s="141">
        <v>360436.44999999995</v>
      </c>
      <c r="AO39" s="141">
        <v>431836.49999999994</v>
      </c>
      <c r="AP39" s="141">
        <v>595345.79999999993</v>
      </c>
      <c r="AT39" s="1"/>
      <c r="AU39" s="2" t="s">
        <v>14</v>
      </c>
      <c r="AV39" s="141">
        <v>17553.375</v>
      </c>
      <c r="AW39" s="141">
        <v>21250.125</v>
      </c>
      <c r="AX39" s="141">
        <v>26128.125</v>
      </c>
      <c r="AY39" s="141">
        <v>28541.25</v>
      </c>
      <c r="AZ39" s="141">
        <v>30767.625</v>
      </c>
      <c r="BA39" s="141">
        <v>39097.125</v>
      </c>
      <c r="BB39" s="141">
        <v>42729.75</v>
      </c>
      <c r="BC39" s="141">
        <v>45870.75</v>
      </c>
      <c r="BD39" s="141">
        <v>51241.5</v>
      </c>
      <c r="BE39" s="141">
        <v>63664.875</v>
      </c>
      <c r="BF39" s="141">
        <v>107876.25</v>
      </c>
      <c r="BG39" s="141">
        <v>135672.75</v>
      </c>
      <c r="BH39" s="141">
        <v>167382</v>
      </c>
      <c r="BI39" s="141">
        <v>216636.75</v>
      </c>
      <c r="BJ39" s="141">
        <v>265388.625</v>
      </c>
      <c r="BK39" s="141">
        <v>319678.875</v>
      </c>
      <c r="BL39" s="141">
        <v>382906.125</v>
      </c>
      <c r="BM39" s="141">
        <v>527698.125</v>
      </c>
      <c r="BQ39" s="1"/>
      <c r="BR39" s="2" t="s">
        <v>14</v>
      </c>
      <c r="BS39" s="141">
        <v>16197.500000000002</v>
      </c>
      <c r="BT39" s="141">
        <v>19603.100000000002</v>
      </c>
      <c r="BU39" s="141">
        <v>24112.000000000004</v>
      </c>
      <c r="BV39" s="141">
        <v>26335.100000000002</v>
      </c>
      <c r="BW39" s="141">
        <v>28386.600000000002</v>
      </c>
      <c r="BX39" s="141">
        <v>36075.600000000006</v>
      </c>
      <c r="BY39" s="141">
        <v>39424</v>
      </c>
      <c r="BZ39" s="141">
        <v>42318.100000000006</v>
      </c>
      <c r="CA39" s="141">
        <v>47267.000000000007</v>
      </c>
      <c r="CB39" s="141">
        <v>58715.8</v>
      </c>
      <c r="CC39" s="141">
        <v>99457.600000000006</v>
      </c>
      <c r="CD39" s="141">
        <v>125072.20000000001</v>
      </c>
      <c r="CE39" s="141">
        <v>154292.6</v>
      </c>
      <c r="CF39" s="141">
        <v>199899.7</v>
      </c>
      <c r="CG39" s="141">
        <v>244824.80000000002</v>
      </c>
      <c r="CH39" s="141">
        <v>294855</v>
      </c>
      <c r="CI39" s="141">
        <v>353119.80000000005</v>
      </c>
      <c r="CJ39" s="141">
        <v>486548.7</v>
      </c>
      <c r="CN39" s="1"/>
      <c r="CO39" s="2" t="s">
        <v>14</v>
      </c>
      <c r="CP39" s="141">
        <v>14915.560000000001</v>
      </c>
      <c r="CQ39" s="141">
        <v>18047.13</v>
      </c>
      <c r="CR39" s="141">
        <v>22205.480000000003</v>
      </c>
      <c r="CS39" s="141">
        <v>24250.320000000003</v>
      </c>
      <c r="CT39" s="141">
        <v>26137.11</v>
      </c>
      <c r="CU39" s="141">
        <v>33219.93</v>
      </c>
      <c r="CV39" s="141">
        <v>36299.18</v>
      </c>
      <c r="CW39" s="141">
        <v>38959.870000000003</v>
      </c>
      <c r="CX39" s="141">
        <v>43510.62</v>
      </c>
      <c r="CY39" s="141">
        <v>54038.930000000008</v>
      </c>
      <c r="CZ39" s="141">
        <v>91501.140000000014</v>
      </c>
      <c r="DA39" s="141">
        <v>115054.95000000001</v>
      </c>
      <c r="DB39" s="141">
        <v>141923.45000000001</v>
      </c>
      <c r="DC39" s="141">
        <v>184080.29</v>
      </c>
      <c r="DD39" s="141">
        <v>225390.2</v>
      </c>
      <c r="DE39" s="141">
        <v>271393.65000000002</v>
      </c>
      <c r="DF39" s="141">
        <v>324970.42000000004</v>
      </c>
      <c r="DG39" s="141">
        <v>447660.82</v>
      </c>
    </row>
    <row r="40" spans="1:111">
      <c r="A40" s="2" t="s">
        <v>14</v>
      </c>
      <c r="B40" t="s">
        <v>31</v>
      </c>
      <c r="C40" t="s">
        <v>32</v>
      </c>
      <c r="D40">
        <v>5</v>
      </c>
      <c r="E40" t="s">
        <v>46</v>
      </c>
      <c r="F40">
        <v>4</v>
      </c>
      <c r="G40">
        <v>1</v>
      </c>
      <c r="H40">
        <v>3</v>
      </c>
      <c r="I40">
        <v>1</v>
      </c>
      <c r="J40" s="4" t="s">
        <v>52</v>
      </c>
      <c r="K40" t="str">
        <f t="shared" si="0"/>
        <v>1+3</v>
      </c>
      <c r="L40">
        <f>VLOOKUP(A40,'ZONE 1 PREMIUM'!$A$4:$N$16,14,0)</f>
        <v>5</v>
      </c>
      <c r="M40">
        <f>VLOOKUP(D40,DROPDOWN!B:C,2,0)</f>
        <v>4</v>
      </c>
      <c r="N40" t="str">
        <f t="shared" si="1"/>
        <v>X50:AP61</v>
      </c>
      <c r="O40" s="4">
        <f t="shared" ca="1" si="2"/>
        <v>35195.75</v>
      </c>
      <c r="Q40" t="str">
        <f>VLOOKUP('CALCULATOR CARE V6'!H8,DROPDOWN!K:N,4,0)</f>
        <v>Upto 45 Years</v>
      </c>
      <c r="R40">
        <f>IF('CALCULATOR CARE V6'!I8="YES",VLOOKUP(Q40,'optional benefits'!$E$114:$G$118,2,0)*$W$20,0)</f>
        <v>0</v>
      </c>
      <c r="S40">
        <f>IF('CALCULATOR CARE V6'!I8="YES",VLOOKUP(Q40,'optional benefits'!$I$114:$K$118,2,0)*$W$20,0)</f>
        <v>0</v>
      </c>
      <c r="T40">
        <f>IF('CALCULATOR CARE V6'!I8="YES",VLOOKUP(Q40,'optional benefits'!$M$114:$O$118,2,0)*$W$20,0)</f>
        <v>0</v>
      </c>
      <c r="X40" s="2" t="s">
        <v>15</v>
      </c>
      <c r="Y40" s="141">
        <v>24262.699999999997</v>
      </c>
      <c r="Z40" s="141">
        <v>29466.449999999997</v>
      </c>
      <c r="AA40" s="141">
        <v>36417.049999999996</v>
      </c>
      <c r="AB40" s="141">
        <v>41571.35</v>
      </c>
      <c r="AC40" s="141">
        <v>44862.649999999994</v>
      </c>
      <c r="AD40" s="141">
        <v>55080.399999999994</v>
      </c>
      <c r="AE40" s="141">
        <v>60288.749999999993</v>
      </c>
      <c r="AF40" s="141">
        <v>64813.999999999993</v>
      </c>
      <c r="AG40" s="141">
        <v>72474.149999999994</v>
      </c>
      <c r="AH40" s="141">
        <v>90141.599999999991</v>
      </c>
      <c r="AI40" s="141">
        <v>149839.25</v>
      </c>
      <c r="AJ40" s="141">
        <v>189715.49999999997</v>
      </c>
      <c r="AK40" s="141">
        <v>235315.3</v>
      </c>
      <c r="AL40" s="141">
        <v>288976.59999999998</v>
      </c>
      <c r="AM40" s="141">
        <v>357863.89999999997</v>
      </c>
      <c r="AN40" s="141">
        <v>434840.3</v>
      </c>
      <c r="AO40" s="141">
        <v>524680.6</v>
      </c>
      <c r="AP40" s="141">
        <v>730085.54999999993</v>
      </c>
      <c r="AT40" s="1"/>
      <c r="AU40" s="2" t="s">
        <v>15</v>
      </c>
      <c r="AV40" s="141">
        <v>21533.625</v>
      </c>
      <c r="AW40" s="141">
        <v>26141.625</v>
      </c>
      <c r="AX40" s="141">
        <v>32329.125</v>
      </c>
      <c r="AY40" s="141">
        <v>36893.25</v>
      </c>
      <c r="AZ40" s="141">
        <v>39808.125</v>
      </c>
      <c r="BA40" s="141">
        <v>48889.125</v>
      </c>
      <c r="BB40" s="141">
        <v>53501.625</v>
      </c>
      <c r="BC40" s="141">
        <v>57507.75</v>
      </c>
      <c r="BD40" s="141">
        <v>64291.5</v>
      </c>
      <c r="BE40" s="141">
        <v>79935.75</v>
      </c>
      <c r="BF40" s="141">
        <v>132800.625</v>
      </c>
      <c r="BG40" s="141">
        <v>168112.125</v>
      </c>
      <c r="BH40" s="141">
        <v>208492.875</v>
      </c>
      <c r="BI40" s="141">
        <v>256306.5</v>
      </c>
      <c r="BJ40" s="141">
        <v>317308.5</v>
      </c>
      <c r="BK40" s="141">
        <v>385472.25</v>
      </c>
      <c r="BL40" s="141">
        <v>465028.875</v>
      </c>
      <c r="BM40" s="141">
        <v>646921.125</v>
      </c>
      <c r="BQ40" s="1"/>
      <c r="BR40" s="2" t="s">
        <v>15</v>
      </c>
      <c r="BS40" s="141">
        <v>19869.300000000003</v>
      </c>
      <c r="BT40" s="141">
        <v>24115.300000000003</v>
      </c>
      <c r="BU40" s="141">
        <v>29834.2</v>
      </c>
      <c r="BV40" s="141">
        <v>34040.600000000006</v>
      </c>
      <c r="BW40" s="141">
        <v>36726.800000000003</v>
      </c>
      <c r="BX40" s="141">
        <v>45112.100000000006</v>
      </c>
      <c r="BY40" s="141">
        <v>49362.500000000007</v>
      </c>
      <c r="BZ40" s="141">
        <v>53054.100000000006</v>
      </c>
      <c r="CA40" s="141">
        <v>59305.4</v>
      </c>
      <c r="CB40" s="141">
        <v>73722</v>
      </c>
      <c r="CC40" s="141">
        <v>122438.8</v>
      </c>
      <c r="CD40" s="141">
        <v>154977.90000000002</v>
      </c>
      <c r="CE40" s="141">
        <v>192189.80000000002</v>
      </c>
      <c r="CF40" s="141">
        <v>236406.50000000003</v>
      </c>
      <c r="CG40" s="141">
        <v>292620.90000000002</v>
      </c>
      <c r="CH40" s="141">
        <v>355435.30000000005</v>
      </c>
      <c r="CI40" s="141">
        <v>428748.10000000003</v>
      </c>
      <c r="CJ40" s="141">
        <v>596365</v>
      </c>
      <c r="CN40" s="1"/>
      <c r="CO40" s="2" t="s">
        <v>15</v>
      </c>
      <c r="CP40" s="141">
        <v>18295.650000000001</v>
      </c>
      <c r="CQ40" s="141">
        <v>22200.030000000002</v>
      </c>
      <c r="CR40" s="141">
        <v>27476.720000000001</v>
      </c>
      <c r="CS40" s="141">
        <v>31344.04</v>
      </c>
      <c r="CT40" s="141">
        <v>33813.980000000003</v>
      </c>
      <c r="CU40" s="141">
        <v>41542.080000000002</v>
      </c>
      <c r="CV40" s="141">
        <v>45449.73</v>
      </c>
      <c r="CW40" s="141">
        <v>48845.08</v>
      </c>
      <c r="CX40" s="141">
        <v>54593.740000000005</v>
      </c>
      <c r="CY40" s="141">
        <v>67850.320000000007</v>
      </c>
      <c r="CZ40" s="141">
        <v>112646.05</v>
      </c>
      <c r="DA40" s="141">
        <v>142566.55000000002</v>
      </c>
      <c r="DB40" s="141">
        <v>176783.83000000002</v>
      </c>
      <c r="DC40" s="141">
        <v>217598.88</v>
      </c>
      <c r="DD40" s="141">
        <v>269289.95</v>
      </c>
      <c r="DE40" s="141">
        <v>327049.05000000005</v>
      </c>
      <c r="DF40" s="141">
        <v>394461.19</v>
      </c>
      <c r="DG40" s="141">
        <v>548589.37</v>
      </c>
    </row>
    <row r="41" spans="1:111">
      <c r="A41" s="2" t="s">
        <v>15</v>
      </c>
      <c r="B41" t="s">
        <v>33</v>
      </c>
      <c r="C41" t="s">
        <v>34</v>
      </c>
      <c r="D41">
        <v>5</v>
      </c>
      <c r="E41" t="s">
        <v>46</v>
      </c>
      <c r="F41">
        <v>4</v>
      </c>
      <c r="G41">
        <v>1</v>
      </c>
      <c r="H41">
        <v>3</v>
      </c>
      <c r="I41">
        <v>1</v>
      </c>
      <c r="J41" s="4" t="s">
        <v>52</v>
      </c>
      <c r="K41" t="str">
        <f t="shared" si="0"/>
        <v>1+3</v>
      </c>
      <c r="L41">
        <f>VLOOKUP(A41,'ZONE 1 PREMIUM'!$A$4:$N$16,14,0)</f>
        <v>6</v>
      </c>
      <c r="M41">
        <f>VLOOKUP(D41,DROPDOWN!B:C,2,0)</f>
        <v>4</v>
      </c>
      <c r="N41" t="str">
        <f t="shared" si="1"/>
        <v>X50:AP61</v>
      </c>
      <c r="O41" s="4">
        <f t="shared" ca="1" si="2"/>
        <v>42877.75</v>
      </c>
      <c r="R41">
        <f>R35+SUM(R36:R40)*95%</f>
        <v>378.66566899605647</v>
      </c>
      <c r="S41">
        <f t="shared" ref="S41:T41" si="3">S35+SUM(S36:S40)*95%</f>
        <v>361.45359313259934</v>
      </c>
      <c r="T41">
        <f t="shared" si="3"/>
        <v>344.24151726914221</v>
      </c>
      <c r="V41">
        <f>HLOOKUP(R8,R43:U44,2,0)</f>
        <v>344.24151726914221</v>
      </c>
      <c r="X41" s="2" t="s">
        <v>16</v>
      </c>
      <c r="Y41" s="141">
        <v>31017.8</v>
      </c>
      <c r="Z41" s="141">
        <v>37791.299999999996</v>
      </c>
      <c r="AA41" s="141">
        <v>46790.049999999996</v>
      </c>
      <c r="AB41" s="141">
        <v>53535.95</v>
      </c>
      <c r="AC41" s="141">
        <v>57835.799999999996</v>
      </c>
      <c r="AD41" s="141">
        <v>70949.25</v>
      </c>
      <c r="AE41" s="141">
        <v>77790.599999999991</v>
      </c>
      <c r="AF41" s="141">
        <v>83761.399999999994</v>
      </c>
      <c r="AG41" s="141">
        <v>93766.399999999994</v>
      </c>
      <c r="AH41" s="141">
        <v>116775.59999999999</v>
      </c>
      <c r="AI41" s="141">
        <v>201108.55</v>
      </c>
      <c r="AJ41" s="141">
        <v>253445.05</v>
      </c>
      <c r="AK41" s="141">
        <v>313398</v>
      </c>
      <c r="AL41" s="141">
        <v>375009.25</v>
      </c>
      <c r="AM41" s="141">
        <v>465394.64999999997</v>
      </c>
      <c r="AN41" s="141">
        <v>566572.79999999993</v>
      </c>
      <c r="AO41" s="141">
        <v>684816.95</v>
      </c>
      <c r="AP41" s="141">
        <v>954782.89999999991</v>
      </c>
      <c r="AT41" s="1"/>
      <c r="AU41" s="2" t="s">
        <v>16</v>
      </c>
      <c r="AV41" s="141">
        <v>27517.5</v>
      </c>
      <c r="AW41" s="141">
        <v>33514.875</v>
      </c>
      <c r="AX41" s="141">
        <v>41519.25</v>
      </c>
      <c r="AY41" s="141">
        <v>47494.125</v>
      </c>
      <c r="AZ41" s="141">
        <v>51301.125</v>
      </c>
      <c r="BA41" s="141">
        <v>62950.5</v>
      </c>
      <c r="BB41" s="141">
        <v>69008.625</v>
      </c>
      <c r="BC41" s="141">
        <v>74296.125</v>
      </c>
      <c r="BD41" s="141">
        <v>83154.375</v>
      </c>
      <c r="BE41" s="141">
        <v>103530.375</v>
      </c>
      <c r="BF41" s="141">
        <v>178210.125</v>
      </c>
      <c r="BG41" s="141">
        <v>224555.625</v>
      </c>
      <c r="BH41" s="141">
        <v>277645.5</v>
      </c>
      <c r="BI41" s="141">
        <v>332463.375</v>
      </c>
      <c r="BJ41" s="141">
        <v>412502.625</v>
      </c>
      <c r="BK41" s="141">
        <v>502098.75</v>
      </c>
      <c r="BL41" s="141">
        <v>606807</v>
      </c>
      <c r="BM41" s="141">
        <v>845870.625</v>
      </c>
      <c r="BQ41" s="1"/>
      <c r="BR41" s="2" t="s">
        <v>16</v>
      </c>
      <c r="BS41" s="141">
        <v>25383.600000000002</v>
      </c>
      <c r="BT41" s="141">
        <v>30910.000000000004</v>
      </c>
      <c r="BU41" s="141">
        <v>38306.400000000001</v>
      </c>
      <c r="BV41" s="141">
        <v>43811.9</v>
      </c>
      <c r="BW41" s="141">
        <v>47319.8</v>
      </c>
      <c r="BX41" s="141">
        <v>58074.500000000007</v>
      </c>
      <c r="BY41" s="141">
        <v>63657.000000000007</v>
      </c>
      <c r="BZ41" s="141">
        <v>68528.900000000009</v>
      </c>
      <c r="CA41" s="141">
        <v>76693.100000000006</v>
      </c>
      <c r="CB41" s="141">
        <v>95470.1</v>
      </c>
      <c r="CC41" s="141">
        <v>164288.30000000002</v>
      </c>
      <c r="CD41" s="141">
        <v>206996.90000000002</v>
      </c>
      <c r="CE41" s="141">
        <v>255920.50000000003</v>
      </c>
      <c r="CF41" s="141">
        <v>306572.2</v>
      </c>
      <c r="CG41" s="141">
        <v>380329.4</v>
      </c>
      <c r="CH41" s="141">
        <v>462894.30000000005</v>
      </c>
      <c r="CI41" s="141">
        <v>559385.20000000007</v>
      </c>
      <c r="CJ41" s="141">
        <v>779686.60000000009</v>
      </c>
      <c r="CN41" s="1"/>
      <c r="CO41" s="2" t="s">
        <v>16</v>
      </c>
      <c r="CP41" s="141">
        <v>23367.420000000002</v>
      </c>
      <c r="CQ41" s="141">
        <v>28449.000000000004</v>
      </c>
      <c r="CR41" s="141">
        <v>35269.130000000005</v>
      </c>
      <c r="CS41" s="141">
        <v>40331.090000000004</v>
      </c>
      <c r="CT41" s="141">
        <v>43557.490000000005</v>
      </c>
      <c r="CU41" s="141">
        <v>53465.590000000004</v>
      </c>
      <c r="CV41" s="141">
        <v>58599.490000000005</v>
      </c>
      <c r="CW41" s="141">
        <v>63079.390000000007</v>
      </c>
      <c r="CX41" s="141">
        <v>70586.22</v>
      </c>
      <c r="CY41" s="141">
        <v>87851.82</v>
      </c>
      <c r="CZ41" s="141">
        <v>151132.86000000002</v>
      </c>
      <c r="DA41" s="141">
        <v>190403.38</v>
      </c>
      <c r="DB41" s="141">
        <v>235389.86000000002</v>
      </c>
      <c r="DC41" s="141">
        <v>282103.99000000005</v>
      </c>
      <c r="DD41" s="141">
        <v>349925.97000000003</v>
      </c>
      <c r="DE41" s="141">
        <v>425845.56000000006</v>
      </c>
      <c r="DF41" s="141">
        <v>514571.56000000006</v>
      </c>
      <c r="DG41" s="141">
        <v>717144.79</v>
      </c>
    </row>
    <row r="42" spans="1:111">
      <c r="A42" s="2" t="s">
        <v>16</v>
      </c>
      <c r="B42" t="s">
        <v>35</v>
      </c>
      <c r="C42" t="s">
        <v>36</v>
      </c>
      <c r="D42">
        <v>5</v>
      </c>
      <c r="E42" t="s">
        <v>46</v>
      </c>
      <c r="F42">
        <v>4</v>
      </c>
      <c r="G42">
        <v>1</v>
      </c>
      <c r="H42">
        <v>3</v>
      </c>
      <c r="I42">
        <v>1</v>
      </c>
      <c r="J42" s="4" t="s">
        <v>52</v>
      </c>
      <c r="K42" t="str">
        <f t="shared" si="0"/>
        <v>1+3</v>
      </c>
      <c r="L42">
        <f>VLOOKUP(A42,'ZONE 1 PREMIUM'!$A$4:$N$16,14,0)</f>
        <v>7</v>
      </c>
      <c r="M42">
        <f>VLOOKUP(D42,DROPDOWN!B:C,2,0)</f>
        <v>4</v>
      </c>
      <c r="N42" t="str">
        <f t="shared" si="1"/>
        <v>X50:AP61</v>
      </c>
      <c r="O42" s="4">
        <f t="shared" ca="1" si="2"/>
        <v>53976.399999999994</v>
      </c>
      <c r="X42" s="2" t="s">
        <v>17</v>
      </c>
      <c r="Y42" s="141">
        <v>40531.75</v>
      </c>
      <c r="Z42" s="141">
        <v>49422.399999999994</v>
      </c>
      <c r="AA42" s="141">
        <v>61353.649999999994</v>
      </c>
      <c r="AB42" s="141">
        <v>68665.349999999991</v>
      </c>
      <c r="AC42" s="141">
        <v>74255.5</v>
      </c>
      <c r="AD42" s="141">
        <v>91494</v>
      </c>
      <c r="AE42" s="141">
        <v>100390.39999999999</v>
      </c>
      <c r="AF42" s="141">
        <v>107266.24999999999</v>
      </c>
      <c r="AG42" s="141">
        <v>120201.45</v>
      </c>
      <c r="AH42" s="141">
        <v>149843.84999999998</v>
      </c>
      <c r="AI42" s="141">
        <v>259369.84999999998</v>
      </c>
      <c r="AJ42" s="141">
        <v>327053.09999999998</v>
      </c>
      <c r="AK42" s="141">
        <v>404832.19999999995</v>
      </c>
      <c r="AL42" s="141">
        <v>480230.8</v>
      </c>
      <c r="AM42" s="141">
        <v>597119.1</v>
      </c>
      <c r="AN42" s="141">
        <v>728282.35</v>
      </c>
      <c r="AO42" s="141">
        <v>881840.7</v>
      </c>
      <c r="AP42" s="141">
        <v>1231790.2999999998</v>
      </c>
      <c r="AT42" s="1"/>
      <c r="AU42" s="2" t="s">
        <v>17</v>
      </c>
      <c r="AV42" s="141">
        <v>35952.75</v>
      </c>
      <c r="AW42" s="141">
        <v>43825.5</v>
      </c>
      <c r="AX42" s="141">
        <v>54437.625</v>
      </c>
      <c r="AY42" s="141">
        <v>60912</v>
      </c>
      <c r="AZ42" s="141">
        <v>65863.125</v>
      </c>
      <c r="BA42" s="141">
        <v>81174.375</v>
      </c>
      <c r="BB42" s="141">
        <v>89052.75</v>
      </c>
      <c r="BC42" s="141">
        <v>95141.25</v>
      </c>
      <c r="BD42" s="141">
        <v>106596</v>
      </c>
      <c r="BE42" s="141">
        <v>132845.625</v>
      </c>
      <c r="BF42" s="141">
        <v>229833</v>
      </c>
      <c r="BG42" s="141">
        <v>289769.625</v>
      </c>
      <c r="BH42" s="141">
        <v>358644.375</v>
      </c>
      <c r="BI42" s="141">
        <v>425687.625</v>
      </c>
      <c r="BJ42" s="141">
        <v>529195.5</v>
      </c>
      <c r="BK42" s="141">
        <v>645343.875</v>
      </c>
      <c r="BL42" s="141">
        <v>781323.75</v>
      </c>
      <c r="BM42" s="141">
        <v>1091215.125</v>
      </c>
      <c r="BQ42" s="1"/>
      <c r="BR42" s="2" t="s">
        <v>17</v>
      </c>
      <c r="BS42" s="141">
        <v>33162.800000000003</v>
      </c>
      <c r="BT42" s="141">
        <v>40418.400000000001</v>
      </c>
      <c r="BU42" s="141">
        <v>50222.700000000004</v>
      </c>
      <c r="BV42" s="141">
        <v>56188.000000000007</v>
      </c>
      <c r="BW42" s="141">
        <v>60749.700000000004</v>
      </c>
      <c r="BX42" s="141">
        <v>74884.700000000012</v>
      </c>
      <c r="BY42" s="141">
        <v>82144.700000000012</v>
      </c>
      <c r="BZ42" s="141">
        <v>87755.8</v>
      </c>
      <c r="CA42" s="141">
        <v>98311.400000000009</v>
      </c>
      <c r="CB42" s="141">
        <v>122500.40000000001</v>
      </c>
      <c r="CC42" s="141">
        <v>211876.50000000003</v>
      </c>
      <c r="CD42" s="141">
        <v>267108.60000000003</v>
      </c>
      <c r="CE42" s="141">
        <v>330578.60000000003</v>
      </c>
      <c r="CF42" s="141">
        <v>392504.2</v>
      </c>
      <c r="CG42" s="141">
        <v>487888.50000000006</v>
      </c>
      <c r="CH42" s="141">
        <v>594921.80000000005</v>
      </c>
      <c r="CI42" s="141">
        <v>720230.5</v>
      </c>
      <c r="CJ42" s="141">
        <v>1005801.5000000001</v>
      </c>
      <c r="CN42" s="1"/>
      <c r="CO42" s="2" t="s">
        <v>17</v>
      </c>
      <c r="CP42" s="141">
        <v>30526.54</v>
      </c>
      <c r="CQ42" s="141">
        <v>37198.43</v>
      </c>
      <c r="CR42" s="141">
        <v>46237.8</v>
      </c>
      <c r="CS42" s="141">
        <v>51723.770000000004</v>
      </c>
      <c r="CT42" s="141">
        <v>55918.090000000004</v>
      </c>
      <c r="CU42" s="141">
        <v>68940.320000000007</v>
      </c>
      <c r="CV42" s="141">
        <v>75615.48000000001</v>
      </c>
      <c r="CW42" s="141">
        <v>80775.540000000008</v>
      </c>
      <c r="CX42" s="141">
        <v>90481.99</v>
      </c>
      <c r="CY42" s="141">
        <v>112724.53000000001</v>
      </c>
      <c r="CZ42" s="141">
        <v>194908.35</v>
      </c>
      <c r="DA42" s="141">
        <v>245694.72000000003</v>
      </c>
      <c r="DB42" s="141">
        <v>304057.68000000005</v>
      </c>
      <c r="DC42" s="141">
        <v>361145.34</v>
      </c>
      <c r="DD42" s="141">
        <v>448854.37000000005</v>
      </c>
      <c r="DE42" s="141">
        <v>547273.74</v>
      </c>
      <c r="DF42" s="141">
        <v>662497.64</v>
      </c>
      <c r="DG42" s="141">
        <v>925087.3600000001</v>
      </c>
    </row>
    <row r="43" spans="1:111">
      <c r="A43" s="2" t="s">
        <v>17</v>
      </c>
      <c r="B43" t="s">
        <v>37</v>
      </c>
      <c r="C43" t="s">
        <v>38</v>
      </c>
      <c r="D43">
        <v>5</v>
      </c>
      <c r="E43" t="s">
        <v>46</v>
      </c>
      <c r="F43">
        <v>4</v>
      </c>
      <c r="G43">
        <v>1</v>
      </c>
      <c r="H43">
        <v>3</v>
      </c>
      <c r="I43">
        <v>1</v>
      </c>
      <c r="J43" s="4" t="s">
        <v>52</v>
      </c>
      <c r="K43" t="str">
        <f t="shared" si="0"/>
        <v>1+3</v>
      </c>
      <c r="L43">
        <f>VLOOKUP(A43,'ZONE 1 PREMIUM'!$A$4:$N$16,14,0)</f>
        <v>8</v>
      </c>
      <c r="M43">
        <f>VLOOKUP(D43,DROPDOWN!B:C,2,0)</f>
        <v>4</v>
      </c>
      <c r="N43" t="str">
        <f t="shared" si="1"/>
        <v>X50:AP61</v>
      </c>
      <c r="O43" s="4">
        <f t="shared" ca="1" si="2"/>
        <v>67707.399999999994</v>
      </c>
      <c r="R43" t="s">
        <v>115</v>
      </c>
      <c r="S43" t="s">
        <v>118</v>
      </c>
      <c r="T43" t="s">
        <v>106</v>
      </c>
      <c r="U43" t="s">
        <v>108</v>
      </c>
      <c r="X43" s="2" t="s">
        <v>18</v>
      </c>
      <c r="Y43" s="141">
        <v>51540.7</v>
      </c>
      <c r="Z43" s="141">
        <v>62918.799999999996</v>
      </c>
      <c r="AA43" s="141">
        <v>78218.399999999994</v>
      </c>
      <c r="AB43" s="141">
        <v>90211.75</v>
      </c>
      <c r="AC43" s="141">
        <v>97706.299999999988</v>
      </c>
      <c r="AD43" s="141">
        <v>118809.95</v>
      </c>
      <c r="AE43" s="141">
        <v>130500.84999999999</v>
      </c>
      <c r="AF43" s="141">
        <v>139082.15</v>
      </c>
      <c r="AG43" s="141">
        <v>156107.9</v>
      </c>
      <c r="AH43" s="141">
        <v>194959.49999999997</v>
      </c>
      <c r="AI43" s="141">
        <v>339182.14999999997</v>
      </c>
      <c r="AJ43" s="141">
        <v>428257.69999999995</v>
      </c>
      <c r="AK43" s="141">
        <v>530988.35</v>
      </c>
      <c r="AL43" s="141">
        <v>623650.75</v>
      </c>
      <c r="AM43" s="141">
        <v>777355.14999999991</v>
      </c>
      <c r="AN43" s="141">
        <v>950324.35</v>
      </c>
      <c r="AO43" s="141">
        <v>1153247.5999999999</v>
      </c>
      <c r="AP43" s="141">
        <v>1614723.0499999998</v>
      </c>
      <c r="AT43" s="1"/>
      <c r="AU43" s="2" t="s">
        <v>18</v>
      </c>
      <c r="AV43" s="141">
        <v>45700.875</v>
      </c>
      <c r="AW43" s="141">
        <v>55777.5</v>
      </c>
      <c r="AX43" s="141">
        <v>69372</v>
      </c>
      <c r="AY43" s="141">
        <v>79993.125</v>
      </c>
      <c r="AZ43" s="141">
        <v>86629.5</v>
      </c>
      <c r="BA43" s="141">
        <v>105364.125</v>
      </c>
      <c r="BB43" s="141">
        <v>115716.375</v>
      </c>
      <c r="BC43" s="141">
        <v>123315.75</v>
      </c>
      <c r="BD43" s="141">
        <v>138393</v>
      </c>
      <c r="BE43" s="141">
        <v>172796.625</v>
      </c>
      <c r="BF43" s="141">
        <v>300511.125</v>
      </c>
      <c r="BG43" s="141">
        <v>379390.5</v>
      </c>
      <c r="BH43" s="141">
        <v>470360.25</v>
      </c>
      <c r="BI43" s="141">
        <v>552684.375</v>
      </c>
      <c r="BJ43" s="141">
        <v>688794.75</v>
      </c>
      <c r="BK43" s="141">
        <v>841964.625</v>
      </c>
      <c r="BL43" s="141">
        <v>1021658.625</v>
      </c>
      <c r="BM43" s="141">
        <v>1430309.25</v>
      </c>
      <c r="BQ43" s="1"/>
      <c r="BR43" s="2" t="s">
        <v>18</v>
      </c>
      <c r="BS43" s="141">
        <v>42146.5</v>
      </c>
      <c r="BT43" s="141">
        <v>51431.600000000006</v>
      </c>
      <c r="BU43" s="141">
        <v>63984.800000000003</v>
      </c>
      <c r="BV43" s="141">
        <v>73771.5</v>
      </c>
      <c r="BW43" s="141">
        <v>79887.5</v>
      </c>
      <c r="BX43" s="141">
        <v>97176.200000000012</v>
      </c>
      <c r="BY43" s="141">
        <v>106716.50000000001</v>
      </c>
      <c r="BZ43" s="141">
        <v>113719.1</v>
      </c>
      <c r="CA43" s="141">
        <v>127613.20000000001</v>
      </c>
      <c r="CB43" s="141">
        <v>159317.40000000002</v>
      </c>
      <c r="CC43" s="141">
        <v>277007.5</v>
      </c>
      <c r="CD43" s="141">
        <v>349696.60000000003</v>
      </c>
      <c r="CE43" s="141">
        <v>433527.60000000003</v>
      </c>
      <c r="CF43" s="141">
        <v>509532.10000000003</v>
      </c>
      <c r="CG43" s="141">
        <v>634960.70000000007</v>
      </c>
      <c r="CH43" s="141">
        <v>776109.4</v>
      </c>
      <c r="CI43" s="141">
        <v>941701.20000000007</v>
      </c>
      <c r="CJ43" s="141">
        <v>1318279.6000000001</v>
      </c>
      <c r="CN43" s="1"/>
      <c r="CO43" s="2" t="s">
        <v>18</v>
      </c>
      <c r="CP43" s="141">
        <v>38787.65</v>
      </c>
      <c r="CQ43" s="141">
        <v>47325.62</v>
      </c>
      <c r="CR43" s="141">
        <v>58892.700000000004</v>
      </c>
      <c r="CS43" s="141">
        <v>67891.740000000005</v>
      </c>
      <c r="CT43" s="141">
        <v>73516.14</v>
      </c>
      <c r="CU43" s="141">
        <v>89438.86</v>
      </c>
      <c r="CV43" s="141">
        <v>98211.180000000008</v>
      </c>
      <c r="CW43" s="141">
        <v>104649.81000000001</v>
      </c>
      <c r="CX43" s="141">
        <v>117425.70000000001</v>
      </c>
      <c r="CY43" s="141">
        <v>146578.84</v>
      </c>
      <c r="CZ43" s="141">
        <v>254798.40000000002</v>
      </c>
      <c r="DA43" s="141">
        <v>321637.2</v>
      </c>
      <c r="DB43" s="141">
        <v>398722.00000000006</v>
      </c>
      <c r="DC43" s="141">
        <v>468753.41000000003</v>
      </c>
      <c r="DD43" s="141">
        <v>584087.4</v>
      </c>
      <c r="DE43" s="141">
        <v>713876.97000000009</v>
      </c>
      <c r="DF43" s="141">
        <v>866143.43</v>
      </c>
      <c r="DG43" s="141">
        <v>1212416.81</v>
      </c>
    </row>
    <row r="44" spans="1:111">
      <c r="A44" s="2" t="s">
        <v>18</v>
      </c>
      <c r="B44" t="s">
        <v>39</v>
      </c>
      <c r="C44" t="s">
        <v>40</v>
      </c>
      <c r="D44">
        <v>5</v>
      </c>
      <c r="E44" t="s">
        <v>46</v>
      </c>
      <c r="F44">
        <v>4</v>
      </c>
      <c r="G44">
        <v>1</v>
      </c>
      <c r="H44">
        <v>3</v>
      </c>
      <c r="I44">
        <v>1</v>
      </c>
      <c r="J44" s="4" t="s">
        <v>52</v>
      </c>
      <c r="K44" t="str">
        <f t="shared" si="0"/>
        <v>1+3</v>
      </c>
      <c r="L44">
        <f>VLOOKUP(A44,'ZONE 1 PREMIUM'!$A$4:$N$16,14,0)</f>
        <v>9</v>
      </c>
      <c r="M44">
        <f>VLOOKUP(D44,DROPDOWN!B:C,2,0)</f>
        <v>4</v>
      </c>
      <c r="N44" t="str">
        <f t="shared" si="1"/>
        <v>X50:AP61</v>
      </c>
      <c r="O44" s="4">
        <f t="shared" ca="1" si="2"/>
        <v>85261</v>
      </c>
      <c r="R44">
        <f>V28</f>
        <v>413.08982072297061</v>
      </c>
      <c r="S44">
        <f>R41</f>
        <v>378.66566899605647</v>
      </c>
      <c r="T44">
        <f>S41</f>
        <v>361.45359313259934</v>
      </c>
      <c r="U44">
        <f>T41</f>
        <v>344.24151726914221</v>
      </c>
      <c r="X44" s="2" t="s">
        <v>19</v>
      </c>
      <c r="Y44" s="141">
        <v>66654</v>
      </c>
      <c r="Z44" s="141">
        <v>81485.549999999988</v>
      </c>
      <c r="AA44" s="141">
        <v>101466.79999999999</v>
      </c>
      <c r="AB44" s="141">
        <v>113992.59999999999</v>
      </c>
      <c r="AC44" s="141">
        <v>123634.2</v>
      </c>
      <c r="AD44" s="141">
        <v>149817.4</v>
      </c>
      <c r="AE44" s="141">
        <v>164801.9</v>
      </c>
      <c r="AF44" s="141">
        <v>177971.69999999998</v>
      </c>
      <c r="AG44" s="141">
        <v>200056.3</v>
      </c>
      <c r="AH44" s="141">
        <v>250238.84999999998</v>
      </c>
      <c r="AI44" s="141">
        <v>428341.64999999997</v>
      </c>
      <c r="AJ44" s="141">
        <v>543283</v>
      </c>
      <c r="AK44" s="141">
        <v>676298.89999999991</v>
      </c>
      <c r="AL44" s="141">
        <v>799590.39999999991</v>
      </c>
      <c r="AM44" s="141">
        <v>998980.85</v>
      </c>
      <c r="AN44" s="141">
        <v>1223969.1499999999</v>
      </c>
      <c r="AO44" s="141">
        <v>1488448.45</v>
      </c>
      <c r="AP44" s="141">
        <v>2088674.8499999999</v>
      </c>
      <c r="AT44" s="1"/>
      <c r="AU44" s="2" t="s">
        <v>19</v>
      </c>
      <c r="AV44" s="141">
        <v>59085</v>
      </c>
      <c r="AW44" s="141">
        <v>72219.375</v>
      </c>
      <c r="AX44" s="141">
        <v>89960.625</v>
      </c>
      <c r="AY44" s="141">
        <v>101052</v>
      </c>
      <c r="AZ44" s="141">
        <v>109590.75</v>
      </c>
      <c r="BA44" s="141">
        <v>132822</v>
      </c>
      <c r="BB44" s="141">
        <v>146095.875</v>
      </c>
      <c r="BC44" s="141">
        <v>157757.625</v>
      </c>
      <c r="BD44" s="141">
        <v>177314.625</v>
      </c>
      <c r="BE44" s="141">
        <v>221753.25</v>
      </c>
      <c r="BF44" s="141">
        <v>379476</v>
      </c>
      <c r="BG44" s="141">
        <v>481260.375</v>
      </c>
      <c r="BH44" s="141">
        <v>599049</v>
      </c>
      <c r="BI44" s="141">
        <v>708451.875</v>
      </c>
      <c r="BJ44" s="141">
        <v>885018.375</v>
      </c>
      <c r="BK44" s="141">
        <v>1084252.5</v>
      </c>
      <c r="BL44" s="141">
        <v>1318456.125</v>
      </c>
      <c r="BM44" s="141">
        <v>1849974.75</v>
      </c>
      <c r="BQ44" s="1"/>
      <c r="BR44" s="2" t="s">
        <v>19</v>
      </c>
      <c r="BS44" s="141">
        <v>54480.800000000003</v>
      </c>
      <c r="BT44" s="141">
        <v>66584.100000000006</v>
      </c>
      <c r="BU44" s="141">
        <v>82957.600000000006</v>
      </c>
      <c r="BV44" s="141">
        <v>93178.8</v>
      </c>
      <c r="BW44" s="141">
        <v>101047.1</v>
      </c>
      <c r="BX44" s="141">
        <v>122479.50000000001</v>
      </c>
      <c r="BY44" s="141">
        <v>134713.70000000001</v>
      </c>
      <c r="BZ44" s="141">
        <v>145459.6</v>
      </c>
      <c r="CA44" s="141">
        <v>163482</v>
      </c>
      <c r="CB44" s="141">
        <v>204432.80000000002</v>
      </c>
      <c r="CC44" s="141">
        <v>349782.4</v>
      </c>
      <c r="CD44" s="141">
        <v>443578.30000000005</v>
      </c>
      <c r="CE44" s="141">
        <v>552123</v>
      </c>
      <c r="CF44" s="141">
        <v>653057.9</v>
      </c>
      <c r="CG44" s="141">
        <v>815766.60000000009</v>
      </c>
      <c r="CH44" s="141">
        <v>999364.3</v>
      </c>
      <c r="CI44" s="141">
        <v>1215188.7000000002</v>
      </c>
      <c r="CJ44" s="141">
        <v>1704992.3</v>
      </c>
      <c r="CN44" s="1"/>
      <c r="CO44" s="2" t="s">
        <v>19</v>
      </c>
      <c r="CP44" s="141">
        <v>50129.100000000006</v>
      </c>
      <c r="CQ44" s="141">
        <v>61258.000000000007</v>
      </c>
      <c r="CR44" s="141">
        <v>76339.240000000005</v>
      </c>
      <c r="CS44" s="141">
        <v>85738.310000000012</v>
      </c>
      <c r="CT44" s="141">
        <v>92972.640000000014</v>
      </c>
      <c r="CU44" s="141">
        <v>112706.00000000001</v>
      </c>
      <c r="CV44" s="141">
        <v>123956.98000000001</v>
      </c>
      <c r="CW44" s="141">
        <v>133838.92000000001</v>
      </c>
      <c r="CX44" s="141">
        <v>150410.19</v>
      </c>
      <c r="CY44" s="141">
        <v>188066.42</v>
      </c>
      <c r="CZ44" s="141">
        <v>321722.22000000003</v>
      </c>
      <c r="DA44" s="141">
        <v>407969.56000000006</v>
      </c>
      <c r="DB44" s="141">
        <v>507779.77</v>
      </c>
      <c r="DC44" s="141">
        <v>600710.99</v>
      </c>
      <c r="DD44" s="141">
        <v>750325.4800000001</v>
      </c>
      <c r="DE44" s="141">
        <v>919149.04</v>
      </c>
      <c r="DF44" s="141">
        <v>1117604.25</v>
      </c>
      <c r="DG44" s="141">
        <v>1567991.1600000001</v>
      </c>
    </row>
    <row r="45" spans="1:111">
      <c r="A45" s="2" t="s">
        <v>19</v>
      </c>
      <c r="B45" t="s">
        <v>41</v>
      </c>
      <c r="C45" t="s">
        <v>42</v>
      </c>
      <c r="D45">
        <v>5</v>
      </c>
      <c r="E45" t="s">
        <v>46</v>
      </c>
      <c r="F45">
        <v>4</v>
      </c>
      <c r="G45">
        <v>1</v>
      </c>
      <c r="H45">
        <v>3</v>
      </c>
      <c r="I45">
        <v>1</v>
      </c>
      <c r="J45" s="4" t="s">
        <v>52</v>
      </c>
      <c r="K45" t="str">
        <f t="shared" si="0"/>
        <v>1+3</v>
      </c>
      <c r="L45">
        <f>VLOOKUP(A45,'ZONE 1 PREMIUM'!$A$4:$N$16,14,0)</f>
        <v>10</v>
      </c>
      <c r="M45">
        <f>VLOOKUP(D45,DROPDOWN!B:C,2,0)</f>
        <v>4</v>
      </c>
      <c r="N45" t="str">
        <f t="shared" si="1"/>
        <v>X50:AP61</v>
      </c>
      <c r="O45" s="4">
        <f t="shared" ca="1" si="2"/>
        <v>107102.95</v>
      </c>
      <c r="V45" s="112" t="s">
        <v>365</v>
      </c>
      <c r="X45" s="2" t="s">
        <v>20</v>
      </c>
      <c r="Y45" s="141">
        <v>78194.25</v>
      </c>
      <c r="Z45" s="141">
        <v>95711.049999999988</v>
      </c>
      <c r="AA45" s="141">
        <v>119402.2</v>
      </c>
      <c r="AB45" s="141">
        <v>134400.5</v>
      </c>
      <c r="AC45" s="141">
        <v>145944.19999999998</v>
      </c>
      <c r="AD45" s="141">
        <v>176645.75</v>
      </c>
      <c r="AE45" s="141">
        <v>194517.9</v>
      </c>
      <c r="AF45" s="141">
        <v>210290.15</v>
      </c>
      <c r="AG45" s="141">
        <v>236688.4</v>
      </c>
      <c r="AH45" s="141">
        <v>296445.84999999998</v>
      </c>
      <c r="AI45" s="141">
        <v>495725.89999999997</v>
      </c>
      <c r="AJ45" s="141">
        <v>632171.1</v>
      </c>
      <c r="AK45" s="141">
        <v>790538.74999999988</v>
      </c>
      <c r="AL45" s="141">
        <v>947874.85</v>
      </c>
      <c r="AM45" s="141">
        <v>1186329.6499999999</v>
      </c>
      <c r="AN45" s="141">
        <v>1456021.9</v>
      </c>
      <c r="AO45" s="141">
        <v>1773609.3499999999</v>
      </c>
      <c r="AP45" s="141">
        <v>2493013.6999999997</v>
      </c>
      <c r="AT45" s="1"/>
      <c r="AU45" s="2" t="s">
        <v>20</v>
      </c>
      <c r="AV45" s="141">
        <v>69305.625</v>
      </c>
      <c r="AW45" s="141">
        <v>84817.125</v>
      </c>
      <c r="AX45" s="141">
        <v>105844.5</v>
      </c>
      <c r="AY45" s="141">
        <v>119125.125</v>
      </c>
      <c r="AZ45" s="141">
        <v>129348</v>
      </c>
      <c r="BA45" s="141">
        <v>156582</v>
      </c>
      <c r="BB45" s="141">
        <v>172413</v>
      </c>
      <c r="BC45" s="141">
        <v>186379.875</v>
      </c>
      <c r="BD45" s="141">
        <v>209756.25</v>
      </c>
      <c r="BE45" s="141">
        <v>262672.875</v>
      </c>
      <c r="BF45" s="141">
        <v>439149.375</v>
      </c>
      <c r="BG45" s="141">
        <v>559975.5</v>
      </c>
      <c r="BH45" s="141">
        <v>700214.625</v>
      </c>
      <c r="BI45" s="141">
        <v>839761.875</v>
      </c>
      <c r="BJ45" s="141">
        <v>1050919.875</v>
      </c>
      <c r="BK45" s="141">
        <v>1289741.625</v>
      </c>
      <c r="BL45" s="141">
        <v>1570973.625</v>
      </c>
      <c r="BM45" s="141">
        <v>2208028.5</v>
      </c>
      <c r="BQ45" s="1"/>
      <c r="BR45" s="2" t="s">
        <v>20</v>
      </c>
      <c r="BS45" s="141">
        <v>63899.000000000007</v>
      </c>
      <c r="BT45" s="141">
        <v>78193.5</v>
      </c>
      <c r="BU45" s="141">
        <v>97595.3</v>
      </c>
      <c r="BV45" s="141">
        <v>109833.90000000001</v>
      </c>
      <c r="BW45" s="141">
        <v>119254.3</v>
      </c>
      <c r="BX45" s="141">
        <v>144377.20000000001</v>
      </c>
      <c r="BY45" s="141">
        <v>158966.5</v>
      </c>
      <c r="BZ45" s="141">
        <v>171837.6</v>
      </c>
      <c r="CA45" s="141">
        <v>193378.90000000002</v>
      </c>
      <c r="CB45" s="141">
        <v>242143.00000000003</v>
      </c>
      <c r="CC45" s="141">
        <v>404773.60000000003</v>
      </c>
      <c r="CD45" s="141">
        <v>516116.70000000007</v>
      </c>
      <c r="CE45" s="141">
        <v>645350.20000000007</v>
      </c>
      <c r="CF45" s="141">
        <v>774062.3</v>
      </c>
      <c r="CG45" s="141">
        <v>968649.00000000012</v>
      </c>
      <c r="CH45" s="141">
        <v>1188727.1000000001</v>
      </c>
      <c r="CI45" s="141">
        <v>1447888.2000000002</v>
      </c>
      <c r="CJ45" s="141">
        <v>2034946.1</v>
      </c>
      <c r="CN45" s="1"/>
      <c r="CO45" s="2" t="s">
        <v>20</v>
      </c>
      <c r="CP45" s="141">
        <v>58790.240000000005</v>
      </c>
      <c r="CQ45" s="141">
        <v>71934.55</v>
      </c>
      <c r="CR45" s="141">
        <v>89799.650000000009</v>
      </c>
      <c r="CS45" s="141">
        <v>101053.90000000001</v>
      </c>
      <c r="CT45" s="141">
        <v>109716.13</v>
      </c>
      <c r="CU45" s="141">
        <v>132841.57</v>
      </c>
      <c r="CV45" s="141">
        <v>146259.47</v>
      </c>
      <c r="CW45" s="141">
        <v>158094.69</v>
      </c>
      <c r="CX45" s="141">
        <v>177903.26</v>
      </c>
      <c r="CY45" s="141">
        <v>222742.59000000003</v>
      </c>
      <c r="CZ45" s="141">
        <v>372289.5</v>
      </c>
      <c r="DA45" s="141">
        <v>474673.2</v>
      </c>
      <c r="DB45" s="141">
        <v>593506.09000000008</v>
      </c>
      <c r="DC45" s="141">
        <v>711977.10000000009</v>
      </c>
      <c r="DD45" s="141">
        <v>890903.87000000011</v>
      </c>
      <c r="DE45" s="141">
        <v>1093271.0900000001</v>
      </c>
      <c r="DF45" s="141">
        <v>1331576.7000000002</v>
      </c>
      <c r="DG45" s="141">
        <v>1871391.57</v>
      </c>
    </row>
    <row r="46" spans="1:111">
      <c r="A46" s="2" t="s">
        <v>20</v>
      </c>
      <c r="B46" t="s">
        <v>43</v>
      </c>
      <c r="C46" t="s">
        <v>44</v>
      </c>
      <c r="D46">
        <v>5</v>
      </c>
      <c r="E46" t="s">
        <v>46</v>
      </c>
      <c r="F46">
        <v>4</v>
      </c>
      <c r="G46">
        <v>1</v>
      </c>
      <c r="H46">
        <v>3</v>
      </c>
      <c r="I46">
        <v>1</v>
      </c>
      <c r="J46" s="4" t="s">
        <v>52</v>
      </c>
      <c r="K46" t="str">
        <f t="shared" si="0"/>
        <v>1+3</v>
      </c>
      <c r="L46">
        <f>VLOOKUP(A46,'ZONE 1 PREMIUM'!$A$4:$N$16,14,0)</f>
        <v>11</v>
      </c>
      <c r="M46">
        <f>VLOOKUP(D46,DROPDOWN!B:C,2,0)</f>
        <v>4</v>
      </c>
      <c r="N46" t="str">
        <f t="shared" si="1"/>
        <v>X50:AP61</v>
      </c>
      <c r="O46" s="4">
        <f t="shared" ca="1" si="2"/>
        <v>124758.9</v>
      </c>
      <c r="R46" s="96" t="s">
        <v>56</v>
      </c>
      <c r="S46">
        <v>2</v>
      </c>
      <c r="T46">
        <v>3</v>
      </c>
      <c r="U46">
        <v>1</v>
      </c>
      <c r="V46" s="96" t="s">
        <v>56</v>
      </c>
      <c r="W46">
        <v>2</v>
      </c>
      <c r="X46" s="2" t="s">
        <v>21</v>
      </c>
      <c r="Y46" s="141">
        <v>101472.54999999999</v>
      </c>
      <c r="Z46" s="141">
        <v>124350.65</v>
      </c>
      <c r="AA46" s="141">
        <v>155360.4</v>
      </c>
      <c r="AB46" s="141">
        <v>175311.75</v>
      </c>
      <c r="AC46" s="141">
        <v>190646.99999999997</v>
      </c>
      <c r="AD46" s="141">
        <v>230269.09999999998</v>
      </c>
      <c r="AE46" s="141">
        <v>253856.74999999997</v>
      </c>
      <c r="AF46" s="141">
        <v>274769.5</v>
      </c>
      <c r="AG46" s="141">
        <v>309738.69999999995</v>
      </c>
      <c r="AH46" s="141">
        <v>388550.49999999994</v>
      </c>
      <c r="AI46" s="141">
        <v>633439.54999999993</v>
      </c>
      <c r="AJ46" s="141">
        <v>812895.89999999991</v>
      </c>
      <c r="AK46" s="141">
        <v>1021919.8999999999</v>
      </c>
      <c r="AL46" s="141">
        <v>1242840.6499999999</v>
      </c>
      <c r="AM46" s="141">
        <v>1558758.2999999998</v>
      </c>
      <c r="AN46" s="141">
        <v>1917026.9999999998</v>
      </c>
      <c r="AO46" s="141">
        <v>2339777.3499999996</v>
      </c>
      <c r="AP46" s="141">
        <v>3295352.5999999996</v>
      </c>
      <c r="AT46" s="1"/>
      <c r="AU46" s="2" t="s">
        <v>21</v>
      </c>
      <c r="AV46" s="141">
        <v>89920.125</v>
      </c>
      <c r="AW46" s="141">
        <v>110179.125</v>
      </c>
      <c r="AX46" s="141">
        <v>137687.625</v>
      </c>
      <c r="AY46" s="141">
        <v>155355.75</v>
      </c>
      <c r="AZ46" s="141">
        <v>168934.5</v>
      </c>
      <c r="BA46" s="141">
        <v>204069.375</v>
      </c>
      <c r="BB46" s="141">
        <v>224960.625</v>
      </c>
      <c r="BC46" s="141">
        <v>243480.375</v>
      </c>
      <c r="BD46" s="141">
        <v>274446</v>
      </c>
      <c r="BE46" s="141">
        <v>344236.5</v>
      </c>
      <c r="BF46" s="141">
        <v>561100.5</v>
      </c>
      <c r="BG46" s="141">
        <v>720014.625</v>
      </c>
      <c r="BH46" s="141">
        <v>905112</v>
      </c>
      <c r="BI46" s="141">
        <v>1100967.75</v>
      </c>
      <c r="BJ46" s="141">
        <v>1380721.5</v>
      </c>
      <c r="BK46" s="141">
        <v>1697979.375</v>
      </c>
      <c r="BL46" s="141">
        <v>2072337.75</v>
      </c>
      <c r="BM46" s="141">
        <v>2918527.875</v>
      </c>
      <c r="BQ46" s="1"/>
      <c r="BR46" s="2" t="s">
        <v>21</v>
      </c>
      <c r="BS46" s="141">
        <v>82897.100000000006</v>
      </c>
      <c r="BT46" s="141">
        <v>101565.20000000001</v>
      </c>
      <c r="BU46" s="141">
        <v>126940.00000000001</v>
      </c>
      <c r="BV46" s="141">
        <v>143222.20000000001</v>
      </c>
      <c r="BW46" s="141">
        <v>155734.70000000001</v>
      </c>
      <c r="BX46" s="141">
        <v>188137.40000000002</v>
      </c>
      <c r="BY46" s="141">
        <v>207391.80000000002</v>
      </c>
      <c r="BZ46" s="141">
        <v>224457.2</v>
      </c>
      <c r="CA46" s="141">
        <v>252993.40000000002</v>
      </c>
      <c r="CB46" s="141">
        <v>317306</v>
      </c>
      <c r="CC46" s="141">
        <v>517155.10000000003</v>
      </c>
      <c r="CD46" s="141">
        <v>663598.10000000009</v>
      </c>
      <c r="CE46" s="141">
        <v>834167.4</v>
      </c>
      <c r="CF46" s="141">
        <v>1014769.8</v>
      </c>
      <c r="CG46" s="141">
        <v>1272569.1000000001</v>
      </c>
      <c r="CH46" s="141">
        <v>1564928.2000000002</v>
      </c>
      <c r="CI46" s="141">
        <v>1909906.9000000001</v>
      </c>
      <c r="CJ46" s="141">
        <v>2689687</v>
      </c>
      <c r="CN46" s="1"/>
      <c r="CO46" s="2" t="s">
        <v>21</v>
      </c>
      <c r="CP46" s="141">
        <v>76258.58</v>
      </c>
      <c r="CQ46" s="141">
        <v>93426.08</v>
      </c>
      <c r="CR46" s="141">
        <v>116783.69</v>
      </c>
      <c r="CS46" s="141">
        <v>131754.84</v>
      </c>
      <c r="CT46" s="141">
        <v>143261.97</v>
      </c>
      <c r="CU46" s="141">
        <v>173082.19</v>
      </c>
      <c r="CV46" s="141">
        <v>190789.24000000002</v>
      </c>
      <c r="CW46" s="141">
        <v>206480.88</v>
      </c>
      <c r="CX46" s="141">
        <v>232720.45</v>
      </c>
      <c r="CY46" s="141">
        <v>291857.31</v>
      </c>
      <c r="CZ46" s="141">
        <v>475628.04000000004</v>
      </c>
      <c r="DA46" s="141">
        <v>610285.55000000005</v>
      </c>
      <c r="DB46" s="141">
        <v>767128.92</v>
      </c>
      <c r="DC46" s="141">
        <v>933316.8600000001</v>
      </c>
      <c r="DD46" s="141">
        <v>1170370.06</v>
      </c>
      <c r="DE46" s="141">
        <v>1439201.12</v>
      </c>
      <c r="DF46" s="141">
        <v>1756417.28</v>
      </c>
      <c r="DG46" s="141">
        <v>2473444.35</v>
      </c>
    </row>
    <row r="47" spans="1:111">
      <c r="A47" s="2" t="s">
        <v>21</v>
      </c>
      <c r="B47" t="s">
        <v>22</v>
      </c>
      <c r="D47">
        <v>5</v>
      </c>
      <c r="E47" t="s">
        <v>46</v>
      </c>
      <c r="F47">
        <v>4</v>
      </c>
      <c r="G47">
        <v>1</v>
      </c>
      <c r="H47">
        <v>3</v>
      </c>
      <c r="I47">
        <v>1</v>
      </c>
      <c r="J47" s="4" t="s">
        <v>52</v>
      </c>
      <c r="K47" t="str">
        <f t="shared" si="0"/>
        <v>1+3</v>
      </c>
      <c r="L47">
        <f>VLOOKUP(A47,'ZONE 1 PREMIUM'!$A$4:$N$16,14,0)</f>
        <v>12</v>
      </c>
      <c r="M47">
        <f>VLOOKUP(D47,DROPDOWN!B:C,2,0)</f>
        <v>4</v>
      </c>
      <c r="N47" t="str">
        <f t="shared" si="1"/>
        <v>X50:AP61</v>
      </c>
      <c r="O47" s="4">
        <f t="shared" ca="1" si="2"/>
        <v>161042.54999999999</v>
      </c>
      <c r="Q47" t="str">
        <f>VLOOKUP('CALCULATOR CARE V6'!H3,DROPDOWN!K:N,4,0)</f>
        <v>Upto 45 Years</v>
      </c>
      <c r="R47" t="e">
        <f>IF('CALCULATOR CARE V6'!I3="yes",INDEX('ADD SI'!$B$33:$Q$37,MATCH('CARE SHEET'!Q47,'ADD SI'!$B$33:$B$37,0),MATCH('CARE SHEET'!$T$3,'ADD SI'!$B$33:$Q$33,0)),0)</f>
        <v>#N/A</v>
      </c>
      <c r="S47" t="e">
        <f>IF('CALCULATOR CARE V6'!I3="yes",INDEX('ADD SI'!$B$21:$AB$25,MATCH('CARE SHEET'!Q47,'ADD SI'!$B$21:$B$25,0),MATCH('CARE SHEET'!$T$3,'ADD SI'!$B$21:$Q$21,0)),0)</f>
        <v>#N/A</v>
      </c>
      <c r="T47" t="e">
        <f>IF('CALCULATOR CARE V6'!I3="yes",INDEX('ADD SI'!$B$9:$AB$13,MATCH('CARE SHEET'!Q47,'ADD SI'!$B$9:$B$13,0),MATCH('CARE SHEET'!$T$3,'ADD SI'!$B$9:$Q$9,0)),0)</f>
        <v>#N/A</v>
      </c>
      <c r="U47" t="e">
        <f>IF('CALCULATOR CARE V6'!I3="yes",INDEX('ADD SI'!$W$45:$AB$49,MATCH('CARE SHEET'!Q47,'ADD SI'!$W$45:$W$49,0),MATCH('CARE SHEET'!$T$3,'ADD SI'!$W$45:$AB$45,0)),0)</f>
        <v>#N/A</v>
      </c>
      <c r="V47" t="e">
        <f>IF('CALCULATOR CARE V6'!I3="yes",INDEX('ADD SI'!$W$33:$AB$37,MATCH('CARE SHEET'!Q47,'ADD SI'!$W$33:$W$37,0),MATCH('CARE SHEET'!$T$3,'ADD SI'!$W$33:$AB$33,0)),0)</f>
        <v>#N/A</v>
      </c>
      <c r="W47" t="e">
        <f>IF('CALCULATOR CARE V6'!I3="yes",INDEX('ADD SI'!$W$21:$AB$25,MATCH('CARE SHEET'!Q47,'ADD SI'!$W$21:$W$25,0),MATCH('CARE SHEET'!$T$3,'ADD SI'!$W$21:$AB$21,0)),0)</f>
        <v>#N/A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</row>
    <row r="48" spans="1:111">
      <c r="A48" s="2" t="s">
        <v>11</v>
      </c>
      <c r="B48" t="s">
        <v>45</v>
      </c>
      <c r="C48" t="s">
        <v>25</v>
      </c>
      <c r="D48">
        <v>5</v>
      </c>
      <c r="E48" t="s">
        <v>46</v>
      </c>
      <c r="F48">
        <v>5</v>
      </c>
      <c r="G48">
        <v>1</v>
      </c>
      <c r="H48">
        <v>4</v>
      </c>
      <c r="I48">
        <v>1</v>
      </c>
      <c r="J48" s="4" t="s">
        <v>52</v>
      </c>
      <c r="K48" t="str">
        <f t="shared" si="0"/>
        <v>1+4</v>
      </c>
      <c r="L48">
        <f>VLOOKUP(A48,'ZONE 1 PREMIUM'!$A$4:$N$16,14,0)</f>
        <v>2</v>
      </c>
      <c r="M48">
        <f>VLOOKUP(D48,DROPDOWN!B:C,2,0)</f>
        <v>4</v>
      </c>
      <c r="N48" t="str">
        <f t="shared" si="1"/>
        <v>X65:AP76</v>
      </c>
      <c r="O48" s="4">
        <f t="shared" ca="1" si="2"/>
        <v>30721.1</v>
      </c>
      <c r="Q48" t="str">
        <f>VLOOKUP('CALCULATOR CARE V6'!H4,DROPDOWN!K:N,4,0)</f>
        <v>Upto 45 Years</v>
      </c>
      <c r="R48">
        <f>IF('CALCULATOR CARE V6'!I4="yes",INDEX('ADD SI'!$B$33:$Q$37,MATCH('CARE SHEET'!Q48,'ADD SI'!$B$33:$B$37,0),MATCH('CARE SHEET'!$T$3,'ADD SI'!$B$33:$Q$33,0)),0)</f>
        <v>0</v>
      </c>
      <c r="S48">
        <f>IF('CALCULATOR CARE V6'!I4="yes",INDEX('ADD SI'!$B$21:$AB$25,MATCH('CARE SHEET'!Q48,'ADD SI'!$B$21:$B$25,0),MATCH('CARE SHEET'!$T$3,'ADD SI'!$B$21:$Q$21,0)),0)</f>
        <v>0</v>
      </c>
      <c r="T48">
        <f>IF('CALCULATOR CARE V6'!I4="yes",INDEX('ADD SI'!$B$9:$AB$13,MATCH('CARE SHEET'!Q48,'ADD SI'!$B$9:$B$13,0),MATCH('CARE SHEET'!$T$3,'ADD SI'!$B$9:$Q$9,0)),0)</f>
        <v>0</v>
      </c>
      <c r="U48">
        <f>IF('CALCULATOR CARE V6'!I4="yes",INDEX('ADD SI'!$W$45:$AB$49,MATCH('CARE SHEET'!Q48,'ADD SI'!$W$45:$W$49,0),MATCH('CARE SHEET'!$T$3,'ADD SI'!$W$45:$AB$45,0)),0)</f>
        <v>0</v>
      </c>
      <c r="V48">
        <f>IF('CALCULATOR CARE V6'!I4="yes",INDEX('ADD SI'!$W$33:$AB$37,MATCH('CARE SHEET'!Q48,'ADD SI'!$W$33:$W$37,0),MATCH('CARE SHEET'!$T$3,'ADD SI'!$W$33:$AB$33,0)),0)</f>
        <v>0</v>
      </c>
      <c r="W48">
        <f>IF('CALCULATOR CARE V6'!I4="yes",INDEX('ADD SI'!$W$21:$AB$25,MATCH('CARE SHEET'!Q48,'ADD SI'!$W$21:$W$25,0),MATCH('CARE SHEET'!$T$3,'ADD SI'!$W$21:$AB$21,0)),0)</f>
        <v>0</v>
      </c>
      <c r="X48" s="85" t="s">
        <v>63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</row>
    <row r="49" spans="1:111">
      <c r="A49" s="2" t="s">
        <v>12</v>
      </c>
      <c r="B49" t="s">
        <v>27</v>
      </c>
      <c r="C49" t="s">
        <v>28</v>
      </c>
      <c r="D49">
        <v>5</v>
      </c>
      <c r="E49" t="s">
        <v>46</v>
      </c>
      <c r="F49">
        <v>5</v>
      </c>
      <c r="G49">
        <v>1</v>
      </c>
      <c r="H49">
        <v>4</v>
      </c>
      <c r="I49">
        <v>1</v>
      </c>
      <c r="J49" s="4" t="s">
        <v>52</v>
      </c>
      <c r="K49" t="str">
        <f t="shared" si="0"/>
        <v>1+4</v>
      </c>
      <c r="L49">
        <f>VLOOKUP(A49,'ZONE 1 PREMIUM'!$A$4:$N$16,14,0)</f>
        <v>3</v>
      </c>
      <c r="M49">
        <f>VLOOKUP(D49,DROPDOWN!B:C,2,0)</f>
        <v>4</v>
      </c>
      <c r="N49" t="str">
        <f t="shared" si="1"/>
        <v>X65:AP76</v>
      </c>
      <c r="O49" s="4">
        <f t="shared" ca="1" si="2"/>
        <v>32124.1</v>
      </c>
      <c r="Q49" t="str">
        <f>VLOOKUP('CALCULATOR CARE V6'!H5,DROPDOWN!K:N,4,0)</f>
        <v>Upto 45 Years</v>
      </c>
      <c r="R49">
        <f>IF('CALCULATOR CARE V6'!I5="yes",INDEX('ADD SI'!$B$33:$Q$37,MATCH('CARE SHEET'!Q49,'ADD SI'!$B$33:$B$37,0),MATCH('CARE SHEET'!$T$3,'ADD SI'!$B$33:$Q$33,0)),0)</f>
        <v>0</v>
      </c>
      <c r="S49">
        <f>IF('CALCULATOR CARE V6'!I5="yes",INDEX('ADD SI'!$B$21:$AB$25,MATCH('CARE SHEET'!Q49,'ADD SI'!$B$21:$B$25,0),MATCH('CARE SHEET'!$T$3,'ADD SI'!$B$21:$Q$21,0)),0)</f>
        <v>0</v>
      </c>
      <c r="T49">
        <f>IF('CALCULATOR CARE V6'!I5="yes",INDEX('ADD SI'!$B$9:$AB$13,MATCH('CARE SHEET'!Q49,'ADD SI'!$B$9:$B$13,0),MATCH('CARE SHEET'!$T$3,'ADD SI'!$B$9:$Q$9,0)),0)</f>
        <v>0</v>
      </c>
      <c r="U49">
        <f>IF('CALCULATOR CARE V6'!I5="yes",INDEX('ADD SI'!$W$45:$AB$49,MATCH('CARE SHEET'!Q49,'ADD SI'!$W$45:$W$49,0),MATCH('CARE SHEET'!$T$3,'ADD SI'!$W$45:$AB$45,0)),0)</f>
        <v>0</v>
      </c>
      <c r="V49">
        <f>IF('CALCULATOR CARE V6'!I5="yes",INDEX('ADD SI'!$W$33:$AB$37,MATCH('CARE SHEET'!Q49,'ADD SI'!$W$33:$W$37,0),MATCH('CARE SHEET'!$T$3,'ADD SI'!$W$33:$AB$33,0)),0)</f>
        <v>0</v>
      </c>
      <c r="W49">
        <f>IF('CALCULATOR CARE V6'!I5="yes",INDEX('ADD SI'!$W$21:$AB$25,MATCH('CARE SHEET'!Q49,'ADD SI'!$W$21:$W$25,0),MATCH('CARE SHEET'!$T$3,'ADD SI'!$W$21:$AB$21,0)),0)</f>
        <v>0</v>
      </c>
      <c r="X49" s="1"/>
      <c r="Y49" s="153" t="s">
        <v>211</v>
      </c>
      <c r="Z49" s="153"/>
      <c r="AA49" s="143" t="s">
        <v>57</v>
      </c>
      <c r="AB49" s="143"/>
      <c r="AC49" s="143"/>
      <c r="AD49" s="144" t="s">
        <v>58</v>
      </c>
      <c r="AE49" s="144"/>
      <c r="AF49" s="144"/>
      <c r="AG49" s="144"/>
      <c r="AH49" s="144"/>
      <c r="AI49" s="142" t="s">
        <v>59</v>
      </c>
      <c r="AJ49" s="142"/>
      <c r="AK49" s="142"/>
      <c r="AL49" s="154" t="s">
        <v>176</v>
      </c>
      <c r="AM49" s="154"/>
      <c r="AN49" s="154"/>
      <c r="AO49" s="154"/>
      <c r="AP49" s="154"/>
      <c r="AT49" s="5" t="s">
        <v>63</v>
      </c>
      <c r="AU49" s="1"/>
      <c r="AV49" s="153" t="s">
        <v>211</v>
      </c>
      <c r="AW49" s="153"/>
      <c r="AX49" s="143" t="s">
        <v>57</v>
      </c>
      <c r="AY49" s="143"/>
      <c r="AZ49" s="143"/>
      <c r="BA49" s="144" t="s">
        <v>58</v>
      </c>
      <c r="BB49" s="144"/>
      <c r="BC49" s="144"/>
      <c r="BD49" s="144"/>
      <c r="BE49" s="144"/>
      <c r="BF49" s="142" t="s">
        <v>59</v>
      </c>
      <c r="BG49" s="142"/>
      <c r="BH49" s="142"/>
      <c r="BI49" s="154" t="s">
        <v>176</v>
      </c>
      <c r="BJ49" s="154"/>
      <c r="BK49" s="154"/>
      <c r="BL49" s="154"/>
      <c r="BM49" s="154"/>
      <c r="BQ49" s="5" t="s">
        <v>63</v>
      </c>
      <c r="BR49" s="1"/>
      <c r="BS49" s="148" t="s">
        <v>211</v>
      </c>
      <c r="BT49" s="149"/>
      <c r="BU49" s="145" t="s">
        <v>57</v>
      </c>
      <c r="BV49" s="146"/>
      <c r="BW49" s="147"/>
      <c r="BX49" s="150" t="s">
        <v>58</v>
      </c>
      <c r="BY49" s="151"/>
      <c r="BZ49" s="151"/>
      <c r="CA49" s="151"/>
      <c r="CB49" s="152"/>
      <c r="CC49" s="158" t="s">
        <v>59</v>
      </c>
      <c r="CD49" s="159"/>
      <c r="CE49" s="160"/>
      <c r="CF49" s="155" t="s">
        <v>176</v>
      </c>
      <c r="CG49" s="156"/>
      <c r="CH49" s="156"/>
      <c r="CI49" s="156"/>
      <c r="CJ49" s="157"/>
      <c r="CN49" s="5" t="s">
        <v>63</v>
      </c>
      <c r="CO49" s="1"/>
      <c r="CP49" s="153" t="s">
        <v>211</v>
      </c>
      <c r="CQ49" s="153"/>
      <c r="CR49" s="143" t="s">
        <v>57</v>
      </c>
      <c r="CS49" s="143"/>
      <c r="CT49" s="143"/>
      <c r="CU49" s="144" t="s">
        <v>58</v>
      </c>
      <c r="CV49" s="144"/>
      <c r="CW49" s="144"/>
      <c r="CX49" s="144"/>
      <c r="CY49" s="144"/>
      <c r="CZ49" s="142" t="s">
        <v>59</v>
      </c>
      <c r="DA49" s="142"/>
      <c r="DB49" s="142"/>
      <c r="DC49" s="154" t="s">
        <v>176</v>
      </c>
      <c r="DD49" s="154"/>
      <c r="DE49" s="154"/>
      <c r="DF49" s="154"/>
      <c r="DG49" s="154"/>
    </row>
    <row r="50" spans="1:111">
      <c r="A50" s="2" t="s">
        <v>13</v>
      </c>
      <c r="B50" t="s">
        <v>29</v>
      </c>
      <c r="C50" t="s">
        <v>30</v>
      </c>
      <c r="D50">
        <v>5</v>
      </c>
      <c r="E50" t="s">
        <v>46</v>
      </c>
      <c r="F50">
        <v>5</v>
      </c>
      <c r="G50">
        <v>1</v>
      </c>
      <c r="H50">
        <v>4</v>
      </c>
      <c r="I50">
        <v>1</v>
      </c>
      <c r="J50" s="4" t="s">
        <v>52</v>
      </c>
      <c r="K50" t="str">
        <f t="shared" si="0"/>
        <v>1+4</v>
      </c>
      <c r="L50">
        <f>VLOOKUP(A50,'ZONE 1 PREMIUM'!$A$4:$N$16,14,0)</f>
        <v>4</v>
      </c>
      <c r="M50">
        <f>VLOOKUP(D50,DROPDOWN!B:C,2,0)</f>
        <v>4</v>
      </c>
      <c r="N50" t="str">
        <f t="shared" si="1"/>
        <v>X65:AP76</v>
      </c>
      <c r="O50" s="4">
        <f t="shared" ca="1" si="2"/>
        <v>37112.799999999996</v>
      </c>
      <c r="Q50" t="str">
        <f>VLOOKUP('CALCULATOR CARE V6'!H6,DROPDOWN!K:N,4,0)</f>
        <v>Upto 45 Years</v>
      </c>
      <c r="R50">
        <f>IF('CALCULATOR CARE V6'!I6="yes",INDEX('ADD SI'!$B$33:$Q$37,MATCH('CARE SHEET'!Q50,'ADD SI'!$B$33:$B$37,0),MATCH('CARE SHEET'!$T$3,'ADD SI'!$B$33:$Q$33,0)),0)</f>
        <v>0</v>
      </c>
      <c r="S50">
        <f>IF('CALCULATOR CARE V6'!I6="yes",INDEX('ADD SI'!$B$21:$AB$25,MATCH('CARE SHEET'!Q50,'ADD SI'!$B$21:$B$25,0),MATCH('CARE SHEET'!$T$3,'ADD SI'!$B$21:$Q$21,0)),0)</f>
        <v>0</v>
      </c>
      <c r="T50">
        <f>IF('CALCULATOR CARE V6'!I6="yes",INDEX('ADD SI'!$B$9:$AB$13,MATCH('CARE SHEET'!Q50,'ADD SI'!$B$9:$B$13,0),MATCH('CARE SHEET'!$T$3,'ADD SI'!$B$9:$Q$9,0)),0)</f>
        <v>0</v>
      </c>
      <c r="U50">
        <f>IF('CALCULATOR CARE V6'!I6="yes",INDEX('ADD SI'!$W$45:$AB$49,MATCH('CARE SHEET'!Q50,'ADD SI'!$W$45:$W$49,0),MATCH('CARE SHEET'!$T$3,'ADD SI'!$W$45:$AB$45,0)),0)</f>
        <v>0</v>
      </c>
      <c r="V50">
        <f>IF('CALCULATOR CARE V6'!I6="yes",INDEX('ADD SI'!$W$33:$AB$37,MATCH('CARE SHEET'!Q50,'ADD SI'!$W$33:$W$37,0),MATCH('CARE SHEET'!$T$3,'ADD SI'!$W$33:$AB$33,0)),0)</f>
        <v>0</v>
      </c>
      <c r="W50">
        <f>IF('CALCULATOR CARE V6'!I6="yes",INDEX('ADD SI'!$W$21:$AB$25,MATCH('CARE SHEET'!Q50,'ADD SI'!$W$21:$W$25,0),MATCH('CARE SHEET'!$T$3,'ADD SI'!$W$21:$AB$21,0)),0)</f>
        <v>0</v>
      </c>
      <c r="X50" s="2" t="s">
        <v>60</v>
      </c>
      <c r="Y50" s="2" t="s">
        <v>243</v>
      </c>
      <c r="Z50" s="2" t="s">
        <v>244</v>
      </c>
      <c r="AA50" s="6" t="s">
        <v>70</v>
      </c>
      <c r="AB50" s="6" t="s">
        <v>71</v>
      </c>
      <c r="AC50" s="6" t="s">
        <v>72</v>
      </c>
      <c r="AD50" s="6" t="s">
        <v>73</v>
      </c>
      <c r="AE50" s="6" t="s">
        <v>74</v>
      </c>
      <c r="AF50" s="6" t="s">
        <v>75</v>
      </c>
      <c r="AG50" s="6" t="s">
        <v>76</v>
      </c>
      <c r="AH50" s="6" t="s">
        <v>77</v>
      </c>
      <c r="AI50" s="6" t="s">
        <v>78</v>
      </c>
      <c r="AJ50" s="6" t="s">
        <v>79</v>
      </c>
      <c r="AK50" s="6" t="s">
        <v>80</v>
      </c>
      <c r="AL50" s="2" t="s">
        <v>245</v>
      </c>
      <c r="AM50" s="2" t="s">
        <v>246</v>
      </c>
      <c r="AN50" s="2" t="s">
        <v>247</v>
      </c>
      <c r="AO50" s="2" t="s">
        <v>248</v>
      </c>
      <c r="AP50" s="2" t="s">
        <v>310</v>
      </c>
      <c r="AT50" s="1"/>
      <c r="AU50" s="2" t="s">
        <v>60</v>
      </c>
      <c r="AV50" s="2" t="s">
        <v>243</v>
      </c>
      <c r="AW50" s="2" t="s">
        <v>244</v>
      </c>
      <c r="AX50" s="6" t="s">
        <v>70</v>
      </c>
      <c r="AY50" s="6" t="s">
        <v>71</v>
      </c>
      <c r="AZ50" s="6" t="s">
        <v>72</v>
      </c>
      <c r="BA50" s="6" t="s">
        <v>73</v>
      </c>
      <c r="BB50" s="6" t="s">
        <v>74</v>
      </c>
      <c r="BC50" s="6" t="s">
        <v>75</v>
      </c>
      <c r="BD50" s="6" t="s">
        <v>76</v>
      </c>
      <c r="BE50" s="6" t="s">
        <v>77</v>
      </c>
      <c r="BF50" s="6" t="s">
        <v>78</v>
      </c>
      <c r="BG50" s="6" t="s">
        <v>79</v>
      </c>
      <c r="BH50" s="6" t="s">
        <v>80</v>
      </c>
      <c r="BI50" s="2" t="s">
        <v>245</v>
      </c>
      <c r="BJ50" s="2" t="s">
        <v>246</v>
      </c>
      <c r="BK50" s="2" t="s">
        <v>247</v>
      </c>
      <c r="BL50" s="2" t="s">
        <v>248</v>
      </c>
      <c r="BM50" s="2" t="s">
        <v>310</v>
      </c>
      <c r="BQ50" s="1"/>
      <c r="BR50" s="2" t="s">
        <v>60</v>
      </c>
      <c r="BS50" s="2" t="s">
        <v>243</v>
      </c>
      <c r="BT50" s="2" t="s">
        <v>244</v>
      </c>
      <c r="BU50" s="6" t="s">
        <v>70</v>
      </c>
      <c r="BV50" s="6" t="s">
        <v>71</v>
      </c>
      <c r="BW50" s="6" t="s">
        <v>72</v>
      </c>
      <c r="BX50" s="6" t="s">
        <v>73</v>
      </c>
      <c r="BY50" s="6" t="s">
        <v>74</v>
      </c>
      <c r="BZ50" s="6" t="s">
        <v>75</v>
      </c>
      <c r="CA50" s="6" t="s">
        <v>76</v>
      </c>
      <c r="CB50" s="6" t="s">
        <v>77</v>
      </c>
      <c r="CC50" s="6" t="s">
        <v>78</v>
      </c>
      <c r="CD50" s="6" t="s">
        <v>79</v>
      </c>
      <c r="CE50" s="6" t="s">
        <v>80</v>
      </c>
      <c r="CF50" s="2" t="s">
        <v>245</v>
      </c>
      <c r="CG50" s="2" t="s">
        <v>246</v>
      </c>
      <c r="CH50" s="2" t="s">
        <v>247</v>
      </c>
      <c r="CI50" s="2" t="s">
        <v>248</v>
      </c>
      <c r="CJ50" s="2" t="s">
        <v>310</v>
      </c>
      <c r="CN50" s="1"/>
      <c r="CO50" s="2" t="s">
        <v>60</v>
      </c>
      <c r="CP50" s="2" t="s">
        <v>243</v>
      </c>
      <c r="CQ50" s="2" t="s">
        <v>244</v>
      </c>
      <c r="CR50" s="6" t="s">
        <v>70</v>
      </c>
      <c r="CS50" s="6" t="s">
        <v>71</v>
      </c>
      <c r="CT50" s="6" t="s">
        <v>72</v>
      </c>
      <c r="CU50" s="6" t="s">
        <v>73</v>
      </c>
      <c r="CV50" s="6" t="s">
        <v>74</v>
      </c>
      <c r="CW50" s="6" t="s">
        <v>75</v>
      </c>
      <c r="CX50" s="6" t="s">
        <v>76</v>
      </c>
      <c r="CY50" s="6" t="s">
        <v>77</v>
      </c>
      <c r="CZ50" s="6" t="s">
        <v>78</v>
      </c>
      <c r="DA50" s="6" t="s">
        <v>79</v>
      </c>
      <c r="DB50" s="6" t="s">
        <v>80</v>
      </c>
      <c r="DC50" s="2" t="s">
        <v>245</v>
      </c>
      <c r="DD50" s="2" t="s">
        <v>246</v>
      </c>
      <c r="DE50" s="2" t="s">
        <v>247</v>
      </c>
      <c r="DF50" s="2" t="s">
        <v>248</v>
      </c>
      <c r="DG50" s="2" t="s">
        <v>310</v>
      </c>
    </row>
    <row r="51" spans="1:111">
      <c r="A51" s="2" t="s">
        <v>14</v>
      </c>
      <c r="B51" t="s">
        <v>31</v>
      </c>
      <c r="C51" t="s">
        <v>32</v>
      </c>
      <c r="D51">
        <v>5</v>
      </c>
      <c r="E51" t="s">
        <v>46</v>
      </c>
      <c r="F51">
        <v>5</v>
      </c>
      <c r="G51">
        <v>1</v>
      </c>
      <c r="H51">
        <v>4</v>
      </c>
      <c r="I51">
        <v>1</v>
      </c>
      <c r="J51" s="4" t="s">
        <v>52</v>
      </c>
      <c r="K51" t="str">
        <f t="shared" si="0"/>
        <v>1+4</v>
      </c>
      <c r="L51">
        <f>VLOOKUP(A51,'ZONE 1 PREMIUM'!$A$4:$N$16,14,0)</f>
        <v>5</v>
      </c>
      <c r="M51">
        <f>VLOOKUP(D51,DROPDOWN!B:C,2,0)</f>
        <v>4</v>
      </c>
      <c r="N51" t="str">
        <f t="shared" si="1"/>
        <v>X65:AP76</v>
      </c>
      <c r="O51" s="4">
        <f t="shared" ca="1" si="2"/>
        <v>40958.399999999994</v>
      </c>
      <c r="Q51" t="str">
        <f>VLOOKUP('CALCULATOR CARE V6'!H7,DROPDOWN!K:N,4,0)</f>
        <v>Upto 45 Years</v>
      </c>
      <c r="R51">
        <f>IF('CALCULATOR CARE V6'!I7="yes",INDEX('ADD SI'!$B$33:$Q$37,MATCH('CARE SHEET'!Q51,'ADD SI'!$B$33:$B$37,0),MATCH('CARE SHEET'!$T$3,'ADD SI'!$B$33:$Q$33,0)),0)</f>
        <v>0</v>
      </c>
      <c r="S51">
        <f>IF('CALCULATOR CARE V6'!I7="yes",INDEX('ADD SI'!$B$21:$AB$25,MATCH('CARE SHEET'!Q51,'ADD SI'!$B$21:$B$25,0),MATCH('CARE SHEET'!$T$3,'ADD SI'!$B$21:$Q$21,0)),0)</f>
        <v>0</v>
      </c>
      <c r="T51">
        <f>IF('CALCULATOR CARE V6'!I7="yes",INDEX('ADD SI'!$B$9:$AB$13,MATCH('CARE SHEET'!Q51,'ADD SI'!$B$9:$B$13,0),MATCH('CARE SHEET'!$T$3,'ADD SI'!$B$9:$Q$9,0)),0)</f>
        <v>0</v>
      </c>
      <c r="U51">
        <f>IF('CALCULATOR CARE V6'!I7="yes",INDEX('ADD SI'!$W$45:$AB$49,MATCH('CARE SHEET'!Q51,'ADD SI'!$W$45:$W$49,0),MATCH('CARE SHEET'!$T$3,'ADD SI'!$W$45:$AB$45,0)),0)</f>
        <v>0</v>
      </c>
      <c r="V51">
        <f>IF('CALCULATOR CARE V6'!I7="yes",INDEX('ADD SI'!$W$33:$AB$37,MATCH('CARE SHEET'!Q51,'ADD SI'!$W$33:$W$37,0),MATCH('CARE SHEET'!$T$3,'ADD SI'!$W$33:$AB$33,0)),0)</f>
        <v>0</v>
      </c>
      <c r="W51">
        <f>IF('CALCULATOR CARE V6'!I7="yes",INDEX('ADD SI'!$W$21:$AB$25,MATCH('CARE SHEET'!Q51,'ADD SI'!$W$21:$W$25,0),MATCH('CARE SHEET'!$T$3,'ADD SI'!$W$21:$AB$21,0)),0)</f>
        <v>0</v>
      </c>
      <c r="X51" s="2" t="s">
        <v>11</v>
      </c>
      <c r="Y51" s="141">
        <v>17848</v>
      </c>
      <c r="Z51" s="141">
        <v>21599.3</v>
      </c>
      <c r="AA51" s="141">
        <v>25953.199999999997</v>
      </c>
      <c r="AB51" s="141">
        <v>28308.399999999998</v>
      </c>
      <c r="AC51" s="141">
        <v>30468.1</v>
      </c>
      <c r="AD51" s="141">
        <v>38755</v>
      </c>
      <c r="AE51" s="141">
        <v>42393.599999999999</v>
      </c>
      <c r="AF51" s="141">
        <v>45534.25</v>
      </c>
      <c r="AG51" s="141">
        <v>50795.499999999993</v>
      </c>
      <c r="AH51" s="141">
        <v>63068.299999999996</v>
      </c>
      <c r="AI51" s="141">
        <v>112428.59999999999</v>
      </c>
      <c r="AJ51" s="141">
        <v>138828</v>
      </c>
      <c r="AK51" s="141">
        <v>168433.59999999998</v>
      </c>
      <c r="AL51" s="141">
        <v>239195.4</v>
      </c>
      <c r="AM51" s="141">
        <v>286621.39999999997</v>
      </c>
      <c r="AN51" s="141">
        <v>338860.14999999997</v>
      </c>
      <c r="AO51" s="141">
        <v>399282.3</v>
      </c>
      <c r="AP51" s="141">
        <v>538306.94999999995</v>
      </c>
      <c r="AT51" s="1"/>
      <c r="AU51" s="2" t="s">
        <v>11</v>
      </c>
      <c r="AV51" s="141">
        <v>15836.625</v>
      </c>
      <c r="AW51" s="141">
        <v>19157.625</v>
      </c>
      <c r="AX51" s="141">
        <v>23028.75</v>
      </c>
      <c r="AY51" s="141">
        <v>25113.375</v>
      </c>
      <c r="AZ51" s="141">
        <v>27025.875</v>
      </c>
      <c r="BA51" s="141">
        <v>34378.875</v>
      </c>
      <c r="BB51" s="141">
        <v>37600.875</v>
      </c>
      <c r="BC51" s="141">
        <v>40381.875</v>
      </c>
      <c r="BD51" s="141">
        <v>45040.5</v>
      </c>
      <c r="BE51" s="141">
        <v>55909.125</v>
      </c>
      <c r="BF51" s="141">
        <v>99619.875</v>
      </c>
      <c r="BG51" s="141">
        <v>122997.375</v>
      </c>
      <c r="BH51" s="141">
        <v>149213.25</v>
      </c>
      <c r="BI51" s="141">
        <v>212738.625</v>
      </c>
      <c r="BJ51" s="141">
        <v>254736</v>
      </c>
      <c r="BK51" s="141">
        <v>300994.875</v>
      </c>
      <c r="BL51" s="141">
        <v>354499.875</v>
      </c>
      <c r="BM51" s="141">
        <v>477610.875</v>
      </c>
      <c r="BQ51" s="1"/>
      <c r="BR51" s="2" t="s">
        <v>11</v>
      </c>
      <c r="BS51" s="141">
        <v>14610.2</v>
      </c>
      <c r="BT51" s="141">
        <v>17670.400000000001</v>
      </c>
      <c r="BU51" s="141">
        <v>21245.4</v>
      </c>
      <c r="BV51" s="141">
        <v>23167.100000000002</v>
      </c>
      <c r="BW51" s="141">
        <v>24929.300000000003</v>
      </c>
      <c r="BX51" s="141">
        <v>31713.000000000004</v>
      </c>
      <c r="BY51" s="141">
        <v>34681.9</v>
      </c>
      <c r="BZ51" s="141">
        <v>37244.9</v>
      </c>
      <c r="CA51" s="141">
        <v>41538.200000000004</v>
      </c>
      <c r="CB51" s="141">
        <v>51552.600000000006</v>
      </c>
      <c r="CC51" s="141">
        <v>91832.400000000009</v>
      </c>
      <c r="CD51" s="141">
        <v>113375.90000000001</v>
      </c>
      <c r="CE51" s="141">
        <v>137535.20000000001</v>
      </c>
      <c r="CF51" s="141">
        <v>196529.30000000002</v>
      </c>
      <c r="CG51" s="141">
        <v>235230.6</v>
      </c>
      <c r="CH51" s="141">
        <v>277858.90000000002</v>
      </c>
      <c r="CI51" s="141">
        <v>327165.30000000005</v>
      </c>
      <c r="CJ51" s="141">
        <v>440613.80000000005</v>
      </c>
      <c r="CN51" s="1"/>
      <c r="CO51" s="2" t="s">
        <v>11</v>
      </c>
      <c r="CP51" s="141">
        <v>13450.6</v>
      </c>
      <c r="CQ51" s="141">
        <v>16264.980000000001</v>
      </c>
      <c r="CR51" s="141">
        <v>19560.050000000003</v>
      </c>
      <c r="CS51" s="141">
        <v>21326.940000000002</v>
      </c>
      <c r="CT51" s="141">
        <v>22947.77</v>
      </c>
      <c r="CU51" s="141">
        <v>29192.38</v>
      </c>
      <c r="CV51" s="141">
        <v>31922.83</v>
      </c>
      <c r="CW51" s="141">
        <v>34279.410000000003</v>
      </c>
      <c r="CX51" s="141">
        <v>38227.39</v>
      </c>
      <c r="CY51" s="141">
        <v>47436.800000000003</v>
      </c>
      <c r="CZ51" s="141">
        <v>84475</v>
      </c>
      <c r="DA51" s="141">
        <v>104284.66</v>
      </c>
      <c r="DB51" s="141">
        <v>126498.86000000002</v>
      </c>
      <c r="DC51" s="141">
        <v>181204.87000000002</v>
      </c>
      <c r="DD51" s="141">
        <v>216792.28000000003</v>
      </c>
      <c r="DE51" s="141">
        <v>255989.77000000002</v>
      </c>
      <c r="DF51" s="141">
        <v>301328.32</v>
      </c>
      <c r="DG51" s="141">
        <v>405647.86000000004</v>
      </c>
    </row>
    <row r="52" spans="1:111">
      <c r="A52" s="2" t="s">
        <v>15</v>
      </c>
      <c r="B52" t="s">
        <v>33</v>
      </c>
      <c r="C52" t="s">
        <v>34</v>
      </c>
      <c r="D52">
        <v>5</v>
      </c>
      <c r="E52" t="s">
        <v>46</v>
      </c>
      <c r="F52">
        <v>5</v>
      </c>
      <c r="G52">
        <v>1</v>
      </c>
      <c r="H52">
        <v>4</v>
      </c>
      <c r="I52">
        <v>1</v>
      </c>
      <c r="J52" s="4" t="s">
        <v>52</v>
      </c>
      <c r="K52" t="str">
        <f t="shared" si="0"/>
        <v>1+4</v>
      </c>
      <c r="L52">
        <f>VLOOKUP(A52,'ZONE 1 PREMIUM'!$A$4:$N$16,14,0)</f>
        <v>6</v>
      </c>
      <c r="M52">
        <f>VLOOKUP(D52,DROPDOWN!B:C,2,0)</f>
        <v>4</v>
      </c>
      <c r="N52" t="str">
        <f t="shared" si="1"/>
        <v>X65:AP76</v>
      </c>
      <c r="O52" s="4">
        <f t="shared" ca="1" si="2"/>
        <v>49339.6</v>
      </c>
      <c r="Q52" t="str">
        <f>VLOOKUP('CALCULATOR CARE V6'!H8,DROPDOWN!K:N,4,0)</f>
        <v>Upto 45 Years</v>
      </c>
      <c r="R52">
        <f>IF('CALCULATOR CARE V6'!I8="yes",INDEX('ADD SI'!$B$33:$Q$37,MATCH('CARE SHEET'!Q52,'ADD SI'!$B$33:$B$37,0),MATCH('CARE SHEET'!$T$3,'ADD SI'!$B$33:$Q$33,0)),0)</f>
        <v>0</v>
      </c>
      <c r="S52">
        <f>IF('CALCULATOR CARE V6'!I8="yes",INDEX('ADD SI'!$B$21:$AB$25,MATCH('CARE SHEET'!Q52,'ADD SI'!$B$21:$B$25,0),MATCH('CARE SHEET'!$T$3,'ADD SI'!$B$21:$Q$21,0)),0)</f>
        <v>0</v>
      </c>
      <c r="T52">
        <f>IF('CALCULATOR CARE V6'!I8="yes",INDEX('ADD SI'!$B$9:$AB$13,MATCH('CARE SHEET'!Q52,'ADD SI'!$B$9:$B$13,0),MATCH('CARE SHEET'!$T$3,'ADD SI'!$B$9:$Q$9,0)),0)</f>
        <v>0</v>
      </c>
      <c r="U52">
        <f>IF('CALCULATOR CARE V6'!I8="yes",INDEX('ADD SI'!$W$45:$AB$49,MATCH('CARE SHEET'!Q52,'ADD SI'!$W$45:$W$49,0),MATCH('CARE SHEET'!$T$3,'ADD SI'!$W$45:$AB$45,0)),0)</f>
        <v>0</v>
      </c>
      <c r="V52">
        <f>IF('CALCULATOR CARE V6'!I8="yes",INDEX('ADD SI'!$W$33:$AB$37,MATCH('CARE SHEET'!Q52,'ADD SI'!$W$33:$W$37,0),MATCH('CARE SHEET'!$T$3,'ADD SI'!$W$33:$AB$33,0)),0)</f>
        <v>0</v>
      </c>
      <c r="W52">
        <f>IF('CALCULATOR CARE V6'!I8="yes",INDEX('ADD SI'!$W$21:$AB$25,MATCH('CARE SHEET'!Q52,'ADD SI'!$W$21:$W$25,0),MATCH('CARE SHEET'!$T$3,'ADD SI'!$W$21:$AB$21,0)),0)</f>
        <v>0</v>
      </c>
      <c r="X52" s="2" t="s">
        <v>12</v>
      </c>
      <c r="Y52" s="141">
        <v>18935.899999999998</v>
      </c>
      <c r="Z52" s="141">
        <v>22719.399999999998</v>
      </c>
      <c r="AA52" s="141">
        <v>27442.449999999997</v>
      </c>
      <c r="AB52" s="141">
        <v>29934.499999999996</v>
      </c>
      <c r="AC52" s="141">
        <v>32222.999999999996</v>
      </c>
      <c r="AD52" s="141">
        <v>40987.149999999994</v>
      </c>
      <c r="AE52" s="141">
        <v>44731.549999999996</v>
      </c>
      <c r="AF52" s="141">
        <v>47963.049999999996</v>
      </c>
      <c r="AG52" s="141">
        <v>53507.199999999997</v>
      </c>
      <c r="AH52" s="141">
        <v>66414.799999999988</v>
      </c>
      <c r="AI52" s="141">
        <v>119245.79999999999</v>
      </c>
      <c r="AJ52" s="141">
        <v>147758.9</v>
      </c>
      <c r="AK52" s="141">
        <v>180080.8</v>
      </c>
      <c r="AL52" s="141">
        <v>251047.3</v>
      </c>
      <c r="AM52" s="141">
        <v>301659.94999999995</v>
      </c>
      <c r="AN52" s="141">
        <v>357540.75</v>
      </c>
      <c r="AO52" s="141">
        <v>422270.8</v>
      </c>
      <c r="AP52" s="141">
        <v>571045.14999999991</v>
      </c>
      <c r="AT52" s="1"/>
      <c r="AU52" s="2" t="s">
        <v>12</v>
      </c>
      <c r="AV52" s="141">
        <v>16806.375</v>
      </c>
      <c r="AW52" s="141">
        <v>20157.75</v>
      </c>
      <c r="AX52" s="141">
        <v>24360.75</v>
      </c>
      <c r="AY52" s="141">
        <v>26566.875</v>
      </c>
      <c r="AZ52" s="141">
        <v>28593</v>
      </c>
      <c r="BA52" s="141">
        <v>36374.625</v>
      </c>
      <c r="BB52" s="141">
        <v>39690</v>
      </c>
      <c r="BC52" s="141">
        <v>42552</v>
      </c>
      <c r="BD52" s="141">
        <v>47461.5</v>
      </c>
      <c r="BE52" s="141">
        <v>58891.5</v>
      </c>
      <c r="BF52" s="141">
        <v>105674.625</v>
      </c>
      <c r="BG52" s="141">
        <v>130924.125</v>
      </c>
      <c r="BH52" s="141">
        <v>159546.375</v>
      </c>
      <c r="BI52" s="141">
        <v>223237.125</v>
      </c>
      <c r="BJ52" s="141">
        <v>268056</v>
      </c>
      <c r="BK52" s="141">
        <v>317539.125</v>
      </c>
      <c r="BL52" s="141">
        <v>374860.125</v>
      </c>
      <c r="BM52" s="141">
        <v>506604.375</v>
      </c>
      <c r="BQ52" s="1"/>
      <c r="BR52" s="2" t="s">
        <v>12</v>
      </c>
      <c r="BS52" s="141">
        <v>15507.800000000001</v>
      </c>
      <c r="BT52" s="141">
        <v>18595.5</v>
      </c>
      <c r="BU52" s="141">
        <v>22479.600000000002</v>
      </c>
      <c r="BV52" s="141">
        <v>24512.400000000001</v>
      </c>
      <c r="BW52" s="141">
        <v>26380.2</v>
      </c>
      <c r="BX52" s="141">
        <v>33562.100000000006</v>
      </c>
      <c r="BY52" s="141">
        <v>36616.800000000003</v>
      </c>
      <c r="BZ52" s="141">
        <v>39254.600000000006</v>
      </c>
      <c r="CA52" s="141">
        <v>43777.8</v>
      </c>
      <c r="CB52" s="141">
        <v>54311.4</v>
      </c>
      <c r="CC52" s="141">
        <v>97423.700000000012</v>
      </c>
      <c r="CD52" s="141">
        <v>120690.90000000001</v>
      </c>
      <c r="CE52" s="141">
        <v>147066.70000000001</v>
      </c>
      <c r="CF52" s="141">
        <v>206204.90000000002</v>
      </c>
      <c r="CG52" s="141">
        <v>247506.6</v>
      </c>
      <c r="CH52" s="141">
        <v>293106</v>
      </c>
      <c r="CI52" s="141">
        <v>345929.10000000003</v>
      </c>
      <c r="CJ52" s="141">
        <v>467333.9</v>
      </c>
      <c r="CN52" s="1"/>
      <c r="CO52" s="2" t="s">
        <v>12</v>
      </c>
      <c r="CP52" s="141">
        <v>14280.09</v>
      </c>
      <c r="CQ52" s="141">
        <v>17119.54</v>
      </c>
      <c r="CR52" s="141">
        <v>20702.370000000003</v>
      </c>
      <c r="CS52" s="141">
        <v>22571.72</v>
      </c>
      <c r="CT52" s="141">
        <v>24288.47</v>
      </c>
      <c r="CU52" s="141">
        <v>30903.680000000004</v>
      </c>
      <c r="CV52" s="141">
        <v>33712.61</v>
      </c>
      <c r="CW52" s="141">
        <v>36137.86</v>
      </c>
      <c r="CX52" s="141">
        <v>40297.300000000003</v>
      </c>
      <c r="CY52" s="141">
        <v>49983.040000000001</v>
      </c>
      <c r="CZ52" s="141">
        <v>89625.25</v>
      </c>
      <c r="DA52" s="141">
        <v>111020.86000000002</v>
      </c>
      <c r="DB52" s="141">
        <v>135273.36000000002</v>
      </c>
      <c r="DC52" s="141">
        <v>190103.63</v>
      </c>
      <c r="DD52" s="141">
        <v>228081.41</v>
      </c>
      <c r="DE52" s="141">
        <v>270012.62</v>
      </c>
      <c r="DF52" s="141">
        <v>318583.02</v>
      </c>
      <c r="DG52" s="141">
        <v>430218.64</v>
      </c>
    </row>
    <row r="53" spans="1:111">
      <c r="A53" s="2" t="s">
        <v>16</v>
      </c>
      <c r="B53" t="s">
        <v>35</v>
      </c>
      <c r="C53" t="s">
        <v>36</v>
      </c>
      <c r="D53">
        <v>5</v>
      </c>
      <c r="E53" t="s">
        <v>46</v>
      </c>
      <c r="F53">
        <v>5</v>
      </c>
      <c r="G53">
        <v>1</v>
      </c>
      <c r="H53">
        <v>4</v>
      </c>
      <c r="I53">
        <v>1</v>
      </c>
      <c r="J53" s="4" t="s">
        <v>52</v>
      </c>
      <c r="K53" t="str">
        <f t="shared" si="0"/>
        <v>1+4</v>
      </c>
      <c r="L53">
        <f>VLOOKUP(A53,'ZONE 1 PREMIUM'!$A$4:$N$16,14,0)</f>
        <v>7</v>
      </c>
      <c r="M53">
        <f>VLOOKUP(D53,DROPDOWN!B:C,2,0)</f>
        <v>4</v>
      </c>
      <c r="N53" t="str">
        <f t="shared" si="1"/>
        <v>X65:AP76</v>
      </c>
      <c r="O53" s="4">
        <f t="shared" ca="1" si="2"/>
        <v>59981.7</v>
      </c>
      <c r="R53" t="e">
        <f>R47+SUM(R48:R52)*97.5%</f>
        <v>#N/A</v>
      </c>
      <c r="S53" t="e">
        <f t="shared" ref="S53:W53" si="4">S47+SUM(S48:S52)*97.5%</f>
        <v>#N/A</v>
      </c>
      <c r="T53" t="e">
        <f t="shared" si="4"/>
        <v>#N/A</v>
      </c>
      <c r="U53" t="e">
        <f t="shared" si="4"/>
        <v>#N/A</v>
      </c>
      <c r="V53" t="e">
        <f t="shared" si="4"/>
        <v>#N/A</v>
      </c>
      <c r="W53" t="e">
        <f t="shared" si="4"/>
        <v>#N/A</v>
      </c>
      <c r="X53" s="2" t="s">
        <v>13</v>
      </c>
      <c r="Y53" s="141">
        <v>21557.899999999998</v>
      </c>
      <c r="Z53" s="141">
        <v>26027.949999999997</v>
      </c>
      <c r="AA53" s="141">
        <v>31692.85</v>
      </c>
      <c r="AB53" s="141">
        <v>34600.049999999996</v>
      </c>
      <c r="AC53" s="141">
        <v>37274.949999999997</v>
      </c>
      <c r="AD53" s="141">
        <v>47454.749999999993</v>
      </c>
      <c r="AE53" s="141">
        <v>51902.95</v>
      </c>
      <c r="AF53" s="141">
        <v>55766.95</v>
      </c>
      <c r="AG53" s="141">
        <v>62264.45</v>
      </c>
      <c r="AH53" s="141">
        <v>77351.299999999988</v>
      </c>
      <c r="AI53" s="141">
        <v>130507.74999999999</v>
      </c>
      <c r="AJ53" s="141">
        <v>163848.54999999999</v>
      </c>
      <c r="AK53" s="141">
        <v>201707.69999999998</v>
      </c>
      <c r="AL53" s="141">
        <v>273496.44999999995</v>
      </c>
      <c r="AM53" s="141">
        <v>332597.25</v>
      </c>
      <c r="AN53" s="141">
        <v>398109.3</v>
      </c>
      <c r="AO53" s="141">
        <v>474181.8</v>
      </c>
      <c r="AP53" s="141">
        <v>648759.85</v>
      </c>
      <c r="AT53" s="1"/>
      <c r="AU53" s="2" t="s">
        <v>13</v>
      </c>
      <c r="AV53" s="141">
        <v>19129.5</v>
      </c>
      <c r="AW53" s="141">
        <v>23088.375</v>
      </c>
      <c r="AX53" s="141">
        <v>28127.25</v>
      </c>
      <c r="AY53" s="141">
        <v>30701.25</v>
      </c>
      <c r="AZ53" s="141">
        <v>33070.5</v>
      </c>
      <c r="BA53" s="141">
        <v>42108.75</v>
      </c>
      <c r="BB53" s="141">
        <v>46047.375</v>
      </c>
      <c r="BC53" s="141">
        <v>49469.625</v>
      </c>
      <c r="BD53" s="141">
        <v>55221.75</v>
      </c>
      <c r="BE53" s="141">
        <v>68582.25</v>
      </c>
      <c r="BF53" s="141">
        <v>115653.375</v>
      </c>
      <c r="BG53" s="141">
        <v>145177.875</v>
      </c>
      <c r="BH53" s="141">
        <v>178704</v>
      </c>
      <c r="BI53" s="141">
        <v>242919</v>
      </c>
      <c r="BJ53" s="141">
        <v>295255.125</v>
      </c>
      <c r="BK53" s="141">
        <v>353268</v>
      </c>
      <c r="BL53" s="141">
        <v>420631.875</v>
      </c>
      <c r="BM53" s="141">
        <v>575227.125</v>
      </c>
      <c r="BQ53" s="1"/>
      <c r="BR53" s="2" t="s">
        <v>13</v>
      </c>
      <c r="BS53" s="141">
        <v>17649.5</v>
      </c>
      <c r="BT53" s="141">
        <v>21297.100000000002</v>
      </c>
      <c r="BU53" s="141">
        <v>25952.300000000003</v>
      </c>
      <c r="BV53" s="141">
        <v>28325.000000000004</v>
      </c>
      <c r="BW53" s="141">
        <v>30507.4</v>
      </c>
      <c r="BX53" s="141">
        <v>38848.700000000004</v>
      </c>
      <c r="BY53" s="141">
        <v>42478.700000000004</v>
      </c>
      <c r="BZ53" s="141">
        <v>45631.3</v>
      </c>
      <c r="CA53" s="141">
        <v>50933.3</v>
      </c>
      <c r="CB53" s="141">
        <v>63244.500000000007</v>
      </c>
      <c r="CC53" s="141">
        <v>106621.90000000001</v>
      </c>
      <c r="CD53" s="141">
        <v>133829.30000000002</v>
      </c>
      <c r="CE53" s="141">
        <v>164723.90000000002</v>
      </c>
      <c r="CF53" s="141">
        <v>224239.40000000002</v>
      </c>
      <c r="CG53" s="141">
        <v>272467.80000000005</v>
      </c>
      <c r="CH53" s="141">
        <v>325927.80000000005</v>
      </c>
      <c r="CI53" s="141">
        <v>388005.2</v>
      </c>
      <c r="CJ53" s="141">
        <v>530467.30000000005</v>
      </c>
      <c r="CN53" s="1"/>
      <c r="CO53" s="2" t="s">
        <v>13</v>
      </c>
      <c r="CP53" s="141">
        <v>16249.720000000001</v>
      </c>
      <c r="CQ53" s="141">
        <v>19603.650000000001</v>
      </c>
      <c r="CR53" s="141">
        <v>23897.160000000003</v>
      </c>
      <c r="CS53" s="141">
        <v>26078.250000000004</v>
      </c>
      <c r="CT53" s="141">
        <v>28086.030000000002</v>
      </c>
      <c r="CU53" s="141">
        <v>35767.26</v>
      </c>
      <c r="CV53" s="141">
        <v>39104.840000000004</v>
      </c>
      <c r="CW53" s="141">
        <v>42005.33</v>
      </c>
      <c r="CX53" s="141">
        <v>46879.810000000005</v>
      </c>
      <c r="CY53" s="141">
        <v>58200.55</v>
      </c>
      <c r="CZ53" s="141">
        <v>98086.920000000013</v>
      </c>
      <c r="DA53" s="141">
        <v>123104.6</v>
      </c>
      <c r="DB53" s="141">
        <v>151513.27000000002</v>
      </c>
      <c r="DC53" s="141">
        <v>206582.25000000003</v>
      </c>
      <c r="DD53" s="141">
        <v>250929.99000000002</v>
      </c>
      <c r="DE53" s="141">
        <v>300086.81</v>
      </c>
      <c r="DF53" s="141">
        <v>357169.02</v>
      </c>
      <c r="DG53" s="141">
        <v>488166.31000000006</v>
      </c>
    </row>
    <row r="54" spans="1:111">
      <c r="A54" s="2" t="s">
        <v>17</v>
      </c>
      <c r="B54" t="s">
        <v>37</v>
      </c>
      <c r="C54" t="s">
        <v>38</v>
      </c>
      <c r="D54">
        <v>5</v>
      </c>
      <c r="E54" t="s">
        <v>46</v>
      </c>
      <c r="F54">
        <v>5</v>
      </c>
      <c r="G54">
        <v>1</v>
      </c>
      <c r="H54">
        <v>4</v>
      </c>
      <c r="I54">
        <v>1</v>
      </c>
      <c r="J54" s="4" t="s">
        <v>52</v>
      </c>
      <c r="K54" t="str">
        <f t="shared" si="0"/>
        <v>1+4</v>
      </c>
      <c r="L54">
        <f>VLOOKUP(A54,'ZONE 1 PREMIUM'!$A$4:$N$16,14,0)</f>
        <v>8</v>
      </c>
      <c r="M54">
        <f>VLOOKUP(D54,DROPDOWN!B:C,2,0)</f>
        <v>4</v>
      </c>
      <c r="N54" t="str">
        <f t="shared" si="1"/>
        <v>X65:AP76</v>
      </c>
      <c r="O54" s="4">
        <f t="shared" ca="1" si="2"/>
        <v>73499.95</v>
      </c>
      <c r="X54" s="2" t="s">
        <v>14</v>
      </c>
      <c r="Y54" s="141">
        <v>23693.449999999997</v>
      </c>
      <c r="Z54" s="141">
        <v>28726.999999999996</v>
      </c>
      <c r="AA54" s="141">
        <v>35195.75</v>
      </c>
      <c r="AB54" s="141">
        <v>38457.149999999994</v>
      </c>
      <c r="AC54" s="141">
        <v>41464.399999999994</v>
      </c>
      <c r="AD54" s="141">
        <v>52796.499999999993</v>
      </c>
      <c r="AE54" s="141">
        <v>57750.7</v>
      </c>
      <c r="AF54" s="141">
        <v>62034.45</v>
      </c>
      <c r="AG54" s="141">
        <v>69317.399999999994</v>
      </c>
      <c r="AH54" s="141">
        <v>86186.75</v>
      </c>
      <c r="AI54" s="141">
        <v>143800.59999999998</v>
      </c>
      <c r="AJ54" s="141">
        <v>181306.69999999998</v>
      </c>
      <c r="AK54" s="141">
        <v>223976.3</v>
      </c>
      <c r="AL54" s="141">
        <v>291261.64999999997</v>
      </c>
      <c r="AM54" s="141">
        <v>357319.94999999995</v>
      </c>
      <c r="AN54" s="141">
        <v>430792.3</v>
      </c>
      <c r="AO54" s="141">
        <v>516287.89999999997</v>
      </c>
      <c r="AP54" s="141">
        <v>712200.75</v>
      </c>
      <c r="AT54" s="1"/>
      <c r="AU54" s="2" t="s">
        <v>14</v>
      </c>
      <c r="AV54" s="141">
        <v>21021.75</v>
      </c>
      <c r="AW54" s="141">
        <v>25479</v>
      </c>
      <c r="AX54" s="141">
        <v>31231.125</v>
      </c>
      <c r="AY54" s="141">
        <v>34120.125</v>
      </c>
      <c r="AZ54" s="141">
        <v>36783</v>
      </c>
      <c r="BA54" s="141">
        <v>46842.75</v>
      </c>
      <c r="BB54" s="141">
        <v>51229.125</v>
      </c>
      <c r="BC54" s="141">
        <v>55022.625</v>
      </c>
      <c r="BD54" s="141">
        <v>61472.25</v>
      </c>
      <c r="BE54" s="141">
        <v>76411.125</v>
      </c>
      <c r="BF54" s="141">
        <v>127428.75</v>
      </c>
      <c r="BG54" s="141">
        <v>160642.125</v>
      </c>
      <c r="BH54" s="141">
        <v>198427.5</v>
      </c>
      <c r="BI54" s="141">
        <v>258422.625</v>
      </c>
      <c r="BJ54" s="141">
        <v>316920.375</v>
      </c>
      <c r="BK54" s="141">
        <v>381981.375</v>
      </c>
      <c r="BL54" s="141">
        <v>457690.5</v>
      </c>
      <c r="BM54" s="141">
        <v>631177.875</v>
      </c>
      <c r="BQ54" s="1"/>
      <c r="BR54" s="2" t="s">
        <v>14</v>
      </c>
      <c r="BS54" s="141">
        <v>19393</v>
      </c>
      <c r="BT54" s="141">
        <v>23500.400000000001</v>
      </c>
      <c r="BU54" s="141">
        <v>28814.500000000004</v>
      </c>
      <c r="BV54" s="141">
        <v>31476.500000000004</v>
      </c>
      <c r="BW54" s="141">
        <v>33930.600000000006</v>
      </c>
      <c r="BX54" s="141">
        <v>43213.5</v>
      </c>
      <c r="BY54" s="141">
        <v>47256.000000000007</v>
      </c>
      <c r="BZ54" s="141">
        <v>50751.8</v>
      </c>
      <c r="CA54" s="141">
        <v>56695.100000000006</v>
      </c>
      <c r="CB54" s="141">
        <v>70461.600000000006</v>
      </c>
      <c r="CC54" s="141">
        <v>117475.6</v>
      </c>
      <c r="CD54" s="141">
        <v>148080.90000000002</v>
      </c>
      <c r="CE54" s="141">
        <v>182901.40000000002</v>
      </c>
      <c r="CF54" s="141">
        <v>238406.30000000002</v>
      </c>
      <c r="CG54" s="141">
        <v>292311.80000000005</v>
      </c>
      <c r="CH54" s="141">
        <v>352267.30000000005</v>
      </c>
      <c r="CI54" s="141">
        <v>422034.80000000005</v>
      </c>
      <c r="CJ54" s="141">
        <v>581906.60000000009</v>
      </c>
      <c r="CN54" s="1"/>
      <c r="CO54" s="2" t="s">
        <v>14</v>
      </c>
      <c r="CP54" s="141">
        <v>17853.11</v>
      </c>
      <c r="CQ54" s="141">
        <v>21631.050000000003</v>
      </c>
      <c r="CR54" s="141">
        <v>26529.510000000002</v>
      </c>
      <c r="CS54" s="141">
        <v>28977.65</v>
      </c>
      <c r="CT54" s="141">
        <v>31233.95</v>
      </c>
      <c r="CU54" s="141">
        <v>39783.910000000003</v>
      </c>
      <c r="CV54" s="141">
        <v>43500.810000000005</v>
      </c>
      <c r="CW54" s="141">
        <v>46715.22</v>
      </c>
      <c r="CX54" s="141">
        <v>52180.480000000003</v>
      </c>
      <c r="CY54" s="141">
        <v>64838.65</v>
      </c>
      <c r="CZ54" s="141">
        <v>108069.14000000001</v>
      </c>
      <c r="DA54" s="141">
        <v>136211.85</v>
      </c>
      <c r="DB54" s="141">
        <v>168230.6</v>
      </c>
      <c r="DC54" s="141">
        <v>219487.85</v>
      </c>
      <c r="DD54" s="141">
        <v>269055.60000000003</v>
      </c>
      <c r="DE54" s="141">
        <v>324185.62</v>
      </c>
      <c r="DF54" s="141">
        <v>388338.66000000003</v>
      </c>
      <c r="DG54" s="141">
        <v>535344.78</v>
      </c>
    </row>
    <row r="55" spans="1:111">
      <c r="A55" s="2" t="s">
        <v>18</v>
      </c>
      <c r="B55" t="s">
        <v>39</v>
      </c>
      <c r="C55" t="s">
        <v>40</v>
      </c>
      <c r="D55">
        <v>5</v>
      </c>
      <c r="E55" t="s">
        <v>46</v>
      </c>
      <c r="F55">
        <v>5</v>
      </c>
      <c r="G55">
        <v>1</v>
      </c>
      <c r="H55">
        <v>4</v>
      </c>
      <c r="I55">
        <v>1</v>
      </c>
      <c r="J55" s="4" t="s">
        <v>52</v>
      </c>
      <c r="K55" t="str">
        <f t="shared" si="0"/>
        <v>1+4</v>
      </c>
      <c r="L55">
        <f>VLOOKUP(A55,'ZONE 1 PREMIUM'!$A$4:$N$16,14,0)</f>
        <v>9</v>
      </c>
      <c r="M55">
        <f>VLOOKUP(D55,DROPDOWN!B:C,2,0)</f>
        <v>4</v>
      </c>
      <c r="N55" t="str">
        <f t="shared" si="1"/>
        <v>X65:AP76</v>
      </c>
      <c r="O55" s="4">
        <f t="shared" ca="1" si="2"/>
        <v>91234.099999999991</v>
      </c>
      <c r="R55" t="s">
        <v>115</v>
      </c>
      <c r="S55" t="s">
        <v>118</v>
      </c>
      <c r="T55" t="s">
        <v>106</v>
      </c>
      <c r="U55" t="s">
        <v>108</v>
      </c>
      <c r="X55" s="2" t="s">
        <v>15</v>
      </c>
      <c r="Y55" s="141">
        <v>28605.1</v>
      </c>
      <c r="Z55" s="141">
        <v>34789.799999999996</v>
      </c>
      <c r="AA55" s="141">
        <v>42877.75</v>
      </c>
      <c r="AB55" s="141">
        <v>48635.799999999996</v>
      </c>
      <c r="AC55" s="141">
        <v>52482.549999999996</v>
      </c>
      <c r="AD55" s="141">
        <v>64892.2</v>
      </c>
      <c r="AE55" s="141">
        <v>71078.049999999988</v>
      </c>
      <c r="AF55" s="141">
        <v>76455.45</v>
      </c>
      <c r="AG55" s="141">
        <v>85491</v>
      </c>
      <c r="AH55" s="141">
        <v>106357.74999999999</v>
      </c>
      <c r="AI55" s="141">
        <v>174487.19999999998</v>
      </c>
      <c r="AJ55" s="141">
        <v>221238.15</v>
      </c>
      <c r="AK55" s="141">
        <v>274560.19999999995</v>
      </c>
      <c r="AL55" s="141">
        <v>342406.75</v>
      </c>
      <c r="AM55" s="141">
        <v>423835.94999999995</v>
      </c>
      <c r="AN55" s="141">
        <v>514696.3</v>
      </c>
      <c r="AO55" s="141">
        <v>620642.35</v>
      </c>
      <c r="AP55" s="141">
        <v>863055.45</v>
      </c>
      <c r="AT55" s="1"/>
      <c r="AU55" s="2" t="s">
        <v>15</v>
      </c>
      <c r="AV55" s="141">
        <v>25378.875</v>
      </c>
      <c r="AW55" s="141">
        <v>30855.375</v>
      </c>
      <c r="AX55" s="141">
        <v>38050.875</v>
      </c>
      <c r="AY55" s="141">
        <v>43149.375</v>
      </c>
      <c r="AZ55" s="141">
        <v>46555.875</v>
      </c>
      <c r="BA55" s="141">
        <v>57577.5</v>
      </c>
      <c r="BB55" s="141">
        <v>63055.125</v>
      </c>
      <c r="BC55" s="141">
        <v>67817.25</v>
      </c>
      <c r="BD55" s="141">
        <v>75818.25</v>
      </c>
      <c r="BE55" s="141">
        <v>94296.375</v>
      </c>
      <c r="BF55" s="141">
        <v>154626.75</v>
      </c>
      <c r="BG55" s="141">
        <v>196026.75</v>
      </c>
      <c r="BH55" s="141">
        <v>243244.125</v>
      </c>
      <c r="BI55" s="141">
        <v>303620.625</v>
      </c>
      <c r="BJ55" s="141">
        <v>375727.5</v>
      </c>
      <c r="BK55" s="141">
        <v>456187.5</v>
      </c>
      <c r="BL55" s="141">
        <v>550005.75</v>
      </c>
      <c r="BM55" s="141">
        <v>764670.375</v>
      </c>
      <c r="BQ55" s="1"/>
      <c r="BR55" s="2" t="s">
        <v>15</v>
      </c>
      <c r="BS55" s="141">
        <v>23412.400000000001</v>
      </c>
      <c r="BT55" s="141">
        <v>28459.200000000001</v>
      </c>
      <c r="BU55" s="141">
        <v>35106.5</v>
      </c>
      <c r="BV55" s="141">
        <v>39805.700000000004</v>
      </c>
      <c r="BW55" s="141">
        <v>42944</v>
      </c>
      <c r="BX55" s="141">
        <v>53119.000000000007</v>
      </c>
      <c r="BY55" s="141">
        <v>58166.9</v>
      </c>
      <c r="BZ55" s="141">
        <v>62554.8</v>
      </c>
      <c r="CA55" s="141">
        <v>69928.100000000006</v>
      </c>
      <c r="CB55" s="141">
        <v>86956.1</v>
      </c>
      <c r="CC55" s="141">
        <v>142551.20000000001</v>
      </c>
      <c r="CD55" s="141">
        <v>180702.50000000003</v>
      </c>
      <c r="CE55" s="141">
        <v>224214.1</v>
      </c>
      <c r="CF55" s="141">
        <v>280007.2</v>
      </c>
      <c r="CG55" s="141">
        <v>346456</v>
      </c>
      <c r="CH55" s="141">
        <v>420600.4</v>
      </c>
      <c r="CI55" s="141">
        <v>507056.00000000006</v>
      </c>
      <c r="CJ55" s="141">
        <v>704873.4</v>
      </c>
      <c r="CN55" s="1"/>
      <c r="CO55" s="2" t="s">
        <v>15</v>
      </c>
      <c r="CP55" s="141">
        <v>21553.66</v>
      </c>
      <c r="CQ55" s="141">
        <v>26194.880000000001</v>
      </c>
      <c r="CR55" s="141">
        <v>32325.040000000001</v>
      </c>
      <c r="CS55" s="141">
        <v>36645.800000000003</v>
      </c>
      <c r="CT55" s="141">
        <v>39531.030000000006</v>
      </c>
      <c r="CU55" s="141">
        <v>48905.030000000006</v>
      </c>
      <c r="CV55" s="141">
        <v>53546.250000000007</v>
      </c>
      <c r="CW55" s="141">
        <v>57580.340000000004</v>
      </c>
      <c r="CX55" s="141">
        <v>64361.23</v>
      </c>
      <c r="CY55" s="141">
        <v>80019.08</v>
      </c>
      <c r="CZ55" s="141">
        <v>131140.08000000002</v>
      </c>
      <c r="DA55" s="141">
        <v>166220.64000000001</v>
      </c>
      <c r="DB55" s="141">
        <v>206231.27000000002</v>
      </c>
      <c r="DC55" s="141">
        <v>257691.26</v>
      </c>
      <c r="DD55" s="141">
        <v>318792.30000000005</v>
      </c>
      <c r="DE55" s="141">
        <v>386969.62000000005</v>
      </c>
      <c r="DF55" s="141">
        <v>466468.77</v>
      </c>
      <c r="DG55" s="141">
        <v>648365.79</v>
      </c>
    </row>
    <row r="56" spans="1:111">
      <c r="A56" s="2" t="s">
        <v>19</v>
      </c>
      <c r="B56" t="s">
        <v>41</v>
      </c>
      <c r="C56" t="s">
        <v>42</v>
      </c>
      <c r="D56">
        <v>5</v>
      </c>
      <c r="E56" t="s">
        <v>46</v>
      </c>
      <c r="F56">
        <v>5</v>
      </c>
      <c r="G56">
        <v>1</v>
      </c>
      <c r="H56">
        <v>4</v>
      </c>
      <c r="I56">
        <v>1</v>
      </c>
      <c r="J56" s="4" t="s">
        <v>52</v>
      </c>
      <c r="K56" t="str">
        <f t="shared" si="0"/>
        <v>1+4</v>
      </c>
      <c r="L56">
        <f>VLOOKUP(A56,'ZONE 1 PREMIUM'!$A$4:$N$16,14,0)</f>
        <v>10</v>
      </c>
      <c r="M56">
        <f>VLOOKUP(D56,DROPDOWN!B:C,2,0)</f>
        <v>4</v>
      </c>
      <c r="N56" t="str">
        <f t="shared" si="1"/>
        <v>X65:AP76</v>
      </c>
      <c r="O56" s="4">
        <f t="shared" ca="1" si="2"/>
        <v>112918.49999999999</v>
      </c>
      <c r="R56" t="e">
        <f>IF('CALCULATOR CARE V6'!$B$7="care senior",'CARE SHEET'!U53,'CARE SHEET'!W28)</f>
        <v>#N/A</v>
      </c>
      <c r="S56" t="e">
        <f>IF('CALCULATOR CARE V6'!B7="care senior",'CARE SHEET'!V53,'CARE SHEET'!R53)</f>
        <v>#N/A</v>
      </c>
      <c r="T56" t="e">
        <f>IF('CALCULATOR CARE V6'!B7="care senior",W53,S53)</f>
        <v>#N/A</v>
      </c>
      <c r="U56" t="e">
        <f>IF('CALCULATOR CARE V6'!B7="care senior",R65,T53)</f>
        <v>#N/A</v>
      </c>
      <c r="V56" t="e">
        <f>HLOOKUP(R8,R55:U56,2,0)</f>
        <v>#N/A</v>
      </c>
      <c r="X56" s="2" t="s">
        <v>16</v>
      </c>
      <c r="Y56" s="141">
        <v>35816.75</v>
      </c>
      <c r="Z56" s="141">
        <v>43708.049999999996</v>
      </c>
      <c r="AA56" s="141">
        <v>53976.399999999994</v>
      </c>
      <c r="AB56" s="141">
        <v>61358.249999999993</v>
      </c>
      <c r="AC56" s="141">
        <v>66269.899999999994</v>
      </c>
      <c r="AD56" s="141">
        <v>81863.899999999994</v>
      </c>
      <c r="AE56" s="141">
        <v>89821.9</v>
      </c>
      <c r="AF56" s="141">
        <v>96771.349999999991</v>
      </c>
      <c r="AG56" s="141">
        <v>108309.29999999999</v>
      </c>
      <c r="AH56" s="141">
        <v>134895</v>
      </c>
      <c r="AI56" s="141">
        <v>227679.3</v>
      </c>
      <c r="AJ56" s="141">
        <v>287615</v>
      </c>
      <c r="AK56" s="141">
        <v>356092.89999999997</v>
      </c>
      <c r="AL56" s="141">
        <v>435548.69999999995</v>
      </c>
      <c r="AM56" s="141">
        <v>540126.25</v>
      </c>
      <c r="AN56" s="141">
        <v>657006.5</v>
      </c>
      <c r="AO56" s="141">
        <v>793457.45</v>
      </c>
      <c r="AP56" s="141">
        <v>1105269.5999999999</v>
      </c>
      <c r="AT56" s="1"/>
      <c r="AU56" s="2" t="s">
        <v>16</v>
      </c>
      <c r="AV56" s="141">
        <v>31765.5</v>
      </c>
      <c r="AW56" s="141">
        <v>38752.875</v>
      </c>
      <c r="AX56" s="141">
        <v>47882.25</v>
      </c>
      <c r="AY56" s="141">
        <v>54419.625</v>
      </c>
      <c r="AZ56" s="141">
        <v>58768.875</v>
      </c>
      <c r="BA56" s="141">
        <v>72613.125</v>
      </c>
      <c r="BB56" s="141">
        <v>79660.125</v>
      </c>
      <c r="BC56" s="141">
        <v>85813.875</v>
      </c>
      <c r="BD56" s="141">
        <v>96032.25</v>
      </c>
      <c r="BE56" s="141">
        <v>119574</v>
      </c>
      <c r="BF56" s="141">
        <v>201736.125</v>
      </c>
      <c r="BG56" s="141">
        <v>254812.5</v>
      </c>
      <c r="BH56" s="141">
        <v>315451.125</v>
      </c>
      <c r="BI56" s="141">
        <v>386066.25</v>
      </c>
      <c r="BJ56" s="141">
        <v>478674</v>
      </c>
      <c r="BK56" s="141">
        <v>582174</v>
      </c>
      <c r="BL56" s="141">
        <v>703005.75</v>
      </c>
      <c r="BM56" s="141">
        <v>979125.75</v>
      </c>
      <c r="BQ56" s="1"/>
      <c r="BR56" s="2" t="s">
        <v>16</v>
      </c>
      <c r="BS56" s="141">
        <v>29298.500000000004</v>
      </c>
      <c r="BT56" s="141">
        <v>35736.800000000003</v>
      </c>
      <c r="BU56" s="141">
        <v>44169.4</v>
      </c>
      <c r="BV56" s="141">
        <v>50193.000000000007</v>
      </c>
      <c r="BW56" s="141">
        <v>54201.4</v>
      </c>
      <c r="BX56" s="141">
        <v>66977.900000000009</v>
      </c>
      <c r="BY56" s="141">
        <v>73471.200000000012</v>
      </c>
      <c r="BZ56" s="141">
        <v>79142.8</v>
      </c>
      <c r="CA56" s="141">
        <v>88558.8</v>
      </c>
      <c r="CB56" s="141">
        <v>110253.00000000001</v>
      </c>
      <c r="CC56" s="141">
        <v>185967.1</v>
      </c>
      <c r="CD56" s="141">
        <v>234877.50000000003</v>
      </c>
      <c r="CE56" s="141">
        <v>290757.5</v>
      </c>
      <c r="CF56" s="141">
        <v>355965.5</v>
      </c>
      <c r="CG56" s="141">
        <v>441304.60000000003</v>
      </c>
      <c r="CH56" s="141">
        <v>536682.30000000005</v>
      </c>
      <c r="CI56" s="141">
        <v>648030.9</v>
      </c>
      <c r="CJ56" s="141">
        <v>902480.70000000007</v>
      </c>
      <c r="CN56" s="1"/>
      <c r="CO56" s="2" t="s">
        <v>16</v>
      </c>
      <c r="CP56" s="141">
        <v>26966.600000000002</v>
      </c>
      <c r="CQ56" s="141">
        <v>32887.480000000003</v>
      </c>
      <c r="CR56" s="141">
        <v>40659.18</v>
      </c>
      <c r="CS56" s="141">
        <v>46198.560000000005</v>
      </c>
      <c r="CT56" s="141">
        <v>49883.850000000006</v>
      </c>
      <c r="CU56" s="141">
        <v>61651.490000000005</v>
      </c>
      <c r="CV56" s="141">
        <v>67622.510000000009</v>
      </c>
      <c r="CW56" s="141">
        <v>72838.16</v>
      </c>
      <c r="CX56" s="141">
        <v>81496.03</v>
      </c>
      <c r="CY56" s="141">
        <v>101444.12000000001</v>
      </c>
      <c r="CZ56" s="141">
        <v>171065.69</v>
      </c>
      <c r="DA56" s="141">
        <v>216040.18000000002</v>
      </c>
      <c r="DB56" s="141">
        <v>267422.78000000003</v>
      </c>
      <c r="DC56" s="141">
        <v>327518.84000000003</v>
      </c>
      <c r="DD56" s="141">
        <v>405991.21</v>
      </c>
      <c r="DE56" s="141">
        <v>493692.61000000004</v>
      </c>
      <c r="DF56" s="141">
        <v>596080.67000000004</v>
      </c>
      <c r="DG56" s="141">
        <v>830053.53</v>
      </c>
    </row>
    <row r="57" spans="1:111">
      <c r="A57" s="2" t="s">
        <v>20</v>
      </c>
      <c r="B57" t="s">
        <v>43</v>
      </c>
      <c r="C57" t="s">
        <v>44</v>
      </c>
      <c r="D57">
        <v>5</v>
      </c>
      <c r="E57" t="s">
        <v>46</v>
      </c>
      <c r="F57">
        <v>5</v>
      </c>
      <c r="G57">
        <v>1</v>
      </c>
      <c r="H57">
        <v>4</v>
      </c>
      <c r="I57">
        <v>1</v>
      </c>
      <c r="J57" s="4" t="s">
        <v>52</v>
      </c>
      <c r="K57" t="str">
        <f t="shared" si="0"/>
        <v>1+4</v>
      </c>
      <c r="L57">
        <f>VLOOKUP(A57,'ZONE 1 PREMIUM'!$A$4:$N$16,14,0)</f>
        <v>11</v>
      </c>
      <c r="M57">
        <f>VLOOKUP(D57,DROPDOWN!B:C,2,0)</f>
        <v>4</v>
      </c>
      <c r="N57" t="str">
        <f t="shared" si="1"/>
        <v>X65:AP76</v>
      </c>
      <c r="O57" s="4">
        <f t="shared" ca="1" si="2"/>
        <v>130604.34999999999</v>
      </c>
      <c r="X57" s="2" t="s">
        <v>17</v>
      </c>
      <c r="Y57" s="141">
        <v>44772.95</v>
      </c>
      <c r="Z57" s="141">
        <v>54670.999999999993</v>
      </c>
      <c r="AA57" s="141">
        <v>67707.399999999994</v>
      </c>
      <c r="AB57" s="141">
        <v>75559.599999999991</v>
      </c>
      <c r="AC57" s="141">
        <v>81684.5</v>
      </c>
      <c r="AD57" s="141">
        <v>101195.4</v>
      </c>
      <c r="AE57" s="141">
        <v>111100.34999999999</v>
      </c>
      <c r="AF57" s="141">
        <v>118892.74999999999</v>
      </c>
      <c r="AG57" s="141">
        <v>133191.84999999998</v>
      </c>
      <c r="AH57" s="141">
        <v>166023.19999999998</v>
      </c>
      <c r="AI57" s="141">
        <v>282085.8</v>
      </c>
      <c r="AJ57" s="141">
        <v>356440.19999999995</v>
      </c>
      <c r="AK57" s="141">
        <v>441663.24999999994</v>
      </c>
      <c r="AL57" s="141">
        <v>534930.54999999993</v>
      </c>
      <c r="AM57" s="141">
        <v>664547.04999999993</v>
      </c>
      <c r="AN57" s="141">
        <v>809752.95</v>
      </c>
      <c r="AO57" s="141">
        <v>979563.1</v>
      </c>
      <c r="AP57" s="141">
        <v>1366930.25</v>
      </c>
      <c r="AT57" s="1"/>
      <c r="AU57" s="2" t="s">
        <v>17</v>
      </c>
      <c r="AV57" s="141">
        <v>39705.75</v>
      </c>
      <c r="AW57" s="141">
        <v>48471.75</v>
      </c>
      <c r="AX57" s="141">
        <v>60060.375</v>
      </c>
      <c r="AY57" s="141">
        <v>67015.125</v>
      </c>
      <c r="AZ57" s="141">
        <v>72437.625</v>
      </c>
      <c r="BA57" s="141">
        <v>89760.375</v>
      </c>
      <c r="BB57" s="141">
        <v>98530.875</v>
      </c>
      <c r="BC57" s="141">
        <v>105431.625</v>
      </c>
      <c r="BD57" s="141">
        <v>118093.5</v>
      </c>
      <c r="BE57" s="141">
        <v>147168</v>
      </c>
      <c r="BF57" s="141">
        <v>249944.625</v>
      </c>
      <c r="BG57" s="141">
        <v>315787.5</v>
      </c>
      <c r="BH57" s="141">
        <v>391254.75</v>
      </c>
      <c r="BI57" s="141">
        <v>474111</v>
      </c>
      <c r="BJ57" s="141">
        <v>588890.25</v>
      </c>
      <c r="BK57" s="141">
        <v>717474.375</v>
      </c>
      <c r="BL57" s="141">
        <v>867846.375</v>
      </c>
      <c r="BM57" s="141">
        <v>1210872.375</v>
      </c>
      <c r="BQ57" s="1"/>
      <c r="BR57" s="2" t="s">
        <v>17</v>
      </c>
      <c r="BS57" s="141">
        <v>36621.200000000004</v>
      </c>
      <c r="BT57" s="141">
        <v>44698.5</v>
      </c>
      <c r="BU57" s="141">
        <v>55401.500000000007</v>
      </c>
      <c r="BV57" s="141">
        <v>61810.100000000006</v>
      </c>
      <c r="BW57" s="141">
        <v>66807.400000000009</v>
      </c>
      <c r="BX57" s="141">
        <v>82793.700000000012</v>
      </c>
      <c r="BY57" s="141">
        <v>90876.500000000015</v>
      </c>
      <c r="BZ57" s="141">
        <v>97235.6</v>
      </c>
      <c r="CA57" s="141">
        <v>108904.40000000001</v>
      </c>
      <c r="CB57" s="141">
        <v>135696</v>
      </c>
      <c r="CC57" s="141">
        <v>230407.1</v>
      </c>
      <c r="CD57" s="141">
        <v>291082</v>
      </c>
      <c r="CE57" s="141">
        <v>360627.30000000005</v>
      </c>
      <c r="CF57" s="141">
        <v>437120.2</v>
      </c>
      <c r="CG57" s="141">
        <v>542891.80000000005</v>
      </c>
      <c r="CH57" s="141">
        <v>661384.9</v>
      </c>
      <c r="CI57" s="141">
        <v>799955.20000000007</v>
      </c>
      <c r="CJ57" s="141">
        <v>1116060</v>
      </c>
      <c r="CN57" s="1"/>
      <c r="CO57" s="2" t="s">
        <v>17</v>
      </c>
      <c r="CP57" s="141">
        <v>33704.980000000003</v>
      </c>
      <c r="CQ57" s="141">
        <v>41133.33</v>
      </c>
      <c r="CR57" s="141">
        <v>50998.920000000006</v>
      </c>
      <c r="CS57" s="141">
        <v>56891.460000000006</v>
      </c>
      <c r="CT57" s="141">
        <v>61486.9</v>
      </c>
      <c r="CU57" s="141">
        <v>76210.62000000001</v>
      </c>
      <c r="CV57" s="141">
        <v>83643.33</v>
      </c>
      <c r="CW57" s="141">
        <v>89490.090000000011</v>
      </c>
      <c r="CX57" s="141">
        <v>100220.05</v>
      </c>
      <c r="CY57" s="141">
        <v>124855.14000000001</v>
      </c>
      <c r="CZ57" s="141">
        <v>211945.05000000002</v>
      </c>
      <c r="DA57" s="141">
        <v>267736.7</v>
      </c>
      <c r="DB57" s="141">
        <v>331684.82</v>
      </c>
      <c r="DC57" s="141">
        <v>402164.22000000003</v>
      </c>
      <c r="DD57" s="141">
        <v>499423.83</v>
      </c>
      <c r="DE57" s="141">
        <v>608380.2300000001</v>
      </c>
      <c r="DF57" s="141">
        <v>735799.05</v>
      </c>
      <c r="DG57" s="141">
        <v>1026464.9900000001</v>
      </c>
    </row>
    <row r="58" spans="1:111">
      <c r="A58" s="2" t="s">
        <v>21</v>
      </c>
      <c r="B58" t="s">
        <v>22</v>
      </c>
      <c r="D58">
        <v>5</v>
      </c>
      <c r="E58" t="s">
        <v>46</v>
      </c>
      <c r="F58">
        <v>5</v>
      </c>
      <c r="G58">
        <v>1</v>
      </c>
      <c r="H58">
        <v>4</v>
      </c>
      <c r="I58">
        <v>1</v>
      </c>
      <c r="J58" s="4" t="s">
        <v>52</v>
      </c>
      <c r="K58" t="str">
        <f t="shared" si="0"/>
        <v>1+4</v>
      </c>
      <c r="L58">
        <f>VLOOKUP(A58,'ZONE 1 PREMIUM'!$A$4:$N$16,14,0)</f>
        <v>12</v>
      </c>
      <c r="M58">
        <f>VLOOKUP(D58,DROPDOWN!B:C,2,0)</f>
        <v>4</v>
      </c>
      <c r="N58" t="str">
        <f t="shared" si="1"/>
        <v>X65:AP76</v>
      </c>
      <c r="O58" s="4">
        <f t="shared" ca="1" si="2"/>
        <v>167088.09999999998</v>
      </c>
      <c r="R58">
        <v>3</v>
      </c>
      <c r="X58" s="2" t="s">
        <v>18</v>
      </c>
      <c r="Y58" s="141">
        <v>56237.299999999996</v>
      </c>
      <c r="Z58" s="141">
        <v>68727.45</v>
      </c>
      <c r="AA58" s="141">
        <v>85261</v>
      </c>
      <c r="AB58" s="141">
        <v>97817.849999999991</v>
      </c>
      <c r="AC58" s="141">
        <v>105901.2</v>
      </c>
      <c r="AD58" s="141">
        <v>129501.49999999999</v>
      </c>
      <c r="AE58" s="141">
        <v>142298.69999999998</v>
      </c>
      <c r="AF58" s="141">
        <v>151886.25</v>
      </c>
      <c r="AG58" s="141">
        <v>170411.59999999998</v>
      </c>
      <c r="AH58" s="141">
        <v>212768.4</v>
      </c>
      <c r="AI58" s="141">
        <v>364475.25</v>
      </c>
      <c r="AJ58" s="141">
        <v>460914.24999999994</v>
      </c>
      <c r="AK58" s="141">
        <v>571870.85</v>
      </c>
      <c r="AL58" s="141">
        <v>683739.39999999991</v>
      </c>
      <c r="AM58" s="141">
        <v>851428.95</v>
      </c>
      <c r="AN58" s="141">
        <v>1039833.45</v>
      </c>
      <c r="AO58" s="141">
        <v>1260625.3999999999</v>
      </c>
      <c r="AP58" s="141">
        <v>1763231.7499999998</v>
      </c>
      <c r="AT58" s="1"/>
      <c r="AU58" s="2" t="s">
        <v>18</v>
      </c>
      <c r="AV58" s="141">
        <v>49860</v>
      </c>
      <c r="AW58" s="141">
        <v>60919.875</v>
      </c>
      <c r="AX58" s="141">
        <v>75606.75</v>
      </c>
      <c r="AY58" s="141">
        <v>86726.25</v>
      </c>
      <c r="AZ58" s="141">
        <v>93883.5</v>
      </c>
      <c r="BA58" s="141">
        <v>114828.75</v>
      </c>
      <c r="BB58" s="141">
        <v>126162</v>
      </c>
      <c r="BC58" s="141">
        <v>134651.25</v>
      </c>
      <c r="BD58" s="141">
        <v>151056</v>
      </c>
      <c r="BE58" s="141">
        <v>188564.625</v>
      </c>
      <c r="BF58" s="141">
        <v>322905.375</v>
      </c>
      <c r="BG58" s="141">
        <v>408305.25</v>
      </c>
      <c r="BH58" s="141">
        <v>506560.5</v>
      </c>
      <c r="BI58" s="141">
        <v>605886.75</v>
      </c>
      <c r="BJ58" s="141">
        <v>754381.125</v>
      </c>
      <c r="BK58" s="141">
        <v>921218.625</v>
      </c>
      <c r="BL58" s="141">
        <v>1116736.875</v>
      </c>
      <c r="BM58" s="141">
        <v>1561809.375</v>
      </c>
      <c r="BQ58" s="1"/>
      <c r="BR58" s="2" t="s">
        <v>18</v>
      </c>
      <c r="BS58" s="141">
        <v>45978.9</v>
      </c>
      <c r="BT58" s="141">
        <v>56170.400000000001</v>
      </c>
      <c r="BU58" s="141">
        <v>69729</v>
      </c>
      <c r="BV58" s="141">
        <v>79975.5</v>
      </c>
      <c r="BW58" s="141">
        <v>86571.1</v>
      </c>
      <c r="BX58" s="141">
        <v>105897.00000000001</v>
      </c>
      <c r="BY58" s="141">
        <v>116340.40000000001</v>
      </c>
      <c r="BZ58" s="141">
        <v>124163.6</v>
      </c>
      <c r="CA58" s="141">
        <v>139280.90000000002</v>
      </c>
      <c r="CB58" s="141">
        <v>173846.2</v>
      </c>
      <c r="CC58" s="141">
        <v>297643.5</v>
      </c>
      <c r="CD58" s="141">
        <v>376340.80000000005</v>
      </c>
      <c r="CE58" s="141">
        <v>466885.10000000003</v>
      </c>
      <c r="CF58" s="141">
        <v>558554.70000000007</v>
      </c>
      <c r="CG58" s="141">
        <v>695394.70000000007</v>
      </c>
      <c r="CH58" s="141">
        <v>849139.50000000012</v>
      </c>
      <c r="CI58" s="141">
        <v>1029311.8</v>
      </c>
      <c r="CJ58" s="141">
        <v>1439455.6</v>
      </c>
      <c r="CN58" s="1"/>
      <c r="CO58" s="2" t="s">
        <v>18</v>
      </c>
      <c r="CP58" s="141">
        <v>42310.530000000006</v>
      </c>
      <c r="CQ58" s="141">
        <v>51681.26</v>
      </c>
      <c r="CR58" s="141">
        <v>64173.750000000007</v>
      </c>
      <c r="CS58" s="141">
        <v>73595.710000000006</v>
      </c>
      <c r="CT58" s="141">
        <v>79660.47</v>
      </c>
      <c r="CU58" s="141">
        <v>97455.810000000012</v>
      </c>
      <c r="CV58" s="141">
        <v>107058.71</v>
      </c>
      <c r="CW58" s="141">
        <v>114252.71</v>
      </c>
      <c r="CX58" s="141">
        <v>128153.48000000001</v>
      </c>
      <c r="CY58" s="141">
        <v>159936.79</v>
      </c>
      <c r="CZ58" s="141">
        <v>273770.94</v>
      </c>
      <c r="DA58" s="141">
        <v>346136.04000000004</v>
      </c>
      <c r="DB58" s="141">
        <v>429393.51</v>
      </c>
      <c r="DC58" s="141">
        <v>513826.00000000006</v>
      </c>
      <c r="DD58" s="141">
        <v>639654.51</v>
      </c>
      <c r="DE58" s="141">
        <v>781025.33000000007</v>
      </c>
      <c r="DF58" s="141">
        <v>946699.88000000012</v>
      </c>
      <c r="DG58" s="141">
        <v>1323835.52</v>
      </c>
    </row>
    <row r="59" spans="1:111">
      <c r="A59" s="2" t="s">
        <v>11</v>
      </c>
      <c r="B59" t="s">
        <v>45</v>
      </c>
      <c r="C59" t="s">
        <v>25</v>
      </c>
      <c r="D59">
        <v>5</v>
      </c>
      <c r="E59" t="s">
        <v>46</v>
      </c>
      <c r="F59">
        <v>2</v>
      </c>
      <c r="G59">
        <v>2</v>
      </c>
      <c r="H59">
        <v>0</v>
      </c>
      <c r="I59">
        <v>1</v>
      </c>
      <c r="J59" s="4" t="s">
        <v>52</v>
      </c>
      <c r="K59" t="str">
        <f t="shared" si="0"/>
        <v>2+0</v>
      </c>
      <c r="L59">
        <f>VLOOKUP(A59,'ZONE 1 PREMIUM'!$A$4:$N$16,14,0)</f>
        <v>2</v>
      </c>
      <c r="M59">
        <f>VLOOKUP(D59,DROPDOWN!B:C,2,0)</f>
        <v>4</v>
      </c>
      <c r="N59" t="str">
        <f t="shared" si="1"/>
        <v>X81:AP92</v>
      </c>
      <c r="O59" s="4">
        <f t="shared" ca="1" si="2"/>
        <v>22973.55</v>
      </c>
      <c r="R59" t="e">
        <f>IF('CALCULATOR CARE V6'!I3="yes",INDEX('ADD SI'!$W$9:$AB$13,MATCH('CARE SHEET'!Q47,'ADD SI'!$W$9:$W$13,0),MATCH('CARE SHEET'!$T$3,'ADD SI'!$W$9:$AB$9,0)),0)</f>
        <v>#N/A</v>
      </c>
      <c r="X59" s="2" t="s">
        <v>19</v>
      </c>
      <c r="Y59" s="141">
        <v>70421.399999999994</v>
      </c>
      <c r="Z59" s="141">
        <v>86164.9</v>
      </c>
      <c r="AA59" s="141">
        <v>107102.95</v>
      </c>
      <c r="AB59" s="141">
        <v>120059.99999999999</v>
      </c>
      <c r="AC59" s="141">
        <v>130155.84999999999</v>
      </c>
      <c r="AD59" s="141">
        <v>158505.65</v>
      </c>
      <c r="AE59" s="141">
        <v>174400.94999999998</v>
      </c>
      <c r="AF59" s="141">
        <v>188371.15</v>
      </c>
      <c r="AG59" s="141">
        <v>211650.59999999998</v>
      </c>
      <c r="AH59" s="141">
        <v>264651.8</v>
      </c>
      <c r="AI59" s="141">
        <v>447645.55</v>
      </c>
      <c r="AJ59" s="141">
        <v>568350.69999999995</v>
      </c>
      <c r="AK59" s="141">
        <v>707730.7</v>
      </c>
      <c r="AL59" s="141">
        <v>849102.49999999988</v>
      </c>
      <c r="AM59" s="141">
        <v>1059782.5</v>
      </c>
      <c r="AN59" s="141">
        <v>1297149.3999999999</v>
      </c>
      <c r="AO59" s="141">
        <v>1575888.7</v>
      </c>
      <c r="AP59" s="141">
        <v>2209087.9</v>
      </c>
      <c r="AT59" s="1"/>
      <c r="AU59" s="2" t="s">
        <v>19</v>
      </c>
      <c r="AV59" s="141">
        <v>62419.5</v>
      </c>
      <c r="AW59" s="141">
        <v>76361.625</v>
      </c>
      <c r="AX59" s="141">
        <v>94947.75</v>
      </c>
      <c r="AY59" s="141">
        <v>106421.625</v>
      </c>
      <c r="AZ59" s="141">
        <v>115362</v>
      </c>
      <c r="BA59" s="141">
        <v>140512.5</v>
      </c>
      <c r="BB59" s="141">
        <v>154591.875</v>
      </c>
      <c r="BC59" s="141">
        <v>166962.375</v>
      </c>
      <c r="BD59" s="141">
        <v>187576.875</v>
      </c>
      <c r="BE59" s="141">
        <v>234510.75</v>
      </c>
      <c r="BF59" s="141">
        <v>396564.75</v>
      </c>
      <c r="BG59" s="141">
        <v>503452.125</v>
      </c>
      <c r="BH59" s="141">
        <v>626878.125</v>
      </c>
      <c r="BI59" s="141">
        <v>752284.125</v>
      </c>
      <c r="BJ59" s="141">
        <v>938847.375</v>
      </c>
      <c r="BK59" s="141">
        <v>1149042.375</v>
      </c>
      <c r="BL59" s="141">
        <v>1395875.25</v>
      </c>
      <c r="BM59" s="141">
        <v>1956592.125</v>
      </c>
      <c r="BQ59" s="1"/>
      <c r="BR59" s="2" t="s">
        <v>19</v>
      </c>
      <c r="BS59" s="141">
        <v>57553.100000000006</v>
      </c>
      <c r="BT59" s="141">
        <v>70400</v>
      </c>
      <c r="BU59" s="141">
        <v>87551.200000000012</v>
      </c>
      <c r="BV59" s="141">
        <v>98125.500000000015</v>
      </c>
      <c r="BW59" s="141">
        <v>106363.40000000001</v>
      </c>
      <c r="BX59" s="141">
        <v>129563.50000000001</v>
      </c>
      <c r="BY59" s="141">
        <v>142540.20000000001</v>
      </c>
      <c r="BZ59" s="141">
        <v>153939.5</v>
      </c>
      <c r="CA59" s="141">
        <v>172936.5</v>
      </c>
      <c r="CB59" s="141">
        <v>216187.40000000002</v>
      </c>
      <c r="CC59" s="141">
        <v>365526.7</v>
      </c>
      <c r="CD59" s="141">
        <v>464026.2</v>
      </c>
      <c r="CE59" s="141">
        <v>577765.10000000009</v>
      </c>
      <c r="CF59" s="141">
        <v>693443.3</v>
      </c>
      <c r="CG59" s="141">
        <v>865365.60000000009</v>
      </c>
      <c r="CH59" s="141">
        <v>1059064.6000000001</v>
      </c>
      <c r="CI59" s="141">
        <v>1286524.8</v>
      </c>
      <c r="CJ59" s="141">
        <v>1803235.5000000002</v>
      </c>
      <c r="CN59" s="1"/>
      <c r="CO59" s="2" t="s">
        <v>19</v>
      </c>
      <c r="CP59" s="141">
        <v>52953.29</v>
      </c>
      <c r="CQ59" s="141">
        <v>64766.710000000006</v>
      </c>
      <c r="CR59" s="141">
        <v>80561.900000000009</v>
      </c>
      <c r="CS59" s="141">
        <v>90284.700000000012</v>
      </c>
      <c r="CT59" s="141">
        <v>97859.11</v>
      </c>
      <c r="CU59" s="141">
        <v>119216.57</v>
      </c>
      <c r="CV59" s="141">
        <v>131150.98000000001</v>
      </c>
      <c r="CW59" s="141">
        <v>141633.51</v>
      </c>
      <c r="CX59" s="141">
        <v>159100.76</v>
      </c>
      <c r="CY59" s="141">
        <v>198871.59000000003</v>
      </c>
      <c r="CZ59" s="141">
        <v>336197.42000000004</v>
      </c>
      <c r="DA59" s="141">
        <v>426769.88</v>
      </c>
      <c r="DB59" s="141">
        <v>531355.38</v>
      </c>
      <c r="DC59" s="141">
        <v>637839.66</v>
      </c>
      <c r="DD59" s="141">
        <v>795926.72000000009</v>
      </c>
      <c r="DE59" s="141">
        <v>974037.08000000007</v>
      </c>
      <c r="DF59" s="141">
        <v>1183192.82</v>
      </c>
      <c r="DG59" s="141">
        <v>1658321.6400000001</v>
      </c>
    </row>
    <row r="60" spans="1:111">
      <c r="A60" s="2" t="s">
        <v>12</v>
      </c>
      <c r="B60" t="s">
        <v>27</v>
      </c>
      <c r="C60" t="s">
        <v>28</v>
      </c>
      <c r="D60">
        <v>5</v>
      </c>
      <c r="E60" t="s">
        <v>46</v>
      </c>
      <c r="F60">
        <v>2</v>
      </c>
      <c r="G60">
        <v>2</v>
      </c>
      <c r="H60">
        <v>0</v>
      </c>
      <c r="I60">
        <v>1</v>
      </c>
      <c r="J60" s="4" t="s">
        <v>52</v>
      </c>
      <c r="K60" t="str">
        <f t="shared" si="0"/>
        <v>2+0</v>
      </c>
      <c r="L60">
        <f>VLOOKUP(A60,'ZONE 1 PREMIUM'!$A$4:$N$16,14,0)</f>
        <v>3</v>
      </c>
      <c r="M60">
        <f>VLOOKUP(D60,DROPDOWN!B:C,2,0)</f>
        <v>4</v>
      </c>
      <c r="N60" t="str">
        <f t="shared" si="1"/>
        <v>X81:AP92</v>
      </c>
      <c r="O60" s="4">
        <f t="shared" ca="1" si="2"/>
        <v>26207.35</v>
      </c>
      <c r="R60">
        <f>IF('CALCULATOR CARE V6'!I4="yes",INDEX('ADD SI'!$W$9:$AB$13,MATCH('CARE SHEET'!Q48,'ADD SI'!$W$9:$W$13,0),MATCH('CARE SHEET'!$T$3,'ADD SI'!$W$9:$AB$9,0)),0)</f>
        <v>0</v>
      </c>
      <c r="X60" s="2" t="s">
        <v>20</v>
      </c>
      <c r="Y60" s="141">
        <v>81784.549999999988</v>
      </c>
      <c r="Z60" s="141">
        <v>100175.34999999999</v>
      </c>
      <c r="AA60" s="141">
        <v>124758.9</v>
      </c>
      <c r="AB60" s="141">
        <v>140139</v>
      </c>
      <c r="AC60" s="141">
        <v>152102.44999999998</v>
      </c>
      <c r="AD60" s="141">
        <v>184922.3</v>
      </c>
      <c r="AE60" s="141">
        <v>203659.24999999997</v>
      </c>
      <c r="AF60" s="141">
        <v>220191.65</v>
      </c>
      <c r="AG60" s="141">
        <v>247709.99999999997</v>
      </c>
      <c r="AH60" s="141">
        <v>310127.39999999997</v>
      </c>
      <c r="AI60" s="141">
        <v>513951.1</v>
      </c>
      <c r="AJ60" s="141">
        <v>655788.64999999991</v>
      </c>
      <c r="AK60" s="141">
        <v>820071.89999999991</v>
      </c>
      <c r="AL60" s="141">
        <v>995173.2</v>
      </c>
      <c r="AM60" s="141">
        <v>1244272.3999999999</v>
      </c>
      <c r="AN60" s="141">
        <v>1525587.7</v>
      </c>
      <c r="AO60" s="141">
        <v>1856519.7499999998</v>
      </c>
      <c r="AP60" s="141">
        <v>2606880.9499999997</v>
      </c>
      <c r="AT60" s="1"/>
      <c r="AU60" s="2" t="s">
        <v>20</v>
      </c>
      <c r="AV60" s="141">
        <v>72483.75</v>
      </c>
      <c r="AW60" s="141">
        <v>88768.125</v>
      </c>
      <c r="AX60" s="141">
        <v>110584.125</v>
      </c>
      <c r="AY60" s="141">
        <v>124203.375</v>
      </c>
      <c r="AZ60" s="141">
        <v>134797.5</v>
      </c>
      <c r="BA60" s="141">
        <v>163906.875</v>
      </c>
      <c r="BB60" s="141">
        <v>180502.875</v>
      </c>
      <c r="BC60" s="141">
        <v>195142.5</v>
      </c>
      <c r="BD60" s="141">
        <v>219511.125</v>
      </c>
      <c r="BE60" s="141">
        <v>274783.5</v>
      </c>
      <c r="BF60" s="141">
        <v>455283</v>
      </c>
      <c r="BG60" s="141">
        <v>580884.75</v>
      </c>
      <c r="BH60" s="141">
        <v>726361.875</v>
      </c>
      <c r="BI60" s="141">
        <v>881633.25</v>
      </c>
      <c r="BJ60" s="141">
        <v>1102218.75</v>
      </c>
      <c r="BK60" s="141">
        <v>1351330.875</v>
      </c>
      <c r="BL60" s="141">
        <v>1644382.125</v>
      </c>
      <c r="BM60" s="141">
        <v>2308848.75</v>
      </c>
      <c r="BQ60" s="1"/>
      <c r="BR60" s="2" t="s">
        <v>20</v>
      </c>
      <c r="BS60" s="141">
        <v>66827.200000000012</v>
      </c>
      <c r="BT60" s="141">
        <v>81833.400000000009</v>
      </c>
      <c r="BU60" s="141">
        <v>101962.3</v>
      </c>
      <c r="BV60" s="141">
        <v>114512.20000000001</v>
      </c>
      <c r="BW60" s="141">
        <v>124274.70000000001</v>
      </c>
      <c r="BX60" s="141">
        <v>151123.5</v>
      </c>
      <c r="BY60" s="141">
        <v>166419</v>
      </c>
      <c r="BZ60" s="141">
        <v>179909.40000000002</v>
      </c>
      <c r="CA60" s="141">
        <v>202365.90000000002</v>
      </c>
      <c r="CB60" s="141">
        <v>253300.30000000002</v>
      </c>
      <c r="CC60" s="141">
        <v>419637.9</v>
      </c>
      <c r="CD60" s="141">
        <v>535382.10000000009</v>
      </c>
      <c r="CE60" s="141">
        <v>669442.4</v>
      </c>
      <c r="CF60" s="141">
        <v>812641.50000000012</v>
      </c>
      <c r="CG60" s="141">
        <v>1015914.9000000001</v>
      </c>
      <c r="CH60" s="141">
        <v>1245476.1000000001</v>
      </c>
      <c r="CI60" s="141">
        <v>1515528.3</v>
      </c>
      <c r="CJ60" s="141">
        <v>2127847.7000000002</v>
      </c>
      <c r="CN60" s="1"/>
      <c r="CO60" s="2" t="s">
        <v>20</v>
      </c>
      <c r="CP60" s="141">
        <v>61481.450000000004</v>
      </c>
      <c r="CQ60" s="141">
        <v>75280.850000000006</v>
      </c>
      <c r="CR60" s="141">
        <v>93813.030000000013</v>
      </c>
      <c r="CS60" s="141">
        <v>105352.86</v>
      </c>
      <c r="CT60" s="141">
        <v>114330.1</v>
      </c>
      <c r="CU60" s="141">
        <v>139042.58000000002</v>
      </c>
      <c r="CV60" s="141">
        <v>153110.12000000002</v>
      </c>
      <c r="CW60" s="141">
        <v>165514.32</v>
      </c>
      <c r="CX60" s="141">
        <v>186163.28000000003</v>
      </c>
      <c r="CY60" s="141">
        <v>232999.49000000002</v>
      </c>
      <c r="CZ60" s="141">
        <v>385954.83</v>
      </c>
      <c r="DA60" s="141">
        <v>492384.61000000004</v>
      </c>
      <c r="DB60" s="141">
        <v>615655.9800000001</v>
      </c>
      <c r="DC60" s="141">
        <v>747444.6100000001</v>
      </c>
      <c r="DD60" s="141">
        <v>934359.99000000011</v>
      </c>
      <c r="DE60" s="141">
        <v>1145448.3</v>
      </c>
      <c r="DF60" s="141">
        <v>1393767.74</v>
      </c>
      <c r="DG60" s="141">
        <v>1956809.4200000002</v>
      </c>
    </row>
    <row r="61" spans="1:111">
      <c r="A61" s="2" t="s">
        <v>13</v>
      </c>
      <c r="B61" t="s">
        <v>29</v>
      </c>
      <c r="C61" t="s">
        <v>30</v>
      </c>
      <c r="D61">
        <v>5</v>
      </c>
      <c r="E61" t="s">
        <v>46</v>
      </c>
      <c r="F61">
        <v>2</v>
      </c>
      <c r="G61">
        <v>2</v>
      </c>
      <c r="H61">
        <v>0</v>
      </c>
      <c r="I61">
        <v>1</v>
      </c>
      <c r="J61" s="4" t="s">
        <v>52</v>
      </c>
      <c r="K61" t="str">
        <f t="shared" si="0"/>
        <v>2+0</v>
      </c>
      <c r="L61">
        <f>VLOOKUP(A61,'ZONE 1 PREMIUM'!$A$4:$N$16,14,0)</f>
        <v>4</v>
      </c>
      <c r="M61">
        <f>VLOOKUP(D61,DROPDOWN!B:C,2,0)</f>
        <v>4</v>
      </c>
      <c r="N61" t="str">
        <f t="shared" si="1"/>
        <v>X81:AP92</v>
      </c>
      <c r="O61" s="4">
        <f t="shared" ca="1" si="2"/>
        <v>29059.35</v>
      </c>
      <c r="R61">
        <f>IF('CALCULATOR CARE V6'!I5="yes",INDEX('ADD SI'!$W$9:$AB$13,MATCH('CARE SHEET'!Q49,'ADD SI'!$W$9:$W$13,0),MATCH('CARE SHEET'!$T$3,'ADD SI'!$W$9:$AB$9,0)),0)</f>
        <v>0</v>
      </c>
      <c r="X61" s="2" t="s">
        <v>21</v>
      </c>
      <c r="Y61" s="141">
        <v>105284.79999999999</v>
      </c>
      <c r="Z61" s="141">
        <v>129082.9</v>
      </c>
      <c r="AA61" s="141">
        <v>161042.54999999999</v>
      </c>
      <c r="AB61" s="141">
        <v>181401</v>
      </c>
      <c r="AC61" s="141">
        <v>197176.69999999998</v>
      </c>
      <c r="AD61" s="141">
        <v>239024.05</v>
      </c>
      <c r="AE61" s="141">
        <v>263520.19999999995</v>
      </c>
      <c r="AF61" s="141">
        <v>285227.59999999998</v>
      </c>
      <c r="AG61" s="141">
        <v>321373.25</v>
      </c>
      <c r="AH61" s="141">
        <v>402982.99999999994</v>
      </c>
      <c r="AI61" s="141">
        <v>653193.1</v>
      </c>
      <c r="AJ61" s="141">
        <v>838354.6</v>
      </c>
      <c r="AK61" s="141">
        <v>1053632.2999999998</v>
      </c>
      <c r="AL61" s="141">
        <v>1292603.45</v>
      </c>
      <c r="AM61" s="141">
        <v>1619686.45</v>
      </c>
      <c r="AN61" s="141">
        <v>1990133.65</v>
      </c>
      <c r="AO61" s="141">
        <v>2426858.7999999998</v>
      </c>
      <c r="AP61" s="141">
        <v>3414875.55</v>
      </c>
      <c r="AT61" s="1"/>
      <c r="AU61" s="2" t="s">
        <v>21</v>
      </c>
      <c r="AV61" s="141">
        <v>93294</v>
      </c>
      <c r="AW61" s="141">
        <v>114368.625</v>
      </c>
      <c r="AX61" s="141">
        <v>142716.375</v>
      </c>
      <c r="AY61" s="141">
        <v>160744.5</v>
      </c>
      <c r="AZ61" s="141">
        <v>174713.625</v>
      </c>
      <c r="BA61" s="141">
        <v>211818.375</v>
      </c>
      <c r="BB61" s="141">
        <v>233514</v>
      </c>
      <c r="BC61" s="141">
        <v>252736.875</v>
      </c>
      <c r="BD61" s="141">
        <v>284744.25</v>
      </c>
      <c r="BE61" s="141">
        <v>357013.125</v>
      </c>
      <c r="BF61" s="141">
        <v>578589.75</v>
      </c>
      <c r="BG61" s="141">
        <v>742556.25</v>
      </c>
      <c r="BH61" s="141">
        <v>933189.75</v>
      </c>
      <c r="BI61" s="141">
        <v>1145025</v>
      </c>
      <c r="BJ61" s="141">
        <v>1434667.5</v>
      </c>
      <c r="BK61" s="141">
        <v>1762708.5</v>
      </c>
      <c r="BL61" s="141">
        <v>2149441.875</v>
      </c>
      <c r="BM61" s="141">
        <v>3024361.125</v>
      </c>
      <c r="BQ61" s="1"/>
      <c r="BR61" s="2" t="s">
        <v>21</v>
      </c>
      <c r="BS61" s="141">
        <v>86005.700000000012</v>
      </c>
      <c r="BT61" s="141">
        <v>105425.1</v>
      </c>
      <c r="BU61" s="141">
        <v>131573.20000000001</v>
      </c>
      <c r="BV61" s="141">
        <v>148186.5</v>
      </c>
      <c r="BW61" s="141">
        <v>161059.80000000002</v>
      </c>
      <c r="BX61" s="141">
        <v>195276.40000000002</v>
      </c>
      <c r="BY61" s="141">
        <v>215272.2</v>
      </c>
      <c r="BZ61" s="141">
        <v>232985.50000000003</v>
      </c>
      <c r="CA61" s="141">
        <v>262482</v>
      </c>
      <c r="CB61" s="141">
        <v>329078.2</v>
      </c>
      <c r="CC61" s="141">
        <v>533269</v>
      </c>
      <c r="CD61" s="141">
        <v>684367.20000000007</v>
      </c>
      <c r="CE61" s="141">
        <v>860040.50000000012</v>
      </c>
      <c r="CF61" s="141">
        <v>1055366.4000000001</v>
      </c>
      <c r="CG61" s="141">
        <v>1322275.9000000001</v>
      </c>
      <c r="CH61" s="141">
        <v>1624573.5000000002</v>
      </c>
      <c r="CI61" s="141">
        <v>1980954.8</v>
      </c>
      <c r="CJ61" s="141">
        <v>2787209.7</v>
      </c>
      <c r="CN61" s="1"/>
      <c r="CO61" s="2" t="s">
        <v>21</v>
      </c>
      <c r="CP61" s="141">
        <v>79116.560000000012</v>
      </c>
      <c r="CQ61" s="141">
        <v>96974.030000000013</v>
      </c>
      <c r="CR61" s="141">
        <v>121043.41</v>
      </c>
      <c r="CS61" s="141">
        <v>136318.67000000001</v>
      </c>
      <c r="CT61" s="141">
        <v>148156.07</v>
      </c>
      <c r="CU61" s="141">
        <v>179645.08000000002</v>
      </c>
      <c r="CV61" s="141">
        <v>198032.29</v>
      </c>
      <c r="CW61" s="141">
        <v>214321.25000000003</v>
      </c>
      <c r="CX61" s="141">
        <v>241443.72000000003</v>
      </c>
      <c r="CY61" s="141">
        <v>302681.01</v>
      </c>
      <c r="CZ61" s="141">
        <v>490443.32</v>
      </c>
      <c r="DA61" s="141">
        <v>629382.35000000009</v>
      </c>
      <c r="DB61" s="141">
        <v>790918.17</v>
      </c>
      <c r="DC61" s="141">
        <v>970640.64</v>
      </c>
      <c r="DD61" s="141">
        <v>1216071.58</v>
      </c>
      <c r="DE61" s="141">
        <v>1494041.2000000002</v>
      </c>
      <c r="DF61" s="141">
        <v>1821743.1600000001</v>
      </c>
      <c r="DG61" s="141">
        <v>2563114.29</v>
      </c>
    </row>
    <row r="62" spans="1:111">
      <c r="A62" s="2" t="s">
        <v>14</v>
      </c>
      <c r="B62" t="s">
        <v>31</v>
      </c>
      <c r="C62" t="s">
        <v>32</v>
      </c>
      <c r="D62">
        <v>5</v>
      </c>
      <c r="E62" t="s">
        <v>46</v>
      </c>
      <c r="F62">
        <v>2</v>
      </c>
      <c r="G62">
        <v>2</v>
      </c>
      <c r="H62">
        <v>0</v>
      </c>
      <c r="I62">
        <v>1</v>
      </c>
      <c r="J62" s="4" t="s">
        <v>52</v>
      </c>
      <c r="K62" t="str">
        <f t="shared" si="0"/>
        <v>2+0</v>
      </c>
      <c r="L62">
        <f>VLOOKUP(A62,'ZONE 1 PREMIUM'!$A$4:$N$16,14,0)</f>
        <v>5</v>
      </c>
      <c r="M62">
        <f>VLOOKUP(D62,DROPDOWN!B:C,2,0)</f>
        <v>4</v>
      </c>
      <c r="N62" t="str">
        <f t="shared" si="1"/>
        <v>X81:AP92</v>
      </c>
      <c r="O62" s="4">
        <f t="shared" ca="1" si="2"/>
        <v>33631.75</v>
      </c>
      <c r="R62">
        <f>IF('CALCULATOR CARE V6'!I6="yes",INDEX('ADD SI'!$W$9:$AB$13,MATCH('CARE SHEET'!Q50,'ADD SI'!$W$9:$W$13,0),MATCH('CARE SHEET'!$T$3,'ADD SI'!$W$9:$AB$9,0)),0)</f>
        <v>0</v>
      </c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</row>
    <row r="63" spans="1:111">
      <c r="A63" s="2" t="s">
        <v>15</v>
      </c>
      <c r="B63" t="s">
        <v>33</v>
      </c>
      <c r="C63" t="s">
        <v>34</v>
      </c>
      <c r="D63">
        <v>5</v>
      </c>
      <c r="E63" t="s">
        <v>46</v>
      </c>
      <c r="F63">
        <v>2</v>
      </c>
      <c r="G63">
        <v>2</v>
      </c>
      <c r="H63">
        <v>0</v>
      </c>
      <c r="I63">
        <v>1</v>
      </c>
      <c r="J63" s="4" t="s">
        <v>52</v>
      </c>
      <c r="K63" t="str">
        <f t="shared" si="0"/>
        <v>2+0</v>
      </c>
      <c r="L63">
        <f>VLOOKUP(A63,'ZONE 1 PREMIUM'!$A$4:$N$16,14,0)</f>
        <v>6</v>
      </c>
      <c r="M63">
        <f>VLOOKUP(D63,DROPDOWN!B:C,2,0)</f>
        <v>4</v>
      </c>
      <c r="N63" t="str">
        <f t="shared" si="1"/>
        <v>X81:AP92</v>
      </c>
      <c r="O63" s="4">
        <f t="shared" ca="1" si="2"/>
        <v>42558.049999999996</v>
      </c>
      <c r="R63">
        <f>IF('CALCULATOR CARE V6'!I7="yes",INDEX('ADD SI'!$W$9:$AB$13,MATCH('CARE SHEET'!Q51,'ADD SI'!$W$9:$W$13,0),MATCH('CARE SHEET'!$T$3,'ADD SI'!$W$9:$AB$9,0)),0)</f>
        <v>0</v>
      </c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</row>
    <row r="64" spans="1:111">
      <c r="A64" s="2" t="s">
        <v>16</v>
      </c>
      <c r="B64" t="s">
        <v>35</v>
      </c>
      <c r="C64" t="s">
        <v>36</v>
      </c>
      <c r="D64">
        <v>5</v>
      </c>
      <c r="E64" t="s">
        <v>46</v>
      </c>
      <c r="F64">
        <v>2</v>
      </c>
      <c r="G64">
        <v>2</v>
      </c>
      <c r="H64">
        <v>0</v>
      </c>
      <c r="I64">
        <v>1</v>
      </c>
      <c r="J64" s="4" t="s">
        <v>52</v>
      </c>
      <c r="K64" t="str">
        <f t="shared" si="0"/>
        <v>2+0</v>
      </c>
      <c r="L64">
        <f>VLOOKUP(A64,'ZONE 1 PREMIUM'!$A$4:$N$16,14,0)</f>
        <v>7</v>
      </c>
      <c r="M64">
        <f>VLOOKUP(D64,DROPDOWN!B:C,2,0)</f>
        <v>4</v>
      </c>
      <c r="N64" t="str">
        <f t="shared" si="1"/>
        <v>X81:AP92</v>
      </c>
      <c r="O64" s="4">
        <f t="shared" ca="1" si="2"/>
        <v>55824.45</v>
      </c>
      <c r="R64">
        <f>IF('CALCULATOR CARE V6'!I8="yes",INDEX('ADD SI'!$W$9:$AB$13,MATCH('CARE SHEET'!Q52,'ADD SI'!$W$9:$W$13,0),MATCH('CARE SHEET'!$T$3,'ADD SI'!$W$9:$AB$9,0)),0)</f>
        <v>0</v>
      </c>
      <c r="X64" s="85" t="s">
        <v>64</v>
      </c>
      <c r="Y64" s="153" t="s">
        <v>211</v>
      </c>
      <c r="Z64" s="153"/>
      <c r="AA64" s="143" t="s">
        <v>57</v>
      </c>
      <c r="AB64" s="143"/>
      <c r="AC64" s="143"/>
      <c r="AD64" s="144" t="s">
        <v>58</v>
      </c>
      <c r="AE64" s="144"/>
      <c r="AF64" s="144"/>
      <c r="AG64" s="144"/>
      <c r="AH64" s="144"/>
      <c r="AI64" s="142" t="s">
        <v>59</v>
      </c>
      <c r="AJ64" s="142"/>
      <c r="AK64" s="142"/>
      <c r="AL64" s="154" t="s">
        <v>176</v>
      </c>
      <c r="AM64" s="154"/>
      <c r="AN64" s="154"/>
      <c r="AO64" s="154"/>
      <c r="AP64" s="154"/>
      <c r="AT64" s="5" t="s">
        <v>64</v>
      </c>
      <c r="AU64" s="1"/>
      <c r="AV64" s="153" t="s">
        <v>211</v>
      </c>
      <c r="AW64" s="153"/>
      <c r="AX64" s="143" t="s">
        <v>57</v>
      </c>
      <c r="AY64" s="143"/>
      <c r="AZ64" s="143"/>
      <c r="BA64" s="144" t="s">
        <v>58</v>
      </c>
      <c r="BB64" s="144"/>
      <c r="BC64" s="144"/>
      <c r="BD64" s="144"/>
      <c r="BE64" s="144"/>
      <c r="BF64" s="142" t="s">
        <v>59</v>
      </c>
      <c r="BG64" s="142"/>
      <c r="BH64" s="142"/>
      <c r="BI64" s="154" t="s">
        <v>176</v>
      </c>
      <c r="BJ64" s="154"/>
      <c r="BK64" s="154"/>
      <c r="BL64" s="154"/>
      <c r="BM64" s="154"/>
      <c r="BQ64" s="5" t="s">
        <v>64</v>
      </c>
      <c r="BR64" s="1"/>
      <c r="BS64" s="148" t="s">
        <v>211</v>
      </c>
      <c r="BT64" s="149"/>
      <c r="BU64" s="145" t="s">
        <v>57</v>
      </c>
      <c r="BV64" s="146"/>
      <c r="BW64" s="147"/>
      <c r="BX64" s="150" t="s">
        <v>58</v>
      </c>
      <c r="BY64" s="151"/>
      <c r="BZ64" s="151"/>
      <c r="CA64" s="151"/>
      <c r="CB64" s="152"/>
      <c r="CC64" s="158" t="s">
        <v>59</v>
      </c>
      <c r="CD64" s="159"/>
      <c r="CE64" s="160"/>
      <c r="CF64" s="155" t="s">
        <v>176</v>
      </c>
      <c r="CG64" s="156"/>
      <c r="CH64" s="156"/>
      <c r="CI64" s="156"/>
      <c r="CJ64" s="157"/>
      <c r="CN64" s="5" t="s">
        <v>64</v>
      </c>
      <c r="CO64" s="1"/>
      <c r="CP64" s="153" t="s">
        <v>211</v>
      </c>
      <c r="CQ64" s="153"/>
      <c r="CR64" s="143" t="s">
        <v>57</v>
      </c>
      <c r="CS64" s="143"/>
      <c r="CT64" s="143"/>
      <c r="CU64" s="144" t="s">
        <v>58</v>
      </c>
      <c r="CV64" s="144"/>
      <c r="CW64" s="144"/>
      <c r="CX64" s="144"/>
      <c r="CY64" s="144"/>
      <c r="CZ64" s="142" t="s">
        <v>59</v>
      </c>
      <c r="DA64" s="142"/>
      <c r="DB64" s="142"/>
      <c r="DC64" s="154" t="s">
        <v>176</v>
      </c>
      <c r="DD64" s="154"/>
      <c r="DE64" s="154"/>
      <c r="DF64" s="154"/>
      <c r="DG64" s="154"/>
    </row>
    <row r="65" spans="1:111">
      <c r="A65" s="2" t="s">
        <v>17</v>
      </c>
      <c r="B65" t="s">
        <v>37</v>
      </c>
      <c r="C65" t="s">
        <v>38</v>
      </c>
      <c r="D65">
        <v>5</v>
      </c>
      <c r="E65" t="s">
        <v>46</v>
      </c>
      <c r="F65">
        <v>2</v>
      </c>
      <c r="G65">
        <v>2</v>
      </c>
      <c r="H65">
        <v>0</v>
      </c>
      <c r="I65">
        <v>1</v>
      </c>
      <c r="J65" s="4" t="s">
        <v>52</v>
      </c>
      <c r="K65" t="str">
        <f t="shared" si="0"/>
        <v>2+0</v>
      </c>
      <c r="L65">
        <f>VLOOKUP(A65,'ZONE 1 PREMIUM'!$A$4:$N$16,14,0)</f>
        <v>8</v>
      </c>
      <c r="M65">
        <f>VLOOKUP(D65,DROPDOWN!B:C,2,0)</f>
        <v>4</v>
      </c>
      <c r="N65" t="str">
        <f t="shared" si="1"/>
        <v>X81:AP92</v>
      </c>
      <c r="O65" s="4">
        <f t="shared" ca="1" si="2"/>
        <v>78168.95</v>
      </c>
      <c r="R65" t="e">
        <f>R59+SUM(R60:R64)*97.5%</f>
        <v>#N/A</v>
      </c>
      <c r="X65" s="2" t="s">
        <v>60</v>
      </c>
      <c r="Y65" s="2" t="s">
        <v>243</v>
      </c>
      <c r="Z65" s="2" t="s">
        <v>244</v>
      </c>
      <c r="AA65" s="6" t="s">
        <v>70</v>
      </c>
      <c r="AB65" s="6" t="s">
        <v>71</v>
      </c>
      <c r="AC65" s="6" t="s">
        <v>72</v>
      </c>
      <c r="AD65" s="6" t="s">
        <v>73</v>
      </c>
      <c r="AE65" s="6" t="s">
        <v>74</v>
      </c>
      <c r="AF65" s="6" t="s">
        <v>75</v>
      </c>
      <c r="AG65" s="6" t="s">
        <v>76</v>
      </c>
      <c r="AH65" s="6" t="s">
        <v>77</v>
      </c>
      <c r="AI65" s="6" t="s">
        <v>78</v>
      </c>
      <c r="AJ65" s="6" t="s">
        <v>79</v>
      </c>
      <c r="AK65" s="6" t="s">
        <v>80</v>
      </c>
      <c r="AL65" s="2" t="s">
        <v>245</v>
      </c>
      <c r="AM65" s="2" t="s">
        <v>246</v>
      </c>
      <c r="AN65" s="2" t="s">
        <v>247</v>
      </c>
      <c r="AO65" s="2" t="s">
        <v>248</v>
      </c>
      <c r="AP65" s="2" t="s">
        <v>310</v>
      </c>
      <c r="AT65" s="1"/>
      <c r="AU65" s="2" t="s">
        <v>60</v>
      </c>
      <c r="AV65" s="2" t="s">
        <v>243</v>
      </c>
      <c r="AW65" s="2" t="s">
        <v>244</v>
      </c>
      <c r="AX65" s="6" t="s">
        <v>70</v>
      </c>
      <c r="AY65" s="6" t="s">
        <v>71</v>
      </c>
      <c r="AZ65" s="6" t="s">
        <v>72</v>
      </c>
      <c r="BA65" s="6" t="s">
        <v>73</v>
      </c>
      <c r="BB65" s="6" t="s">
        <v>74</v>
      </c>
      <c r="BC65" s="6" t="s">
        <v>75</v>
      </c>
      <c r="BD65" s="6" t="s">
        <v>76</v>
      </c>
      <c r="BE65" s="6" t="s">
        <v>77</v>
      </c>
      <c r="BF65" s="6" t="s">
        <v>78</v>
      </c>
      <c r="BG65" s="6" t="s">
        <v>79</v>
      </c>
      <c r="BH65" s="6" t="s">
        <v>80</v>
      </c>
      <c r="BI65" s="2" t="s">
        <v>245</v>
      </c>
      <c r="BJ65" s="2" t="s">
        <v>246</v>
      </c>
      <c r="BK65" s="2" t="s">
        <v>247</v>
      </c>
      <c r="BL65" s="2" t="s">
        <v>248</v>
      </c>
      <c r="BM65" s="2" t="s">
        <v>310</v>
      </c>
      <c r="BQ65" s="1"/>
      <c r="BR65" s="2" t="s">
        <v>60</v>
      </c>
      <c r="BS65" s="2" t="s">
        <v>243</v>
      </c>
      <c r="BT65" s="2" t="s">
        <v>244</v>
      </c>
      <c r="BU65" s="6" t="s">
        <v>70</v>
      </c>
      <c r="BV65" s="6" t="s">
        <v>71</v>
      </c>
      <c r="BW65" s="6" t="s">
        <v>72</v>
      </c>
      <c r="BX65" s="6" t="s">
        <v>73</v>
      </c>
      <c r="BY65" s="6" t="s">
        <v>74</v>
      </c>
      <c r="BZ65" s="6" t="s">
        <v>75</v>
      </c>
      <c r="CA65" s="6" t="s">
        <v>76</v>
      </c>
      <c r="CB65" s="6" t="s">
        <v>77</v>
      </c>
      <c r="CC65" s="6" t="s">
        <v>78</v>
      </c>
      <c r="CD65" s="6" t="s">
        <v>79</v>
      </c>
      <c r="CE65" s="6" t="s">
        <v>80</v>
      </c>
      <c r="CF65" s="2" t="s">
        <v>245</v>
      </c>
      <c r="CG65" s="2" t="s">
        <v>246</v>
      </c>
      <c r="CH65" s="2" t="s">
        <v>247</v>
      </c>
      <c r="CI65" s="2" t="s">
        <v>248</v>
      </c>
      <c r="CJ65" s="2" t="s">
        <v>310</v>
      </c>
      <c r="CN65" s="1"/>
      <c r="CO65" s="2" t="s">
        <v>60</v>
      </c>
      <c r="CP65" s="2" t="s">
        <v>243</v>
      </c>
      <c r="CQ65" s="2" t="s">
        <v>244</v>
      </c>
      <c r="CR65" s="6" t="s">
        <v>70</v>
      </c>
      <c r="CS65" s="6" t="s">
        <v>71</v>
      </c>
      <c r="CT65" s="6" t="s">
        <v>72</v>
      </c>
      <c r="CU65" s="6" t="s">
        <v>73</v>
      </c>
      <c r="CV65" s="6" t="s">
        <v>74</v>
      </c>
      <c r="CW65" s="6" t="s">
        <v>75</v>
      </c>
      <c r="CX65" s="6" t="s">
        <v>76</v>
      </c>
      <c r="CY65" s="6" t="s">
        <v>77</v>
      </c>
      <c r="CZ65" s="6" t="s">
        <v>78</v>
      </c>
      <c r="DA65" s="6" t="s">
        <v>79</v>
      </c>
      <c r="DB65" s="6" t="s">
        <v>80</v>
      </c>
      <c r="DC65" s="2" t="s">
        <v>245</v>
      </c>
      <c r="DD65" s="2" t="s">
        <v>246</v>
      </c>
      <c r="DE65" s="2" t="s">
        <v>247</v>
      </c>
      <c r="DF65" s="2" t="s">
        <v>248</v>
      </c>
      <c r="DG65" s="2" t="s">
        <v>310</v>
      </c>
    </row>
    <row r="66" spans="1:111">
      <c r="A66" s="2" t="s">
        <v>18</v>
      </c>
      <c r="B66" t="s">
        <v>39</v>
      </c>
      <c r="C66" t="s">
        <v>40</v>
      </c>
      <c r="D66">
        <v>5</v>
      </c>
      <c r="E66" t="s">
        <v>46</v>
      </c>
      <c r="F66">
        <v>2</v>
      </c>
      <c r="G66">
        <v>2</v>
      </c>
      <c r="H66">
        <v>0</v>
      </c>
      <c r="I66">
        <v>1</v>
      </c>
      <c r="J66" s="4" t="s">
        <v>52</v>
      </c>
      <c r="K66" t="str">
        <f t="shared" si="0"/>
        <v>2+0</v>
      </c>
      <c r="L66">
        <f>VLOOKUP(A66,'ZONE 1 PREMIUM'!$A$4:$N$16,14,0)</f>
        <v>9</v>
      </c>
      <c r="M66">
        <f>VLOOKUP(D66,DROPDOWN!B:C,2,0)</f>
        <v>4</v>
      </c>
      <c r="N66" t="str">
        <f t="shared" si="1"/>
        <v>X81:AP92</v>
      </c>
      <c r="O66" s="4">
        <f t="shared" ca="1" si="2"/>
        <v>108993.54999999999</v>
      </c>
      <c r="X66" s="2" t="s">
        <v>11</v>
      </c>
      <c r="Y66" s="141">
        <v>21217.5</v>
      </c>
      <c r="Z66" s="141">
        <v>25639.249999999996</v>
      </c>
      <c r="AA66" s="141">
        <v>30721.1</v>
      </c>
      <c r="AB66" s="141">
        <v>33516.75</v>
      </c>
      <c r="AC66" s="141">
        <v>36078.949999999997</v>
      </c>
      <c r="AD66" s="141">
        <v>45974.7</v>
      </c>
      <c r="AE66" s="141">
        <v>50263.049999999996</v>
      </c>
      <c r="AF66" s="141">
        <v>53953.399999999994</v>
      </c>
      <c r="AG66" s="141">
        <v>60200.2</v>
      </c>
      <c r="AH66" s="141">
        <v>74776.45</v>
      </c>
      <c r="AI66" s="141">
        <v>130538.79999999999</v>
      </c>
      <c r="AJ66" s="141">
        <v>161928.04999999999</v>
      </c>
      <c r="AK66" s="141">
        <v>197114.59999999998</v>
      </c>
      <c r="AL66" s="141">
        <v>277400.69999999995</v>
      </c>
      <c r="AM66" s="141">
        <v>333478.14999999997</v>
      </c>
      <c r="AN66" s="141">
        <v>395200.94999999995</v>
      </c>
      <c r="AO66" s="141">
        <v>466560.74999999994</v>
      </c>
      <c r="AP66" s="141">
        <v>630795.69999999995</v>
      </c>
      <c r="AT66" s="1"/>
      <c r="AU66" s="2" t="s">
        <v>11</v>
      </c>
      <c r="AV66" s="141">
        <v>18819</v>
      </c>
      <c r="AW66" s="141">
        <v>22736.25</v>
      </c>
      <c r="AX66" s="141">
        <v>27250.875</v>
      </c>
      <c r="AY66" s="141">
        <v>29725.875</v>
      </c>
      <c r="AZ66" s="141">
        <v>31995</v>
      </c>
      <c r="BA66" s="141">
        <v>40772.25</v>
      </c>
      <c r="BB66" s="141">
        <v>44569.125</v>
      </c>
      <c r="BC66" s="141">
        <v>47838.375</v>
      </c>
      <c r="BD66" s="141">
        <v>53368.875</v>
      </c>
      <c r="BE66" s="141">
        <v>66277.125</v>
      </c>
      <c r="BF66" s="141">
        <v>115656.75</v>
      </c>
      <c r="BG66" s="141">
        <v>143452.125</v>
      </c>
      <c r="BH66" s="141">
        <v>174611.25</v>
      </c>
      <c r="BI66" s="141">
        <v>246570.75</v>
      </c>
      <c r="BJ66" s="141">
        <v>296228.25</v>
      </c>
      <c r="BK66" s="141">
        <v>350886.375</v>
      </c>
      <c r="BL66" s="141">
        <v>414077.625</v>
      </c>
      <c r="BM66" s="141">
        <v>559512</v>
      </c>
      <c r="BQ66" s="1"/>
      <c r="BR66" s="2" t="s">
        <v>11</v>
      </c>
      <c r="BS66" s="141">
        <v>17359.100000000002</v>
      </c>
      <c r="BT66" s="141">
        <v>20968.2</v>
      </c>
      <c r="BU66" s="141">
        <v>25136.100000000002</v>
      </c>
      <c r="BV66" s="141">
        <v>27416.400000000001</v>
      </c>
      <c r="BW66" s="141">
        <v>29508.600000000002</v>
      </c>
      <c r="BX66" s="141">
        <v>37604.600000000006</v>
      </c>
      <c r="BY66" s="141">
        <v>41103.700000000004</v>
      </c>
      <c r="BZ66" s="141">
        <v>44115.5</v>
      </c>
      <c r="CA66" s="141">
        <v>49212.9</v>
      </c>
      <c r="CB66" s="141">
        <v>61107.200000000004</v>
      </c>
      <c r="CC66" s="141">
        <v>106612.00000000001</v>
      </c>
      <c r="CD66" s="141">
        <v>132225.5</v>
      </c>
      <c r="CE66" s="141">
        <v>160939.90000000002</v>
      </c>
      <c r="CF66" s="141">
        <v>227705.50000000003</v>
      </c>
      <c r="CG66" s="141">
        <v>273466.60000000003</v>
      </c>
      <c r="CH66" s="141">
        <v>323834.5</v>
      </c>
      <c r="CI66" s="141">
        <v>382067.4</v>
      </c>
      <c r="CJ66" s="141">
        <v>516088.10000000003</v>
      </c>
      <c r="CN66" s="1"/>
      <c r="CO66" s="2" t="s">
        <v>11</v>
      </c>
      <c r="CP66" s="141">
        <v>15978.310000000001</v>
      </c>
      <c r="CQ66" s="141">
        <v>19297.36</v>
      </c>
      <c r="CR66" s="141">
        <v>23137.43</v>
      </c>
      <c r="CS66" s="141">
        <v>25234.59</v>
      </c>
      <c r="CT66" s="141">
        <v>27158.440000000002</v>
      </c>
      <c r="CU66" s="141">
        <v>34609.68</v>
      </c>
      <c r="CV66" s="141">
        <v>37828.450000000004</v>
      </c>
      <c r="CW66" s="141">
        <v>40597.050000000003</v>
      </c>
      <c r="CX66" s="141">
        <v>45284.05</v>
      </c>
      <c r="CY66" s="141">
        <v>56222.200000000004</v>
      </c>
      <c r="CZ66" s="141">
        <v>98064.030000000013</v>
      </c>
      <c r="DA66" s="141">
        <v>121616.75000000001</v>
      </c>
      <c r="DB66" s="141">
        <v>148019.82</v>
      </c>
      <c r="DC66" s="141">
        <v>209872.96000000002</v>
      </c>
      <c r="DD66" s="141">
        <v>251951.32</v>
      </c>
      <c r="DE66" s="141">
        <v>298266.51</v>
      </c>
      <c r="DF66" s="141">
        <v>351812.76</v>
      </c>
      <c r="DG66" s="141">
        <v>475047.07</v>
      </c>
    </row>
    <row r="67" spans="1:111">
      <c r="A67" s="2" t="s">
        <v>19</v>
      </c>
      <c r="B67" t="s">
        <v>41</v>
      </c>
      <c r="C67" t="s">
        <v>42</v>
      </c>
      <c r="D67">
        <v>5</v>
      </c>
      <c r="E67" t="s">
        <v>46</v>
      </c>
      <c r="F67">
        <v>2</v>
      </c>
      <c r="G67">
        <v>2</v>
      </c>
      <c r="H67">
        <v>0</v>
      </c>
      <c r="I67">
        <v>1</v>
      </c>
      <c r="J67" s="4" t="s">
        <v>52</v>
      </c>
      <c r="K67" t="str">
        <f t="shared" si="0"/>
        <v>2+0</v>
      </c>
      <c r="L67">
        <f>VLOOKUP(A67,'ZONE 1 PREMIUM'!$A$4:$N$16,14,0)</f>
        <v>10</v>
      </c>
      <c r="M67">
        <f>VLOOKUP(D67,DROPDOWN!B:C,2,0)</f>
        <v>4</v>
      </c>
      <c r="N67" t="str">
        <f t="shared" si="1"/>
        <v>X81:AP92</v>
      </c>
      <c r="O67" s="4">
        <f t="shared" ca="1" si="2"/>
        <v>153867.69999999998</v>
      </c>
      <c r="X67" s="2" t="s">
        <v>12</v>
      </c>
      <c r="Y67" s="141">
        <v>22238.699999999997</v>
      </c>
      <c r="Z67" s="141">
        <v>26682.3</v>
      </c>
      <c r="AA67" s="141">
        <v>32124.1</v>
      </c>
      <c r="AB67" s="141">
        <v>35048.549999999996</v>
      </c>
      <c r="AC67" s="141">
        <v>37733.799999999996</v>
      </c>
      <c r="AD67" s="141">
        <v>48078.049999999996</v>
      </c>
      <c r="AE67" s="141">
        <v>52460.7</v>
      </c>
      <c r="AF67" s="141">
        <v>56233.85</v>
      </c>
      <c r="AG67" s="141">
        <v>62745.149999999994</v>
      </c>
      <c r="AH67" s="141">
        <v>77915.95</v>
      </c>
      <c r="AI67" s="141">
        <v>137106.44999999998</v>
      </c>
      <c r="AJ67" s="141">
        <v>170525.44999999998</v>
      </c>
      <c r="AK67" s="141">
        <v>208335.15</v>
      </c>
      <c r="AL67" s="141">
        <v>288502.8</v>
      </c>
      <c r="AM67" s="141">
        <v>347612.8</v>
      </c>
      <c r="AN67" s="141">
        <v>412813.19999999995</v>
      </c>
      <c r="AO67" s="141">
        <v>488295.74999999994</v>
      </c>
      <c r="AP67" s="141">
        <v>661849.14999999991</v>
      </c>
      <c r="AT67" s="1"/>
      <c r="AU67" s="2" t="s">
        <v>12</v>
      </c>
      <c r="AV67" s="141">
        <v>19731.375</v>
      </c>
      <c r="AW67" s="141">
        <v>23666.625</v>
      </c>
      <c r="AX67" s="141">
        <v>28506.375</v>
      </c>
      <c r="AY67" s="141">
        <v>31095</v>
      </c>
      <c r="AZ67" s="141">
        <v>33473.25</v>
      </c>
      <c r="BA67" s="141">
        <v>42654.375</v>
      </c>
      <c r="BB67" s="141">
        <v>46534.5</v>
      </c>
      <c r="BC67" s="141">
        <v>49875.75</v>
      </c>
      <c r="BD67" s="141">
        <v>55642.5</v>
      </c>
      <c r="BE67" s="141">
        <v>69076.125</v>
      </c>
      <c r="BF67" s="141">
        <v>121491</v>
      </c>
      <c r="BG67" s="141">
        <v>151084.125</v>
      </c>
      <c r="BH67" s="141">
        <v>184566.375</v>
      </c>
      <c r="BI67" s="141">
        <v>256404.375</v>
      </c>
      <c r="BJ67" s="141">
        <v>308747.25</v>
      </c>
      <c r="BK67" s="141">
        <v>366484.5</v>
      </c>
      <c r="BL67" s="141">
        <v>433327.5</v>
      </c>
      <c r="BM67" s="141">
        <v>587013.75</v>
      </c>
      <c r="BQ67" s="1"/>
      <c r="BR67" s="2" t="s">
        <v>12</v>
      </c>
      <c r="BS67" s="141">
        <v>18203.900000000001</v>
      </c>
      <c r="BT67" s="141">
        <v>21829.5</v>
      </c>
      <c r="BU67" s="141">
        <v>26299.9</v>
      </c>
      <c r="BV67" s="141">
        <v>28685.800000000003</v>
      </c>
      <c r="BW67" s="141">
        <v>30877.000000000004</v>
      </c>
      <c r="BX67" s="141">
        <v>39348.100000000006</v>
      </c>
      <c r="BY67" s="141">
        <v>42924.200000000004</v>
      </c>
      <c r="BZ67" s="141">
        <v>46003.100000000006</v>
      </c>
      <c r="CA67" s="141">
        <v>51317.200000000004</v>
      </c>
      <c r="CB67" s="141">
        <v>63696.600000000006</v>
      </c>
      <c r="CC67" s="141">
        <v>111997.6</v>
      </c>
      <c r="CD67" s="141">
        <v>139268.80000000002</v>
      </c>
      <c r="CE67" s="141">
        <v>170122.7</v>
      </c>
      <c r="CF67" s="141">
        <v>236769.50000000003</v>
      </c>
      <c r="CG67" s="141">
        <v>285004.5</v>
      </c>
      <c r="CH67" s="141">
        <v>338210.4</v>
      </c>
      <c r="CI67" s="141">
        <v>399807.10000000003</v>
      </c>
      <c r="CJ67" s="141">
        <v>541432.10000000009</v>
      </c>
      <c r="CN67" s="1"/>
      <c r="CO67" s="2" t="s">
        <v>12</v>
      </c>
      <c r="CP67" s="141">
        <v>16758.75</v>
      </c>
      <c r="CQ67" s="141">
        <v>20093.060000000001</v>
      </c>
      <c r="CR67" s="141">
        <v>24215.440000000002</v>
      </c>
      <c r="CS67" s="141">
        <v>26408.52</v>
      </c>
      <c r="CT67" s="141">
        <v>28423.93</v>
      </c>
      <c r="CU67" s="141">
        <v>36223.97</v>
      </c>
      <c r="CV67" s="141">
        <v>39512.5</v>
      </c>
      <c r="CW67" s="141">
        <v>42343.23</v>
      </c>
      <c r="CX67" s="141">
        <v>47229.700000000004</v>
      </c>
      <c r="CY67" s="141">
        <v>58613.66</v>
      </c>
      <c r="CZ67" s="141">
        <v>103026.8</v>
      </c>
      <c r="DA67" s="141">
        <v>128103.34000000001</v>
      </c>
      <c r="DB67" s="141">
        <v>156473.86000000002</v>
      </c>
      <c r="DC67" s="141">
        <v>218208.19</v>
      </c>
      <c r="DD67" s="141">
        <v>262562.47000000003</v>
      </c>
      <c r="DE67" s="141">
        <v>311487.12</v>
      </c>
      <c r="DF67" s="141">
        <v>368126.79000000004</v>
      </c>
      <c r="DG67" s="141">
        <v>498354.54000000004</v>
      </c>
    </row>
    <row r="68" spans="1:111">
      <c r="A68" s="2" t="s">
        <v>20</v>
      </c>
      <c r="B68" t="s">
        <v>43</v>
      </c>
      <c r="C68" t="s">
        <v>44</v>
      </c>
      <c r="D68">
        <v>5</v>
      </c>
      <c r="E68" t="s">
        <v>46</v>
      </c>
      <c r="F68">
        <v>2</v>
      </c>
      <c r="G68">
        <v>2</v>
      </c>
      <c r="H68">
        <v>0</v>
      </c>
      <c r="I68">
        <v>1</v>
      </c>
      <c r="J68" s="4" t="s">
        <v>52</v>
      </c>
      <c r="K68" t="str">
        <f t="shared" ref="K68:K131" si="5">G68&amp;"+"&amp;H68</f>
        <v>2+0</v>
      </c>
      <c r="L68">
        <f>VLOOKUP(A68,'ZONE 1 PREMIUM'!$A$4:$N$16,14,0)</f>
        <v>11</v>
      </c>
      <c r="M68">
        <f>VLOOKUP(D68,DROPDOWN!B:C,2,0)</f>
        <v>4</v>
      </c>
      <c r="N68" t="str">
        <f t="shared" ref="N68:N113" si="6">VLOOKUP(K68,$AQ$3:$AR$12,2,0)</f>
        <v>X81:AP92</v>
      </c>
      <c r="O68" s="4">
        <f t="shared" ref="O68:O113" ca="1" si="7">INDEX(INDIRECT(N68),L68,M68)</f>
        <v>191587.69999999998</v>
      </c>
      <c r="X68" s="2" t="s">
        <v>13</v>
      </c>
      <c r="Y68" s="141">
        <v>25301.149999999998</v>
      </c>
      <c r="Z68" s="141">
        <v>30562.399999999998</v>
      </c>
      <c r="AA68" s="141">
        <v>37112.799999999996</v>
      </c>
      <c r="AB68" s="141">
        <v>40522.549999999996</v>
      </c>
      <c r="AC68" s="141">
        <v>43659.75</v>
      </c>
      <c r="AD68" s="141">
        <v>55673.799999999996</v>
      </c>
      <c r="AE68" s="141">
        <v>60898.249999999993</v>
      </c>
      <c r="AF68" s="141">
        <v>65429.249999999993</v>
      </c>
      <c r="AG68" s="141">
        <v>73061.799999999988</v>
      </c>
      <c r="AH68" s="141">
        <v>90798.25</v>
      </c>
      <c r="AI68" s="141">
        <v>151142.19999999998</v>
      </c>
      <c r="AJ68" s="141">
        <v>190198.49999999997</v>
      </c>
      <c r="AK68" s="141">
        <v>234465.44999999998</v>
      </c>
      <c r="AL68" s="141">
        <v>317566.75</v>
      </c>
      <c r="AM68" s="141">
        <v>386820.89999999997</v>
      </c>
      <c r="AN68" s="141">
        <v>463515.55</v>
      </c>
      <c r="AO68" s="141">
        <v>552523.25</v>
      </c>
      <c r="AP68" s="141">
        <v>756866.74999999988</v>
      </c>
      <c r="AT68" s="1"/>
      <c r="AU68" s="2" t="s">
        <v>13</v>
      </c>
      <c r="AV68" s="141">
        <v>22444.875</v>
      </c>
      <c r="AW68" s="141">
        <v>27103.5</v>
      </c>
      <c r="AX68" s="141">
        <v>32926.5</v>
      </c>
      <c r="AY68" s="141">
        <v>35946</v>
      </c>
      <c r="AZ68" s="141">
        <v>38724.75</v>
      </c>
      <c r="BA68" s="141">
        <v>49385.25</v>
      </c>
      <c r="BB68" s="141">
        <v>54012.375</v>
      </c>
      <c r="BC68" s="141">
        <v>58025.25</v>
      </c>
      <c r="BD68" s="141">
        <v>64783.125</v>
      </c>
      <c r="BE68" s="141">
        <v>80489.25</v>
      </c>
      <c r="BF68" s="141">
        <v>133925.625</v>
      </c>
      <c r="BG68" s="141">
        <v>168511.5</v>
      </c>
      <c r="BH68" s="141">
        <v>207711</v>
      </c>
      <c r="BI68" s="141">
        <v>281945.25</v>
      </c>
      <c r="BJ68" s="141">
        <v>343271.25</v>
      </c>
      <c r="BK68" s="141">
        <v>411187.5</v>
      </c>
      <c r="BL68" s="141">
        <v>490006.125</v>
      </c>
      <c r="BM68" s="141">
        <v>670959</v>
      </c>
      <c r="BQ68" s="1"/>
      <c r="BR68" s="2" t="s">
        <v>13</v>
      </c>
      <c r="BS68" s="141">
        <v>20703.100000000002</v>
      </c>
      <c r="BT68" s="141">
        <v>24996.400000000001</v>
      </c>
      <c r="BU68" s="141">
        <v>30375.4</v>
      </c>
      <c r="BV68" s="141">
        <v>33158.400000000001</v>
      </c>
      <c r="BW68" s="141">
        <v>35718.100000000006</v>
      </c>
      <c r="BX68" s="141">
        <v>45554.3</v>
      </c>
      <c r="BY68" s="141">
        <v>49817.9</v>
      </c>
      <c r="BZ68" s="141">
        <v>53516.100000000006</v>
      </c>
      <c r="CA68" s="141">
        <v>59744.3</v>
      </c>
      <c r="CB68" s="141">
        <v>74217</v>
      </c>
      <c r="CC68" s="141">
        <v>123459.6</v>
      </c>
      <c r="CD68" s="141">
        <v>155332.1</v>
      </c>
      <c r="CE68" s="141">
        <v>191455.00000000003</v>
      </c>
      <c r="CF68" s="141">
        <v>260201.7</v>
      </c>
      <c r="CG68" s="141">
        <v>316715.30000000005</v>
      </c>
      <c r="CH68" s="141">
        <v>379300.9</v>
      </c>
      <c r="CI68" s="141">
        <v>451933.9</v>
      </c>
      <c r="CJ68" s="141">
        <v>618686.20000000007</v>
      </c>
      <c r="CN68" s="1"/>
      <c r="CO68" s="2" t="s">
        <v>13</v>
      </c>
      <c r="CP68" s="141">
        <v>19058.650000000001</v>
      </c>
      <c r="CQ68" s="141">
        <v>23006.63</v>
      </c>
      <c r="CR68" s="141">
        <v>27963.95</v>
      </c>
      <c r="CS68" s="141">
        <v>30523.27</v>
      </c>
      <c r="CT68" s="141">
        <v>32876.58</v>
      </c>
      <c r="CU68" s="141">
        <v>41934.480000000003</v>
      </c>
      <c r="CV68" s="141">
        <v>45854.12</v>
      </c>
      <c r="CW68" s="141">
        <v>49254.920000000006</v>
      </c>
      <c r="CX68" s="141">
        <v>54981.780000000006</v>
      </c>
      <c r="CY68" s="141">
        <v>68289.590000000011</v>
      </c>
      <c r="CZ68" s="141">
        <v>113570.37000000001</v>
      </c>
      <c r="DA68" s="141">
        <v>142877.20000000001</v>
      </c>
      <c r="DB68" s="141">
        <v>176092.77000000002</v>
      </c>
      <c r="DC68" s="141">
        <v>239651.76</v>
      </c>
      <c r="DD68" s="141">
        <v>291616.42000000004</v>
      </c>
      <c r="DE68" s="141">
        <v>349166.24000000005</v>
      </c>
      <c r="DF68" s="141">
        <v>415953.81000000006</v>
      </c>
      <c r="DG68" s="141">
        <v>569286.29</v>
      </c>
    </row>
    <row r="69" spans="1:111">
      <c r="A69" s="2" t="s">
        <v>21</v>
      </c>
      <c r="B69" t="s">
        <v>22</v>
      </c>
      <c r="D69">
        <v>5</v>
      </c>
      <c r="E69" t="s">
        <v>46</v>
      </c>
      <c r="F69">
        <v>2</v>
      </c>
      <c r="G69">
        <v>2</v>
      </c>
      <c r="H69">
        <v>0</v>
      </c>
      <c r="I69">
        <v>1</v>
      </c>
      <c r="J69" s="4" t="s">
        <v>52</v>
      </c>
      <c r="K69" t="str">
        <f t="shared" si="5"/>
        <v>2+0</v>
      </c>
      <c r="L69">
        <f>VLOOKUP(A69,'ZONE 1 PREMIUM'!$A$4:$N$16,14,0)</f>
        <v>12</v>
      </c>
      <c r="M69">
        <f>VLOOKUP(D69,DROPDOWN!B:C,2,0)</f>
        <v>4</v>
      </c>
      <c r="N69" t="str">
        <f t="shared" si="6"/>
        <v>X81:AP92</v>
      </c>
      <c r="O69" s="4">
        <f t="shared" ca="1" si="7"/>
        <v>244326.69999999998</v>
      </c>
      <c r="X69" s="2" t="s">
        <v>14</v>
      </c>
      <c r="Y69" s="141">
        <v>27609.199999999997</v>
      </c>
      <c r="Z69" s="141">
        <v>33502.949999999997</v>
      </c>
      <c r="AA69" s="141">
        <v>40958.399999999994</v>
      </c>
      <c r="AB69" s="141">
        <v>44756.85</v>
      </c>
      <c r="AC69" s="141">
        <v>48257.45</v>
      </c>
      <c r="AD69" s="141">
        <v>61543.399999999994</v>
      </c>
      <c r="AE69" s="141">
        <v>67348.599999999991</v>
      </c>
      <c r="AF69" s="141">
        <v>72369.5</v>
      </c>
      <c r="AG69" s="141">
        <v>80872.599999999991</v>
      </c>
      <c r="AH69" s="141">
        <v>100580.15</v>
      </c>
      <c r="AI69" s="141">
        <v>165880.59999999998</v>
      </c>
      <c r="AJ69" s="141">
        <v>209502.4</v>
      </c>
      <c r="AK69" s="141">
        <v>259035.19999999998</v>
      </c>
      <c r="AL69" s="141">
        <v>338448.44999999995</v>
      </c>
      <c r="AM69" s="141">
        <v>415513.39999999997</v>
      </c>
      <c r="AN69" s="141">
        <v>501148.14999999997</v>
      </c>
      <c r="AO69" s="141">
        <v>600738.14999999991</v>
      </c>
      <c r="AP69" s="141">
        <v>829056.85</v>
      </c>
      <c r="AT69" s="1"/>
      <c r="AU69" s="2" t="s">
        <v>14</v>
      </c>
      <c r="AV69" s="141">
        <v>24489</v>
      </c>
      <c r="AW69" s="141">
        <v>29707.875</v>
      </c>
      <c r="AX69" s="141">
        <v>36334.125</v>
      </c>
      <c r="AY69" s="141">
        <v>39697.875</v>
      </c>
      <c r="AZ69" s="141">
        <v>42798.375</v>
      </c>
      <c r="BA69" s="141">
        <v>54588.375</v>
      </c>
      <c r="BB69" s="141">
        <v>59728.5</v>
      </c>
      <c r="BC69" s="141">
        <v>64174.5</v>
      </c>
      <c r="BD69" s="141">
        <v>71704.125</v>
      </c>
      <c r="BE69" s="141">
        <v>89156.25</v>
      </c>
      <c r="BF69" s="141">
        <v>146981.25</v>
      </c>
      <c r="BG69" s="141">
        <v>185610.375</v>
      </c>
      <c r="BH69" s="141">
        <v>229473</v>
      </c>
      <c r="BI69" s="141">
        <v>300208.5</v>
      </c>
      <c r="BJ69" s="141">
        <v>368451</v>
      </c>
      <c r="BK69" s="141">
        <v>444283.875</v>
      </c>
      <c r="BL69" s="141">
        <v>532473.75</v>
      </c>
      <c r="BM69" s="141">
        <v>734656.5</v>
      </c>
      <c r="BQ69" s="1"/>
      <c r="BR69" s="2" t="s">
        <v>14</v>
      </c>
      <c r="BS69" s="141">
        <v>22588.500000000004</v>
      </c>
      <c r="BT69" s="141">
        <v>27397.7</v>
      </c>
      <c r="BU69" s="141">
        <v>33517</v>
      </c>
      <c r="BV69" s="141">
        <v>36616.800000000003</v>
      </c>
      <c r="BW69" s="141">
        <v>39473.5</v>
      </c>
      <c r="BX69" s="141">
        <v>50351.4</v>
      </c>
      <c r="BY69" s="141">
        <v>55088.000000000007</v>
      </c>
      <c r="BZ69" s="141">
        <v>59185.500000000007</v>
      </c>
      <c r="CA69" s="141">
        <v>66124.3</v>
      </c>
      <c r="CB69" s="141">
        <v>82206.3</v>
      </c>
      <c r="CC69" s="141">
        <v>135493.6</v>
      </c>
      <c r="CD69" s="141">
        <v>171090.7</v>
      </c>
      <c r="CE69" s="141">
        <v>211510.2</v>
      </c>
      <c r="CF69" s="141">
        <v>276912.90000000002</v>
      </c>
      <c r="CG69" s="141">
        <v>339798.80000000005</v>
      </c>
      <c r="CH69" s="141">
        <v>409679.60000000003</v>
      </c>
      <c r="CI69" s="141">
        <v>490948.7</v>
      </c>
      <c r="CJ69" s="141">
        <v>677264.5</v>
      </c>
      <c r="CN69" s="1"/>
      <c r="CO69" s="2" t="s">
        <v>14</v>
      </c>
      <c r="CP69" s="141">
        <v>20791.75</v>
      </c>
      <c r="CQ69" s="141">
        <v>25213.88</v>
      </c>
      <c r="CR69" s="141">
        <v>30854.63</v>
      </c>
      <c r="CS69" s="141">
        <v>33704.980000000003</v>
      </c>
      <c r="CT69" s="141">
        <v>36331.880000000005</v>
      </c>
      <c r="CU69" s="141">
        <v>46346.8</v>
      </c>
      <c r="CV69" s="141">
        <v>50702.44</v>
      </c>
      <c r="CW69" s="141">
        <v>54470.570000000007</v>
      </c>
      <c r="CX69" s="141">
        <v>60850.340000000004</v>
      </c>
      <c r="CY69" s="141">
        <v>75638.37000000001</v>
      </c>
      <c r="CZ69" s="141">
        <v>124637.14000000001</v>
      </c>
      <c r="DA69" s="141">
        <v>157369.84000000003</v>
      </c>
      <c r="DB69" s="141">
        <v>194536.66</v>
      </c>
      <c r="DC69" s="141">
        <v>254895.41000000003</v>
      </c>
      <c r="DD69" s="141">
        <v>312721</v>
      </c>
      <c r="DE69" s="141">
        <v>376978.68000000005</v>
      </c>
      <c r="DF69" s="141">
        <v>451706.9</v>
      </c>
      <c r="DG69" s="141">
        <v>623028.74</v>
      </c>
    </row>
    <row r="70" spans="1:111">
      <c r="A70" s="2" t="s">
        <v>11</v>
      </c>
      <c r="B70" t="s">
        <v>45</v>
      </c>
      <c r="C70" t="s">
        <v>25</v>
      </c>
      <c r="D70">
        <v>5</v>
      </c>
      <c r="E70" t="s">
        <v>46</v>
      </c>
      <c r="F70">
        <v>3</v>
      </c>
      <c r="G70">
        <v>2</v>
      </c>
      <c r="H70">
        <v>1</v>
      </c>
      <c r="I70">
        <v>1</v>
      </c>
      <c r="J70" s="4" t="s">
        <v>52</v>
      </c>
      <c r="K70" t="str">
        <f t="shared" si="5"/>
        <v>2+1</v>
      </c>
      <c r="L70">
        <f>VLOOKUP(A70,'ZONE 1 PREMIUM'!$A$4:$N$16,14,0)</f>
        <v>2</v>
      </c>
      <c r="M70">
        <f>VLOOKUP(D70,DROPDOWN!B:C,2,0)</f>
        <v>4</v>
      </c>
      <c r="N70" t="str">
        <f t="shared" si="6"/>
        <v>X98:AP109</v>
      </c>
      <c r="O70" s="4">
        <f t="shared" ca="1" si="7"/>
        <v>27904.749999999996</v>
      </c>
      <c r="T70">
        <f ca="1">R71*T12*S17*S27</f>
        <v>149487.63580000002</v>
      </c>
      <c r="U70">
        <f ca="1">S71*U12*S17*S27</f>
        <v>149487.63580000002</v>
      </c>
      <c r="X70" s="2" t="s">
        <v>15</v>
      </c>
      <c r="Y70" s="141">
        <v>32947.5</v>
      </c>
      <c r="Z70" s="141">
        <v>40113.149999999994</v>
      </c>
      <c r="AA70" s="141">
        <v>49339.6</v>
      </c>
      <c r="AB70" s="141">
        <v>55701.399999999994</v>
      </c>
      <c r="AC70" s="141">
        <v>60101.299999999996</v>
      </c>
      <c r="AD70" s="141">
        <v>74704</v>
      </c>
      <c r="AE70" s="141">
        <v>81867.349999999991</v>
      </c>
      <c r="AF70" s="141">
        <v>88096.9</v>
      </c>
      <c r="AG70" s="141">
        <v>98507.849999999991</v>
      </c>
      <c r="AH70" s="141">
        <v>122575.04999999999</v>
      </c>
      <c r="AI70" s="141">
        <v>199135.15</v>
      </c>
      <c r="AJ70" s="141">
        <v>252761.94999999998</v>
      </c>
      <c r="AK70" s="141">
        <v>313803.94999999995</v>
      </c>
      <c r="AL70" s="141">
        <v>395836.89999999997</v>
      </c>
      <c r="AM70" s="141">
        <v>489807.99999999994</v>
      </c>
      <c r="AN70" s="141">
        <v>594552.29999999993</v>
      </c>
      <c r="AO70" s="141">
        <v>716605.25</v>
      </c>
      <c r="AP70" s="141">
        <v>996026.49999999988</v>
      </c>
      <c r="AT70" s="1"/>
      <c r="AU70" s="2" t="s">
        <v>15</v>
      </c>
      <c r="AV70" s="141">
        <v>29224.125</v>
      </c>
      <c r="AW70" s="141">
        <v>35570.25</v>
      </c>
      <c r="AX70" s="141">
        <v>43772.625</v>
      </c>
      <c r="AY70" s="141">
        <v>49405.5</v>
      </c>
      <c r="AZ70" s="141">
        <v>53302.5</v>
      </c>
      <c r="BA70" s="141">
        <v>66265.875</v>
      </c>
      <c r="BB70" s="141">
        <v>72609.75</v>
      </c>
      <c r="BC70" s="141">
        <v>78125.625</v>
      </c>
      <c r="BD70" s="141">
        <v>87345</v>
      </c>
      <c r="BE70" s="141">
        <v>108657</v>
      </c>
      <c r="BF70" s="141">
        <v>176452.875</v>
      </c>
      <c r="BG70" s="141">
        <v>223941.375</v>
      </c>
      <c r="BH70" s="141">
        <v>277996.5</v>
      </c>
      <c r="BI70" s="141">
        <v>350933.625</v>
      </c>
      <c r="BJ70" s="141">
        <v>434147.625</v>
      </c>
      <c r="BK70" s="141">
        <v>526901.625</v>
      </c>
      <c r="BL70" s="141">
        <v>634983.75</v>
      </c>
      <c r="BM70" s="141">
        <v>882419.625</v>
      </c>
      <c r="BQ70" s="1"/>
      <c r="BR70" s="2" t="s">
        <v>15</v>
      </c>
      <c r="BS70" s="141">
        <v>26955.500000000004</v>
      </c>
      <c r="BT70" s="141">
        <v>32804.200000000004</v>
      </c>
      <c r="BU70" s="141">
        <v>40379.9</v>
      </c>
      <c r="BV70" s="141">
        <v>45570.8</v>
      </c>
      <c r="BW70" s="141">
        <v>49162.3</v>
      </c>
      <c r="BX70" s="141">
        <v>61125.9</v>
      </c>
      <c r="BY70" s="141">
        <v>66971.3</v>
      </c>
      <c r="BZ70" s="141">
        <v>72054.400000000009</v>
      </c>
      <c r="CA70" s="141">
        <v>80549.700000000012</v>
      </c>
      <c r="CB70" s="141">
        <v>100190.20000000001</v>
      </c>
      <c r="CC70" s="141">
        <v>162664.70000000001</v>
      </c>
      <c r="CD70" s="141">
        <v>206426.00000000003</v>
      </c>
      <c r="CE70" s="141">
        <v>256238.40000000002</v>
      </c>
      <c r="CF70" s="141">
        <v>323607.90000000002</v>
      </c>
      <c r="CG70" s="141">
        <v>400290.00000000006</v>
      </c>
      <c r="CH70" s="141">
        <v>485765.50000000006</v>
      </c>
      <c r="CI70" s="141">
        <v>585365</v>
      </c>
      <c r="CJ70" s="141">
        <v>813381.8</v>
      </c>
      <c r="CN70" s="1"/>
      <c r="CO70" s="2" t="s">
        <v>15</v>
      </c>
      <c r="CP70" s="141">
        <v>24812.760000000002</v>
      </c>
      <c r="CQ70" s="141">
        <v>30189.730000000003</v>
      </c>
      <c r="CR70" s="141">
        <v>37173.360000000001</v>
      </c>
      <c r="CS70" s="141">
        <v>41946.47</v>
      </c>
      <c r="CT70" s="141">
        <v>45249.170000000006</v>
      </c>
      <c r="CU70" s="141">
        <v>56266.890000000007</v>
      </c>
      <c r="CV70" s="141">
        <v>61641.680000000008</v>
      </c>
      <c r="CW70" s="141">
        <v>66316.69</v>
      </c>
      <c r="CX70" s="141">
        <v>74127.63</v>
      </c>
      <c r="CY70" s="141">
        <v>92187.840000000011</v>
      </c>
      <c r="CZ70" s="141">
        <v>149635.20000000001</v>
      </c>
      <c r="DA70" s="141">
        <v>189874.73</v>
      </c>
      <c r="DB70" s="141">
        <v>235678.71000000002</v>
      </c>
      <c r="DC70" s="141">
        <v>297782.55000000005</v>
      </c>
      <c r="DD70" s="141">
        <v>368294.65</v>
      </c>
      <c r="DE70" s="141">
        <v>446891.28</v>
      </c>
      <c r="DF70" s="141">
        <v>538475.26</v>
      </c>
      <c r="DG70" s="141">
        <v>748142.21000000008</v>
      </c>
    </row>
    <row r="71" spans="1:111">
      <c r="A71" s="2" t="s">
        <v>12</v>
      </c>
      <c r="B71" t="s">
        <v>27</v>
      </c>
      <c r="C71" t="s">
        <v>28</v>
      </c>
      <c r="D71">
        <v>5</v>
      </c>
      <c r="E71" t="s">
        <v>46</v>
      </c>
      <c r="F71">
        <v>3</v>
      </c>
      <c r="G71">
        <v>2</v>
      </c>
      <c r="H71">
        <v>1</v>
      </c>
      <c r="I71">
        <v>1</v>
      </c>
      <c r="J71" s="4" t="s">
        <v>52</v>
      </c>
      <c r="K71" t="str">
        <f t="shared" si="5"/>
        <v>2+1</v>
      </c>
      <c r="L71">
        <f>VLOOKUP(A71,'ZONE 1 PREMIUM'!$A$4:$N$16,14,0)</f>
        <v>3</v>
      </c>
      <c r="M71">
        <f>VLOOKUP(D71,DROPDOWN!B:C,2,0)</f>
        <v>4</v>
      </c>
      <c r="N71" t="str">
        <f t="shared" si="6"/>
        <v>X98:AP109</v>
      </c>
      <c r="O71" s="4">
        <f t="shared" ca="1" si="7"/>
        <v>31052.3</v>
      </c>
      <c r="R71">
        <f ca="1">IF('CALCULATOR CARE V6'!B7='CARE SENIOR'!AP12,'CARE SENIOR'!AR12,'CARE SHEET'!S10)*'CALCULATOR CARE V6'!N3</f>
        <v>186859.54475000003</v>
      </c>
      <c r="S71">
        <f ca="1">IF('CALCULATOR CARE V6'!B7='CARE SENIOR'!AP12,'CARE SENIOR'!AS12,'CARE SHEET'!T10)*'CALCULATOR CARE V6'!N3</f>
        <v>186859.54475000003</v>
      </c>
      <c r="T71" s="90">
        <v>8.5000000000000006E-2</v>
      </c>
      <c r="X71" s="2" t="s">
        <v>16</v>
      </c>
      <c r="Y71" s="141">
        <v>39830.25</v>
      </c>
      <c r="Z71" s="141">
        <v>48662.249999999993</v>
      </c>
      <c r="AA71" s="141">
        <v>59981.7</v>
      </c>
      <c r="AB71" s="141">
        <v>67852.299999999988</v>
      </c>
      <c r="AC71" s="141">
        <v>73269.95</v>
      </c>
      <c r="AD71" s="141">
        <v>90983.4</v>
      </c>
      <c r="AE71" s="141">
        <v>99880.95</v>
      </c>
      <c r="AF71" s="141">
        <v>107656.09999999999</v>
      </c>
      <c r="AG71" s="141">
        <v>120475.15</v>
      </c>
      <c r="AH71" s="141">
        <v>150052</v>
      </c>
      <c r="AI71" s="141">
        <v>249429.24999999997</v>
      </c>
      <c r="AJ71" s="141">
        <v>315670.39999999997</v>
      </c>
      <c r="AK71" s="141">
        <v>391200.1</v>
      </c>
      <c r="AL71" s="141">
        <v>486431.6</v>
      </c>
      <c r="AM71" s="141">
        <v>602900.14999999991</v>
      </c>
      <c r="AN71" s="141">
        <v>732914.54999999993</v>
      </c>
      <c r="AO71" s="141">
        <v>884582.29999999993</v>
      </c>
      <c r="AP71" s="141">
        <v>1231395.8499999999</v>
      </c>
      <c r="AT71" s="1"/>
      <c r="AU71" s="2" t="s">
        <v>16</v>
      </c>
      <c r="AV71" s="141">
        <v>35318.25</v>
      </c>
      <c r="AW71" s="141">
        <v>43139.25</v>
      </c>
      <c r="AX71" s="141">
        <v>53196.75</v>
      </c>
      <c r="AY71" s="141">
        <v>60167.25</v>
      </c>
      <c r="AZ71" s="141">
        <v>64965.375</v>
      </c>
      <c r="BA71" s="141">
        <v>80685</v>
      </c>
      <c r="BB71" s="141">
        <v>88564.5</v>
      </c>
      <c r="BC71" s="141">
        <v>95448.375</v>
      </c>
      <c r="BD71" s="141">
        <v>106800.75</v>
      </c>
      <c r="BE71" s="141">
        <v>132993</v>
      </c>
      <c r="BF71" s="141">
        <v>220993.875</v>
      </c>
      <c r="BG71" s="141">
        <v>279652.5</v>
      </c>
      <c r="BH71" s="141">
        <v>346536</v>
      </c>
      <c r="BI71" s="141">
        <v>431114.625</v>
      </c>
      <c r="BJ71" s="141">
        <v>534250.125</v>
      </c>
      <c r="BK71" s="141">
        <v>649382.625</v>
      </c>
      <c r="BL71" s="141">
        <v>783688.5</v>
      </c>
      <c r="BM71" s="141">
        <v>1090802.25</v>
      </c>
      <c r="BQ71" s="1"/>
      <c r="BR71" s="2" t="s">
        <v>16</v>
      </c>
      <c r="BS71" s="141">
        <v>32571.000000000004</v>
      </c>
      <c r="BT71" s="141">
        <v>39778.200000000004</v>
      </c>
      <c r="BU71" s="141">
        <v>49065.500000000007</v>
      </c>
      <c r="BV71" s="141">
        <v>55488.4</v>
      </c>
      <c r="BW71" s="141">
        <v>59909.3</v>
      </c>
      <c r="BX71" s="141">
        <v>74415</v>
      </c>
      <c r="BY71" s="141">
        <v>81675</v>
      </c>
      <c r="BZ71" s="141">
        <v>88019.8</v>
      </c>
      <c r="CA71" s="141">
        <v>98480.8</v>
      </c>
      <c r="CB71" s="141">
        <v>122617.00000000001</v>
      </c>
      <c r="CC71" s="141">
        <v>203711.2</v>
      </c>
      <c r="CD71" s="141">
        <v>257766.30000000002</v>
      </c>
      <c r="CE71" s="141">
        <v>319400.40000000002</v>
      </c>
      <c r="CF71" s="141">
        <v>397471.80000000005</v>
      </c>
      <c r="CG71" s="141">
        <v>492514.00000000006</v>
      </c>
      <c r="CH71" s="141">
        <v>598610.10000000009</v>
      </c>
      <c r="CI71" s="141">
        <v>722375.50000000012</v>
      </c>
      <c r="CJ71" s="141">
        <v>1005386.8</v>
      </c>
      <c r="CN71" s="1"/>
      <c r="CO71" s="2" t="s">
        <v>16</v>
      </c>
      <c r="CP71" s="141">
        <v>29975.000000000004</v>
      </c>
      <c r="CQ71" s="141">
        <v>36602.200000000004</v>
      </c>
      <c r="CR71" s="141">
        <v>45159.79</v>
      </c>
      <c r="CS71" s="141">
        <v>51066.500000000007</v>
      </c>
      <c r="CT71" s="141">
        <v>55132.200000000004</v>
      </c>
      <c r="CU71" s="141">
        <v>68487.97</v>
      </c>
      <c r="CV71" s="141">
        <v>75164.22</v>
      </c>
      <c r="CW71" s="141">
        <v>80997.900000000009</v>
      </c>
      <c r="CX71" s="141">
        <v>90617.150000000009</v>
      </c>
      <c r="CY71" s="141">
        <v>112810.64000000001</v>
      </c>
      <c r="CZ71" s="141">
        <v>187379.72</v>
      </c>
      <c r="DA71" s="141">
        <v>237084.81000000003</v>
      </c>
      <c r="DB71" s="141">
        <v>293759.36000000004</v>
      </c>
      <c r="DC71" s="141">
        <v>365678.65</v>
      </c>
      <c r="DD71" s="141">
        <v>453072.67000000004</v>
      </c>
      <c r="DE71" s="141">
        <v>550630.94000000006</v>
      </c>
      <c r="DF71" s="141">
        <v>664435.66</v>
      </c>
      <c r="DG71" s="141">
        <v>924672.07000000007</v>
      </c>
    </row>
    <row r="72" spans="1:111">
      <c r="A72" s="2" t="s">
        <v>13</v>
      </c>
      <c r="B72" t="s">
        <v>29</v>
      </c>
      <c r="C72" t="s">
        <v>30</v>
      </c>
      <c r="D72">
        <v>5</v>
      </c>
      <c r="E72" t="s">
        <v>46</v>
      </c>
      <c r="F72">
        <v>3</v>
      </c>
      <c r="G72">
        <v>2</v>
      </c>
      <c r="H72">
        <v>1</v>
      </c>
      <c r="I72">
        <v>1</v>
      </c>
      <c r="J72" s="4" t="s">
        <v>52</v>
      </c>
      <c r="K72" t="str">
        <f t="shared" si="5"/>
        <v>2+1</v>
      </c>
      <c r="L72">
        <f>VLOOKUP(A72,'ZONE 1 PREMIUM'!$A$4:$N$16,14,0)</f>
        <v>4</v>
      </c>
      <c r="M72">
        <f>VLOOKUP(D72,DROPDOWN!B:C,2,0)</f>
        <v>4</v>
      </c>
      <c r="N72" t="str">
        <f t="shared" si="6"/>
        <v>X98:AP109</v>
      </c>
      <c r="O72" s="4">
        <f t="shared" ca="1" si="7"/>
        <v>34685.149999999994</v>
      </c>
      <c r="R72">
        <f ca="1">R71*T12*S13*U14*S15*T16*S17*S27+R18+T72+R20+R21+R22+R23+R24+R25+R26+R77+R79+R30+R32</f>
        <v>196386.14263972142</v>
      </c>
      <c r="S72">
        <f ca="1">S71*U12*S13*V14*S15*U16*S17*S27+R18+U72+R20+R21+R22+R23+R24+R25+R26+S77+S79+R30+R32</f>
        <v>196386.14263972142</v>
      </c>
      <c r="T72">
        <f ca="1">IF('CALCULATOR CARE V6'!B19="YES",T70*T71,0)</f>
        <v>12706.449043000002</v>
      </c>
      <c r="U72">
        <f ca="1">IF('CALCULATOR CARE V6'!B19="YES",U70*T71,0)</f>
        <v>12706.449043000002</v>
      </c>
      <c r="X72" s="2" t="s">
        <v>17</v>
      </c>
      <c r="Y72" s="141">
        <v>48640.399999999994</v>
      </c>
      <c r="Z72" s="141">
        <v>59459.6</v>
      </c>
      <c r="AA72" s="141">
        <v>73499.95</v>
      </c>
      <c r="AB72" s="141">
        <v>81842.049999999988</v>
      </c>
      <c r="AC72" s="141">
        <v>88452.25</v>
      </c>
      <c r="AD72" s="141">
        <v>110044.65</v>
      </c>
      <c r="AE72" s="141">
        <v>120870.74999999999</v>
      </c>
      <c r="AF72" s="141">
        <v>129502.65</v>
      </c>
      <c r="AG72" s="141">
        <v>145046.04999999999</v>
      </c>
      <c r="AH72" s="141">
        <v>180788.05</v>
      </c>
      <c r="AI72" s="141">
        <v>302711.05</v>
      </c>
      <c r="AJ72" s="141">
        <v>383138.6</v>
      </c>
      <c r="AK72" s="141">
        <v>475135.14999999997</v>
      </c>
      <c r="AL72" s="141">
        <v>584906.1</v>
      </c>
      <c r="AM72" s="141">
        <v>726141.04999999993</v>
      </c>
      <c r="AN72" s="141">
        <v>884160.24999999988</v>
      </c>
      <c r="AO72" s="141">
        <v>1068795.0499999998</v>
      </c>
      <c r="AP72" s="141">
        <v>1490302.25</v>
      </c>
      <c r="AT72" s="1"/>
      <c r="AU72" s="2" t="s">
        <v>17</v>
      </c>
      <c r="AV72" s="141">
        <v>43129.125</v>
      </c>
      <c r="AW72" s="141">
        <v>52709.625</v>
      </c>
      <c r="AX72" s="141">
        <v>65187</v>
      </c>
      <c r="AY72" s="141">
        <v>72573.75</v>
      </c>
      <c r="AZ72" s="141">
        <v>78428.25</v>
      </c>
      <c r="BA72" s="141">
        <v>97591.5</v>
      </c>
      <c r="BB72" s="141">
        <v>107178.75</v>
      </c>
      <c r="BC72" s="141">
        <v>114823.125</v>
      </c>
      <c r="BD72" s="141">
        <v>128586.375</v>
      </c>
      <c r="BE72" s="141">
        <v>160237.125</v>
      </c>
      <c r="BF72" s="141">
        <v>268203.375</v>
      </c>
      <c r="BG72" s="141">
        <v>339423.75</v>
      </c>
      <c r="BH72" s="141">
        <v>420890.625</v>
      </c>
      <c r="BI72" s="141">
        <v>518351.625</v>
      </c>
      <c r="BJ72" s="141">
        <v>643420.125</v>
      </c>
      <c r="BK72" s="141">
        <v>783351</v>
      </c>
      <c r="BL72" s="141">
        <v>946850.625</v>
      </c>
      <c r="BM72" s="141">
        <v>1320107.625</v>
      </c>
      <c r="BQ72" s="1"/>
      <c r="BR72" s="2" t="s">
        <v>17</v>
      </c>
      <c r="BS72" s="141">
        <v>39773.800000000003</v>
      </c>
      <c r="BT72" s="141">
        <v>48603.500000000007</v>
      </c>
      <c r="BU72" s="141">
        <v>60123.8</v>
      </c>
      <c r="BV72" s="141">
        <v>66931.700000000012</v>
      </c>
      <c r="BW72" s="141">
        <v>72326.100000000006</v>
      </c>
      <c r="BX72" s="141">
        <v>90008.6</v>
      </c>
      <c r="BY72" s="141">
        <v>98842.700000000012</v>
      </c>
      <c r="BZ72" s="141">
        <v>105887.1</v>
      </c>
      <c r="CA72" s="141">
        <v>118571.20000000001</v>
      </c>
      <c r="CB72" s="141">
        <v>147737.70000000001</v>
      </c>
      <c r="CC72" s="141">
        <v>247230.50000000003</v>
      </c>
      <c r="CD72" s="141">
        <v>312862</v>
      </c>
      <c r="CE72" s="141">
        <v>387934.80000000005</v>
      </c>
      <c r="CF72" s="141">
        <v>477881.80000000005</v>
      </c>
      <c r="CG72" s="141">
        <v>593135.4</v>
      </c>
      <c r="CH72" s="141">
        <v>722084.00000000012</v>
      </c>
      <c r="CI72" s="141">
        <v>872751.00000000012</v>
      </c>
      <c r="CJ72" s="141">
        <v>1216714.4000000001</v>
      </c>
      <c r="CN72" s="1"/>
      <c r="CO72" s="2" t="s">
        <v>17</v>
      </c>
      <c r="CP72" s="141">
        <v>36603.29</v>
      </c>
      <c r="CQ72" s="141">
        <v>44721.61</v>
      </c>
      <c r="CR72" s="141">
        <v>55339.3</v>
      </c>
      <c r="CS72" s="141">
        <v>61598.080000000002</v>
      </c>
      <c r="CT72" s="141">
        <v>66558.67</v>
      </c>
      <c r="CU72" s="141">
        <v>82841.090000000011</v>
      </c>
      <c r="CV72" s="141">
        <v>90965.950000000012</v>
      </c>
      <c r="CW72" s="141">
        <v>97442.73000000001</v>
      </c>
      <c r="CX72" s="141">
        <v>109105.73000000001</v>
      </c>
      <c r="CY72" s="141">
        <v>135925.18000000002</v>
      </c>
      <c r="CZ72" s="141">
        <v>227411.06000000003</v>
      </c>
      <c r="DA72" s="141">
        <v>287761.09000000003</v>
      </c>
      <c r="DB72" s="141">
        <v>356791.88</v>
      </c>
      <c r="DC72" s="141">
        <v>439637.33</v>
      </c>
      <c r="DD72" s="141">
        <v>545615.85000000009</v>
      </c>
      <c r="DE72" s="141">
        <v>664187.14</v>
      </c>
      <c r="DF72" s="141">
        <v>802729.41</v>
      </c>
      <c r="DG72" s="141">
        <v>1119012.53</v>
      </c>
    </row>
    <row r="73" spans="1:111">
      <c r="A73" s="2" t="s">
        <v>14</v>
      </c>
      <c r="B73" t="s">
        <v>31</v>
      </c>
      <c r="C73" t="s">
        <v>32</v>
      </c>
      <c r="D73">
        <v>5</v>
      </c>
      <c r="E73" t="s">
        <v>46</v>
      </c>
      <c r="F73">
        <v>3</v>
      </c>
      <c r="G73">
        <v>2</v>
      </c>
      <c r="H73">
        <v>1</v>
      </c>
      <c r="I73">
        <v>1</v>
      </c>
      <c r="J73" s="4" t="s">
        <v>52</v>
      </c>
      <c r="K73" t="str">
        <f t="shared" si="5"/>
        <v>2+1</v>
      </c>
      <c r="L73">
        <f>VLOOKUP(A73,'ZONE 1 PREMIUM'!$A$4:$N$16,14,0)</f>
        <v>5</v>
      </c>
      <c r="M73">
        <f>VLOOKUP(D73,DROPDOWN!B:C,2,0)</f>
        <v>4</v>
      </c>
      <c r="N73" t="str">
        <f t="shared" si="6"/>
        <v>X98:AP109</v>
      </c>
      <c r="O73" s="4">
        <f t="shared" ca="1" si="7"/>
        <v>39630.149999999994</v>
      </c>
      <c r="X73" s="2" t="s">
        <v>18</v>
      </c>
      <c r="Y73" s="141">
        <v>60227.799999999996</v>
      </c>
      <c r="Z73" s="141">
        <v>73667.849999999991</v>
      </c>
      <c r="AA73" s="141">
        <v>91234.099999999991</v>
      </c>
      <c r="AB73" s="141">
        <v>104218.74999999999</v>
      </c>
      <c r="AC73" s="141">
        <v>112793.15</v>
      </c>
      <c r="AD73" s="141">
        <v>138569.25</v>
      </c>
      <c r="AE73" s="141">
        <v>152310.59999999998</v>
      </c>
      <c r="AF73" s="141">
        <v>162772.15</v>
      </c>
      <c r="AG73" s="141">
        <v>182567.09999999998</v>
      </c>
      <c r="AH73" s="141">
        <v>227897.8</v>
      </c>
      <c r="AI73" s="141">
        <v>385424.8</v>
      </c>
      <c r="AJ73" s="141">
        <v>488045.05</v>
      </c>
      <c r="AK73" s="141">
        <v>605882.1</v>
      </c>
      <c r="AL73" s="141">
        <v>735077.7</v>
      </c>
      <c r="AM73" s="141">
        <v>914643.29999999993</v>
      </c>
      <c r="AN73" s="141">
        <v>1116125.5999999999</v>
      </c>
      <c r="AO73" s="141">
        <v>1352032</v>
      </c>
      <c r="AP73" s="141">
        <v>1889482.2</v>
      </c>
      <c r="AT73" s="1"/>
      <c r="AU73" s="2" t="s">
        <v>18</v>
      </c>
      <c r="AV73" s="141">
        <v>53391.375</v>
      </c>
      <c r="AW73" s="141">
        <v>65292.75</v>
      </c>
      <c r="AX73" s="141">
        <v>80893.125</v>
      </c>
      <c r="AY73" s="141">
        <v>92391.75</v>
      </c>
      <c r="AZ73" s="141">
        <v>99984.375</v>
      </c>
      <c r="BA73" s="141">
        <v>122854.5</v>
      </c>
      <c r="BB73" s="141">
        <v>135022.5</v>
      </c>
      <c r="BC73" s="141">
        <v>144286.875</v>
      </c>
      <c r="BD73" s="141">
        <v>161815.5</v>
      </c>
      <c r="BE73" s="141">
        <v>201957.75</v>
      </c>
      <c r="BF73" s="141">
        <v>341452.125</v>
      </c>
      <c r="BG73" s="141">
        <v>432326.25</v>
      </c>
      <c r="BH73" s="141">
        <v>536674.5</v>
      </c>
      <c r="BI73" s="141">
        <v>651336.75</v>
      </c>
      <c r="BJ73" s="141">
        <v>810347.625</v>
      </c>
      <c r="BK73" s="141">
        <v>988765.875</v>
      </c>
      <c r="BL73" s="141">
        <v>1197668.25</v>
      </c>
      <c r="BM73" s="141">
        <v>1673596.125</v>
      </c>
      <c r="BQ73" s="1"/>
      <c r="BR73" s="2" t="s">
        <v>18</v>
      </c>
      <c r="BS73" s="141">
        <v>49231.600000000006</v>
      </c>
      <c r="BT73" s="141">
        <v>60198.600000000006</v>
      </c>
      <c r="BU73" s="141">
        <v>74598.700000000012</v>
      </c>
      <c r="BV73" s="141">
        <v>85195</v>
      </c>
      <c r="BW73" s="141">
        <v>92191.000000000015</v>
      </c>
      <c r="BX73" s="141">
        <v>113290.1</v>
      </c>
      <c r="BY73" s="141">
        <v>124503.50000000001</v>
      </c>
      <c r="BZ73" s="141">
        <v>133040.6</v>
      </c>
      <c r="CA73" s="141">
        <v>149194.1</v>
      </c>
      <c r="CB73" s="141">
        <v>186186.00000000003</v>
      </c>
      <c r="CC73" s="141">
        <v>314732</v>
      </c>
      <c r="CD73" s="141">
        <v>398475.00000000006</v>
      </c>
      <c r="CE73" s="141">
        <v>494632.60000000003</v>
      </c>
      <c r="CF73" s="141">
        <v>600431.70000000007</v>
      </c>
      <c r="CG73" s="141">
        <v>746962.70000000007</v>
      </c>
      <c r="CH73" s="141">
        <v>911378.60000000009</v>
      </c>
      <c r="CI73" s="141">
        <v>1103886.3</v>
      </c>
      <c r="CJ73" s="141">
        <v>1542462.9000000001</v>
      </c>
      <c r="CN73" s="1"/>
      <c r="CO73" s="2" t="s">
        <v>18</v>
      </c>
      <c r="CP73" s="141">
        <v>45300.4</v>
      </c>
      <c r="CQ73" s="141">
        <v>55385.08</v>
      </c>
      <c r="CR73" s="141">
        <v>68650.38</v>
      </c>
      <c r="CS73" s="141">
        <v>78393.89</v>
      </c>
      <c r="CT73" s="141">
        <v>84827.07</v>
      </c>
      <c r="CU73" s="141">
        <v>104251.96</v>
      </c>
      <c r="CV73" s="141">
        <v>114563.36000000002</v>
      </c>
      <c r="CW73" s="141">
        <v>122413.54000000001</v>
      </c>
      <c r="CX73" s="141">
        <v>137265.88</v>
      </c>
      <c r="CY73" s="141">
        <v>171280.42</v>
      </c>
      <c r="CZ73" s="141">
        <v>289483.29000000004</v>
      </c>
      <c r="DA73" s="141">
        <v>366485.25</v>
      </c>
      <c r="DB73" s="141">
        <v>454906.05000000005</v>
      </c>
      <c r="DC73" s="141">
        <v>552326.9800000001</v>
      </c>
      <c r="DD73" s="141">
        <v>687065.15</v>
      </c>
      <c r="DE73" s="141">
        <v>838250.33000000007</v>
      </c>
      <c r="DF73" s="141">
        <v>1015266.3300000001</v>
      </c>
      <c r="DG73" s="141">
        <v>1418547.8</v>
      </c>
    </row>
    <row r="74" spans="1:111">
      <c r="A74" s="2" t="s">
        <v>15</v>
      </c>
      <c r="B74" t="s">
        <v>33</v>
      </c>
      <c r="C74" t="s">
        <v>34</v>
      </c>
      <c r="D74">
        <v>5</v>
      </c>
      <c r="E74" t="s">
        <v>46</v>
      </c>
      <c r="F74">
        <v>3</v>
      </c>
      <c r="G74">
        <v>2</v>
      </c>
      <c r="H74">
        <v>1</v>
      </c>
      <c r="I74">
        <v>1</v>
      </c>
      <c r="J74" s="4" t="s">
        <v>52</v>
      </c>
      <c r="K74" t="str">
        <f t="shared" si="5"/>
        <v>2+1</v>
      </c>
      <c r="L74">
        <f>VLOOKUP(A74,'ZONE 1 PREMIUM'!$A$4:$N$16,14,0)</f>
        <v>6</v>
      </c>
      <c r="M74">
        <f>VLOOKUP(D74,DROPDOWN!B:C,2,0)</f>
        <v>4</v>
      </c>
      <c r="N74" t="str">
        <f t="shared" si="6"/>
        <v>X98:AP109</v>
      </c>
      <c r="O74" s="4">
        <f t="shared" ca="1" si="7"/>
        <v>49291.299999999996</v>
      </c>
      <c r="R74">
        <f ca="1">R71*U14*S15*S17*S27</f>
        <v>149487.63580000002</v>
      </c>
      <c r="S74">
        <f ca="1">S71*V14*S15*S17*S27</f>
        <v>149487.63580000002</v>
      </c>
      <c r="X74" s="2" t="s">
        <v>19</v>
      </c>
      <c r="Y74" s="141">
        <v>74303.799999999988</v>
      </c>
      <c r="Z74" s="141">
        <v>90981.099999999991</v>
      </c>
      <c r="AA74" s="141">
        <v>112918.49999999999</v>
      </c>
      <c r="AB74" s="141">
        <v>126343.59999999999</v>
      </c>
      <c r="AC74" s="141">
        <v>136913.25</v>
      </c>
      <c r="AD74" s="141">
        <v>167441.15</v>
      </c>
      <c r="AE74" s="141">
        <v>184270.25</v>
      </c>
      <c r="AF74" s="141">
        <v>199060.4</v>
      </c>
      <c r="AG74" s="141">
        <v>223573.8</v>
      </c>
      <c r="AH74" s="141">
        <v>279481.05</v>
      </c>
      <c r="AI74" s="141">
        <v>467937.3</v>
      </c>
      <c r="AJ74" s="141">
        <v>594640.85</v>
      </c>
      <c r="AK74" s="141">
        <v>740675.89999999991</v>
      </c>
      <c r="AL74" s="141">
        <v>899766.89999999991</v>
      </c>
      <c r="AM74" s="141">
        <v>1122080.2999999998</v>
      </c>
      <c r="AN74" s="141">
        <v>1372229.45</v>
      </c>
      <c r="AO74" s="141">
        <v>1665718.65</v>
      </c>
      <c r="AP74" s="141">
        <v>2332972.7999999998</v>
      </c>
      <c r="AT74" s="1"/>
      <c r="AU74" s="2" t="s">
        <v>19</v>
      </c>
      <c r="AV74" s="141">
        <v>65856.375</v>
      </c>
      <c r="AW74" s="141">
        <v>80624.25</v>
      </c>
      <c r="AX74" s="141">
        <v>100095.75</v>
      </c>
      <c r="AY74" s="141">
        <v>111982.5</v>
      </c>
      <c r="AZ74" s="141">
        <v>121343.625</v>
      </c>
      <c r="BA74" s="141">
        <v>148421.25</v>
      </c>
      <c r="BB74" s="141">
        <v>163326.375</v>
      </c>
      <c r="BC74" s="141">
        <v>176423.625</v>
      </c>
      <c r="BD74" s="141">
        <v>198131.625</v>
      </c>
      <c r="BE74" s="141">
        <v>247638.375</v>
      </c>
      <c r="BF74" s="141">
        <v>414529.875</v>
      </c>
      <c r="BG74" s="141">
        <v>526729.5</v>
      </c>
      <c r="BH74" s="141">
        <v>656047.125</v>
      </c>
      <c r="BI74" s="141">
        <v>797140.125</v>
      </c>
      <c r="BJ74" s="141">
        <v>994003.875</v>
      </c>
      <c r="BK74" s="141">
        <v>1215518.625</v>
      </c>
      <c r="BL74" s="141">
        <v>1475412.75</v>
      </c>
      <c r="BM74" s="141">
        <v>2066286.375</v>
      </c>
      <c r="BQ74" s="1"/>
      <c r="BR74" s="2" t="s">
        <v>19</v>
      </c>
      <c r="BS74" s="141">
        <v>60718.9</v>
      </c>
      <c r="BT74" s="141">
        <v>74328.100000000006</v>
      </c>
      <c r="BU74" s="141">
        <v>92293.3</v>
      </c>
      <c r="BV74" s="141">
        <v>103248.20000000001</v>
      </c>
      <c r="BW74" s="141">
        <v>111874.40000000001</v>
      </c>
      <c r="BX74" s="141">
        <v>136849.90000000002</v>
      </c>
      <c r="BY74" s="141">
        <v>150586.70000000001</v>
      </c>
      <c r="BZ74" s="141">
        <v>162657</v>
      </c>
      <c r="CA74" s="141">
        <v>182660.50000000003</v>
      </c>
      <c r="CB74" s="141">
        <v>228281.90000000002</v>
      </c>
      <c r="CC74" s="141">
        <v>382079.50000000006</v>
      </c>
      <c r="CD74" s="141">
        <v>485474.00000000006</v>
      </c>
      <c r="CE74" s="141">
        <v>604642.5</v>
      </c>
      <c r="CF74" s="141">
        <v>734773.60000000009</v>
      </c>
      <c r="CG74" s="141">
        <v>916187.8</v>
      </c>
      <c r="CH74" s="141">
        <v>1120318.1000000001</v>
      </c>
      <c r="CI74" s="141">
        <v>1359814.5</v>
      </c>
      <c r="CJ74" s="141">
        <v>1904315.6</v>
      </c>
      <c r="CN74" s="1"/>
      <c r="CO74" s="2" t="s">
        <v>19</v>
      </c>
      <c r="CP74" s="141">
        <v>55863.590000000004</v>
      </c>
      <c r="CQ74" s="141">
        <v>68376.790000000008</v>
      </c>
      <c r="CR74" s="141">
        <v>84920.810000000012</v>
      </c>
      <c r="CS74" s="141">
        <v>94993.5</v>
      </c>
      <c r="CT74" s="141">
        <v>102925.43000000001</v>
      </c>
      <c r="CU74" s="141">
        <v>125914.62000000001</v>
      </c>
      <c r="CV74" s="141">
        <v>138548.81</v>
      </c>
      <c r="CW74" s="141">
        <v>149646.1</v>
      </c>
      <c r="CX74" s="141">
        <v>168040.94</v>
      </c>
      <c r="CY74" s="141">
        <v>209990.68000000002</v>
      </c>
      <c r="CZ74" s="141">
        <v>351416</v>
      </c>
      <c r="DA74" s="141">
        <v>446489.07</v>
      </c>
      <c r="DB74" s="141">
        <v>556067.86</v>
      </c>
      <c r="DC74" s="141">
        <v>675839.24000000011</v>
      </c>
      <c r="DD74" s="141">
        <v>842653.93</v>
      </c>
      <c r="DE74" s="141">
        <v>1030356.29</v>
      </c>
      <c r="DF74" s="141">
        <v>1250579.8900000001</v>
      </c>
      <c r="DG74" s="141">
        <v>1751262.6700000002</v>
      </c>
    </row>
    <row r="75" spans="1:111">
      <c r="A75" s="2" t="s">
        <v>16</v>
      </c>
      <c r="B75" t="s">
        <v>35</v>
      </c>
      <c r="C75" t="s">
        <v>36</v>
      </c>
      <c r="D75">
        <v>5</v>
      </c>
      <c r="E75" t="s">
        <v>46</v>
      </c>
      <c r="F75">
        <v>3</v>
      </c>
      <c r="G75">
        <v>2</v>
      </c>
      <c r="H75">
        <v>1</v>
      </c>
      <c r="I75">
        <v>1</v>
      </c>
      <c r="J75" s="4" t="s">
        <v>52</v>
      </c>
      <c r="K75" t="str">
        <f t="shared" si="5"/>
        <v>2+1</v>
      </c>
      <c r="L75">
        <f>VLOOKUP(A75,'ZONE 1 PREMIUM'!$A$4:$N$16,14,0)</f>
        <v>7</v>
      </c>
      <c r="M75">
        <f>VLOOKUP(D75,DROPDOWN!B:C,2,0)</f>
        <v>4</v>
      </c>
      <c r="N75" t="str">
        <f t="shared" si="6"/>
        <v>X98:AP109</v>
      </c>
      <c r="O75" s="4">
        <f t="shared" ca="1" si="7"/>
        <v>64167.7</v>
      </c>
      <c r="R75" s="4">
        <f ca="1">R74+R77</f>
        <v>149487.63580000002</v>
      </c>
      <c r="S75" s="4">
        <f t="shared" ref="S75" ca="1" si="8">S74+S77</f>
        <v>149487.63580000002</v>
      </c>
      <c r="X75" s="2" t="s">
        <v>20</v>
      </c>
      <c r="Y75" s="141">
        <v>85692.25</v>
      </c>
      <c r="Z75" s="141">
        <v>105022.59999999999</v>
      </c>
      <c r="AA75" s="141">
        <v>130604.34999999999</v>
      </c>
      <c r="AB75" s="141">
        <v>146441</v>
      </c>
      <c r="AC75" s="141">
        <v>158874.79999999999</v>
      </c>
      <c r="AD75" s="141">
        <v>193903.8</v>
      </c>
      <c r="AE75" s="141">
        <v>213576.84999999998</v>
      </c>
      <c r="AF75" s="141">
        <v>230930.34999999998</v>
      </c>
      <c r="AG75" s="141">
        <v>259681.49999999997</v>
      </c>
      <c r="AH75" s="141">
        <v>325003.8</v>
      </c>
      <c r="AI75" s="141">
        <v>534394.64999999991</v>
      </c>
      <c r="AJ75" s="141">
        <v>682219.1</v>
      </c>
      <c r="AK75" s="141">
        <v>853120.6</v>
      </c>
      <c r="AL75" s="141">
        <v>1046120.4999999999</v>
      </c>
      <c r="AM75" s="141">
        <v>1306845.0499999998</v>
      </c>
      <c r="AN75" s="141">
        <v>1600905.7999999998</v>
      </c>
      <c r="AO75" s="141">
        <v>1946526.7999999998</v>
      </c>
      <c r="AP75" s="141">
        <v>2730849.8</v>
      </c>
      <c r="AT75" s="1"/>
      <c r="AU75" s="2" t="s">
        <v>20</v>
      </c>
      <c r="AV75" s="141">
        <v>75942</v>
      </c>
      <c r="AW75" s="141">
        <v>93060</v>
      </c>
      <c r="AX75" s="141">
        <v>115758</v>
      </c>
      <c r="AY75" s="141">
        <v>129781.125</v>
      </c>
      <c r="AZ75" s="141">
        <v>140792.625</v>
      </c>
      <c r="BA75" s="141">
        <v>171857.25</v>
      </c>
      <c r="BB75" s="141">
        <v>189281.25</v>
      </c>
      <c r="BC75" s="141">
        <v>204648.75</v>
      </c>
      <c r="BD75" s="141">
        <v>230107.5</v>
      </c>
      <c r="BE75" s="141">
        <v>287952.75</v>
      </c>
      <c r="BF75" s="141">
        <v>473382</v>
      </c>
      <c r="BG75" s="141">
        <v>604284.75</v>
      </c>
      <c r="BH75" s="141">
        <v>755624.25</v>
      </c>
      <c r="BI75" s="141">
        <v>926740.125</v>
      </c>
      <c r="BJ75" s="141">
        <v>1157619.375</v>
      </c>
      <c r="BK75" s="141">
        <v>1418019.75</v>
      </c>
      <c r="BL75" s="141">
        <v>1724076</v>
      </c>
      <c r="BM75" s="141">
        <v>2418617.25</v>
      </c>
      <c r="BQ75" s="1"/>
      <c r="BR75" s="2" t="s">
        <v>20</v>
      </c>
      <c r="BS75" s="141">
        <v>70012.800000000003</v>
      </c>
      <c r="BT75" s="141">
        <v>85787.900000000009</v>
      </c>
      <c r="BU75" s="141">
        <v>106728.6</v>
      </c>
      <c r="BV75" s="141">
        <v>119651.40000000001</v>
      </c>
      <c r="BW75" s="141">
        <v>129797.80000000002</v>
      </c>
      <c r="BX75" s="141">
        <v>158447.30000000002</v>
      </c>
      <c r="BY75" s="141">
        <v>174507.30000000002</v>
      </c>
      <c r="BZ75" s="141">
        <v>188667.6</v>
      </c>
      <c r="CA75" s="141">
        <v>212129.50000000003</v>
      </c>
      <c r="CB75" s="141">
        <v>265434.40000000002</v>
      </c>
      <c r="CC75" s="141">
        <v>436315.00000000006</v>
      </c>
      <c r="CD75" s="141">
        <v>556944.30000000005</v>
      </c>
      <c r="CE75" s="141">
        <v>696405.60000000009</v>
      </c>
      <c r="CF75" s="141">
        <v>854202.8</v>
      </c>
      <c r="CG75" s="141">
        <v>1066962.6000000001</v>
      </c>
      <c r="CH75" s="141">
        <v>1306926.5</v>
      </c>
      <c r="CI75" s="141">
        <v>1588963.2000000002</v>
      </c>
      <c r="CJ75" s="141">
        <v>2228996</v>
      </c>
      <c r="CN75" s="1"/>
      <c r="CO75" s="2" t="s">
        <v>20</v>
      </c>
      <c r="CP75" s="141">
        <v>64410.280000000006</v>
      </c>
      <c r="CQ75" s="141">
        <v>78914.91</v>
      </c>
      <c r="CR75" s="141">
        <v>98194.83</v>
      </c>
      <c r="CS75" s="141">
        <v>110076.92000000001</v>
      </c>
      <c r="CT75" s="141">
        <v>119407.32</v>
      </c>
      <c r="CU75" s="141">
        <v>145775.51</v>
      </c>
      <c r="CV75" s="141">
        <v>160545.01</v>
      </c>
      <c r="CW75" s="141">
        <v>173566.15000000002</v>
      </c>
      <c r="CX75" s="141">
        <v>195139.43000000002</v>
      </c>
      <c r="CY75" s="141">
        <v>244154.55000000002</v>
      </c>
      <c r="CZ75" s="141">
        <v>401287.86000000004</v>
      </c>
      <c r="DA75" s="141">
        <v>512209.53</v>
      </c>
      <c r="DB75" s="141">
        <v>640448.03</v>
      </c>
      <c r="DC75" s="141">
        <v>785657.83000000007</v>
      </c>
      <c r="DD75" s="141">
        <v>981295.39</v>
      </c>
      <c r="DE75" s="141">
        <v>1201947.3600000001</v>
      </c>
      <c r="DF75" s="141">
        <v>1461287.79</v>
      </c>
      <c r="DG75" s="141">
        <v>2049814.7600000002</v>
      </c>
    </row>
    <row r="76" spans="1:111">
      <c r="A76" s="2" t="s">
        <v>17</v>
      </c>
      <c r="B76" t="s">
        <v>37</v>
      </c>
      <c r="C76" t="s">
        <v>38</v>
      </c>
      <c r="D76">
        <v>5</v>
      </c>
      <c r="E76" t="s">
        <v>46</v>
      </c>
      <c r="F76">
        <v>3</v>
      </c>
      <c r="G76">
        <v>2</v>
      </c>
      <c r="H76">
        <v>1</v>
      </c>
      <c r="I76">
        <v>1</v>
      </c>
      <c r="J76" s="4" t="s">
        <v>52</v>
      </c>
      <c r="K76" t="str">
        <f t="shared" si="5"/>
        <v>2+1</v>
      </c>
      <c r="L76">
        <f>VLOOKUP(A76,'ZONE 1 PREMIUM'!$A$4:$N$16,14,0)</f>
        <v>8</v>
      </c>
      <c r="M76">
        <f>VLOOKUP(D76,DROPDOWN!B:C,2,0)</f>
        <v>4</v>
      </c>
      <c r="N76" t="str">
        <f t="shared" si="6"/>
        <v>X98:AP109</v>
      </c>
      <c r="O76" s="4">
        <f t="shared" ca="1" si="7"/>
        <v>87155.049999999988</v>
      </c>
      <c r="X76" s="2" t="s">
        <v>21</v>
      </c>
      <c r="Y76" s="141">
        <v>109330.49999999999</v>
      </c>
      <c r="Z76" s="141">
        <v>134100.34999999998</v>
      </c>
      <c r="AA76" s="141">
        <v>167088.09999999998</v>
      </c>
      <c r="AB76" s="141">
        <v>187911.15</v>
      </c>
      <c r="AC76" s="141">
        <v>204168.69999999998</v>
      </c>
      <c r="AD76" s="141">
        <v>248305.69999999998</v>
      </c>
      <c r="AE76" s="141">
        <v>273763.25</v>
      </c>
      <c r="AF76" s="141">
        <v>296313.59999999998</v>
      </c>
      <c r="AG76" s="141">
        <v>333721.94999999995</v>
      </c>
      <c r="AH76" s="141">
        <v>418317.1</v>
      </c>
      <c r="AI76" s="141">
        <v>674557.79999999993</v>
      </c>
      <c r="AJ76" s="141">
        <v>865877.54999999993</v>
      </c>
      <c r="AK76" s="141">
        <v>1087949.45</v>
      </c>
      <c r="AL76" s="141">
        <v>1345118.2</v>
      </c>
      <c r="AM76" s="141">
        <v>1684120.95</v>
      </c>
      <c r="AN76" s="141">
        <v>2067619.4999999998</v>
      </c>
      <c r="AO76" s="141">
        <v>2519364.7999999998</v>
      </c>
      <c r="AP76" s="141">
        <v>3542156.4</v>
      </c>
      <c r="AT76" s="1"/>
      <c r="AU76" s="2" t="s">
        <v>21</v>
      </c>
      <c r="AV76" s="141">
        <v>96876</v>
      </c>
      <c r="AW76" s="141">
        <v>118810.125</v>
      </c>
      <c r="AX76" s="141">
        <v>148069.125</v>
      </c>
      <c r="AY76" s="141">
        <v>166507.875</v>
      </c>
      <c r="AZ76" s="141">
        <v>180904.5</v>
      </c>
      <c r="BA76" s="141">
        <v>220035.375</v>
      </c>
      <c r="BB76" s="141">
        <v>242582.625</v>
      </c>
      <c r="BC76" s="141">
        <v>262551.375</v>
      </c>
      <c r="BD76" s="141">
        <v>295677</v>
      </c>
      <c r="BE76" s="141">
        <v>370588.5</v>
      </c>
      <c r="BF76" s="141">
        <v>597505.5</v>
      </c>
      <c r="BG76" s="141">
        <v>766924.875</v>
      </c>
      <c r="BH76" s="141">
        <v>963576</v>
      </c>
      <c r="BI76" s="141">
        <v>1191521.25</v>
      </c>
      <c r="BJ76" s="141">
        <v>1491718.5</v>
      </c>
      <c r="BK76" s="141">
        <v>1831317.75</v>
      </c>
      <c r="BL76" s="141">
        <v>2231352</v>
      </c>
      <c r="BM76" s="141">
        <v>3137064.75</v>
      </c>
      <c r="BQ76" s="1"/>
      <c r="BR76" s="2" t="s">
        <v>21</v>
      </c>
      <c r="BS76" s="141">
        <v>89304.6</v>
      </c>
      <c r="BT76" s="141">
        <v>109518.20000000001</v>
      </c>
      <c r="BU76" s="141">
        <v>136504.5</v>
      </c>
      <c r="BV76" s="141">
        <v>153496.20000000001</v>
      </c>
      <c r="BW76" s="141">
        <v>166763.30000000002</v>
      </c>
      <c r="BX76" s="141">
        <v>202846.6</v>
      </c>
      <c r="BY76" s="141">
        <v>223626.7</v>
      </c>
      <c r="BZ76" s="141">
        <v>242028.6</v>
      </c>
      <c r="CA76" s="141">
        <v>272554.7</v>
      </c>
      <c r="CB76" s="141">
        <v>341587.4</v>
      </c>
      <c r="CC76" s="141">
        <v>550698.5</v>
      </c>
      <c r="CD76" s="141">
        <v>706822.60000000009</v>
      </c>
      <c r="CE76" s="141">
        <v>888039.9</v>
      </c>
      <c r="CF76" s="141">
        <v>1098209.2000000002</v>
      </c>
      <c r="CG76" s="141">
        <v>1374846</v>
      </c>
      <c r="CH76" s="141">
        <v>1687793.8</v>
      </c>
      <c r="CI76" s="141">
        <v>2056432.4000000001</v>
      </c>
      <c r="CJ76" s="141">
        <v>2891064.0000000005</v>
      </c>
      <c r="CN76" s="1"/>
      <c r="CO76" s="2" t="s">
        <v>21</v>
      </c>
      <c r="CP76" s="141">
        <v>82151.12000000001</v>
      </c>
      <c r="CQ76" s="141">
        <v>100736.71</v>
      </c>
      <c r="CR76" s="141">
        <v>125575.63</v>
      </c>
      <c r="CS76" s="141">
        <v>141200.78</v>
      </c>
      <c r="CT76" s="141">
        <v>153400.06</v>
      </c>
      <c r="CU76" s="141">
        <v>186604.73</v>
      </c>
      <c r="CV76" s="141">
        <v>205713.52000000002</v>
      </c>
      <c r="CW76" s="141">
        <v>222634.68000000002</v>
      </c>
      <c r="CX76" s="141">
        <v>250704.36000000002</v>
      </c>
      <c r="CY76" s="141">
        <v>314181.60000000003</v>
      </c>
      <c r="CZ76" s="141">
        <v>506468.50000000006</v>
      </c>
      <c r="DA76" s="141">
        <v>650028.04</v>
      </c>
      <c r="DB76" s="141">
        <v>816662.88</v>
      </c>
      <c r="DC76" s="141">
        <v>1010032.15</v>
      </c>
      <c r="DD76" s="141">
        <v>1264406.54</v>
      </c>
      <c r="DE76" s="141">
        <v>1552169.81</v>
      </c>
      <c r="DF76" s="141">
        <v>1891142.37</v>
      </c>
      <c r="DG76" s="141">
        <v>2658607.0100000002</v>
      </c>
    </row>
    <row r="77" spans="1:111">
      <c r="A77" s="2" t="s">
        <v>18</v>
      </c>
      <c r="B77" t="s">
        <v>39</v>
      </c>
      <c r="C77" t="s">
        <v>40</v>
      </c>
      <c r="D77">
        <v>5</v>
      </c>
      <c r="E77" t="s">
        <v>46</v>
      </c>
      <c r="F77">
        <v>3</v>
      </c>
      <c r="G77">
        <v>2</v>
      </c>
      <c r="H77">
        <v>1</v>
      </c>
      <c r="I77">
        <v>1</v>
      </c>
      <c r="J77" s="4" t="s">
        <v>52</v>
      </c>
      <c r="K77" t="str">
        <f t="shared" si="5"/>
        <v>2+1</v>
      </c>
      <c r="L77">
        <f>VLOOKUP(A77,'ZONE 1 PREMIUM'!$A$4:$N$16,14,0)</f>
        <v>9</v>
      </c>
      <c r="M77">
        <f>VLOOKUP(D77,DROPDOWN!B:C,2,0)</f>
        <v>4</v>
      </c>
      <c r="N77" t="str">
        <f t="shared" si="6"/>
        <v>X98:AP109</v>
      </c>
      <c r="O77" s="4">
        <f t="shared" ca="1" si="7"/>
        <v>118140.65</v>
      </c>
      <c r="R77">
        <f>IF('CALCULATOR CARE V6'!B28="YES",R74*'CARE SHEET'!R28,0)</f>
        <v>0</v>
      </c>
      <c r="S77">
        <f>IF('CALCULATOR CARE V6'!B28="YES",S74*'CARE SHEET'!R28,0)</f>
        <v>0</v>
      </c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</row>
    <row r="78" spans="1:111">
      <c r="A78" s="2" t="s">
        <v>19</v>
      </c>
      <c r="B78" t="s">
        <v>41</v>
      </c>
      <c r="C78" t="s">
        <v>42</v>
      </c>
      <c r="D78">
        <v>5</v>
      </c>
      <c r="E78" t="s">
        <v>46</v>
      </c>
      <c r="F78">
        <v>3</v>
      </c>
      <c r="G78">
        <v>2</v>
      </c>
      <c r="H78">
        <v>1</v>
      </c>
      <c r="I78">
        <v>1</v>
      </c>
      <c r="J78" s="4" t="s">
        <v>52</v>
      </c>
      <c r="K78" t="str">
        <f t="shared" si="5"/>
        <v>2+1</v>
      </c>
      <c r="L78">
        <f>VLOOKUP(A78,'ZONE 1 PREMIUM'!$A$4:$N$16,14,0)</f>
        <v>10</v>
      </c>
      <c r="M78">
        <f>VLOOKUP(D78,DROPDOWN!B:C,2,0)</f>
        <v>4</v>
      </c>
      <c r="N78" t="str">
        <f t="shared" si="6"/>
        <v>X98:AP109</v>
      </c>
      <c r="O78" s="4">
        <f t="shared" ca="1" si="7"/>
        <v>159565.94999999998</v>
      </c>
      <c r="R78" s="4">
        <f ca="1">R74+R77</f>
        <v>149487.63580000002</v>
      </c>
      <c r="S78" s="4">
        <f ca="1">S74+S77</f>
        <v>149487.63580000002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</row>
    <row r="79" spans="1:111">
      <c r="A79" s="2" t="s">
        <v>20</v>
      </c>
      <c r="B79" t="s">
        <v>43</v>
      </c>
      <c r="C79" t="s">
        <v>44</v>
      </c>
      <c r="D79">
        <v>5</v>
      </c>
      <c r="E79" t="s">
        <v>46</v>
      </c>
      <c r="F79">
        <v>3</v>
      </c>
      <c r="G79">
        <v>2</v>
      </c>
      <c r="H79">
        <v>1</v>
      </c>
      <c r="I79">
        <v>1</v>
      </c>
      <c r="J79" s="4" t="s">
        <v>52</v>
      </c>
      <c r="K79" t="str">
        <f t="shared" si="5"/>
        <v>2+1</v>
      </c>
      <c r="L79">
        <f>VLOOKUP(A79,'ZONE 1 PREMIUM'!$A$4:$N$16,14,0)</f>
        <v>11</v>
      </c>
      <c r="M79">
        <f>VLOOKUP(D79,DROPDOWN!B:C,2,0)</f>
        <v>4</v>
      </c>
      <c r="N79" t="str">
        <f t="shared" si="6"/>
        <v>X98:AP109</v>
      </c>
      <c r="O79" s="4">
        <f t="shared" ca="1" si="7"/>
        <v>195995.65</v>
      </c>
      <c r="R79">
        <f>IF('CALCULATOR CARE V6'!B29="YES",R78*R29,0)</f>
        <v>0</v>
      </c>
      <c r="S79">
        <f>IF('CALCULATOR CARE V6'!B29="YES",S78*R29,0)</f>
        <v>0</v>
      </c>
      <c r="X79" s="85" t="s">
        <v>65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T79" s="8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Q79" s="8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N79" s="8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</row>
    <row r="80" spans="1:111">
      <c r="A80" s="2" t="s">
        <v>21</v>
      </c>
      <c r="B80" t="s">
        <v>22</v>
      </c>
      <c r="D80">
        <v>5</v>
      </c>
      <c r="E80" t="s">
        <v>46</v>
      </c>
      <c r="F80">
        <v>3</v>
      </c>
      <c r="G80">
        <v>2</v>
      </c>
      <c r="H80">
        <v>1</v>
      </c>
      <c r="I80">
        <v>1</v>
      </c>
      <c r="J80" s="4" t="s">
        <v>52</v>
      </c>
      <c r="K80" t="str">
        <f t="shared" si="5"/>
        <v>2+1</v>
      </c>
      <c r="L80">
        <f>VLOOKUP(A80,'ZONE 1 PREMIUM'!$A$4:$N$16,14,0)</f>
        <v>12</v>
      </c>
      <c r="M80">
        <f>VLOOKUP(D80,DROPDOWN!B:C,2,0)</f>
        <v>4</v>
      </c>
      <c r="N80" t="str">
        <f t="shared" si="6"/>
        <v>X98:AP109</v>
      </c>
      <c r="O80" s="4">
        <f t="shared" ca="1" si="7"/>
        <v>248555.24999999997</v>
      </c>
      <c r="X80" s="1"/>
      <c r="Y80" s="153" t="s">
        <v>211</v>
      </c>
      <c r="Z80" s="153"/>
      <c r="AA80" s="143" t="s">
        <v>57</v>
      </c>
      <c r="AB80" s="143"/>
      <c r="AC80" s="143"/>
      <c r="AD80" s="144" t="s">
        <v>58</v>
      </c>
      <c r="AE80" s="144"/>
      <c r="AF80" s="144"/>
      <c r="AG80" s="144"/>
      <c r="AH80" s="144"/>
      <c r="AI80" s="142" t="s">
        <v>59</v>
      </c>
      <c r="AJ80" s="142"/>
      <c r="AK80" s="142"/>
      <c r="AL80" s="154" t="s">
        <v>176</v>
      </c>
      <c r="AM80" s="154"/>
      <c r="AN80" s="154"/>
      <c r="AO80" s="154"/>
      <c r="AP80" s="154"/>
      <c r="AT80" s="5" t="s">
        <v>65</v>
      </c>
      <c r="AU80" s="1"/>
      <c r="AV80" s="153" t="s">
        <v>211</v>
      </c>
      <c r="AW80" s="153"/>
      <c r="AX80" s="143" t="s">
        <v>57</v>
      </c>
      <c r="AY80" s="143"/>
      <c r="AZ80" s="143"/>
      <c r="BA80" s="144" t="s">
        <v>58</v>
      </c>
      <c r="BB80" s="144"/>
      <c r="BC80" s="144"/>
      <c r="BD80" s="144"/>
      <c r="BE80" s="144"/>
      <c r="BF80" s="142" t="s">
        <v>59</v>
      </c>
      <c r="BG80" s="142"/>
      <c r="BH80" s="142"/>
      <c r="BI80" s="154" t="s">
        <v>176</v>
      </c>
      <c r="BJ80" s="154"/>
      <c r="BK80" s="154"/>
      <c r="BL80" s="154"/>
      <c r="BM80" s="154"/>
      <c r="BQ80" s="5" t="s">
        <v>65</v>
      </c>
      <c r="BR80" s="1"/>
      <c r="BS80" s="148" t="s">
        <v>211</v>
      </c>
      <c r="BT80" s="149"/>
      <c r="BU80" s="145" t="s">
        <v>57</v>
      </c>
      <c r="BV80" s="146"/>
      <c r="BW80" s="147"/>
      <c r="BX80" s="150" t="s">
        <v>58</v>
      </c>
      <c r="BY80" s="151"/>
      <c r="BZ80" s="151"/>
      <c r="CA80" s="151"/>
      <c r="CB80" s="152"/>
      <c r="CC80" s="158" t="s">
        <v>59</v>
      </c>
      <c r="CD80" s="159"/>
      <c r="CE80" s="160"/>
      <c r="CF80" s="155" t="s">
        <v>176</v>
      </c>
      <c r="CG80" s="156"/>
      <c r="CH80" s="156"/>
      <c r="CI80" s="156"/>
      <c r="CJ80" s="157"/>
      <c r="CN80" s="5" t="s">
        <v>65</v>
      </c>
      <c r="CO80" s="1"/>
      <c r="CP80" s="153" t="s">
        <v>211</v>
      </c>
      <c r="CQ80" s="153"/>
      <c r="CR80" s="143" t="s">
        <v>57</v>
      </c>
      <c r="CS80" s="143"/>
      <c r="CT80" s="143"/>
      <c r="CU80" s="144" t="s">
        <v>58</v>
      </c>
      <c r="CV80" s="144"/>
      <c r="CW80" s="144"/>
      <c r="CX80" s="144"/>
      <c r="CY80" s="144"/>
      <c r="CZ80" s="142" t="s">
        <v>59</v>
      </c>
      <c r="DA80" s="142"/>
      <c r="DB80" s="142"/>
      <c r="DC80" s="154" t="s">
        <v>176</v>
      </c>
      <c r="DD80" s="154"/>
      <c r="DE80" s="154"/>
      <c r="DF80" s="154"/>
      <c r="DG80" s="154"/>
    </row>
    <row r="81" spans="1:111">
      <c r="A81" s="2" t="s">
        <v>11</v>
      </c>
      <c r="B81" t="s">
        <v>45</v>
      </c>
      <c r="C81" t="s">
        <v>25</v>
      </c>
      <c r="D81">
        <v>5</v>
      </c>
      <c r="E81" t="s">
        <v>46</v>
      </c>
      <c r="F81">
        <v>4</v>
      </c>
      <c r="G81">
        <v>2</v>
      </c>
      <c r="H81">
        <v>2</v>
      </c>
      <c r="I81">
        <v>1</v>
      </c>
      <c r="J81" s="4" t="s">
        <v>52</v>
      </c>
      <c r="K81" t="str">
        <f t="shared" si="5"/>
        <v>2+2</v>
      </c>
      <c r="L81">
        <f>VLOOKUP(A81,'ZONE 1 PREMIUM'!$A$4:$N$16,14,0)</f>
        <v>2</v>
      </c>
      <c r="M81">
        <f>VLOOKUP(D81,DROPDOWN!B:C,2,0)</f>
        <v>4</v>
      </c>
      <c r="N81" t="str">
        <f t="shared" si="6"/>
        <v>X113:AP124</v>
      </c>
      <c r="O81" s="4">
        <f t="shared" ca="1" si="7"/>
        <v>32672.649999999998</v>
      </c>
      <c r="X81" s="2" t="s">
        <v>60</v>
      </c>
      <c r="Y81" s="2" t="s">
        <v>243</v>
      </c>
      <c r="Z81" s="2" t="s">
        <v>244</v>
      </c>
      <c r="AA81" s="6" t="s">
        <v>70</v>
      </c>
      <c r="AB81" s="6" t="s">
        <v>71</v>
      </c>
      <c r="AC81" s="6" t="s">
        <v>72</v>
      </c>
      <c r="AD81" s="6" t="s">
        <v>73</v>
      </c>
      <c r="AE81" s="6" t="s">
        <v>74</v>
      </c>
      <c r="AF81" s="6" t="s">
        <v>75</v>
      </c>
      <c r="AG81" s="6" t="s">
        <v>76</v>
      </c>
      <c r="AH81" s="6" t="s">
        <v>77</v>
      </c>
      <c r="AI81" s="6" t="s">
        <v>78</v>
      </c>
      <c r="AJ81" s="6" t="s">
        <v>79</v>
      </c>
      <c r="AK81" s="6" t="s">
        <v>80</v>
      </c>
      <c r="AL81" s="2" t="s">
        <v>245</v>
      </c>
      <c r="AM81" s="2" t="s">
        <v>246</v>
      </c>
      <c r="AN81" s="2" t="s">
        <v>247</v>
      </c>
      <c r="AO81" s="2" t="s">
        <v>248</v>
      </c>
      <c r="AP81" s="2" t="s">
        <v>310</v>
      </c>
      <c r="AT81" s="1"/>
      <c r="AU81" s="2" t="s">
        <v>60</v>
      </c>
      <c r="AV81" s="2" t="s">
        <v>243</v>
      </c>
      <c r="AW81" s="2" t="s">
        <v>244</v>
      </c>
      <c r="AX81" s="6" t="s">
        <v>70</v>
      </c>
      <c r="AY81" s="6" t="s">
        <v>71</v>
      </c>
      <c r="AZ81" s="6" t="s">
        <v>72</v>
      </c>
      <c r="BA81" s="6" t="s">
        <v>73</v>
      </c>
      <c r="BB81" s="6" t="s">
        <v>74</v>
      </c>
      <c r="BC81" s="6" t="s">
        <v>75</v>
      </c>
      <c r="BD81" s="6" t="s">
        <v>76</v>
      </c>
      <c r="BE81" s="6" t="s">
        <v>77</v>
      </c>
      <c r="BF81" s="6" t="s">
        <v>78</v>
      </c>
      <c r="BG81" s="6" t="s">
        <v>79</v>
      </c>
      <c r="BH81" s="6" t="s">
        <v>80</v>
      </c>
      <c r="BI81" s="2" t="s">
        <v>245</v>
      </c>
      <c r="BJ81" s="2" t="s">
        <v>246</v>
      </c>
      <c r="BK81" s="2" t="s">
        <v>247</v>
      </c>
      <c r="BL81" s="2" t="s">
        <v>248</v>
      </c>
      <c r="BM81" s="2" t="s">
        <v>310</v>
      </c>
      <c r="BQ81" s="1"/>
      <c r="BR81" s="2" t="s">
        <v>60</v>
      </c>
      <c r="BS81" s="2" t="s">
        <v>243</v>
      </c>
      <c r="BT81" s="2" t="s">
        <v>244</v>
      </c>
      <c r="BU81" s="6" t="s">
        <v>70</v>
      </c>
      <c r="BV81" s="6" t="s">
        <v>71</v>
      </c>
      <c r="BW81" s="6" t="s">
        <v>72</v>
      </c>
      <c r="BX81" s="6" t="s">
        <v>73</v>
      </c>
      <c r="BY81" s="6" t="s">
        <v>74</v>
      </c>
      <c r="BZ81" s="6" t="s">
        <v>75</v>
      </c>
      <c r="CA81" s="6" t="s">
        <v>76</v>
      </c>
      <c r="CB81" s="6" t="s">
        <v>77</v>
      </c>
      <c r="CC81" s="6" t="s">
        <v>78</v>
      </c>
      <c r="CD81" s="6" t="s">
        <v>79</v>
      </c>
      <c r="CE81" s="6" t="s">
        <v>80</v>
      </c>
      <c r="CF81" s="2" t="s">
        <v>245</v>
      </c>
      <c r="CG81" s="2" t="s">
        <v>246</v>
      </c>
      <c r="CH81" s="2" t="s">
        <v>247</v>
      </c>
      <c r="CI81" s="2" t="s">
        <v>248</v>
      </c>
      <c r="CJ81" s="2" t="s">
        <v>310</v>
      </c>
      <c r="CN81" s="1"/>
      <c r="CO81" s="2" t="s">
        <v>60</v>
      </c>
      <c r="CP81" s="2" t="s">
        <v>243</v>
      </c>
      <c r="CQ81" s="2" t="s">
        <v>244</v>
      </c>
      <c r="CR81" s="6" t="s">
        <v>70</v>
      </c>
      <c r="CS81" s="6" t="s">
        <v>71</v>
      </c>
      <c r="CT81" s="6" t="s">
        <v>72</v>
      </c>
      <c r="CU81" s="6" t="s">
        <v>73</v>
      </c>
      <c r="CV81" s="6" t="s">
        <v>74</v>
      </c>
      <c r="CW81" s="6" t="s">
        <v>75</v>
      </c>
      <c r="CX81" s="6" t="s">
        <v>76</v>
      </c>
      <c r="CY81" s="6" t="s">
        <v>77</v>
      </c>
      <c r="CZ81" s="6" t="s">
        <v>78</v>
      </c>
      <c r="DA81" s="6" t="s">
        <v>79</v>
      </c>
      <c r="DB81" s="6" t="s">
        <v>80</v>
      </c>
      <c r="DC81" s="2" t="s">
        <v>245</v>
      </c>
      <c r="DD81" s="2" t="s">
        <v>246</v>
      </c>
      <c r="DE81" s="2" t="s">
        <v>247</v>
      </c>
      <c r="DF81" s="2" t="s">
        <v>248</v>
      </c>
      <c r="DG81" s="2" t="s">
        <v>310</v>
      </c>
    </row>
    <row r="82" spans="1:111">
      <c r="A82" s="2" t="s">
        <v>12</v>
      </c>
      <c r="B82" t="s">
        <v>27</v>
      </c>
      <c r="C82" t="s">
        <v>28</v>
      </c>
      <c r="D82">
        <v>5</v>
      </c>
      <c r="E82" t="s">
        <v>46</v>
      </c>
      <c r="F82">
        <v>4</v>
      </c>
      <c r="G82">
        <v>2</v>
      </c>
      <c r="H82">
        <v>2</v>
      </c>
      <c r="I82">
        <v>1</v>
      </c>
      <c r="J82" s="4" t="s">
        <v>52</v>
      </c>
      <c r="K82" t="str">
        <f t="shared" si="5"/>
        <v>2+2</v>
      </c>
      <c r="L82">
        <f>VLOOKUP(A82,'ZONE 1 PREMIUM'!$A$4:$N$16,14,0)</f>
        <v>3</v>
      </c>
      <c r="M82">
        <f>VLOOKUP(D82,DROPDOWN!B:C,2,0)</f>
        <v>4</v>
      </c>
      <c r="N82" t="str">
        <f t="shared" si="6"/>
        <v>X113:AP124</v>
      </c>
      <c r="O82" s="4">
        <f t="shared" ca="1" si="7"/>
        <v>35733.949999999997</v>
      </c>
      <c r="X82" s="2" t="s">
        <v>11</v>
      </c>
      <c r="Y82" s="141">
        <v>15155.849999999999</v>
      </c>
      <c r="Z82" s="141">
        <v>18627.699999999997</v>
      </c>
      <c r="AA82" s="141">
        <v>22973.55</v>
      </c>
      <c r="AB82" s="141">
        <v>25042.399999999998</v>
      </c>
      <c r="AC82" s="141">
        <v>26942.199999999997</v>
      </c>
      <c r="AD82" s="141">
        <v>33865.199999999997</v>
      </c>
      <c r="AE82" s="141">
        <v>37247.35</v>
      </c>
      <c r="AF82" s="141">
        <v>40223.549999999996</v>
      </c>
      <c r="AG82" s="141">
        <v>44833.899999999994</v>
      </c>
      <c r="AH82" s="141">
        <v>55563.399999999994</v>
      </c>
      <c r="AI82" s="141">
        <v>115870.54999999999</v>
      </c>
      <c r="AJ82" s="141">
        <v>138736</v>
      </c>
      <c r="AK82" s="141">
        <v>164454.59999999998</v>
      </c>
      <c r="AL82" s="141">
        <v>228914.4</v>
      </c>
      <c r="AM82" s="141">
        <v>271858.84999999998</v>
      </c>
      <c r="AN82" s="141">
        <v>319432.05</v>
      </c>
      <c r="AO82" s="141">
        <v>374643.55</v>
      </c>
      <c r="AP82" s="141">
        <v>501437.94999999995</v>
      </c>
      <c r="AT82" s="1"/>
      <c r="AU82" s="2" t="s">
        <v>11</v>
      </c>
      <c r="AV82" s="141">
        <v>13457.25</v>
      </c>
      <c r="AW82" s="141">
        <v>16531.875</v>
      </c>
      <c r="AX82" s="141">
        <v>20409.75</v>
      </c>
      <c r="AY82" s="141">
        <v>22241.25</v>
      </c>
      <c r="AZ82" s="141">
        <v>23923.125</v>
      </c>
      <c r="BA82" s="141">
        <v>30083.625</v>
      </c>
      <c r="BB82" s="141">
        <v>33078.375</v>
      </c>
      <c r="BC82" s="141">
        <v>35714.25</v>
      </c>
      <c r="BD82" s="141">
        <v>39795.75</v>
      </c>
      <c r="BE82" s="141">
        <v>49297.5</v>
      </c>
      <c r="BF82" s="141">
        <v>102701.25</v>
      </c>
      <c r="BG82" s="141">
        <v>122950.125</v>
      </c>
      <c r="BH82" s="141">
        <v>145724.625</v>
      </c>
      <c r="BI82" s="141">
        <v>202928.625</v>
      </c>
      <c r="BJ82" s="141">
        <v>240958.125</v>
      </c>
      <c r="BK82" s="141">
        <v>283084.875</v>
      </c>
      <c r="BL82" s="141">
        <v>331976.25</v>
      </c>
      <c r="BM82" s="141">
        <v>444255.75</v>
      </c>
      <c r="BQ82" s="1"/>
      <c r="BR82" s="2" t="s">
        <v>11</v>
      </c>
      <c r="BS82" s="141">
        <v>12421.2</v>
      </c>
      <c r="BT82" s="141">
        <v>15253.7</v>
      </c>
      <c r="BU82" s="141">
        <v>18841.900000000001</v>
      </c>
      <c r="BV82" s="141">
        <v>20530.400000000001</v>
      </c>
      <c r="BW82" s="141">
        <v>22080.300000000003</v>
      </c>
      <c r="BX82" s="141">
        <v>27771.7</v>
      </c>
      <c r="BY82" s="141">
        <v>30532.7</v>
      </c>
      <c r="BZ82" s="141">
        <v>32961.5</v>
      </c>
      <c r="CA82" s="141">
        <v>36722.400000000001</v>
      </c>
      <c r="CB82" s="141">
        <v>45478.400000000001</v>
      </c>
      <c r="CC82" s="141">
        <v>94691.3</v>
      </c>
      <c r="CD82" s="141">
        <v>113350.6</v>
      </c>
      <c r="CE82" s="141">
        <v>134337.5</v>
      </c>
      <c r="CF82" s="141">
        <v>187117.7</v>
      </c>
      <c r="CG82" s="141">
        <v>222162.6</v>
      </c>
      <c r="CH82" s="141">
        <v>260982.7</v>
      </c>
      <c r="CI82" s="141">
        <v>306037.60000000003</v>
      </c>
      <c r="CJ82" s="141">
        <v>409505.80000000005</v>
      </c>
      <c r="CN82" s="1"/>
      <c r="CO82" s="2" t="s">
        <v>11</v>
      </c>
      <c r="CP82" s="141">
        <v>11440.640000000001</v>
      </c>
      <c r="CQ82" s="141">
        <v>14045.740000000002</v>
      </c>
      <c r="CR82" s="141">
        <v>17360.43</v>
      </c>
      <c r="CS82" s="141">
        <v>18912.59</v>
      </c>
      <c r="CT82" s="141">
        <v>20338.310000000001</v>
      </c>
      <c r="CU82" s="141">
        <v>25587.750000000004</v>
      </c>
      <c r="CV82" s="141">
        <v>28125.27</v>
      </c>
      <c r="CW82" s="141">
        <v>30358.680000000004</v>
      </c>
      <c r="CX82" s="141">
        <v>33817.25</v>
      </c>
      <c r="CY82" s="141">
        <v>41869.08</v>
      </c>
      <c r="CZ82" s="141">
        <v>87121.52</v>
      </c>
      <c r="DA82" s="141">
        <v>104279.21</v>
      </c>
      <c r="DB82" s="141">
        <v>123576.57</v>
      </c>
      <c r="DC82" s="141">
        <v>172175.31000000003</v>
      </c>
      <c r="DD82" s="141">
        <v>204400.07</v>
      </c>
      <c r="DE82" s="141">
        <v>240096.48</v>
      </c>
      <c r="DF82" s="141">
        <v>281525.2</v>
      </c>
      <c r="DG82" s="141">
        <v>376666.94</v>
      </c>
    </row>
    <row r="83" spans="1:111">
      <c r="A83" s="2" t="s">
        <v>13</v>
      </c>
      <c r="B83" t="s">
        <v>29</v>
      </c>
      <c r="C83" t="s">
        <v>30</v>
      </c>
      <c r="D83">
        <v>5</v>
      </c>
      <c r="E83" t="s">
        <v>46</v>
      </c>
      <c r="F83">
        <v>4</v>
      </c>
      <c r="G83">
        <v>2</v>
      </c>
      <c r="H83">
        <v>2</v>
      </c>
      <c r="I83">
        <v>1</v>
      </c>
      <c r="J83" s="4" t="s">
        <v>52</v>
      </c>
      <c r="K83" t="str">
        <f t="shared" si="5"/>
        <v>2+2</v>
      </c>
      <c r="L83">
        <f>VLOOKUP(A83,'ZONE 1 PREMIUM'!$A$4:$N$16,14,0)</f>
        <v>4</v>
      </c>
      <c r="M83">
        <f>VLOOKUP(D83,DROPDOWN!B:C,2,0)</f>
        <v>4</v>
      </c>
      <c r="N83" t="str">
        <f t="shared" si="6"/>
        <v>X113:AP124</v>
      </c>
      <c r="O83" s="4">
        <f t="shared" ca="1" si="7"/>
        <v>40105.1</v>
      </c>
      <c r="X83" s="2" t="s">
        <v>12</v>
      </c>
      <c r="Y83" s="141">
        <v>17531.75</v>
      </c>
      <c r="Z83" s="141">
        <v>21131.25</v>
      </c>
      <c r="AA83" s="141">
        <v>26207.35</v>
      </c>
      <c r="AB83" s="141">
        <v>28571.749999999996</v>
      </c>
      <c r="AC83" s="141">
        <v>30747.55</v>
      </c>
      <c r="AD83" s="141">
        <v>38712.449999999997</v>
      </c>
      <c r="AE83" s="141">
        <v>42351.049999999996</v>
      </c>
      <c r="AF83" s="141">
        <v>45548.049999999996</v>
      </c>
      <c r="AG83" s="141">
        <v>50773.649999999994</v>
      </c>
      <c r="AH83" s="141">
        <v>62898.1</v>
      </c>
      <c r="AI83" s="141">
        <v>129868.34999999999</v>
      </c>
      <c r="AJ83" s="141">
        <v>157108.4</v>
      </c>
      <c r="AK83" s="141">
        <v>188372.3</v>
      </c>
      <c r="AL83" s="141">
        <v>255949.74999999997</v>
      </c>
      <c r="AM83" s="141">
        <v>305642.39999999997</v>
      </c>
      <c r="AN83" s="141">
        <v>360860.8</v>
      </c>
      <c r="AO83" s="141">
        <v>425074.49999999994</v>
      </c>
      <c r="AP83" s="141">
        <v>572296.35</v>
      </c>
      <c r="AT83" s="1"/>
      <c r="AU83" s="2" t="s">
        <v>12</v>
      </c>
      <c r="AV83" s="141">
        <v>15574.5</v>
      </c>
      <c r="AW83" s="141">
        <v>18761.625</v>
      </c>
      <c r="AX83" s="141">
        <v>23297.625</v>
      </c>
      <c r="AY83" s="141">
        <v>25390.125</v>
      </c>
      <c r="AZ83" s="141">
        <v>27317.25</v>
      </c>
      <c r="BA83" s="141">
        <v>34410.375</v>
      </c>
      <c r="BB83" s="141">
        <v>37632.375</v>
      </c>
      <c r="BC83" s="141">
        <v>40464</v>
      </c>
      <c r="BD83" s="141">
        <v>45091.125</v>
      </c>
      <c r="BE83" s="141">
        <v>55828.125</v>
      </c>
      <c r="BF83" s="141">
        <v>115132.5</v>
      </c>
      <c r="BG83" s="141">
        <v>139253.625</v>
      </c>
      <c r="BH83" s="141">
        <v>166938.75</v>
      </c>
      <c r="BI83" s="141">
        <v>226949.625</v>
      </c>
      <c r="BJ83" s="141">
        <v>270955.125</v>
      </c>
      <c r="BK83" s="141">
        <v>319852.125</v>
      </c>
      <c r="BL83" s="141">
        <v>376715.25</v>
      </c>
      <c r="BM83" s="141">
        <v>507084.75</v>
      </c>
      <c r="BQ83" s="1"/>
      <c r="BR83" s="2" t="s">
        <v>12</v>
      </c>
      <c r="BS83" s="141">
        <v>14379.2</v>
      </c>
      <c r="BT83" s="141">
        <v>17315.100000000002</v>
      </c>
      <c r="BU83" s="141">
        <v>21516</v>
      </c>
      <c r="BV83" s="141">
        <v>23445.4</v>
      </c>
      <c r="BW83" s="141">
        <v>25220.800000000003</v>
      </c>
      <c r="BX83" s="141">
        <v>31777.9</v>
      </c>
      <c r="BY83" s="141">
        <v>34746.800000000003</v>
      </c>
      <c r="BZ83" s="141">
        <v>37356</v>
      </c>
      <c r="CA83" s="141">
        <v>41619.600000000006</v>
      </c>
      <c r="CB83" s="141">
        <v>51515.200000000004</v>
      </c>
      <c r="CC83" s="141">
        <v>106164.3</v>
      </c>
      <c r="CD83" s="141">
        <v>128393.1</v>
      </c>
      <c r="CE83" s="141">
        <v>153905.40000000002</v>
      </c>
      <c r="CF83" s="141">
        <v>209295.90000000002</v>
      </c>
      <c r="CG83" s="141">
        <v>249847.40000000002</v>
      </c>
      <c r="CH83" s="141">
        <v>294907.80000000005</v>
      </c>
      <c r="CI83" s="141">
        <v>347308.5</v>
      </c>
      <c r="CJ83" s="141">
        <v>467446.10000000003</v>
      </c>
      <c r="CN83" s="1"/>
      <c r="CO83" s="2" t="s">
        <v>12</v>
      </c>
      <c r="CP83" s="141">
        <v>13247.86</v>
      </c>
      <c r="CQ83" s="141">
        <v>15948.880000000001</v>
      </c>
      <c r="CR83" s="141">
        <v>19832.550000000003</v>
      </c>
      <c r="CS83" s="141">
        <v>21605.980000000003</v>
      </c>
      <c r="CT83" s="141">
        <v>23238.800000000003</v>
      </c>
      <c r="CU83" s="141">
        <v>29290.480000000003</v>
      </c>
      <c r="CV83" s="141">
        <v>32019.840000000004</v>
      </c>
      <c r="CW83" s="141">
        <v>34418.93</v>
      </c>
      <c r="CX83" s="141">
        <v>38339.660000000003</v>
      </c>
      <c r="CY83" s="141">
        <v>47437.890000000007</v>
      </c>
      <c r="CZ83" s="141">
        <v>97690.16</v>
      </c>
      <c r="DA83" s="141">
        <v>118129.84000000001</v>
      </c>
      <c r="DB83" s="141">
        <v>141588.82</v>
      </c>
      <c r="DC83" s="141">
        <v>192611.72</v>
      </c>
      <c r="DD83" s="141">
        <v>229900.62000000002</v>
      </c>
      <c r="DE83" s="141">
        <v>271333.7</v>
      </c>
      <c r="DF83" s="141">
        <v>319517.15000000002</v>
      </c>
      <c r="DG83" s="141">
        <v>429987.56000000006</v>
      </c>
    </row>
    <row r="84" spans="1:111">
      <c r="A84" s="2" t="s">
        <v>14</v>
      </c>
      <c r="B84" t="s">
        <v>31</v>
      </c>
      <c r="C84" t="s">
        <v>32</v>
      </c>
      <c r="D84">
        <v>5</v>
      </c>
      <c r="E84" t="s">
        <v>46</v>
      </c>
      <c r="F84">
        <v>4</v>
      </c>
      <c r="G84">
        <v>2</v>
      </c>
      <c r="H84">
        <v>2</v>
      </c>
      <c r="I84">
        <v>1</v>
      </c>
      <c r="J84" s="4" t="s">
        <v>52</v>
      </c>
      <c r="K84" t="str">
        <f t="shared" si="5"/>
        <v>2+2</v>
      </c>
      <c r="L84">
        <f>VLOOKUP(A84,'ZONE 1 PREMIUM'!$A$4:$N$16,14,0)</f>
        <v>5</v>
      </c>
      <c r="M84">
        <f>VLOOKUP(D84,DROPDOWN!B:C,2,0)</f>
        <v>4</v>
      </c>
      <c r="N84" t="str">
        <f t="shared" si="6"/>
        <v>X113:AP124</v>
      </c>
      <c r="O84" s="4">
        <f t="shared" ca="1" si="7"/>
        <v>45392.799999999996</v>
      </c>
      <c r="X84" s="2" t="s">
        <v>13</v>
      </c>
      <c r="Y84" s="141">
        <v>19407.399999999998</v>
      </c>
      <c r="Z84" s="141">
        <v>23395.599999999999</v>
      </c>
      <c r="AA84" s="141">
        <v>29059.35</v>
      </c>
      <c r="AB84" s="141">
        <v>31712.399999999998</v>
      </c>
      <c r="AC84" s="141">
        <v>34159.599999999999</v>
      </c>
      <c r="AD84" s="141">
        <v>43019.199999999997</v>
      </c>
      <c r="AE84" s="141">
        <v>47055.7</v>
      </c>
      <c r="AF84" s="141">
        <v>50602.299999999996</v>
      </c>
      <c r="AG84" s="141">
        <v>56464.999999999993</v>
      </c>
      <c r="AH84" s="141">
        <v>70031.549999999988</v>
      </c>
      <c r="AI84" s="141">
        <v>134730.54999999999</v>
      </c>
      <c r="AJ84" s="141">
        <v>165436.69999999998</v>
      </c>
      <c r="AK84" s="141">
        <v>200766.99999999997</v>
      </c>
      <c r="AL84" s="141">
        <v>264695.5</v>
      </c>
      <c r="AM84" s="141">
        <v>319514.84999999998</v>
      </c>
      <c r="AN84" s="141">
        <v>380609.74999999994</v>
      </c>
      <c r="AO84" s="141">
        <v>451788.99999999994</v>
      </c>
      <c r="AP84" s="141">
        <v>614761.25</v>
      </c>
      <c r="AT84" s="1"/>
      <c r="AU84" s="2" t="s">
        <v>13</v>
      </c>
      <c r="AV84" s="141">
        <v>17236.125</v>
      </c>
      <c r="AW84" s="141">
        <v>20767.5</v>
      </c>
      <c r="AX84" s="141">
        <v>25824.375</v>
      </c>
      <c r="AY84" s="141">
        <v>28173.375</v>
      </c>
      <c r="AZ84" s="141">
        <v>30341.25</v>
      </c>
      <c r="BA84" s="141">
        <v>38227.5</v>
      </c>
      <c r="BB84" s="141">
        <v>41801.625</v>
      </c>
      <c r="BC84" s="141">
        <v>44942.625</v>
      </c>
      <c r="BD84" s="141">
        <v>50133.375</v>
      </c>
      <c r="BE84" s="141">
        <v>62147.25</v>
      </c>
      <c r="BF84" s="141">
        <v>119440.125</v>
      </c>
      <c r="BG84" s="141">
        <v>146631.375</v>
      </c>
      <c r="BH84" s="141">
        <v>177917.625</v>
      </c>
      <c r="BI84" s="141">
        <v>234702</v>
      </c>
      <c r="BJ84" s="141">
        <v>283245.75</v>
      </c>
      <c r="BK84" s="141">
        <v>337347</v>
      </c>
      <c r="BL84" s="141">
        <v>400378.5</v>
      </c>
      <c r="BM84" s="141">
        <v>544695.75</v>
      </c>
      <c r="BQ84" s="1"/>
      <c r="BR84" s="2" t="s">
        <v>13</v>
      </c>
      <c r="BS84" s="141">
        <v>15910.400000000001</v>
      </c>
      <c r="BT84" s="141">
        <v>19165.300000000003</v>
      </c>
      <c r="BU84" s="141">
        <v>23845.800000000003</v>
      </c>
      <c r="BV84" s="141">
        <v>26010.600000000002</v>
      </c>
      <c r="BW84" s="141">
        <v>28008.2</v>
      </c>
      <c r="BX84" s="141">
        <v>35296.800000000003</v>
      </c>
      <c r="BY84" s="141">
        <v>38590.200000000004</v>
      </c>
      <c r="BZ84" s="141">
        <v>41484.300000000003</v>
      </c>
      <c r="CA84" s="141">
        <v>46268.200000000004</v>
      </c>
      <c r="CB84" s="141">
        <v>57339.700000000004</v>
      </c>
      <c r="CC84" s="141">
        <v>110136.40000000001</v>
      </c>
      <c r="CD84" s="141">
        <v>135193.30000000002</v>
      </c>
      <c r="CE84" s="141">
        <v>164024.30000000002</v>
      </c>
      <c r="CF84" s="141">
        <v>216442.6</v>
      </c>
      <c r="CG84" s="141">
        <v>261177.40000000002</v>
      </c>
      <c r="CH84" s="141">
        <v>311031.60000000003</v>
      </c>
      <c r="CI84" s="141">
        <v>369117.10000000003</v>
      </c>
      <c r="CJ84" s="141">
        <v>502108.2</v>
      </c>
      <c r="CN84" s="1"/>
      <c r="CO84" s="2" t="s">
        <v>13</v>
      </c>
      <c r="CP84" s="141">
        <v>14657.230000000001</v>
      </c>
      <c r="CQ84" s="141">
        <v>17649.280000000002</v>
      </c>
      <c r="CR84" s="141">
        <v>21975.49</v>
      </c>
      <c r="CS84" s="141">
        <v>23966.920000000002</v>
      </c>
      <c r="CT84" s="141">
        <v>25802.480000000003</v>
      </c>
      <c r="CU84" s="141">
        <v>32526.690000000002</v>
      </c>
      <c r="CV84" s="141">
        <v>35555.800000000003</v>
      </c>
      <c r="CW84" s="141">
        <v>38216.490000000005</v>
      </c>
      <c r="CX84" s="141">
        <v>42615.73</v>
      </c>
      <c r="CY84" s="141">
        <v>52795.240000000005</v>
      </c>
      <c r="CZ84" s="141">
        <v>101343.84000000001</v>
      </c>
      <c r="DA84" s="141">
        <v>124384.26000000001</v>
      </c>
      <c r="DB84" s="141">
        <v>150895.24000000002</v>
      </c>
      <c r="DC84" s="141">
        <v>199187.69</v>
      </c>
      <c r="DD84" s="141">
        <v>240322.11000000002</v>
      </c>
      <c r="DE84" s="141">
        <v>286164.24000000005</v>
      </c>
      <c r="DF84" s="141">
        <v>339575.33</v>
      </c>
      <c r="DG84" s="141">
        <v>461863.52</v>
      </c>
    </row>
    <row r="85" spans="1:111">
      <c r="A85" s="2" t="s">
        <v>15</v>
      </c>
      <c r="B85" t="s">
        <v>33</v>
      </c>
      <c r="C85" t="s">
        <v>34</v>
      </c>
      <c r="D85">
        <v>5</v>
      </c>
      <c r="E85" t="s">
        <v>46</v>
      </c>
      <c r="F85">
        <v>4</v>
      </c>
      <c r="G85">
        <v>2</v>
      </c>
      <c r="H85">
        <v>2</v>
      </c>
      <c r="I85">
        <v>1</v>
      </c>
      <c r="J85" s="4" t="s">
        <v>52</v>
      </c>
      <c r="K85" t="str">
        <f t="shared" si="5"/>
        <v>2+2</v>
      </c>
      <c r="L85">
        <f>VLOOKUP(A85,'ZONE 1 PREMIUM'!$A$4:$N$16,14,0)</f>
        <v>6</v>
      </c>
      <c r="M85">
        <f>VLOOKUP(D85,DROPDOWN!B:C,2,0)</f>
        <v>4</v>
      </c>
      <c r="N85" t="str">
        <f t="shared" si="6"/>
        <v>X113:AP124</v>
      </c>
      <c r="O85" s="4">
        <f t="shared" ca="1" si="7"/>
        <v>55753.149999999994</v>
      </c>
      <c r="X85" s="2" t="s">
        <v>14</v>
      </c>
      <c r="Y85" s="141">
        <v>22403.149999999998</v>
      </c>
      <c r="Z85" s="141">
        <v>27061.8</v>
      </c>
      <c r="AA85" s="141">
        <v>33631.75</v>
      </c>
      <c r="AB85" s="141">
        <v>36755.149999999994</v>
      </c>
      <c r="AC85" s="141">
        <v>39643.949999999997</v>
      </c>
      <c r="AD85" s="141">
        <v>49939.899999999994</v>
      </c>
      <c r="AE85" s="141">
        <v>54544.499999999993</v>
      </c>
      <c r="AF85" s="141">
        <v>58541.899999999994</v>
      </c>
      <c r="AG85" s="141">
        <v>65418.899999999994</v>
      </c>
      <c r="AH85" s="141">
        <v>81276.25</v>
      </c>
      <c r="AI85" s="141">
        <v>148309.75</v>
      </c>
      <c r="AJ85" s="141">
        <v>184546.25</v>
      </c>
      <c r="AK85" s="141">
        <v>226302.74999999997</v>
      </c>
      <c r="AL85" s="141">
        <v>282847.09999999998</v>
      </c>
      <c r="AM85" s="141">
        <v>345852.14999999997</v>
      </c>
      <c r="AN85" s="141">
        <v>416303.44999999995</v>
      </c>
      <c r="AO85" s="141">
        <v>498566.39999999997</v>
      </c>
      <c r="AP85" s="141">
        <v>686570.7</v>
      </c>
      <c r="AT85" s="1"/>
      <c r="AU85" s="2" t="s">
        <v>14</v>
      </c>
      <c r="AV85" s="141">
        <v>19888.875</v>
      </c>
      <c r="AW85" s="141">
        <v>24014.25</v>
      </c>
      <c r="AX85" s="141">
        <v>29873.25</v>
      </c>
      <c r="AY85" s="141">
        <v>32639.625</v>
      </c>
      <c r="AZ85" s="141">
        <v>35197.875</v>
      </c>
      <c r="BA85" s="141">
        <v>44355.375</v>
      </c>
      <c r="BB85" s="141">
        <v>48433.5</v>
      </c>
      <c r="BC85" s="141">
        <v>51972.75</v>
      </c>
      <c r="BD85" s="141">
        <v>58063.5</v>
      </c>
      <c r="BE85" s="141">
        <v>72104.625</v>
      </c>
      <c r="BF85" s="141">
        <v>131464.125</v>
      </c>
      <c r="BG85" s="141">
        <v>163553.625</v>
      </c>
      <c r="BH85" s="141">
        <v>200530.125</v>
      </c>
      <c r="BI85" s="141">
        <v>250776</v>
      </c>
      <c r="BJ85" s="141">
        <v>306568.125</v>
      </c>
      <c r="BK85" s="141">
        <v>368955</v>
      </c>
      <c r="BL85" s="141">
        <v>441801</v>
      </c>
      <c r="BM85" s="141">
        <v>608284.125</v>
      </c>
      <c r="BQ85" s="1"/>
      <c r="BR85" s="2" t="s">
        <v>14</v>
      </c>
      <c r="BS85" s="141">
        <v>18355.7</v>
      </c>
      <c r="BT85" s="141">
        <v>22157.300000000003</v>
      </c>
      <c r="BU85" s="141">
        <v>27577.000000000004</v>
      </c>
      <c r="BV85" s="141">
        <v>30125.7</v>
      </c>
      <c r="BW85" s="141">
        <v>32484.100000000002</v>
      </c>
      <c r="BX85" s="141">
        <v>40944.200000000004</v>
      </c>
      <c r="BY85" s="141">
        <v>44701.8</v>
      </c>
      <c r="BZ85" s="141">
        <v>47963.3</v>
      </c>
      <c r="CA85" s="141">
        <v>53575.500000000007</v>
      </c>
      <c r="CB85" s="141">
        <v>66515.900000000009</v>
      </c>
      <c r="CC85" s="141">
        <v>121216.70000000001</v>
      </c>
      <c r="CD85" s="141">
        <v>150786.90000000002</v>
      </c>
      <c r="CE85" s="141">
        <v>184861.6</v>
      </c>
      <c r="CF85" s="141">
        <v>231255.2</v>
      </c>
      <c r="CG85" s="141">
        <v>282669.2</v>
      </c>
      <c r="CH85" s="141">
        <v>340159.60000000003</v>
      </c>
      <c r="CI85" s="141">
        <v>407288.2</v>
      </c>
      <c r="CJ85" s="141">
        <v>560706.30000000005</v>
      </c>
      <c r="CN85" s="1"/>
      <c r="CO85" s="2" t="s">
        <v>14</v>
      </c>
      <c r="CP85" s="141">
        <v>16904.810000000001</v>
      </c>
      <c r="CQ85" s="141">
        <v>20400.440000000002</v>
      </c>
      <c r="CR85" s="141">
        <v>25406.81</v>
      </c>
      <c r="CS85" s="141">
        <v>27750.31</v>
      </c>
      <c r="CT85" s="141">
        <v>29918.320000000003</v>
      </c>
      <c r="CU85" s="141">
        <v>37719.450000000004</v>
      </c>
      <c r="CV85" s="141">
        <v>41174.75</v>
      </c>
      <c r="CW85" s="141">
        <v>44174.43</v>
      </c>
      <c r="CX85" s="141">
        <v>49334.490000000005</v>
      </c>
      <c r="CY85" s="141">
        <v>61232.930000000008</v>
      </c>
      <c r="CZ85" s="141">
        <v>111532.07</v>
      </c>
      <c r="DA85" s="141">
        <v>138723.21000000002</v>
      </c>
      <c r="DB85" s="141">
        <v>170055.26</v>
      </c>
      <c r="DC85" s="141">
        <v>212807.24000000002</v>
      </c>
      <c r="DD85" s="141">
        <v>260083.81000000003</v>
      </c>
      <c r="DE85" s="141">
        <v>312947.72000000003</v>
      </c>
      <c r="DF85" s="141">
        <v>374674.42000000004</v>
      </c>
      <c r="DG85" s="141">
        <v>515746.58</v>
      </c>
    </row>
    <row r="86" spans="1:111">
      <c r="A86" s="2" t="s">
        <v>16</v>
      </c>
      <c r="B86" t="s">
        <v>35</v>
      </c>
      <c r="C86" t="s">
        <v>36</v>
      </c>
      <c r="D86">
        <v>5</v>
      </c>
      <c r="E86" t="s">
        <v>46</v>
      </c>
      <c r="F86">
        <v>4</v>
      </c>
      <c r="G86">
        <v>2</v>
      </c>
      <c r="H86">
        <v>2</v>
      </c>
      <c r="I86">
        <v>1</v>
      </c>
      <c r="J86" s="4" t="s">
        <v>52</v>
      </c>
      <c r="K86" t="str">
        <f t="shared" si="5"/>
        <v>2+2</v>
      </c>
      <c r="L86">
        <f>VLOOKUP(A86,'ZONE 1 PREMIUM'!$A$4:$N$16,14,0)</f>
        <v>7</v>
      </c>
      <c r="M86">
        <f>VLOOKUP(D86,DROPDOWN!B:C,2,0)</f>
        <v>4</v>
      </c>
      <c r="N86" t="str">
        <f t="shared" si="6"/>
        <v>X113:AP124</v>
      </c>
      <c r="O86" s="4">
        <f t="shared" ca="1" si="7"/>
        <v>72176.299999999988</v>
      </c>
      <c r="X86" s="2" t="s">
        <v>15</v>
      </c>
      <c r="Y86" s="141">
        <v>28238.249999999996</v>
      </c>
      <c r="Z86" s="141">
        <v>34168.799999999996</v>
      </c>
      <c r="AA86" s="141">
        <v>42558.049999999996</v>
      </c>
      <c r="AB86" s="141">
        <v>48845.1</v>
      </c>
      <c r="AC86" s="141">
        <v>52751.649999999994</v>
      </c>
      <c r="AD86" s="141">
        <v>64020.499999999993</v>
      </c>
      <c r="AE86" s="141">
        <v>69930.349999999991</v>
      </c>
      <c r="AF86" s="141">
        <v>75045.549999999988</v>
      </c>
      <c r="AG86" s="141">
        <v>83968.4</v>
      </c>
      <c r="AH86" s="141">
        <v>104461.4</v>
      </c>
      <c r="AI86" s="141">
        <v>184336.94999999998</v>
      </c>
      <c r="AJ86" s="141">
        <v>231707.74999999997</v>
      </c>
      <c r="AK86" s="141">
        <v>286373</v>
      </c>
      <c r="AL86" s="141">
        <v>335080.09999999998</v>
      </c>
      <c r="AM86" s="141">
        <v>415154.6</v>
      </c>
      <c r="AN86" s="141">
        <v>505010.99999999994</v>
      </c>
      <c r="AO86" s="141">
        <v>610173.89999999991</v>
      </c>
      <c r="AP86" s="141">
        <v>850067.35</v>
      </c>
      <c r="AT86" s="1"/>
      <c r="AU86" s="2" t="s">
        <v>15</v>
      </c>
      <c r="AV86" s="141">
        <v>25066.125</v>
      </c>
      <c r="AW86" s="141">
        <v>30318.75</v>
      </c>
      <c r="AX86" s="141">
        <v>37794.375</v>
      </c>
      <c r="AY86" s="141">
        <v>43362</v>
      </c>
      <c r="AZ86" s="141">
        <v>46822.5</v>
      </c>
      <c r="BA86" s="141">
        <v>56848.5</v>
      </c>
      <c r="BB86" s="141">
        <v>62082</v>
      </c>
      <c r="BC86" s="141">
        <v>66612.375</v>
      </c>
      <c r="BD86" s="141">
        <v>74514.375</v>
      </c>
      <c r="BE86" s="141">
        <v>92660.625</v>
      </c>
      <c r="BF86" s="141">
        <v>163392.75</v>
      </c>
      <c r="BG86" s="141">
        <v>205341.75</v>
      </c>
      <c r="BH86" s="141">
        <v>253749.375</v>
      </c>
      <c r="BI86" s="141">
        <v>297085.5</v>
      </c>
      <c r="BJ86" s="141">
        <v>367994.25</v>
      </c>
      <c r="BK86" s="141">
        <v>447564.375</v>
      </c>
      <c r="BL86" s="141">
        <v>540689.625</v>
      </c>
      <c r="BM86" s="141">
        <v>753122.25</v>
      </c>
      <c r="BQ86" s="1"/>
      <c r="BR86" s="2" t="s">
        <v>15</v>
      </c>
      <c r="BS86" s="141">
        <v>23130.800000000003</v>
      </c>
      <c r="BT86" s="141">
        <v>27970.800000000003</v>
      </c>
      <c r="BU86" s="141">
        <v>34885.4</v>
      </c>
      <c r="BV86" s="141">
        <v>40016.9</v>
      </c>
      <c r="BW86" s="141">
        <v>43204.700000000004</v>
      </c>
      <c r="BX86" s="141">
        <v>52470.000000000007</v>
      </c>
      <c r="BY86" s="141">
        <v>57292.4</v>
      </c>
      <c r="BZ86" s="141">
        <v>61466.9</v>
      </c>
      <c r="CA86" s="141">
        <v>68748.900000000009</v>
      </c>
      <c r="CB86" s="141">
        <v>85471.1</v>
      </c>
      <c r="CC86" s="141">
        <v>150651.6</v>
      </c>
      <c r="CD86" s="141">
        <v>189308.90000000002</v>
      </c>
      <c r="CE86" s="141">
        <v>233917.2</v>
      </c>
      <c r="CF86" s="141">
        <v>273960.5</v>
      </c>
      <c r="CG86" s="141">
        <v>339303.80000000005</v>
      </c>
      <c r="CH86" s="141">
        <v>412629.80000000005</v>
      </c>
      <c r="CI86" s="141">
        <v>498446.30000000005</v>
      </c>
      <c r="CJ86" s="141">
        <v>694207.8</v>
      </c>
      <c r="CN86" s="1"/>
      <c r="CO86" s="2" t="s">
        <v>15</v>
      </c>
      <c r="CP86" s="141">
        <v>21300.780000000002</v>
      </c>
      <c r="CQ86" s="141">
        <v>25752.34</v>
      </c>
      <c r="CR86" s="141">
        <v>32136.47</v>
      </c>
      <c r="CS86" s="141">
        <v>36853.990000000005</v>
      </c>
      <c r="CT86" s="141">
        <v>39786.090000000004</v>
      </c>
      <c r="CU86" s="141">
        <v>48330.600000000006</v>
      </c>
      <c r="CV86" s="141">
        <v>52765.810000000005</v>
      </c>
      <c r="CW86" s="141">
        <v>56603.700000000004</v>
      </c>
      <c r="CX86" s="141">
        <v>63299.570000000007</v>
      </c>
      <c r="CY86" s="141">
        <v>78676.200000000012</v>
      </c>
      <c r="CZ86" s="141">
        <v>138612.03</v>
      </c>
      <c r="DA86" s="141">
        <v>174158.02000000002</v>
      </c>
      <c r="DB86" s="141">
        <v>215175.81000000003</v>
      </c>
      <c r="DC86" s="141">
        <v>252106.1</v>
      </c>
      <c r="DD86" s="141">
        <v>312191.26</v>
      </c>
      <c r="DE86" s="141">
        <v>379616.48000000004</v>
      </c>
      <c r="DF86" s="141">
        <v>458527.03</v>
      </c>
      <c r="DG86" s="141">
        <v>638533.99</v>
      </c>
    </row>
    <row r="87" spans="1:111">
      <c r="A87" s="2" t="s">
        <v>17</v>
      </c>
      <c r="B87" t="s">
        <v>37</v>
      </c>
      <c r="C87" t="s">
        <v>38</v>
      </c>
      <c r="D87">
        <v>5</v>
      </c>
      <c r="E87" t="s">
        <v>46</v>
      </c>
      <c r="F87">
        <v>4</v>
      </c>
      <c r="G87">
        <v>2</v>
      </c>
      <c r="H87">
        <v>2</v>
      </c>
      <c r="I87">
        <v>1</v>
      </c>
      <c r="J87" s="4" t="s">
        <v>52</v>
      </c>
      <c r="K87" t="str">
        <f t="shared" si="5"/>
        <v>2+2</v>
      </c>
      <c r="L87">
        <f>VLOOKUP(A87,'ZONE 1 PREMIUM'!$A$4:$N$16,14,0)</f>
        <v>8</v>
      </c>
      <c r="M87">
        <f>VLOOKUP(D87,DROPDOWN!B:C,2,0)</f>
        <v>4</v>
      </c>
      <c r="N87" t="str">
        <f t="shared" si="6"/>
        <v>X113:AP124</v>
      </c>
      <c r="O87" s="4">
        <f t="shared" ca="1" si="7"/>
        <v>94680.65</v>
      </c>
      <c r="X87" s="2" t="s">
        <v>16</v>
      </c>
      <c r="Y87" s="141">
        <v>36929.949999999997</v>
      </c>
      <c r="Z87" s="141">
        <v>44785.599999999999</v>
      </c>
      <c r="AA87" s="141">
        <v>55824.45</v>
      </c>
      <c r="AB87" s="141">
        <v>65415.45</v>
      </c>
      <c r="AC87" s="141">
        <v>70746.849999999991</v>
      </c>
      <c r="AD87" s="141">
        <v>84590.549999999988</v>
      </c>
      <c r="AE87" s="141">
        <v>92543.95</v>
      </c>
      <c r="AF87" s="141">
        <v>99460.049999999988</v>
      </c>
      <c r="AG87" s="141">
        <v>111455.7</v>
      </c>
      <c r="AH87" s="141">
        <v>138906.19999999998</v>
      </c>
      <c r="AI87" s="141">
        <v>252881.55</v>
      </c>
      <c r="AJ87" s="141">
        <v>317072.25</v>
      </c>
      <c r="AK87" s="141">
        <v>391246.1</v>
      </c>
      <c r="AL87" s="141">
        <v>435833.89999999997</v>
      </c>
      <c r="AM87" s="141">
        <v>542956.39999999991</v>
      </c>
      <c r="AN87" s="141">
        <v>663478.69999999995</v>
      </c>
      <c r="AO87" s="141">
        <v>804795.29999999993</v>
      </c>
      <c r="AP87" s="141">
        <v>1126576.7999999998</v>
      </c>
      <c r="AT87" s="1"/>
      <c r="AU87" s="2" t="s">
        <v>16</v>
      </c>
      <c r="AV87" s="141">
        <v>32767.875</v>
      </c>
      <c r="AW87" s="141">
        <v>39724.875</v>
      </c>
      <c r="AX87" s="141">
        <v>49552.875</v>
      </c>
      <c r="AY87" s="141">
        <v>58044.375</v>
      </c>
      <c r="AZ87" s="141">
        <v>62766</v>
      </c>
      <c r="BA87" s="141">
        <v>75078</v>
      </c>
      <c r="BB87" s="141">
        <v>82120.5</v>
      </c>
      <c r="BC87" s="141">
        <v>88245</v>
      </c>
      <c r="BD87" s="141">
        <v>98868.375</v>
      </c>
      <c r="BE87" s="141">
        <v>123176.25</v>
      </c>
      <c r="BF87" s="141">
        <v>224104.5</v>
      </c>
      <c r="BG87" s="141">
        <v>280947.375</v>
      </c>
      <c r="BH87" s="141">
        <v>346630.5</v>
      </c>
      <c r="BI87" s="141">
        <v>386362.125</v>
      </c>
      <c r="BJ87" s="141">
        <v>481222.125</v>
      </c>
      <c r="BK87" s="141">
        <v>587948.625</v>
      </c>
      <c r="BL87" s="141">
        <v>713089.125</v>
      </c>
      <c r="BM87" s="141">
        <v>998035.875</v>
      </c>
      <c r="BQ87" s="1"/>
      <c r="BR87" s="2" t="s">
        <v>16</v>
      </c>
      <c r="BS87" s="141">
        <v>30231.300000000003</v>
      </c>
      <c r="BT87" s="141">
        <v>36641</v>
      </c>
      <c r="BU87" s="141">
        <v>45725.9</v>
      </c>
      <c r="BV87" s="141">
        <v>53551.3</v>
      </c>
      <c r="BW87" s="141">
        <v>57901.8</v>
      </c>
      <c r="BX87" s="141">
        <v>69275.8</v>
      </c>
      <c r="BY87" s="141">
        <v>75765.8</v>
      </c>
      <c r="BZ87" s="141">
        <v>81408.800000000003</v>
      </c>
      <c r="CA87" s="141">
        <v>91198.8</v>
      </c>
      <c r="CB87" s="141">
        <v>113598.1</v>
      </c>
      <c r="CC87" s="141">
        <v>206605.30000000002</v>
      </c>
      <c r="CD87" s="141">
        <v>258988.40000000002</v>
      </c>
      <c r="CE87" s="141">
        <v>319515.90000000002</v>
      </c>
      <c r="CF87" s="141">
        <v>356260.30000000005</v>
      </c>
      <c r="CG87" s="141">
        <v>443676.2</v>
      </c>
      <c r="CH87" s="141">
        <v>542026.10000000009</v>
      </c>
      <c r="CI87" s="141">
        <v>657345.70000000007</v>
      </c>
      <c r="CJ87" s="141">
        <v>919928.9</v>
      </c>
      <c r="CN87" s="1"/>
      <c r="CO87" s="2" t="s">
        <v>16</v>
      </c>
      <c r="CP87" s="141">
        <v>27833.15</v>
      </c>
      <c r="CQ87" s="141">
        <v>33727.870000000003</v>
      </c>
      <c r="CR87" s="141">
        <v>42108.880000000005</v>
      </c>
      <c r="CS87" s="141">
        <v>49305.060000000005</v>
      </c>
      <c r="CT87" s="141">
        <v>53305.36</v>
      </c>
      <c r="CU87" s="141">
        <v>63791.16</v>
      </c>
      <c r="CV87" s="141">
        <v>69758.91</v>
      </c>
      <c r="CW87" s="141">
        <v>74948.400000000009</v>
      </c>
      <c r="CX87" s="141">
        <v>83949.62000000001</v>
      </c>
      <c r="CY87" s="141">
        <v>104547.35</v>
      </c>
      <c r="CZ87" s="141">
        <v>190069.84000000003</v>
      </c>
      <c r="DA87" s="141">
        <v>238236.94000000003</v>
      </c>
      <c r="DB87" s="141">
        <v>293893.43</v>
      </c>
      <c r="DC87" s="141">
        <v>327813.14</v>
      </c>
      <c r="DD87" s="141">
        <v>408194.10000000003</v>
      </c>
      <c r="DE87" s="141">
        <v>498629.22000000003</v>
      </c>
      <c r="DF87" s="141">
        <v>604668.78</v>
      </c>
      <c r="DG87" s="141">
        <v>846121.22000000009</v>
      </c>
    </row>
    <row r="88" spans="1:111">
      <c r="A88" s="2" t="s">
        <v>18</v>
      </c>
      <c r="B88" t="s">
        <v>39</v>
      </c>
      <c r="C88" t="s">
        <v>40</v>
      </c>
      <c r="D88">
        <v>5</v>
      </c>
      <c r="E88" t="s">
        <v>46</v>
      </c>
      <c r="F88">
        <v>4</v>
      </c>
      <c r="G88">
        <v>2</v>
      </c>
      <c r="H88">
        <v>2</v>
      </c>
      <c r="I88">
        <v>1</v>
      </c>
      <c r="J88" s="4" t="s">
        <v>52</v>
      </c>
      <c r="K88" t="str">
        <f t="shared" si="5"/>
        <v>2+2</v>
      </c>
      <c r="L88">
        <f>VLOOKUP(A88,'ZONE 1 PREMIUM'!$A$4:$N$16,14,0)</f>
        <v>9</v>
      </c>
      <c r="M88">
        <f>VLOOKUP(D88,DROPDOWN!B:C,2,0)</f>
        <v>4</v>
      </c>
      <c r="N88" t="str">
        <f t="shared" si="6"/>
        <v>X113:AP124</v>
      </c>
      <c r="O88" s="4">
        <f t="shared" ca="1" si="7"/>
        <v>124194.24999999999</v>
      </c>
      <c r="X88" s="2" t="s">
        <v>17</v>
      </c>
      <c r="Y88" s="141">
        <v>51562.549999999996</v>
      </c>
      <c r="Z88" s="141">
        <v>62643.95</v>
      </c>
      <c r="AA88" s="141">
        <v>78168.95</v>
      </c>
      <c r="AB88" s="141">
        <v>89254.95</v>
      </c>
      <c r="AC88" s="141">
        <v>96647.15</v>
      </c>
      <c r="AD88" s="141">
        <v>116546.74999999999</v>
      </c>
      <c r="AE88" s="141">
        <v>127678.74999999999</v>
      </c>
      <c r="AF88" s="141">
        <v>136216.34999999998</v>
      </c>
      <c r="AG88" s="141">
        <v>152846.5</v>
      </c>
      <c r="AH88" s="141">
        <v>190756.24999999997</v>
      </c>
      <c r="AI88" s="141">
        <v>351229.55</v>
      </c>
      <c r="AJ88" s="141">
        <v>440099.24999999994</v>
      </c>
      <c r="AK88" s="141">
        <v>542986.29999999993</v>
      </c>
      <c r="AL88" s="141">
        <v>600025.14999999991</v>
      </c>
      <c r="AM88" s="141">
        <v>748733.95</v>
      </c>
      <c r="AN88" s="141">
        <v>916401.64999999991</v>
      </c>
      <c r="AO88" s="141">
        <v>1113313.8499999999</v>
      </c>
      <c r="AP88" s="141">
        <v>1560876.5999999999</v>
      </c>
      <c r="AT88" s="1"/>
      <c r="AU88" s="2" t="s">
        <v>17</v>
      </c>
      <c r="AV88" s="141">
        <v>45740.25</v>
      </c>
      <c r="AW88" s="141">
        <v>55552.5</v>
      </c>
      <c r="AX88" s="141">
        <v>69364.125</v>
      </c>
      <c r="AY88" s="141">
        <v>79180.875</v>
      </c>
      <c r="AZ88" s="141">
        <v>85727.25</v>
      </c>
      <c r="BA88" s="141">
        <v>103412.25</v>
      </c>
      <c r="BB88" s="141">
        <v>113270.625</v>
      </c>
      <c r="BC88" s="141">
        <v>120831.75</v>
      </c>
      <c r="BD88" s="141">
        <v>135558</v>
      </c>
      <c r="BE88" s="141">
        <v>169126.875</v>
      </c>
      <c r="BF88" s="141">
        <v>311231.25</v>
      </c>
      <c r="BG88" s="141">
        <v>389928.375</v>
      </c>
      <c r="BH88" s="141">
        <v>481037.625</v>
      </c>
      <c r="BI88" s="141">
        <v>531857.25</v>
      </c>
      <c r="BJ88" s="141">
        <v>663544.125</v>
      </c>
      <c r="BK88" s="141">
        <v>812018.25</v>
      </c>
      <c r="BL88" s="141">
        <v>986389.875</v>
      </c>
      <c r="BM88" s="141">
        <v>1382719.5</v>
      </c>
      <c r="BQ88" s="1"/>
      <c r="BR88" s="2" t="s">
        <v>17</v>
      </c>
      <c r="BS88" s="141">
        <v>42191.600000000006</v>
      </c>
      <c r="BT88" s="141">
        <v>51234.700000000004</v>
      </c>
      <c r="BU88" s="141">
        <v>63995.8</v>
      </c>
      <c r="BV88" s="141">
        <v>73042.200000000012</v>
      </c>
      <c r="BW88" s="141">
        <v>79074.600000000006</v>
      </c>
      <c r="BX88" s="141">
        <v>95405.200000000012</v>
      </c>
      <c r="BY88" s="141">
        <v>104490.1</v>
      </c>
      <c r="BZ88" s="141">
        <v>111457.50000000001</v>
      </c>
      <c r="CA88" s="141">
        <v>125028.20000000001</v>
      </c>
      <c r="CB88" s="141">
        <v>155963.5</v>
      </c>
      <c r="CC88" s="141">
        <v>286914.10000000003</v>
      </c>
      <c r="CD88" s="141">
        <v>359436</v>
      </c>
      <c r="CE88" s="141">
        <v>443394.60000000003</v>
      </c>
      <c r="CF88" s="141">
        <v>490388.80000000005</v>
      </c>
      <c r="CG88" s="141">
        <v>611740.80000000005</v>
      </c>
      <c r="CH88" s="141">
        <v>748563.20000000007</v>
      </c>
      <c r="CI88" s="141">
        <v>909250.10000000009</v>
      </c>
      <c r="CJ88" s="141">
        <v>1274475.4000000001</v>
      </c>
      <c r="CN88" s="1"/>
      <c r="CO88" s="2" t="s">
        <v>17</v>
      </c>
      <c r="CP88" s="141">
        <v>38838.880000000005</v>
      </c>
      <c r="CQ88" s="141">
        <v>47154.490000000005</v>
      </c>
      <c r="CR88" s="141">
        <v>58922.130000000005</v>
      </c>
      <c r="CS88" s="141">
        <v>67241.010000000009</v>
      </c>
      <c r="CT88" s="141">
        <v>72786.930000000008</v>
      </c>
      <c r="CU88" s="141">
        <v>87838.74</v>
      </c>
      <c r="CV88" s="141">
        <v>96191.41</v>
      </c>
      <c r="CW88" s="141">
        <v>102598.43000000001</v>
      </c>
      <c r="CX88" s="141">
        <v>115076.75000000001</v>
      </c>
      <c r="CY88" s="141">
        <v>143522.48000000001</v>
      </c>
      <c r="CZ88" s="141">
        <v>263934.78000000003</v>
      </c>
      <c r="DA88" s="141">
        <v>330619.89</v>
      </c>
      <c r="DB88" s="141">
        <v>407822.41000000003</v>
      </c>
      <c r="DC88" s="141">
        <v>451200.05000000005</v>
      </c>
      <c r="DD88" s="141">
        <v>562786.62</v>
      </c>
      <c r="DE88" s="141">
        <v>688597.69000000006</v>
      </c>
      <c r="DF88" s="141">
        <v>836353.7300000001</v>
      </c>
      <c r="DG88" s="141">
        <v>1172187.0900000001</v>
      </c>
    </row>
    <row r="89" spans="1:111">
      <c r="A89" s="2" t="s">
        <v>19</v>
      </c>
      <c r="B89" t="s">
        <v>41</v>
      </c>
      <c r="C89" t="s">
        <v>42</v>
      </c>
      <c r="D89">
        <v>5</v>
      </c>
      <c r="E89" t="s">
        <v>46</v>
      </c>
      <c r="F89">
        <v>4</v>
      </c>
      <c r="G89">
        <v>2</v>
      </c>
      <c r="H89">
        <v>2</v>
      </c>
      <c r="I89">
        <v>1</v>
      </c>
      <c r="J89" s="4" t="s">
        <v>52</v>
      </c>
      <c r="K89" t="str">
        <f t="shared" si="5"/>
        <v>2+2</v>
      </c>
      <c r="L89">
        <f>VLOOKUP(A89,'ZONE 1 PREMIUM'!$A$4:$N$16,14,0)</f>
        <v>10</v>
      </c>
      <c r="M89">
        <f>VLOOKUP(D89,DROPDOWN!B:C,2,0)</f>
        <v>4</v>
      </c>
      <c r="N89" t="str">
        <f t="shared" si="6"/>
        <v>X113:AP124</v>
      </c>
      <c r="O89" s="4">
        <f t="shared" ca="1" si="7"/>
        <v>162243.15</v>
      </c>
      <c r="X89" s="2" t="s">
        <v>18</v>
      </c>
      <c r="Y89" s="141">
        <v>71704.799999999988</v>
      </c>
      <c r="Z89" s="141">
        <v>87293.049999999988</v>
      </c>
      <c r="AA89" s="141">
        <v>108993.54999999999</v>
      </c>
      <c r="AB89" s="141">
        <v>126442.49999999999</v>
      </c>
      <c r="AC89" s="141">
        <v>137105.29999999999</v>
      </c>
      <c r="AD89" s="141">
        <v>164468.4</v>
      </c>
      <c r="AE89" s="141">
        <v>180459.15</v>
      </c>
      <c r="AF89" s="141">
        <v>191656.69999999998</v>
      </c>
      <c r="AG89" s="141">
        <v>215382.34999999998</v>
      </c>
      <c r="AH89" s="141">
        <v>269265.59999999998</v>
      </c>
      <c r="AI89" s="141">
        <v>491305.3</v>
      </c>
      <c r="AJ89" s="141">
        <v>617386.69999999995</v>
      </c>
      <c r="AK89" s="141">
        <v>763672.45</v>
      </c>
      <c r="AL89" s="141">
        <v>849095.6</v>
      </c>
      <c r="AM89" s="141">
        <v>1061558.0999999999</v>
      </c>
      <c r="AN89" s="141">
        <v>1301613.7</v>
      </c>
      <c r="AO89" s="141">
        <v>1583995.0499999998</v>
      </c>
      <c r="AP89" s="141">
        <v>2224666.9499999997</v>
      </c>
      <c r="AT89" s="1"/>
      <c r="AU89" s="2" t="s">
        <v>18</v>
      </c>
      <c r="AV89" s="141">
        <v>63583.875</v>
      </c>
      <c r="AW89" s="141">
        <v>77387.625</v>
      </c>
      <c r="AX89" s="141">
        <v>96674.625</v>
      </c>
      <c r="AY89" s="141">
        <v>112126.5</v>
      </c>
      <c r="AZ89" s="141">
        <v>121568.625</v>
      </c>
      <c r="BA89" s="141">
        <v>145868.625</v>
      </c>
      <c r="BB89" s="141">
        <v>160029</v>
      </c>
      <c r="BC89" s="141">
        <v>169944.75</v>
      </c>
      <c r="BD89" s="141">
        <v>190954.125</v>
      </c>
      <c r="BE89" s="141">
        <v>238669.875</v>
      </c>
      <c r="BF89" s="141">
        <v>435292.875</v>
      </c>
      <c r="BG89" s="141">
        <v>546941.25</v>
      </c>
      <c r="BH89" s="141">
        <v>676481.625</v>
      </c>
      <c r="BI89" s="141">
        <v>752463</v>
      </c>
      <c r="BJ89" s="141">
        <v>940604.625</v>
      </c>
      <c r="BK89" s="141">
        <v>1153181.25</v>
      </c>
      <c r="BL89" s="141">
        <v>1403238.375</v>
      </c>
      <c r="BM89" s="141">
        <v>1970572.5</v>
      </c>
      <c r="BQ89" s="1"/>
      <c r="BR89" s="2" t="s">
        <v>18</v>
      </c>
      <c r="BS89" s="141">
        <v>58639.9</v>
      </c>
      <c r="BT89" s="141">
        <v>71360.3</v>
      </c>
      <c r="BU89" s="141">
        <v>89170.400000000009</v>
      </c>
      <c r="BV89" s="141">
        <v>103408.8</v>
      </c>
      <c r="BW89" s="141">
        <v>112109.8</v>
      </c>
      <c r="BX89" s="141">
        <v>134539.90000000002</v>
      </c>
      <c r="BY89" s="141">
        <v>147589.20000000001</v>
      </c>
      <c r="BZ89" s="141">
        <v>156726.90000000002</v>
      </c>
      <c r="CA89" s="141">
        <v>176086.90000000002</v>
      </c>
      <c r="CB89" s="141">
        <v>220058.30000000002</v>
      </c>
      <c r="CC89" s="141">
        <v>401249.2</v>
      </c>
      <c r="CD89" s="141">
        <v>504135.50000000006</v>
      </c>
      <c r="CE89" s="141">
        <v>623510.80000000005</v>
      </c>
      <c r="CF89" s="141">
        <v>693705.10000000009</v>
      </c>
      <c r="CG89" s="141">
        <v>867081.60000000009</v>
      </c>
      <c r="CH89" s="141">
        <v>1062975.1000000001</v>
      </c>
      <c r="CI89" s="141">
        <v>1293407.5</v>
      </c>
      <c r="CJ89" s="141">
        <v>1816216.6</v>
      </c>
      <c r="CN89" s="1"/>
      <c r="CO89" s="2" t="s">
        <v>18</v>
      </c>
      <c r="CP89" s="141">
        <v>53968.08</v>
      </c>
      <c r="CQ89" s="141">
        <v>65663.78</v>
      </c>
      <c r="CR89" s="141">
        <v>82078.090000000011</v>
      </c>
      <c r="CS89" s="141">
        <v>95171.170000000013</v>
      </c>
      <c r="CT89" s="141">
        <v>103171.77</v>
      </c>
      <c r="CU89" s="141">
        <v>123833.81000000001</v>
      </c>
      <c r="CV89" s="141">
        <v>135832.53</v>
      </c>
      <c r="CW89" s="141">
        <v>144234.25</v>
      </c>
      <c r="CX89" s="141">
        <v>162037.22</v>
      </c>
      <c r="CY89" s="141">
        <v>202469.68000000002</v>
      </c>
      <c r="CZ89" s="141">
        <v>369079.45</v>
      </c>
      <c r="DA89" s="141">
        <v>463686.00000000006</v>
      </c>
      <c r="DB89" s="141">
        <v>573454.45000000007</v>
      </c>
      <c r="DC89" s="141">
        <v>638178.65</v>
      </c>
      <c r="DD89" s="141">
        <v>797603.14</v>
      </c>
      <c r="DE89" s="141">
        <v>977732.18</v>
      </c>
      <c r="DF89" s="141">
        <v>1189620.55</v>
      </c>
      <c r="DG89" s="141">
        <v>1670356.33</v>
      </c>
    </row>
    <row r="90" spans="1:111">
      <c r="A90" s="2" t="s">
        <v>20</v>
      </c>
      <c r="B90" t="s">
        <v>43</v>
      </c>
      <c r="C90" t="s">
        <v>44</v>
      </c>
      <c r="D90">
        <v>5</v>
      </c>
      <c r="E90" t="s">
        <v>46</v>
      </c>
      <c r="F90">
        <v>4</v>
      </c>
      <c r="G90">
        <v>2</v>
      </c>
      <c r="H90">
        <v>2</v>
      </c>
      <c r="I90">
        <v>1</v>
      </c>
      <c r="J90" s="4" t="s">
        <v>52</v>
      </c>
      <c r="K90" t="str">
        <f t="shared" si="5"/>
        <v>2+2</v>
      </c>
      <c r="L90">
        <f>VLOOKUP(A90,'ZONE 1 PREMIUM'!$A$4:$N$16,14,0)</f>
        <v>11</v>
      </c>
      <c r="M90">
        <f>VLOOKUP(D90,DROPDOWN!B:C,2,0)</f>
        <v>4</v>
      </c>
      <c r="N90" t="str">
        <f t="shared" si="6"/>
        <v>X113:AP124</v>
      </c>
      <c r="O90" s="4">
        <f t="shared" ca="1" si="7"/>
        <v>198956.9</v>
      </c>
      <c r="X90" s="2" t="s">
        <v>19</v>
      </c>
      <c r="Y90" s="141">
        <v>100959.65</v>
      </c>
      <c r="Z90" s="141">
        <v>123162.7</v>
      </c>
      <c r="AA90" s="141">
        <v>153867.69999999998</v>
      </c>
      <c r="AB90" s="141">
        <v>175695.84999999998</v>
      </c>
      <c r="AC90" s="141">
        <v>190773.49999999997</v>
      </c>
      <c r="AD90" s="141">
        <v>228013.94999999998</v>
      </c>
      <c r="AE90" s="141">
        <v>250632.15</v>
      </c>
      <c r="AF90" s="141">
        <v>269324.25</v>
      </c>
      <c r="AG90" s="141">
        <v>303118.14999999997</v>
      </c>
      <c r="AH90" s="141">
        <v>379587.39999999997</v>
      </c>
      <c r="AI90" s="141">
        <v>676517.39999999991</v>
      </c>
      <c r="AJ90" s="141">
        <v>854597.2</v>
      </c>
      <c r="AK90" s="141">
        <v>1061708.75</v>
      </c>
      <c r="AL90" s="141">
        <v>1199439.6499999999</v>
      </c>
      <c r="AM90" s="141">
        <v>1502487.65</v>
      </c>
      <c r="AN90" s="141">
        <v>1845624.65</v>
      </c>
      <c r="AO90" s="141">
        <v>2249920.9499999997</v>
      </c>
      <c r="AP90" s="141">
        <v>3165567.05</v>
      </c>
      <c r="AT90" s="1"/>
      <c r="AU90" s="2" t="s">
        <v>19</v>
      </c>
      <c r="AV90" s="141">
        <v>89492.625</v>
      </c>
      <c r="AW90" s="141">
        <v>109155.375</v>
      </c>
      <c r="AX90" s="141">
        <v>136414.125</v>
      </c>
      <c r="AY90" s="141">
        <v>155745</v>
      </c>
      <c r="AZ90" s="141">
        <v>169095.375</v>
      </c>
      <c r="BA90" s="141">
        <v>202143.375</v>
      </c>
      <c r="BB90" s="141">
        <v>222177.375</v>
      </c>
      <c r="BC90" s="141">
        <v>238729.5</v>
      </c>
      <c r="BD90" s="141">
        <v>268655.625</v>
      </c>
      <c r="BE90" s="141">
        <v>336371.625</v>
      </c>
      <c r="BF90" s="141">
        <v>599322.375</v>
      </c>
      <c r="BG90" s="141">
        <v>757017</v>
      </c>
      <c r="BH90" s="141">
        <v>940421.25</v>
      </c>
      <c r="BI90" s="141">
        <v>1062703.125</v>
      </c>
      <c r="BJ90" s="141">
        <v>1331060.625</v>
      </c>
      <c r="BK90" s="141">
        <v>1634918.625</v>
      </c>
      <c r="BL90" s="141">
        <v>1992935.25</v>
      </c>
      <c r="BM90" s="141">
        <v>2803767.75</v>
      </c>
      <c r="BQ90" s="1"/>
      <c r="BR90" s="2" t="s">
        <v>19</v>
      </c>
      <c r="BS90" s="141">
        <v>82516.5</v>
      </c>
      <c r="BT90" s="141">
        <v>100635.70000000001</v>
      </c>
      <c r="BU90" s="141">
        <v>125792.70000000001</v>
      </c>
      <c r="BV90" s="141">
        <v>143606.1</v>
      </c>
      <c r="BW90" s="141">
        <v>155909.6</v>
      </c>
      <c r="BX90" s="141">
        <v>186400.50000000003</v>
      </c>
      <c r="BY90" s="141">
        <v>204864.00000000003</v>
      </c>
      <c r="BZ90" s="141">
        <v>220117.7</v>
      </c>
      <c r="CA90" s="141">
        <v>247694.7</v>
      </c>
      <c r="CB90" s="141">
        <v>310096.60000000003</v>
      </c>
      <c r="CC90" s="141">
        <v>552416.70000000007</v>
      </c>
      <c r="CD90" s="141">
        <v>697734.4</v>
      </c>
      <c r="CE90" s="141">
        <v>866745.00000000012</v>
      </c>
      <c r="CF90" s="141">
        <v>979597.3</v>
      </c>
      <c r="CG90" s="141">
        <v>1226893.8</v>
      </c>
      <c r="CH90" s="141">
        <v>1506904.3</v>
      </c>
      <c r="CI90" s="141">
        <v>1836824.0000000002</v>
      </c>
      <c r="CJ90" s="141">
        <v>2584021</v>
      </c>
      <c r="CN90" s="1"/>
      <c r="CO90" s="2" t="s">
        <v>19</v>
      </c>
      <c r="CP90" s="141">
        <v>75923.950000000012</v>
      </c>
      <c r="CQ90" s="141">
        <v>92585.69</v>
      </c>
      <c r="CR90" s="141">
        <v>115754.73000000001</v>
      </c>
      <c r="CS90" s="141">
        <v>132134.16</v>
      </c>
      <c r="CT90" s="141">
        <v>143447.27000000002</v>
      </c>
      <c r="CU90" s="141">
        <v>171522.40000000002</v>
      </c>
      <c r="CV90" s="141">
        <v>188502.42</v>
      </c>
      <c r="CW90" s="141">
        <v>202528.54</v>
      </c>
      <c r="CX90" s="141">
        <v>227887.39</v>
      </c>
      <c r="CY90" s="141">
        <v>285266.08</v>
      </c>
      <c r="CZ90" s="141">
        <v>508091.51</v>
      </c>
      <c r="DA90" s="141">
        <v>641715.70000000007</v>
      </c>
      <c r="DB90" s="141">
        <v>797124.63</v>
      </c>
      <c r="DC90" s="141">
        <v>901063.76</v>
      </c>
      <c r="DD90" s="141">
        <v>1128459.56</v>
      </c>
      <c r="DE90" s="141">
        <v>1385936.09</v>
      </c>
      <c r="DF90" s="141">
        <v>1689305.9800000002</v>
      </c>
      <c r="DG90" s="141">
        <v>2376372.2200000002</v>
      </c>
    </row>
    <row r="91" spans="1:111">
      <c r="A91" s="2" t="s">
        <v>21</v>
      </c>
      <c r="B91" t="s">
        <v>22</v>
      </c>
      <c r="D91">
        <v>5</v>
      </c>
      <c r="E91" t="s">
        <v>46</v>
      </c>
      <c r="F91">
        <v>4</v>
      </c>
      <c r="G91">
        <v>2</v>
      </c>
      <c r="H91">
        <v>2</v>
      </c>
      <c r="I91">
        <v>1</v>
      </c>
      <c r="J91" s="4" t="s">
        <v>52</v>
      </c>
      <c r="K91" t="str">
        <f t="shared" si="5"/>
        <v>2+2</v>
      </c>
      <c r="L91">
        <f>VLOOKUP(A91,'ZONE 1 PREMIUM'!$A$4:$N$16,14,0)</f>
        <v>12</v>
      </c>
      <c r="M91">
        <f>VLOOKUP(D91,DROPDOWN!B:C,2,0)</f>
        <v>4</v>
      </c>
      <c r="N91" t="str">
        <f t="shared" si="6"/>
        <v>X113:AP124</v>
      </c>
      <c r="O91" s="4">
        <f t="shared" ca="1" si="7"/>
        <v>251697.05</v>
      </c>
      <c r="X91" s="2" t="s">
        <v>20</v>
      </c>
      <c r="Y91" s="141">
        <v>125332.74999999999</v>
      </c>
      <c r="Z91" s="141">
        <v>153154.69999999998</v>
      </c>
      <c r="AA91" s="141">
        <v>191587.69999999998</v>
      </c>
      <c r="AB91" s="141">
        <v>216802.59999999998</v>
      </c>
      <c r="AC91" s="141">
        <v>235691.34999999998</v>
      </c>
      <c r="AD91" s="141">
        <v>281801.75</v>
      </c>
      <c r="AE91" s="141">
        <v>310187.19999999995</v>
      </c>
      <c r="AF91" s="141">
        <v>335215.8</v>
      </c>
      <c r="AG91" s="141">
        <v>377762.35</v>
      </c>
      <c r="AH91" s="141">
        <v>473694.19999999995</v>
      </c>
      <c r="AI91" s="141">
        <v>819238.14999999991</v>
      </c>
      <c r="AJ91" s="141">
        <v>1041359.4999999999</v>
      </c>
      <c r="AK91" s="141">
        <v>1300324.5499999998</v>
      </c>
      <c r="AL91" s="141">
        <v>1500143.95</v>
      </c>
      <c r="AM91" s="141">
        <v>1882219.95</v>
      </c>
      <c r="AN91" s="141">
        <v>2315713.5999999996</v>
      </c>
      <c r="AO91" s="141">
        <v>2827271.55</v>
      </c>
      <c r="AP91" s="141">
        <v>3983850.6999999997</v>
      </c>
      <c r="AT91" s="1"/>
      <c r="AU91" s="2" t="s">
        <v>20</v>
      </c>
      <c r="AV91" s="141">
        <v>111076.875</v>
      </c>
      <c r="AW91" s="141">
        <v>135714.375</v>
      </c>
      <c r="AX91" s="141">
        <v>169816.5</v>
      </c>
      <c r="AY91" s="141">
        <v>192145.5</v>
      </c>
      <c r="AZ91" s="141">
        <v>208872</v>
      </c>
      <c r="BA91" s="141">
        <v>249773.625</v>
      </c>
      <c r="BB91" s="141">
        <v>274916.25</v>
      </c>
      <c r="BC91" s="141">
        <v>297081</v>
      </c>
      <c r="BD91" s="141">
        <v>334756.125</v>
      </c>
      <c r="BE91" s="141">
        <v>419707.125</v>
      </c>
      <c r="BF91" s="141">
        <v>725711.625</v>
      </c>
      <c r="BG91" s="141">
        <v>922407.75</v>
      </c>
      <c r="BH91" s="141">
        <v>1151728.875</v>
      </c>
      <c r="BI91" s="141">
        <v>1328979.375</v>
      </c>
      <c r="BJ91" s="141">
        <v>1667318.625</v>
      </c>
      <c r="BK91" s="141">
        <v>2051190</v>
      </c>
      <c r="BL91" s="141">
        <v>2504189.25</v>
      </c>
      <c r="BM91" s="141">
        <v>3528374.625</v>
      </c>
      <c r="BQ91" s="1"/>
      <c r="BR91" s="2" t="s">
        <v>20</v>
      </c>
      <c r="BS91" s="141">
        <v>102407.8</v>
      </c>
      <c r="BT91" s="141">
        <v>125110.70000000001</v>
      </c>
      <c r="BU91" s="141">
        <v>156572.90000000002</v>
      </c>
      <c r="BV91" s="141">
        <v>177149.5</v>
      </c>
      <c r="BW91" s="141">
        <v>192563.80000000002</v>
      </c>
      <c r="BX91" s="141">
        <v>230291.6</v>
      </c>
      <c r="BY91" s="141">
        <v>253465.30000000002</v>
      </c>
      <c r="BZ91" s="141">
        <v>273890.10000000003</v>
      </c>
      <c r="CA91" s="141">
        <v>308609.40000000002</v>
      </c>
      <c r="CB91" s="141">
        <v>386893.10000000003</v>
      </c>
      <c r="CC91" s="141">
        <v>668890.20000000007</v>
      </c>
      <c r="CD91" s="141">
        <v>850149.3</v>
      </c>
      <c r="CE91" s="141">
        <v>1061472.5</v>
      </c>
      <c r="CF91" s="141">
        <v>1224972.1000000001</v>
      </c>
      <c r="CG91" s="141">
        <v>1536758.3</v>
      </c>
      <c r="CH91" s="141">
        <v>1890504.0000000002</v>
      </c>
      <c r="CI91" s="141">
        <v>2307950.7000000002</v>
      </c>
      <c r="CJ91" s="141">
        <v>3251757.3000000003</v>
      </c>
      <c r="CN91" s="1"/>
      <c r="CO91" s="2" t="s">
        <v>20</v>
      </c>
      <c r="CP91" s="141">
        <v>94214.150000000009</v>
      </c>
      <c r="CQ91" s="141">
        <v>115090.92000000001</v>
      </c>
      <c r="CR91" s="141">
        <v>144057.67000000001</v>
      </c>
      <c r="CS91" s="141">
        <v>162978.98000000001</v>
      </c>
      <c r="CT91" s="141">
        <v>177152.25</v>
      </c>
      <c r="CU91" s="141">
        <v>211880.74000000002</v>
      </c>
      <c r="CV91" s="141">
        <v>233193.51</v>
      </c>
      <c r="CW91" s="141">
        <v>251974.21000000002</v>
      </c>
      <c r="CX91" s="141">
        <v>283899.22000000003</v>
      </c>
      <c r="CY91" s="141">
        <v>355883.91000000003</v>
      </c>
      <c r="CZ91" s="141">
        <v>615196</v>
      </c>
      <c r="DA91" s="141">
        <v>781867.9</v>
      </c>
      <c r="DB91" s="141">
        <v>976185.47000000009</v>
      </c>
      <c r="DC91" s="141">
        <v>1126688.31</v>
      </c>
      <c r="DD91" s="141">
        <v>1413383.3800000001</v>
      </c>
      <c r="DE91" s="141">
        <v>1738661.1800000002</v>
      </c>
      <c r="DF91" s="141">
        <v>2122514.4900000002</v>
      </c>
      <c r="DG91" s="141">
        <v>2990368.1300000004</v>
      </c>
    </row>
    <row r="92" spans="1:111">
      <c r="A92" s="2" t="s">
        <v>11</v>
      </c>
      <c r="B92" t="s">
        <v>45</v>
      </c>
      <c r="C92" t="s">
        <v>25</v>
      </c>
      <c r="D92">
        <v>5</v>
      </c>
      <c r="E92" t="s">
        <v>46</v>
      </c>
      <c r="F92">
        <v>5</v>
      </c>
      <c r="G92">
        <v>2</v>
      </c>
      <c r="H92">
        <v>3</v>
      </c>
      <c r="I92">
        <v>1</v>
      </c>
      <c r="J92" s="4" t="s">
        <v>52</v>
      </c>
      <c r="K92" t="str">
        <f t="shared" si="5"/>
        <v>2+3</v>
      </c>
      <c r="L92">
        <f>VLOOKUP(A92,'ZONE 1 PREMIUM'!$A$4:$N$16,14,0)</f>
        <v>2</v>
      </c>
      <c r="M92">
        <f>VLOOKUP(D92,DROPDOWN!B:C,2,0)</f>
        <v>4</v>
      </c>
      <c r="N92" t="str">
        <f t="shared" si="6"/>
        <v>X128:AP139</v>
      </c>
      <c r="O92" s="4">
        <f t="shared" ca="1" si="7"/>
        <v>37440.549999999996</v>
      </c>
      <c r="X92" s="2" t="s">
        <v>21</v>
      </c>
      <c r="Y92" s="141">
        <v>159386.54999999999</v>
      </c>
      <c r="Z92" s="141">
        <v>195094.05</v>
      </c>
      <c r="AA92" s="141">
        <v>244326.69999999998</v>
      </c>
      <c r="AB92" s="141">
        <v>276870.55</v>
      </c>
      <c r="AC92" s="141">
        <v>301375.89999999997</v>
      </c>
      <c r="AD92" s="141">
        <v>360594</v>
      </c>
      <c r="AE92" s="141">
        <v>397444.6</v>
      </c>
      <c r="AF92" s="141">
        <v>430105.74999999994</v>
      </c>
      <c r="AG92" s="141">
        <v>485351.74999999994</v>
      </c>
      <c r="AH92" s="141">
        <v>609455.14999999991</v>
      </c>
      <c r="AI92" s="141">
        <v>1018173.2</v>
      </c>
      <c r="AJ92" s="141">
        <v>1303705.5499999998</v>
      </c>
      <c r="AK92" s="141">
        <v>1637476.95</v>
      </c>
      <c r="AL92" s="141">
        <v>1935345.3499999999</v>
      </c>
      <c r="AM92" s="141">
        <v>2432267.25</v>
      </c>
      <c r="AN92" s="141">
        <v>2997245</v>
      </c>
      <c r="AO92" s="141">
        <v>3665052.3</v>
      </c>
      <c r="AP92" s="141">
        <v>5172175.5999999996</v>
      </c>
      <c r="AT92" s="1"/>
      <c r="AU92" s="2" t="s">
        <v>21</v>
      </c>
      <c r="AV92" s="141">
        <v>141231.375</v>
      </c>
      <c r="AW92" s="141">
        <v>172850.625</v>
      </c>
      <c r="AX92" s="141">
        <v>216515.25</v>
      </c>
      <c r="AY92" s="141">
        <v>245335.5</v>
      </c>
      <c r="AZ92" s="141">
        <v>267034.5</v>
      </c>
      <c r="BA92" s="141">
        <v>319542.75</v>
      </c>
      <c r="BB92" s="141">
        <v>352182.375</v>
      </c>
      <c r="BC92" s="141">
        <v>381105</v>
      </c>
      <c r="BD92" s="141">
        <v>430025.625</v>
      </c>
      <c r="BE92" s="141">
        <v>539923.5</v>
      </c>
      <c r="BF92" s="141">
        <v>901870.875</v>
      </c>
      <c r="BG92" s="141">
        <v>1154719.125</v>
      </c>
      <c r="BH92" s="141">
        <v>1450283.625</v>
      </c>
      <c r="BI92" s="141">
        <v>1714353.75</v>
      </c>
      <c r="BJ92" s="141">
        <v>2154393</v>
      </c>
      <c r="BK92" s="141">
        <v>2654697.375</v>
      </c>
      <c r="BL92" s="141">
        <v>3246061.5</v>
      </c>
      <c r="BM92" s="141">
        <v>4580664.75</v>
      </c>
      <c r="BQ92" s="1"/>
      <c r="BR92" s="2" t="s">
        <v>21</v>
      </c>
      <c r="BS92" s="141">
        <v>130193.80000000002</v>
      </c>
      <c r="BT92" s="141">
        <v>159332.80000000002</v>
      </c>
      <c r="BU92" s="141">
        <v>199606.00000000003</v>
      </c>
      <c r="BV92" s="141">
        <v>226163.30000000002</v>
      </c>
      <c r="BW92" s="141">
        <v>246160.2</v>
      </c>
      <c r="BX92" s="141">
        <v>294583.30000000005</v>
      </c>
      <c r="BY92" s="141">
        <v>324665</v>
      </c>
      <c r="BZ92" s="141">
        <v>351318</v>
      </c>
      <c r="CA92" s="141">
        <v>396400.4</v>
      </c>
      <c r="CB92" s="141">
        <v>497673.00000000006</v>
      </c>
      <c r="CC92" s="141">
        <v>831222.70000000007</v>
      </c>
      <c r="CD92" s="141">
        <v>1064226.9000000001</v>
      </c>
      <c r="CE92" s="141">
        <v>1336594.6000000001</v>
      </c>
      <c r="CF92" s="141">
        <v>1580098.3</v>
      </c>
      <c r="CG92" s="141">
        <v>1985602.3</v>
      </c>
      <c r="CH92" s="141">
        <v>2446643.1</v>
      </c>
      <c r="CI92" s="141">
        <v>2991595.2</v>
      </c>
      <c r="CJ92" s="141">
        <v>4221457.9000000004</v>
      </c>
      <c r="CN92" s="1"/>
      <c r="CO92" s="2" t="s">
        <v>21</v>
      </c>
      <c r="CP92" s="141">
        <v>119764.84000000001</v>
      </c>
      <c r="CQ92" s="141">
        <v>146558.13</v>
      </c>
      <c r="CR92" s="141">
        <v>183626.85</v>
      </c>
      <c r="CS92" s="141">
        <v>208047.21000000002</v>
      </c>
      <c r="CT92" s="141">
        <v>226434.42</v>
      </c>
      <c r="CU92" s="141">
        <v>270996.89</v>
      </c>
      <c r="CV92" s="141">
        <v>298661.09000000003</v>
      </c>
      <c r="CW92" s="141">
        <v>323169.74000000005</v>
      </c>
      <c r="CX92" s="141">
        <v>364623.53</v>
      </c>
      <c r="CY92" s="141">
        <v>457746.59</v>
      </c>
      <c r="CZ92" s="141">
        <v>764461.69000000006</v>
      </c>
      <c r="DA92" s="141">
        <v>978715.3600000001</v>
      </c>
      <c r="DB92" s="141">
        <v>1229164.6600000001</v>
      </c>
      <c r="DC92" s="141">
        <v>1453231.6</v>
      </c>
      <c r="DD92" s="141">
        <v>1826102.07</v>
      </c>
      <c r="DE92" s="141">
        <v>2250041.2200000002</v>
      </c>
      <c r="DF92" s="141">
        <v>2751138.2</v>
      </c>
      <c r="DG92" s="141">
        <v>3882027.37</v>
      </c>
    </row>
    <row r="93" spans="1:111">
      <c r="A93" s="2" t="s">
        <v>12</v>
      </c>
      <c r="B93" t="s">
        <v>27</v>
      </c>
      <c r="C93" t="s">
        <v>28</v>
      </c>
      <c r="D93">
        <v>5</v>
      </c>
      <c r="E93" t="s">
        <v>46</v>
      </c>
      <c r="F93">
        <v>5</v>
      </c>
      <c r="G93">
        <v>2</v>
      </c>
      <c r="H93">
        <v>3</v>
      </c>
      <c r="I93">
        <v>1</v>
      </c>
      <c r="J93" s="4" t="s">
        <v>52</v>
      </c>
      <c r="K93" t="str">
        <f t="shared" si="5"/>
        <v>2+3</v>
      </c>
      <c r="L93">
        <f>VLOOKUP(A93,'ZONE 1 PREMIUM'!$A$4:$N$16,14,0)</f>
        <v>3</v>
      </c>
      <c r="M93">
        <f>VLOOKUP(D93,DROPDOWN!B:C,2,0)</f>
        <v>4</v>
      </c>
      <c r="N93" t="str">
        <f t="shared" si="6"/>
        <v>X128:AP139</v>
      </c>
      <c r="O93" s="4">
        <f t="shared" ca="1" si="7"/>
        <v>40415.599999999999</v>
      </c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</row>
    <row r="94" spans="1:111">
      <c r="A94" s="2" t="s">
        <v>13</v>
      </c>
      <c r="B94" t="s">
        <v>29</v>
      </c>
      <c r="C94" t="s">
        <v>30</v>
      </c>
      <c r="D94">
        <v>5</v>
      </c>
      <c r="E94" t="s">
        <v>46</v>
      </c>
      <c r="F94">
        <v>5</v>
      </c>
      <c r="G94">
        <v>2</v>
      </c>
      <c r="H94">
        <v>3</v>
      </c>
      <c r="I94">
        <v>1</v>
      </c>
      <c r="J94" s="4" t="s">
        <v>52</v>
      </c>
      <c r="K94" t="str">
        <f t="shared" si="5"/>
        <v>2+3</v>
      </c>
      <c r="L94">
        <f>VLOOKUP(A94,'ZONE 1 PREMIUM'!$A$4:$N$16,14,0)</f>
        <v>4</v>
      </c>
      <c r="M94">
        <f>VLOOKUP(D94,DROPDOWN!B:C,2,0)</f>
        <v>4</v>
      </c>
      <c r="N94" t="str">
        <f t="shared" si="6"/>
        <v>X128:AP139</v>
      </c>
      <c r="O94" s="4">
        <f t="shared" ca="1" si="7"/>
        <v>45525.049999999996</v>
      </c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</row>
    <row r="95" spans="1:111">
      <c r="A95" s="2" t="s">
        <v>14</v>
      </c>
      <c r="B95" t="s">
        <v>31</v>
      </c>
      <c r="C95" t="s">
        <v>32</v>
      </c>
      <c r="D95">
        <v>5</v>
      </c>
      <c r="E95" t="s">
        <v>46</v>
      </c>
      <c r="F95">
        <v>5</v>
      </c>
      <c r="G95">
        <v>2</v>
      </c>
      <c r="H95">
        <v>3</v>
      </c>
      <c r="I95">
        <v>1</v>
      </c>
      <c r="J95" s="4" t="s">
        <v>52</v>
      </c>
      <c r="K95" t="str">
        <f t="shared" si="5"/>
        <v>2+3</v>
      </c>
      <c r="L95">
        <f>VLOOKUP(A95,'ZONE 1 PREMIUM'!$A$4:$N$16,14,0)</f>
        <v>5</v>
      </c>
      <c r="M95">
        <f>VLOOKUP(D95,DROPDOWN!B:C,2,0)</f>
        <v>4</v>
      </c>
      <c r="N95" t="str">
        <f t="shared" si="6"/>
        <v>X128:AP139</v>
      </c>
      <c r="O95" s="4">
        <f t="shared" ca="1" si="7"/>
        <v>51155.45</v>
      </c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</row>
    <row r="96" spans="1:111">
      <c r="A96" s="2" t="s">
        <v>15</v>
      </c>
      <c r="B96" t="s">
        <v>33</v>
      </c>
      <c r="C96" t="s">
        <v>34</v>
      </c>
      <c r="D96">
        <v>5</v>
      </c>
      <c r="E96" t="s">
        <v>46</v>
      </c>
      <c r="F96">
        <v>5</v>
      </c>
      <c r="G96">
        <v>2</v>
      </c>
      <c r="H96">
        <v>3</v>
      </c>
      <c r="I96">
        <v>1</v>
      </c>
      <c r="J96" s="4" t="s">
        <v>52</v>
      </c>
      <c r="K96" t="str">
        <f t="shared" si="5"/>
        <v>2+3</v>
      </c>
      <c r="L96">
        <f>VLOOKUP(A96,'ZONE 1 PREMIUM'!$A$4:$N$16,14,0)</f>
        <v>6</v>
      </c>
      <c r="M96">
        <f>VLOOKUP(D96,DROPDOWN!B:C,2,0)</f>
        <v>4</v>
      </c>
      <c r="N96" t="str">
        <f t="shared" si="6"/>
        <v>X128:AP139</v>
      </c>
      <c r="O96" s="4">
        <f t="shared" ca="1" si="7"/>
        <v>62213.85</v>
      </c>
      <c r="X96" s="85" t="s">
        <v>66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</row>
    <row r="97" spans="1:111">
      <c r="A97" s="2" t="s">
        <v>16</v>
      </c>
      <c r="B97" t="s">
        <v>35</v>
      </c>
      <c r="C97" t="s">
        <v>36</v>
      </c>
      <c r="D97">
        <v>5</v>
      </c>
      <c r="E97" t="s">
        <v>46</v>
      </c>
      <c r="F97">
        <v>5</v>
      </c>
      <c r="G97">
        <v>2</v>
      </c>
      <c r="H97">
        <v>3</v>
      </c>
      <c r="I97">
        <v>1</v>
      </c>
      <c r="J97" s="4" t="s">
        <v>52</v>
      </c>
      <c r="K97" t="str">
        <f t="shared" si="5"/>
        <v>2+3</v>
      </c>
      <c r="L97">
        <f>VLOOKUP(A97,'ZONE 1 PREMIUM'!$A$4:$N$16,14,0)</f>
        <v>7</v>
      </c>
      <c r="M97">
        <f>VLOOKUP(D97,DROPDOWN!B:C,2,0)</f>
        <v>4</v>
      </c>
      <c r="N97" t="str">
        <f t="shared" si="6"/>
        <v>X128:AP139</v>
      </c>
      <c r="O97" s="4">
        <f t="shared" ca="1" si="7"/>
        <v>78741.649999999994</v>
      </c>
      <c r="X97" s="1"/>
      <c r="Y97" s="153" t="s">
        <v>211</v>
      </c>
      <c r="Z97" s="153"/>
      <c r="AA97" s="143" t="s">
        <v>57</v>
      </c>
      <c r="AB97" s="143"/>
      <c r="AC97" s="143"/>
      <c r="AD97" s="144" t="s">
        <v>58</v>
      </c>
      <c r="AE97" s="144"/>
      <c r="AF97" s="144"/>
      <c r="AG97" s="144"/>
      <c r="AH97" s="144"/>
      <c r="AI97" s="142" t="s">
        <v>59</v>
      </c>
      <c r="AJ97" s="142"/>
      <c r="AK97" s="142"/>
      <c r="AL97" s="154" t="s">
        <v>176</v>
      </c>
      <c r="AM97" s="154"/>
      <c r="AN97" s="154"/>
      <c r="AO97" s="154"/>
      <c r="AP97" s="154"/>
      <c r="AT97" s="5" t="s">
        <v>66</v>
      </c>
      <c r="AU97" s="1"/>
      <c r="AV97" s="117" t="s">
        <v>211</v>
      </c>
      <c r="AW97" s="117"/>
      <c r="AX97" s="118" t="s">
        <v>57</v>
      </c>
      <c r="AY97" s="118"/>
      <c r="AZ97" s="118"/>
      <c r="BA97" s="119" t="s">
        <v>58</v>
      </c>
      <c r="BB97" s="119"/>
      <c r="BC97" s="119"/>
      <c r="BD97" s="119"/>
      <c r="BE97" s="119"/>
      <c r="BF97" s="120" t="s">
        <v>59</v>
      </c>
      <c r="BG97" s="120"/>
      <c r="BH97" s="120"/>
      <c r="BI97" s="116" t="s">
        <v>176</v>
      </c>
      <c r="BJ97" s="116"/>
      <c r="BK97" s="116"/>
      <c r="BL97" s="116"/>
      <c r="BM97" s="116"/>
      <c r="BQ97" s="5" t="s">
        <v>66</v>
      </c>
      <c r="BR97" s="1"/>
      <c r="BS97" s="117" t="s">
        <v>211</v>
      </c>
      <c r="BT97" s="117"/>
      <c r="BU97" s="118" t="s">
        <v>57</v>
      </c>
      <c r="BV97" s="118"/>
      <c r="BW97" s="118"/>
      <c r="BX97" s="119" t="s">
        <v>58</v>
      </c>
      <c r="BY97" s="119"/>
      <c r="BZ97" s="119"/>
      <c r="CA97" s="119"/>
      <c r="CB97" s="119"/>
      <c r="CC97" s="120" t="s">
        <v>59</v>
      </c>
      <c r="CD97" s="120"/>
      <c r="CE97" s="120"/>
      <c r="CF97" s="116" t="s">
        <v>176</v>
      </c>
      <c r="CG97" s="116"/>
      <c r="CH97" s="116"/>
      <c r="CI97" s="116"/>
      <c r="CJ97" s="116"/>
      <c r="CN97" s="5" t="s">
        <v>66</v>
      </c>
      <c r="CO97" s="1"/>
      <c r="CP97" s="117" t="s">
        <v>211</v>
      </c>
      <c r="CQ97" s="117"/>
      <c r="CR97" s="118" t="s">
        <v>57</v>
      </c>
      <c r="CS97" s="118"/>
      <c r="CT97" s="118"/>
      <c r="CU97" s="119" t="s">
        <v>58</v>
      </c>
      <c r="CV97" s="119"/>
      <c r="CW97" s="119"/>
      <c r="CX97" s="119"/>
      <c r="CY97" s="119"/>
      <c r="CZ97" s="120" t="s">
        <v>59</v>
      </c>
      <c r="DA97" s="120"/>
      <c r="DB97" s="120"/>
      <c r="DC97" s="116" t="s">
        <v>176</v>
      </c>
      <c r="DD97" s="116"/>
      <c r="DE97" s="116"/>
      <c r="DF97" s="116"/>
      <c r="DG97" s="116"/>
    </row>
    <row r="98" spans="1:111">
      <c r="A98" s="2" t="s">
        <v>17</v>
      </c>
      <c r="B98" t="s">
        <v>37</v>
      </c>
      <c r="C98" t="s">
        <v>38</v>
      </c>
      <c r="D98">
        <v>5</v>
      </c>
      <c r="E98" t="s">
        <v>46</v>
      </c>
      <c r="F98">
        <v>5</v>
      </c>
      <c r="G98">
        <v>2</v>
      </c>
      <c r="H98">
        <v>3</v>
      </c>
      <c r="I98">
        <v>1</v>
      </c>
      <c r="J98" s="4" t="s">
        <v>52</v>
      </c>
      <c r="K98" t="str">
        <f t="shared" si="5"/>
        <v>2+3</v>
      </c>
      <c r="L98">
        <f>VLOOKUP(A98,'ZONE 1 PREMIUM'!$A$4:$N$16,14,0)</f>
        <v>8</v>
      </c>
      <c r="M98">
        <f>VLOOKUP(D98,DROPDOWN!B:C,2,0)</f>
        <v>4</v>
      </c>
      <c r="N98" t="str">
        <f t="shared" si="6"/>
        <v>X128:AP139</v>
      </c>
      <c r="O98" s="4">
        <f t="shared" ca="1" si="7"/>
        <v>100651.45</v>
      </c>
      <c r="X98" s="2" t="s">
        <v>60</v>
      </c>
      <c r="Y98" s="2" t="s">
        <v>243</v>
      </c>
      <c r="Z98" s="2" t="s">
        <v>244</v>
      </c>
      <c r="AA98" s="6" t="s">
        <v>70</v>
      </c>
      <c r="AB98" s="6" t="s">
        <v>71</v>
      </c>
      <c r="AC98" s="6" t="s">
        <v>72</v>
      </c>
      <c r="AD98" s="6" t="s">
        <v>73</v>
      </c>
      <c r="AE98" s="6" t="s">
        <v>74</v>
      </c>
      <c r="AF98" s="6" t="s">
        <v>75</v>
      </c>
      <c r="AG98" s="6" t="s">
        <v>76</v>
      </c>
      <c r="AH98" s="6" t="s">
        <v>77</v>
      </c>
      <c r="AI98" s="6" t="s">
        <v>78</v>
      </c>
      <c r="AJ98" s="6" t="s">
        <v>79</v>
      </c>
      <c r="AK98" s="6" t="s">
        <v>80</v>
      </c>
      <c r="AL98" s="2" t="s">
        <v>245</v>
      </c>
      <c r="AM98" s="2" t="s">
        <v>246</v>
      </c>
      <c r="AN98" s="2" t="s">
        <v>247</v>
      </c>
      <c r="AO98" s="2" t="s">
        <v>248</v>
      </c>
      <c r="AP98" s="2" t="s">
        <v>310</v>
      </c>
      <c r="AT98" s="1"/>
      <c r="AU98" s="2" t="s">
        <v>60</v>
      </c>
      <c r="AV98" s="2" t="s">
        <v>243</v>
      </c>
      <c r="AW98" s="2" t="s">
        <v>244</v>
      </c>
      <c r="AX98" s="6" t="s">
        <v>70</v>
      </c>
      <c r="AY98" s="6" t="s">
        <v>71</v>
      </c>
      <c r="AZ98" s="6" t="s">
        <v>72</v>
      </c>
      <c r="BA98" s="6" t="s">
        <v>73</v>
      </c>
      <c r="BB98" s="6" t="s">
        <v>74</v>
      </c>
      <c r="BC98" s="6" t="s">
        <v>75</v>
      </c>
      <c r="BD98" s="6" t="s">
        <v>76</v>
      </c>
      <c r="BE98" s="6" t="s">
        <v>77</v>
      </c>
      <c r="BF98" s="6" t="s">
        <v>78</v>
      </c>
      <c r="BG98" s="6" t="s">
        <v>79</v>
      </c>
      <c r="BH98" s="6" t="s">
        <v>80</v>
      </c>
      <c r="BI98" s="2" t="s">
        <v>245</v>
      </c>
      <c r="BJ98" s="2" t="s">
        <v>246</v>
      </c>
      <c r="BK98" s="2" t="s">
        <v>247</v>
      </c>
      <c r="BL98" s="2" t="s">
        <v>248</v>
      </c>
      <c r="BM98" s="2" t="s">
        <v>310</v>
      </c>
      <c r="BQ98" s="1"/>
      <c r="BR98" s="2" t="s">
        <v>60</v>
      </c>
      <c r="BS98" s="2" t="s">
        <v>243</v>
      </c>
      <c r="BT98" s="2" t="s">
        <v>244</v>
      </c>
      <c r="BU98" s="6" t="s">
        <v>70</v>
      </c>
      <c r="BV98" s="6" t="s">
        <v>71</v>
      </c>
      <c r="BW98" s="6" t="s">
        <v>72</v>
      </c>
      <c r="BX98" s="6" t="s">
        <v>73</v>
      </c>
      <c r="BY98" s="6" t="s">
        <v>74</v>
      </c>
      <c r="BZ98" s="6" t="s">
        <v>75</v>
      </c>
      <c r="CA98" s="6" t="s">
        <v>76</v>
      </c>
      <c r="CB98" s="6" t="s">
        <v>77</v>
      </c>
      <c r="CC98" s="6" t="s">
        <v>78</v>
      </c>
      <c r="CD98" s="6" t="s">
        <v>79</v>
      </c>
      <c r="CE98" s="6" t="s">
        <v>80</v>
      </c>
      <c r="CF98" s="2" t="s">
        <v>245</v>
      </c>
      <c r="CG98" s="2" t="s">
        <v>246</v>
      </c>
      <c r="CH98" s="2" t="s">
        <v>247</v>
      </c>
      <c r="CI98" s="2" t="s">
        <v>248</v>
      </c>
      <c r="CJ98" s="2" t="s">
        <v>310</v>
      </c>
      <c r="CN98" s="1"/>
      <c r="CO98" s="2" t="s">
        <v>60</v>
      </c>
      <c r="CP98" s="2" t="s">
        <v>243</v>
      </c>
      <c r="CQ98" s="2" t="s">
        <v>244</v>
      </c>
      <c r="CR98" s="6" t="s">
        <v>70</v>
      </c>
      <c r="CS98" s="6" t="s">
        <v>71</v>
      </c>
      <c r="CT98" s="6" t="s">
        <v>72</v>
      </c>
      <c r="CU98" s="6" t="s">
        <v>73</v>
      </c>
      <c r="CV98" s="6" t="s">
        <v>74</v>
      </c>
      <c r="CW98" s="6" t="s">
        <v>75</v>
      </c>
      <c r="CX98" s="6" t="s">
        <v>76</v>
      </c>
      <c r="CY98" s="6" t="s">
        <v>77</v>
      </c>
      <c r="CZ98" s="6" t="s">
        <v>78</v>
      </c>
      <c r="DA98" s="6" t="s">
        <v>79</v>
      </c>
      <c r="DB98" s="6" t="s">
        <v>80</v>
      </c>
      <c r="DC98" s="2" t="s">
        <v>245</v>
      </c>
      <c r="DD98" s="2" t="s">
        <v>246</v>
      </c>
      <c r="DE98" s="2" t="s">
        <v>247</v>
      </c>
      <c r="DF98" s="2" t="s">
        <v>248</v>
      </c>
      <c r="DG98" s="2" t="s">
        <v>310</v>
      </c>
    </row>
    <row r="99" spans="1:111">
      <c r="A99" s="2" t="s">
        <v>18</v>
      </c>
      <c r="B99" t="s">
        <v>39</v>
      </c>
      <c r="C99" t="s">
        <v>40</v>
      </c>
      <c r="D99">
        <v>5</v>
      </c>
      <c r="E99" t="s">
        <v>46</v>
      </c>
      <c r="F99">
        <v>5</v>
      </c>
      <c r="G99">
        <v>2</v>
      </c>
      <c r="H99">
        <v>3</v>
      </c>
      <c r="I99">
        <v>1</v>
      </c>
      <c r="J99" s="4" t="s">
        <v>52</v>
      </c>
      <c r="K99" t="str">
        <f t="shared" si="5"/>
        <v>2+3</v>
      </c>
      <c r="L99">
        <f>VLOOKUP(A99,'ZONE 1 PREMIUM'!$A$4:$N$16,14,0)</f>
        <v>9</v>
      </c>
      <c r="M99">
        <f>VLOOKUP(D99,DROPDOWN!B:C,2,0)</f>
        <v>4</v>
      </c>
      <c r="N99" t="str">
        <f t="shared" si="6"/>
        <v>X128:AP139</v>
      </c>
      <c r="O99" s="4">
        <f t="shared" ca="1" si="7"/>
        <v>130142.04999999999</v>
      </c>
      <c r="X99" s="2" t="s">
        <v>11</v>
      </c>
      <c r="Y99" s="141">
        <v>18687.5</v>
      </c>
      <c r="Z99" s="141">
        <v>22830.949999999997</v>
      </c>
      <c r="AA99" s="141">
        <v>27904.749999999996</v>
      </c>
      <c r="AB99" s="141">
        <v>30412.899999999998</v>
      </c>
      <c r="AC99" s="141">
        <v>32716.35</v>
      </c>
      <c r="AD99" s="141">
        <v>41247.049999999996</v>
      </c>
      <c r="AE99" s="141">
        <v>45278.95</v>
      </c>
      <c r="AF99" s="141">
        <v>48805.999999999993</v>
      </c>
      <c r="AG99" s="141">
        <v>54400.749999999993</v>
      </c>
      <c r="AH99" s="141">
        <v>67433.7</v>
      </c>
      <c r="AI99" s="141">
        <v>135149.15</v>
      </c>
      <c r="AJ99" s="141">
        <v>161998.19999999998</v>
      </c>
      <c r="AK99" s="141">
        <v>193298.9</v>
      </c>
      <c r="AL99" s="141">
        <v>277240.84999999998</v>
      </c>
      <c r="AM99" s="141">
        <v>328837.89999999997</v>
      </c>
      <c r="AN99" s="141">
        <v>385893.99999999994</v>
      </c>
      <c r="AO99" s="141">
        <v>452044.3</v>
      </c>
      <c r="AP99" s="141">
        <v>604047.85</v>
      </c>
      <c r="AT99" s="1"/>
      <c r="AU99" s="2" t="s">
        <v>11</v>
      </c>
      <c r="AV99" s="141">
        <v>16598.25</v>
      </c>
      <c r="AW99" s="141">
        <v>20266.875</v>
      </c>
      <c r="AX99" s="141">
        <v>24788.25</v>
      </c>
      <c r="AY99" s="141">
        <v>27010.125</v>
      </c>
      <c r="AZ99" s="141">
        <v>29049.75</v>
      </c>
      <c r="BA99" s="141">
        <v>36633.375</v>
      </c>
      <c r="BB99" s="141">
        <v>40204.125</v>
      </c>
      <c r="BC99" s="141">
        <v>43327.125</v>
      </c>
      <c r="BD99" s="141">
        <v>48281.625</v>
      </c>
      <c r="BE99" s="141">
        <v>59821.875</v>
      </c>
      <c r="BF99" s="141">
        <v>119787.75</v>
      </c>
      <c r="BG99" s="141">
        <v>143561.25</v>
      </c>
      <c r="BH99" s="141">
        <v>171279</v>
      </c>
      <c r="BI99" s="141">
        <v>246538.125</v>
      </c>
      <c r="BJ99" s="141">
        <v>292228.875</v>
      </c>
      <c r="BK99" s="141">
        <v>342753.75</v>
      </c>
      <c r="BL99" s="141">
        <v>401331.375</v>
      </c>
      <c r="BM99" s="141">
        <v>535935.375</v>
      </c>
      <c r="BQ99" s="1"/>
      <c r="BR99" s="2" t="s">
        <v>11</v>
      </c>
      <c r="BS99" s="141">
        <v>15321.900000000001</v>
      </c>
      <c r="BT99" s="141">
        <v>18702.2</v>
      </c>
      <c r="BU99" s="141">
        <v>22884.400000000001</v>
      </c>
      <c r="BV99" s="141">
        <v>24931.500000000004</v>
      </c>
      <c r="BW99" s="141">
        <v>26811.4</v>
      </c>
      <c r="BX99" s="141">
        <v>33815.100000000006</v>
      </c>
      <c r="BY99" s="141">
        <v>37105.200000000004</v>
      </c>
      <c r="BZ99" s="141">
        <v>39983.9</v>
      </c>
      <c r="CA99" s="141">
        <v>44548.9</v>
      </c>
      <c r="CB99" s="141">
        <v>55183.700000000004</v>
      </c>
      <c r="CC99" s="141">
        <v>110443.3</v>
      </c>
      <c r="CD99" s="141">
        <v>132352</v>
      </c>
      <c r="CE99" s="141">
        <v>157894</v>
      </c>
      <c r="CF99" s="141">
        <v>227734.1</v>
      </c>
      <c r="CG99" s="141">
        <v>269837.7</v>
      </c>
      <c r="CH99" s="141">
        <v>316398.5</v>
      </c>
      <c r="CI99" s="141">
        <v>370378.80000000005</v>
      </c>
      <c r="CJ99" s="141">
        <v>494418.10000000003</v>
      </c>
      <c r="CN99" s="1"/>
      <c r="CO99" s="2" t="s">
        <v>11</v>
      </c>
      <c r="CP99" s="141">
        <v>14115.500000000002</v>
      </c>
      <c r="CQ99" s="141">
        <v>17224.18</v>
      </c>
      <c r="CR99" s="141">
        <v>21084.960000000003</v>
      </c>
      <c r="CS99" s="141">
        <v>22967.390000000003</v>
      </c>
      <c r="CT99" s="141">
        <v>24695.040000000001</v>
      </c>
      <c r="CU99" s="141">
        <v>31151.11</v>
      </c>
      <c r="CV99" s="141">
        <v>34176.950000000004</v>
      </c>
      <c r="CW99" s="141">
        <v>36823.47</v>
      </c>
      <c r="CX99" s="141">
        <v>41021.060000000005</v>
      </c>
      <c r="CY99" s="141">
        <v>50800.54</v>
      </c>
      <c r="CZ99" s="141">
        <v>101613.07</v>
      </c>
      <c r="DA99" s="141">
        <v>121758.45000000001</v>
      </c>
      <c r="DB99" s="141">
        <v>145244.68000000002</v>
      </c>
      <c r="DC99" s="141">
        <v>209956.89</v>
      </c>
      <c r="DD99" s="141">
        <v>248672.6</v>
      </c>
      <c r="DE99" s="141">
        <v>291486.71000000002</v>
      </c>
      <c r="DF99" s="141">
        <v>341123.13</v>
      </c>
      <c r="DG99" s="141">
        <v>455180.73000000004</v>
      </c>
    </row>
    <row r="100" spans="1:111">
      <c r="A100" s="2" t="s">
        <v>19</v>
      </c>
      <c r="B100" t="s">
        <v>41</v>
      </c>
      <c r="C100" t="s">
        <v>42</v>
      </c>
      <c r="D100">
        <v>5</v>
      </c>
      <c r="E100" t="s">
        <v>46</v>
      </c>
      <c r="F100">
        <v>5</v>
      </c>
      <c r="G100">
        <v>2</v>
      </c>
      <c r="H100">
        <v>3</v>
      </c>
      <c r="I100">
        <v>1</v>
      </c>
      <c r="J100" s="4" t="s">
        <v>52</v>
      </c>
      <c r="K100" t="str">
        <f t="shared" si="5"/>
        <v>2+3</v>
      </c>
      <c r="L100">
        <f>VLOOKUP(A100,'ZONE 1 PREMIUM'!$A$4:$N$16,14,0)</f>
        <v>10</v>
      </c>
      <c r="M100">
        <f>VLOOKUP(D100,DROPDOWN!B:C,2,0)</f>
        <v>4</v>
      </c>
      <c r="N100" t="str">
        <f t="shared" si="6"/>
        <v>X128:AP139</v>
      </c>
      <c r="O100" s="4">
        <f t="shared" ca="1" si="7"/>
        <v>167864.34999999998</v>
      </c>
      <c r="X100" s="2" t="s">
        <v>12</v>
      </c>
      <c r="Y100" s="141">
        <v>20997.85</v>
      </c>
      <c r="Z100" s="141">
        <v>25256.3</v>
      </c>
      <c r="AA100" s="141">
        <v>31052.3</v>
      </c>
      <c r="AB100" s="141">
        <v>33847.949999999997</v>
      </c>
      <c r="AC100" s="141">
        <v>36420.5</v>
      </c>
      <c r="AD100" s="141">
        <v>45965.5</v>
      </c>
      <c r="AE100" s="141">
        <v>50242.35</v>
      </c>
      <c r="AF100" s="141">
        <v>53980.999999999993</v>
      </c>
      <c r="AG100" s="141">
        <v>60174.899999999994</v>
      </c>
      <c r="AH100" s="141">
        <v>74562.549999999988</v>
      </c>
      <c r="AI100" s="141">
        <v>149000.9</v>
      </c>
      <c r="AJ100" s="141">
        <v>180037.09999999998</v>
      </c>
      <c r="AK100" s="141">
        <v>216788.8</v>
      </c>
      <c r="AL100" s="141">
        <v>303016.94999999995</v>
      </c>
      <c r="AM100" s="141">
        <v>361208.1</v>
      </c>
      <c r="AN100" s="141">
        <v>425746.1</v>
      </c>
      <c r="AO100" s="141">
        <v>500713.44999999995</v>
      </c>
      <c r="AP100" s="141">
        <v>672713.2</v>
      </c>
      <c r="AT100" s="1"/>
      <c r="AU100" s="2" t="s">
        <v>12</v>
      </c>
      <c r="AV100" s="141">
        <v>18657</v>
      </c>
      <c r="AW100" s="141">
        <v>22428</v>
      </c>
      <c r="AX100" s="141">
        <v>27600.75</v>
      </c>
      <c r="AY100" s="141">
        <v>30076.875</v>
      </c>
      <c r="AZ100" s="141">
        <v>32355</v>
      </c>
      <c r="BA100" s="141">
        <v>40846.5</v>
      </c>
      <c r="BB100" s="141">
        <v>44633.25</v>
      </c>
      <c r="BC100" s="141">
        <v>47944.125</v>
      </c>
      <c r="BD100" s="141">
        <v>53429.625</v>
      </c>
      <c r="BE100" s="141">
        <v>66170.25</v>
      </c>
      <c r="BF100" s="141">
        <v>132088.5</v>
      </c>
      <c r="BG100" s="141">
        <v>159571.125</v>
      </c>
      <c r="BH100" s="141">
        <v>192115.125</v>
      </c>
      <c r="BI100" s="141">
        <v>269403.75</v>
      </c>
      <c r="BJ100" s="141">
        <v>320933.25</v>
      </c>
      <c r="BK100" s="141">
        <v>378084.375</v>
      </c>
      <c r="BL100" s="141">
        <v>444469.5</v>
      </c>
      <c r="BM100" s="141">
        <v>596781</v>
      </c>
      <c r="BQ100" s="1"/>
      <c r="BR100" s="2" t="s">
        <v>12</v>
      </c>
      <c r="BS100" s="141">
        <v>17226</v>
      </c>
      <c r="BT100" s="141">
        <v>20700.900000000001</v>
      </c>
      <c r="BU100" s="141">
        <v>25488.100000000002</v>
      </c>
      <c r="BV100" s="141">
        <v>27770.600000000002</v>
      </c>
      <c r="BW100" s="141">
        <v>29869.4</v>
      </c>
      <c r="BX100" s="141">
        <v>37716.800000000003</v>
      </c>
      <c r="BY100" s="141">
        <v>41206</v>
      </c>
      <c r="BZ100" s="141">
        <v>44257.4</v>
      </c>
      <c r="CA100" s="141">
        <v>49310.8</v>
      </c>
      <c r="CB100" s="141">
        <v>61052.200000000004</v>
      </c>
      <c r="CC100" s="141">
        <v>121797.50000000001</v>
      </c>
      <c r="CD100" s="141">
        <v>147122.80000000002</v>
      </c>
      <c r="CE100" s="141">
        <v>177113.2</v>
      </c>
      <c r="CF100" s="141">
        <v>248825.50000000003</v>
      </c>
      <c r="CG100" s="141">
        <v>296311.40000000002</v>
      </c>
      <c r="CH100" s="141">
        <v>348976.10000000003</v>
      </c>
      <c r="CI100" s="141">
        <v>410151.50000000006</v>
      </c>
      <c r="CJ100" s="141">
        <v>550509.30000000005</v>
      </c>
      <c r="CN100" s="1"/>
      <c r="CO100" s="2" t="s">
        <v>12</v>
      </c>
      <c r="CP100" s="141">
        <v>15873.670000000002</v>
      </c>
      <c r="CQ100" s="141">
        <v>19068.460000000003</v>
      </c>
      <c r="CR100" s="141">
        <v>23491.68</v>
      </c>
      <c r="CS100" s="141">
        <v>25589.93</v>
      </c>
      <c r="CT100" s="141">
        <v>27520.320000000003</v>
      </c>
      <c r="CU100" s="141">
        <v>34756.83</v>
      </c>
      <c r="CV100" s="141">
        <v>37965.79</v>
      </c>
      <c r="CW100" s="141">
        <v>40771.450000000004</v>
      </c>
      <c r="CX100" s="141">
        <v>45419.210000000006</v>
      </c>
      <c r="CY100" s="141">
        <v>56215.66</v>
      </c>
      <c r="CZ100" s="141">
        <v>112072.71</v>
      </c>
      <c r="DA100" s="141">
        <v>135359.47</v>
      </c>
      <c r="DB100" s="141">
        <v>162936.47</v>
      </c>
      <c r="DC100" s="141">
        <v>229371.97000000003</v>
      </c>
      <c r="DD100" s="141">
        <v>273036.28000000003</v>
      </c>
      <c r="DE100" s="141">
        <v>321463.89</v>
      </c>
      <c r="DF100" s="141">
        <v>377716.61000000004</v>
      </c>
      <c r="DG100" s="141">
        <v>506779.15</v>
      </c>
    </row>
    <row r="101" spans="1:111">
      <c r="A101" s="2" t="s">
        <v>20</v>
      </c>
      <c r="B101" t="s">
        <v>43</v>
      </c>
      <c r="C101" t="s">
        <v>44</v>
      </c>
      <c r="D101">
        <v>5</v>
      </c>
      <c r="E101" t="s">
        <v>46</v>
      </c>
      <c r="F101">
        <v>5</v>
      </c>
      <c r="G101">
        <v>2</v>
      </c>
      <c r="H101">
        <v>3</v>
      </c>
      <c r="I101">
        <v>1</v>
      </c>
      <c r="J101" s="4" t="s">
        <v>52</v>
      </c>
      <c r="K101" t="str">
        <f t="shared" si="5"/>
        <v>2+3</v>
      </c>
      <c r="L101">
        <f>VLOOKUP(A101,'ZONE 1 PREMIUM'!$A$4:$N$16,14,0)</f>
        <v>11</v>
      </c>
      <c r="M101">
        <f>VLOOKUP(D101,DROPDOWN!B:C,2,0)</f>
        <v>4</v>
      </c>
      <c r="N101" t="str">
        <f t="shared" si="6"/>
        <v>X128:AP139</v>
      </c>
      <c r="O101" s="4">
        <f t="shared" ca="1" si="7"/>
        <v>205205.99999999997</v>
      </c>
      <c r="X101" s="2" t="s">
        <v>13</v>
      </c>
      <c r="Y101" s="141">
        <v>23323.149999999998</v>
      </c>
      <c r="Z101" s="141">
        <v>28102.55</v>
      </c>
      <c r="AA101" s="141">
        <v>34685.149999999994</v>
      </c>
      <c r="AB101" s="141">
        <v>37840.75</v>
      </c>
      <c r="AC101" s="141">
        <v>40749.1</v>
      </c>
      <c r="AD101" s="141">
        <v>51473.999999999993</v>
      </c>
      <c r="AE101" s="141">
        <v>56286.749999999993</v>
      </c>
      <c r="AF101" s="141">
        <v>60500.35</v>
      </c>
      <c r="AG101" s="141">
        <v>67499.25</v>
      </c>
      <c r="AH101" s="141">
        <v>83714.25</v>
      </c>
      <c r="AI101" s="141">
        <v>156768</v>
      </c>
      <c r="AJ101" s="141">
        <v>192024.69999999998</v>
      </c>
      <c r="AK101" s="141">
        <v>233761.65</v>
      </c>
      <c r="AL101" s="141">
        <v>315938.34999999998</v>
      </c>
      <c r="AM101" s="141">
        <v>380911.05</v>
      </c>
      <c r="AN101" s="141">
        <v>453188.55</v>
      </c>
      <c r="AO101" s="141">
        <v>537303</v>
      </c>
      <c r="AP101" s="141">
        <v>730040.7</v>
      </c>
      <c r="AT101" s="1"/>
      <c r="AU101" s="2" t="s">
        <v>13</v>
      </c>
      <c r="AV101" s="141">
        <v>20719.125</v>
      </c>
      <c r="AW101" s="141">
        <v>24950.25</v>
      </c>
      <c r="AX101" s="141">
        <v>30822.75</v>
      </c>
      <c r="AY101" s="141">
        <v>33617.25</v>
      </c>
      <c r="AZ101" s="141">
        <v>36193.5</v>
      </c>
      <c r="BA101" s="141">
        <v>45733.5</v>
      </c>
      <c r="BB101" s="141">
        <v>49995</v>
      </c>
      <c r="BC101" s="141">
        <v>53726.625</v>
      </c>
      <c r="BD101" s="141">
        <v>59923.125</v>
      </c>
      <c r="BE101" s="141">
        <v>74282.625</v>
      </c>
      <c r="BF101" s="141">
        <v>138975.75</v>
      </c>
      <c r="BG101" s="141">
        <v>170194.5</v>
      </c>
      <c r="BH101" s="141">
        <v>207154.125</v>
      </c>
      <c r="BI101" s="141">
        <v>280656</v>
      </c>
      <c r="BJ101" s="141">
        <v>338190.75</v>
      </c>
      <c r="BK101" s="141">
        <v>402194.25</v>
      </c>
      <c r="BL101" s="141">
        <v>476680.5</v>
      </c>
      <c r="BM101" s="141">
        <v>647356.5</v>
      </c>
      <c r="BQ101" s="1"/>
      <c r="BR101" s="2" t="s">
        <v>13</v>
      </c>
      <c r="BS101" s="141">
        <v>19126.800000000003</v>
      </c>
      <c r="BT101" s="141">
        <v>23026.300000000003</v>
      </c>
      <c r="BU101" s="141">
        <v>28460.300000000003</v>
      </c>
      <c r="BV101" s="141">
        <v>31035.4</v>
      </c>
      <c r="BW101" s="141">
        <v>33409.200000000004</v>
      </c>
      <c r="BX101" s="141">
        <v>42224.600000000006</v>
      </c>
      <c r="BY101" s="141">
        <v>46151.600000000006</v>
      </c>
      <c r="BZ101" s="141">
        <v>49590.200000000004</v>
      </c>
      <c r="CA101" s="141">
        <v>55300.3</v>
      </c>
      <c r="CB101" s="141">
        <v>68533.3</v>
      </c>
      <c r="CC101" s="141">
        <v>128148.90000000001</v>
      </c>
      <c r="CD101" s="141">
        <v>156917.20000000001</v>
      </c>
      <c r="CE101" s="141">
        <v>190976.50000000003</v>
      </c>
      <c r="CF101" s="141">
        <v>259095.10000000003</v>
      </c>
      <c r="CG101" s="141">
        <v>312114</v>
      </c>
      <c r="CH101" s="141">
        <v>371094.9</v>
      </c>
      <c r="CI101" s="141">
        <v>439734.9</v>
      </c>
      <c r="CJ101" s="141">
        <v>597016.20000000007</v>
      </c>
      <c r="CN101" s="1"/>
      <c r="CO101" s="2" t="s">
        <v>13</v>
      </c>
      <c r="CP101" s="141">
        <v>17622.030000000002</v>
      </c>
      <c r="CQ101" s="141">
        <v>21208.13</v>
      </c>
      <c r="CR101" s="141">
        <v>26227.58</v>
      </c>
      <c r="CS101" s="141">
        <v>28596.15</v>
      </c>
      <c r="CT101" s="141">
        <v>30778.33</v>
      </c>
      <c r="CU101" s="141">
        <v>38906.460000000006</v>
      </c>
      <c r="CV101" s="141">
        <v>42517.630000000005</v>
      </c>
      <c r="CW101" s="141">
        <v>45679.72</v>
      </c>
      <c r="CX101" s="141">
        <v>50931.340000000004</v>
      </c>
      <c r="CY101" s="141">
        <v>63099.01</v>
      </c>
      <c r="CZ101" s="141">
        <v>117917.29000000001</v>
      </c>
      <c r="DA101" s="141">
        <v>144370.5</v>
      </c>
      <c r="DB101" s="141">
        <v>175688.38</v>
      </c>
      <c r="DC101" s="141">
        <v>238714.36000000002</v>
      </c>
      <c r="DD101" s="141">
        <v>287466.79000000004</v>
      </c>
      <c r="DE101" s="141">
        <v>341700.83</v>
      </c>
      <c r="DF101" s="141">
        <v>404817.28</v>
      </c>
      <c r="DG101" s="141">
        <v>549440.66</v>
      </c>
    </row>
    <row r="102" spans="1:111">
      <c r="A102" s="2" t="s">
        <v>21</v>
      </c>
      <c r="B102" t="s">
        <v>22</v>
      </c>
      <c r="D102">
        <v>5</v>
      </c>
      <c r="E102" t="s">
        <v>46</v>
      </c>
      <c r="F102">
        <v>5</v>
      </c>
      <c r="G102">
        <v>2</v>
      </c>
      <c r="H102">
        <v>3</v>
      </c>
      <c r="I102">
        <v>1</v>
      </c>
      <c r="J102" s="4" t="s">
        <v>52</v>
      </c>
      <c r="K102" t="str">
        <f t="shared" si="5"/>
        <v>2+3</v>
      </c>
      <c r="L102">
        <f>VLOOKUP(A102,'ZONE 1 PREMIUM'!$A$4:$N$16,14,0)</f>
        <v>12</v>
      </c>
      <c r="M102">
        <f>VLOOKUP(D102,DROPDOWN!B:C,2,0)</f>
        <v>4</v>
      </c>
      <c r="N102" t="str">
        <f t="shared" si="6"/>
        <v>X128:AP139</v>
      </c>
      <c r="O102" s="4">
        <f t="shared" ca="1" si="7"/>
        <v>258353.24999999997</v>
      </c>
      <c r="X102" s="2" t="s">
        <v>14</v>
      </c>
      <c r="Y102" s="141">
        <v>26500.6</v>
      </c>
      <c r="Z102" s="141">
        <v>32018.3</v>
      </c>
      <c r="AA102" s="141">
        <v>39630.149999999994</v>
      </c>
      <c r="AB102" s="141">
        <v>43290.6</v>
      </c>
      <c r="AC102" s="141">
        <v>46673.899999999994</v>
      </c>
      <c r="AD102" s="141">
        <v>58976.6</v>
      </c>
      <c r="AE102" s="141">
        <v>64433.35</v>
      </c>
      <c r="AF102" s="141">
        <v>69166.75</v>
      </c>
      <c r="AG102" s="141">
        <v>77263.899999999994</v>
      </c>
      <c r="AH102" s="141">
        <v>95959.45</v>
      </c>
      <c r="AI102" s="141">
        <v>171959.5</v>
      </c>
      <c r="AJ102" s="141">
        <v>213032.9</v>
      </c>
      <c r="AK102" s="141">
        <v>261651.44999999998</v>
      </c>
      <c r="AL102" s="141">
        <v>334374</v>
      </c>
      <c r="AM102" s="141">
        <v>408384.55</v>
      </c>
      <c r="AN102" s="141">
        <v>490998.24999999994</v>
      </c>
      <c r="AO102" s="141">
        <v>587355.6</v>
      </c>
      <c r="AP102" s="141">
        <v>807765.74999999988</v>
      </c>
      <c r="AT102" s="1"/>
      <c r="AU102" s="2" t="s">
        <v>14</v>
      </c>
      <c r="AV102" s="141">
        <v>23532.75</v>
      </c>
      <c r="AW102" s="141">
        <v>28418.625</v>
      </c>
      <c r="AX102" s="141">
        <v>35204.625</v>
      </c>
      <c r="AY102" s="141">
        <v>38445.75</v>
      </c>
      <c r="AZ102" s="141">
        <v>41441.625</v>
      </c>
      <c r="BA102" s="141">
        <v>52382.25</v>
      </c>
      <c r="BB102" s="141">
        <v>57213</v>
      </c>
      <c r="BC102" s="141">
        <v>61404.75</v>
      </c>
      <c r="BD102" s="141">
        <v>68574.375</v>
      </c>
      <c r="BE102" s="141">
        <v>85131</v>
      </c>
      <c r="BF102" s="141">
        <v>152431.875</v>
      </c>
      <c r="BG102" s="141">
        <v>188802</v>
      </c>
      <c r="BH102" s="141">
        <v>231855.75</v>
      </c>
      <c r="BI102" s="141">
        <v>296753.625</v>
      </c>
      <c r="BJ102" s="141">
        <v>362291.625</v>
      </c>
      <c r="BK102" s="141">
        <v>435449.25</v>
      </c>
      <c r="BL102" s="141">
        <v>520776</v>
      </c>
      <c r="BM102" s="141">
        <v>715955.625</v>
      </c>
      <c r="BQ102" s="1"/>
      <c r="BR102" s="2" t="s">
        <v>14</v>
      </c>
      <c r="BS102" s="141">
        <v>21720.600000000002</v>
      </c>
      <c r="BT102" s="141">
        <v>26222.9</v>
      </c>
      <c r="BU102" s="141">
        <v>32499.500000000004</v>
      </c>
      <c r="BV102" s="141">
        <v>35487.100000000006</v>
      </c>
      <c r="BW102" s="141">
        <v>38247</v>
      </c>
      <c r="BX102" s="141">
        <v>48352.700000000004</v>
      </c>
      <c r="BY102" s="141">
        <v>52804.4</v>
      </c>
      <c r="BZ102" s="141">
        <v>56667.600000000006</v>
      </c>
      <c r="CA102" s="141">
        <v>63275.3</v>
      </c>
      <c r="CB102" s="141">
        <v>78531.200000000012</v>
      </c>
      <c r="CC102" s="141">
        <v>140551.40000000002</v>
      </c>
      <c r="CD102" s="141">
        <v>174067.30000000002</v>
      </c>
      <c r="CE102" s="141">
        <v>213741.00000000003</v>
      </c>
      <c r="CF102" s="141">
        <v>273808.7</v>
      </c>
      <c r="CG102" s="141">
        <v>334203.10000000003</v>
      </c>
      <c r="CH102" s="141">
        <v>401618.80000000005</v>
      </c>
      <c r="CI102" s="141">
        <v>480250.10000000003</v>
      </c>
      <c r="CJ102" s="141">
        <v>660111.10000000009</v>
      </c>
      <c r="CN102" s="1"/>
      <c r="CO102" s="2" t="s">
        <v>14</v>
      </c>
      <c r="CP102" s="141">
        <v>20006.95</v>
      </c>
      <c r="CQ102" s="141">
        <v>24147.86</v>
      </c>
      <c r="CR102" s="141">
        <v>29943.390000000003</v>
      </c>
      <c r="CS102" s="141">
        <v>32690.190000000002</v>
      </c>
      <c r="CT102" s="141">
        <v>35228.800000000003</v>
      </c>
      <c r="CU102" s="141">
        <v>44545.030000000006</v>
      </c>
      <c r="CV102" s="141">
        <v>48637.98</v>
      </c>
      <c r="CW102" s="141">
        <v>52190.29</v>
      </c>
      <c r="CX102" s="141">
        <v>58265.950000000004</v>
      </c>
      <c r="CY102" s="141">
        <v>72294.25</v>
      </c>
      <c r="CZ102" s="141">
        <v>129324.14000000001</v>
      </c>
      <c r="DA102" s="141">
        <v>160141.71000000002</v>
      </c>
      <c r="DB102" s="141">
        <v>196622.92</v>
      </c>
      <c r="DC102" s="141">
        <v>252122.45</v>
      </c>
      <c r="DD102" s="141">
        <v>307656.86000000004</v>
      </c>
      <c r="DE102" s="141">
        <v>369647.34</v>
      </c>
      <c r="DF102" s="141">
        <v>441950.31000000006</v>
      </c>
      <c r="DG102" s="141">
        <v>607337.10000000009</v>
      </c>
    </row>
    <row r="103" spans="1:111">
      <c r="A103" s="2" t="s">
        <v>11</v>
      </c>
      <c r="B103" t="s">
        <v>45</v>
      </c>
      <c r="C103" t="s">
        <v>25</v>
      </c>
      <c r="D103">
        <v>5</v>
      </c>
      <c r="E103" t="s">
        <v>46</v>
      </c>
      <c r="F103">
        <v>6</v>
      </c>
      <c r="G103">
        <v>2</v>
      </c>
      <c r="H103">
        <v>4</v>
      </c>
      <c r="I103">
        <v>1</v>
      </c>
      <c r="J103" s="4" t="s">
        <v>52</v>
      </c>
      <c r="K103" t="str">
        <f t="shared" si="5"/>
        <v>2+4</v>
      </c>
      <c r="L103">
        <f>VLOOKUP(A103,'ZONE 1 PREMIUM'!$A$4:$N$16,14,0)</f>
        <v>2</v>
      </c>
      <c r="M103">
        <f>VLOOKUP(D103,DROPDOWN!B:C,2,0)</f>
        <v>4</v>
      </c>
      <c r="N103" t="str">
        <f t="shared" si="6"/>
        <v>X143:AP154</v>
      </c>
      <c r="O103" s="4">
        <f t="shared" ca="1" si="7"/>
        <v>42208.45</v>
      </c>
      <c r="X103" s="2" t="s">
        <v>15</v>
      </c>
      <c r="Y103" s="141">
        <v>32771.549999999996</v>
      </c>
      <c r="Z103" s="141">
        <v>39684.199999999997</v>
      </c>
      <c r="AA103" s="141">
        <v>49291.299999999996</v>
      </c>
      <c r="AB103" s="141">
        <v>56182.1</v>
      </c>
      <c r="AC103" s="141">
        <v>60642.95</v>
      </c>
      <c r="AD103" s="141">
        <v>74185.349999999991</v>
      </c>
      <c r="AE103" s="141">
        <v>81072.7</v>
      </c>
      <c r="AF103" s="141">
        <v>87041.2</v>
      </c>
      <c r="AG103" s="141">
        <v>97339.45</v>
      </c>
      <c r="AH103" s="141">
        <v>121031.74999999999</v>
      </c>
      <c r="AI103" s="141">
        <v>210907.69999999998</v>
      </c>
      <c r="AJ103" s="141">
        <v>263584.59999999998</v>
      </c>
      <c r="AK103" s="141">
        <v>325970.94999999995</v>
      </c>
      <c r="AL103" s="141">
        <v>391144.89999999997</v>
      </c>
      <c r="AM103" s="141">
        <v>483761.3</v>
      </c>
      <c r="AN103" s="141">
        <v>587501.64999999991</v>
      </c>
      <c r="AO103" s="141">
        <v>708771.45</v>
      </c>
      <c r="AP103" s="141">
        <v>985673.04999999993</v>
      </c>
      <c r="AT103" s="1"/>
      <c r="AU103" s="2" t="s">
        <v>15</v>
      </c>
      <c r="AV103" s="141">
        <v>29095.875</v>
      </c>
      <c r="AW103" s="141">
        <v>35217</v>
      </c>
      <c r="AX103" s="141">
        <v>43779.375</v>
      </c>
      <c r="AY103" s="141">
        <v>49881.375</v>
      </c>
      <c r="AZ103" s="141">
        <v>53832.375</v>
      </c>
      <c r="BA103" s="141">
        <v>65878.875</v>
      </c>
      <c r="BB103" s="141">
        <v>71977.5</v>
      </c>
      <c r="BC103" s="141">
        <v>77262.75</v>
      </c>
      <c r="BD103" s="141">
        <v>86382</v>
      </c>
      <c r="BE103" s="141">
        <v>107363.25</v>
      </c>
      <c r="BF103" s="141">
        <v>186952.5</v>
      </c>
      <c r="BG103" s="141">
        <v>233598.375</v>
      </c>
      <c r="BH103" s="141">
        <v>288842.625</v>
      </c>
      <c r="BI103" s="141">
        <v>346944.375</v>
      </c>
      <c r="BJ103" s="141">
        <v>428959.125</v>
      </c>
      <c r="BK103" s="141">
        <v>520824.375</v>
      </c>
      <c r="BL103" s="141">
        <v>628212.375</v>
      </c>
      <c r="BM103" s="141">
        <v>873417.375</v>
      </c>
      <c r="BQ103" s="1"/>
      <c r="BR103" s="2" t="s">
        <v>15</v>
      </c>
      <c r="BS103" s="141">
        <v>26852.100000000002</v>
      </c>
      <c r="BT103" s="141">
        <v>32492.9</v>
      </c>
      <c r="BU103" s="141">
        <v>40412.9</v>
      </c>
      <c r="BV103" s="141">
        <v>46036.100000000006</v>
      </c>
      <c r="BW103" s="141">
        <v>49676.000000000007</v>
      </c>
      <c r="BX103" s="141">
        <v>60806.9</v>
      </c>
      <c r="BY103" s="141">
        <v>66426.8</v>
      </c>
      <c r="BZ103" s="141">
        <v>71297.600000000006</v>
      </c>
      <c r="CA103" s="141">
        <v>79700.5</v>
      </c>
      <c r="CB103" s="141">
        <v>99035.200000000012</v>
      </c>
      <c r="CC103" s="141">
        <v>172378.80000000002</v>
      </c>
      <c r="CD103" s="141">
        <v>215362.40000000002</v>
      </c>
      <c r="CE103" s="141">
        <v>266271.5</v>
      </c>
      <c r="CF103" s="141">
        <v>320018.60000000003</v>
      </c>
      <c r="CG103" s="141">
        <v>395596.30000000005</v>
      </c>
      <c r="CH103" s="141">
        <v>480252.30000000005</v>
      </c>
      <c r="CI103" s="141">
        <v>579212.70000000007</v>
      </c>
      <c r="CJ103" s="141">
        <v>805173.60000000009</v>
      </c>
      <c r="CN103" s="1"/>
      <c r="CO103" s="2" t="s">
        <v>15</v>
      </c>
      <c r="CP103" s="141">
        <v>24731.010000000002</v>
      </c>
      <c r="CQ103" s="141">
        <v>29918.320000000003</v>
      </c>
      <c r="CR103" s="141">
        <v>37230.04</v>
      </c>
      <c r="CS103" s="141">
        <v>42399.91</v>
      </c>
      <c r="CT103" s="141">
        <v>45748.390000000007</v>
      </c>
      <c r="CU103" s="141">
        <v>56011.83</v>
      </c>
      <c r="CV103" s="141">
        <v>61179.520000000004</v>
      </c>
      <c r="CW103" s="141">
        <v>65658.33</v>
      </c>
      <c r="CX103" s="141">
        <v>73385.340000000011</v>
      </c>
      <c r="CY103" s="141">
        <v>91164.33</v>
      </c>
      <c r="CZ103" s="141">
        <v>158605.90000000002</v>
      </c>
      <c r="DA103" s="141">
        <v>198130.39</v>
      </c>
      <c r="DB103" s="141">
        <v>244942.62000000002</v>
      </c>
      <c r="DC103" s="141">
        <v>294570.32</v>
      </c>
      <c r="DD103" s="141">
        <v>364066.54000000004</v>
      </c>
      <c r="DE103" s="141">
        <v>441909.98000000004</v>
      </c>
      <c r="DF103" s="141">
        <v>532906.45000000007</v>
      </c>
      <c r="DG103" s="141">
        <v>740683.34000000008</v>
      </c>
    </row>
    <row r="104" spans="1:111">
      <c r="A104" s="2" t="s">
        <v>12</v>
      </c>
      <c r="B104" t="s">
        <v>27</v>
      </c>
      <c r="C104" t="s">
        <v>28</v>
      </c>
      <c r="D104">
        <v>5</v>
      </c>
      <c r="E104" t="s">
        <v>46</v>
      </c>
      <c r="F104">
        <v>6</v>
      </c>
      <c r="G104">
        <v>2</v>
      </c>
      <c r="H104">
        <v>4</v>
      </c>
      <c r="I104">
        <v>1</v>
      </c>
      <c r="J104" s="4" t="s">
        <v>52</v>
      </c>
      <c r="K104" t="str">
        <f t="shared" si="5"/>
        <v>2+4</v>
      </c>
      <c r="L104">
        <f>VLOOKUP(A104,'ZONE 1 PREMIUM'!$A$4:$N$16,14,0)</f>
        <v>3</v>
      </c>
      <c r="M104">
        <f>VLOOKUP(D104,DROPDOWN!B:C,2,0)</f>
        <v>4</v>
      </c>
      <c r="N104" t="str">
        <f t="shared" si="6"/>
        <v>X143:AP154</v>
      </c>
      <c r="O104" s="4">
        <f t="shared" ca="1" si="7"/>
        <v>45097.25</v>
      </c>
      <c r="X104" s="2" t="s">
        <v>16</v>
      </c>
      <c r="Y104" s="141">
        <v>42482.149999999994</v>
      </c>
      <c r="Z104" s="141">
        <v>51574.049999999996</v>
      </c>
      <c r="AA104" s="141">
        <v>64167.7</v>
      </c>
      <c r="AB104" s="141">
        <v>74505.049999999988</v>
      </c>
      <c r="AC104" s="141">
        <v>80523</v>
      </c>
      <c r="AD104" s="141">
        <v>97211.799999999988</v>
      </c>
      <c r="AE104" s="141">
        <v>106402.59999999999</v>
      </c>
      <c r="AF104" s="141">
        <v>114403.15</v>
      </c>
      <c r="AG104" s="141">
        <v>128108.84999999999</v>
      </c>
      <c r="AH104" s="141">
        <v>159539.5</v>
      </c>
      <c r="AI104" s="141">
        <v>285503.59999999998</v>
      </c>
      <c r="AJ104" s="141">
        <v>356082.55</v>
      </c>
      <c r="AK104" s="141">
        <v>439823.24999999994</v>
      </c>
      <c r="AL104" s="141">
        <v>505059.3</v>
      </c>
      <c r="AM104" s="141">
        <v>627966.69999999995</v>
      </c>
      <c r="AN104" s="141">
        <v>765971.29999999993</v>
      </c>
      <c r="AO104" s="141">
        <v>927572.74999999988</v>
      </c>
      <c r="AP104" s="141">
        <v>1295948.7999999998</v>
      </c>
      <c r="AT104" s="1"/>
      <c r="AU104" s="2" t="s">
        <v>16</v>
      </c>
      <c r="AV104" s="141">
        <v>37701</v>
      </c>
      <c r="AW104" s="141">
        <v>45752.625</v>
      </c>
      <c r="AX104" s="141">
        <v>56966.625</v>
      </c>
      <c r="AY104" s="141">
        <v>66120.75</v>
      </c>
      <c r="AZ104" s="141">
        <v>71451</v>
      </c>
      <c r="BA104" s="141">
        <v>86290.875</v>
      </c>
      <c r="BB104" s="141">
        <v>94429.125</v>
      </c>
      <c r="BC104" s="141">
        <v>101514.375</v>
      </c>
      <c r="BD104" s="141">
        <v>113652</v>
      </c>
      <c r="BE104" s="141">
        <v>141484.5</v>
      </c>
      <c r="BF104" s="141">
        <v>253030.5</v>
      </c>
      <c r="BG104" s="141">
        <v>315528.75</v>
      </c>
      <c r="BH104" s="141">
        <v>389684.25</v>
      </c>
      <c r="BI104" s="141">
        <v>447828.75</v>
      </c>
      <c r="BJ104" s="141">
        <v>556666.875</v>
      </c>
      <c r="BK104" s="141">
        <v>678874.5</v>
      </c>
      <c r="BL104" s="141">
        <v>821976.75</v>
      </c>
      <c r="BM104" s="141">
        <v>1148185.125</v>
      </c>
      <c r="BQ104" s="1"/>
      <c r="BR104" s="2" t="s">
        <v>16</v>
      </c>
      <c r="BS104" s="141">
        <v>34785.300000000003</v>
      </c>
      <c r="BT104" s="141">
        <v>42205.9</v>
      </c>
      <c r="BU104" s="141">
        <v>52572.3</v>
      </c>
      <c r="BV104" s="141">
        <v>61008.200000000004</v>
      </c>
      <c r="BW104" s="141">
        <v>65919.700000000012</v>
      </c>
      <c r="BX104" s="141">
        <v>79627.900000000009</v>
      </c>
      <c r="BY104" s="141">
        <v>87127.700000000012</v>
      </c>
      <c r="BZ104" s="141">
        <v>93656.200000000012</v>
      </c>
      <c r="CA104" s="141">
        <v>104841.00000000001</v>
      </c>
      <c r="CB104" s="141">
        <v>130489.70000000001</v>
      </c>
      <c r="CC104" s="141">
        <v>233282.50000000003</v>
      </c>
      <c r="CD104" s="141">
        <v>290875.2</v>
      </c>
      <c r="CE104" s="141">
        <v>359210.5</v>
      </c>
      <c r="CF104" s="141">
        <v>412989.50000000006</v>
      </c>
      <c r="CG104" s="141">
        <v>513286.40000000002</v>
      </c>
      <c r="CH104" s="141">
        <v>625902.20000000007</v>
      </c>
      <c r="CI104" s="141">
        <v>757774.60000000009</v>
      </c>
      <c r="CJ104" s="141">
        <v>1058381.5</v>
      </c>
      <c r="CN104" s="1"/>
      <c r="CO104" s="2" t="s">
        <v>16</v>
      </c>
      <c r="CP104" s="141">
        <v>32029.65</v>
      </c>
      <c r="CQ104" s="141">
        <v>38853.050000000003</v>
      </c>
      <c r="CR104" s="141">
        <v>48418.890000000007</v>
      </c>
      <c r="CS104" s="141">
        <v>56175.33</v>
      </c>
      <c r="CT104" s="141">
        <v>60691.200000000004</v>
      </c>
      <c r="CU104" s="141">
        <v>73329.75</v>
      </c>
      <c r="CV104" s="141">
        <v>80226.180000000008</v>
      </c>
      <c r="CW104" s="141">
        <v>86229.900000000009</v>
      </c>
      <c r="CX104" s="141">
        <v>96515.140000000014</v>
      </c>
      <c r="CY104" s="141">
        <v>120099.47000000002</v>
      </c>
      <c r="CZ104" s="141">
        <v>214619.91</v>
      </c>
      <c r="DA104" s="141">
        <v>267576.47000000003</v>
      </c>
      <c r="DB104" s="141">
        <v>330412.79000000004</v>
      </c>
      <c r="DC104" s="141">
        <v>380065.56000000006</v>
      </c>
      <c r="DD104" s="141">
        <v>472290.46</v>
      </c>
      <c r="DE104" s="141">
        <v>575843.7300000001</v>
      </c>
      <c r="DF104" s="141">
        <v>697104.05</v>
      </c>
      <c r="DG104" s="141">
        <v>973519.33000000007</v>
      </c>
    </row>
    <row r="105" spans="1:111">
      <c r="A105" s="2" t="s">
        <v>13</v>
      </c>
      <c r="B105" t="s">
        <v>29</v>
      </c>
      <c r="C105" t="s">
        <v>30</v>
      </c>
      <c r="D105">
        <v>5</v>
      </c>
      <c r="E105" t="s">
        <v>46</v>
      </c>
      <c r="F105">
        <v>6</v>
      </c>
      <c r="G105">
        <v>2</v>
      </c>
      <c r="H105">
        <v>4</v>
      </c>
      <c r="I105">
        <v>1</v>
      </c>
      <c r="J105" s="4" t="s">
        <v>52</v>
      </c>
      <c r="K105" t="str">
        <f t="shared" si="5"/>
        <v>2+4</v>
      </c>
      <c r="L105">
        <f>VLOOKUP(A105,'ZONE 1 PREMIUM'!$A$4:$N$16,14,0)</f>
        <v>4</v>
      </c>
      <c r="M105">
        <f>VLOOKUP(D105,DROPDOWN!B:C,2,0)</f>
        <v>4</v>
      </c>
      <c r="N105" t="str">
        <f t="shared" si="6"/>
        <v>X143:AP154</v>
      </c>
      <c r="O105" s="4">
        <f t="shared" ca="1" si="7"/>
        <v>50944.999999999993</v>
      </c>
      <c r="X105" s="2" t="s">
        <v>17</v>
      </c>
      <c r="Y105" s="141">
        <v>57520.7</v>
      </c>
      <c r="Z105" s="141">
        <v>69943</v>
      </c>
      <c r="AA105" s="141">
        <v>87155.049999999988</v>
      </c>
      <c r="AB105" s="141">
        <v>99046.049999999988</v>
      </c>
      <c r="AC105" s="141">
        <v>107177.7</v>
      </c>
      <c r="AD105" s="141">
        <v>130148.95</v>
      </c>
      <c r="AE105" s="141">
        <v>142623</v>
      </c>
      <c r="AF105" s="141">
        <v>152339.34999999998</v>
      </c>
      <c r="AG105" s="141">
        <v>170812.94999999998</v>
      </c>
      <c r="AH105" s="141">
        <v>213014.49999999997</v>
      </c>
      <c r="AI105" s="141">
        <v>386803.64999999997</v>
      </c>
      <c r="AJ105" s="141">
        <v>481962.69999999995</v>
      </c>
      <c r="AK105" s="141">
        <v>595156.04999999993</v>
      </c>
      <c r="AL105" s="141">
        <v>674514.1</v>
      </c>
      <c r="AM105" s="141">
        <v>840306.14999999991</v>
      </c>
      <c r="AN105" s="141">
        <v>1026894.7999999999</v>
      </c>
      <c r="AO105" s="141">
        <v>1245762.7999999998</v>
      </c>
      <c r="AP105" s="141">
        <v>1743754.2</v>
      </c>
      <c r="AT105" s="1"/>
      <c r="AU105" s="2" t="s">
        <v>17</v>
      </c>
      <c r="AV105" s="141">
        <v>51033.375</v>
      </c>
      <c r="AW105" s="141">
        <v>62033.625</v>
      </c>
      <c r="AX105" s="141">
        <v>77350.5</v>
      </c>
      <c r="AY105" s="141">
        <v>87880.5</v>
      </c>
      <c r="AZ105" s="141">
        <v>95081.625</v>
      </c>
      <c r="BA105" s="141">
        <v>115498.125</v>
      </c>
      <c r="BB105" s="141">
        <v>126544.5</v>
      </c>
      <c r="BC105" s="141">
        <v>135148.5</v>
      </c>
      <c r="BD105" s="141">
        <v>151508.25</v>
      </c>
      <c r="BE105" s="141">
        <v>188878.5</v>
      </c>
      <c r="BF105" s="141">
        <v>342775.125</v>
      </c>
      <c r="BG105" s="141">
        <v>427039.875</v>
      </c>
      <c r="BH105" s="141">
        <v>527276.25</v>
      </c>
      <c r="BI105" s="141">
        <v>597965.625</v>
      </c>
      <c r="BJ105" s="141">
        <v>744780.375</v>
      </c>
      <c r="BK105" s="141">
        <v>910009.125</v>
      </c>
      <c r="BL105" s="141">
        <v>1103824.125</v>
      </c>
      <c r="BM105" s="141">
        <v>1544810.625</v>
      </c>
      <c r="BQ105" s="1"/>
      <c r="BR105" s="2" t="s">
        <v>17</v>
      </c>
      <c r="BS105" s="141">
        <v>47078.9</v>
      </c>
      <c r="BT105" s="141">
        <v>57215.4</v>
      </c>
      <c r="BU105" s="141">
        <v>71370.200000000012</v>
      </c>
      <c r="BV105" s="141">
        <v>81074.400000000009</v>
      </c>
      <c r="BW105" s="141">
        <v>87709.6</v>
      </c>
      <c r="BX105" s="141">
        <v>106564.70000000001</v>
      </c>
      <c r="BY105" s="141">
        <v>116744.1</v>
      </c>
      <c r="BZ105" s="141">
        <v>124671.8</v>
      </c>
      <c r="CA105" s="141">
        <v>139747.30000000002</v>
      </c>
      <c r="CB105" s="141">
        <v>174185</v>
      </c>
      <c r="CC105" s="141">
        <v>316005.80000000005</v>
      </c>
      <c r="CD105" s="141">
        <v>393655.9</v>
      </c>
      <c r="CE105" s="141">
        <v>486025.10000000003</v>
      </c>
      <c r="CF105" s="141">
        <v>551387.10000000009</v>
      </c>
      <c r="CG105" s="141">
        <v>686678.3</v>
      </c>
      <c r="CH105" s="141">
        <v>838940.3</v>
      </c>
      <c r="CI105" s="141">
        <v>1017544.0000000001</v>
      </c>
      <c r="CJ105" s="141">
        <v>1423921.4000000001</v>
      </c>
      <c r="CN105" s="1"/>
      <c r="CO105" s="2" t="s">
        <v>17</v>
      </c>
      <c r="CP105" s="141">
        <v>43341.670000000006</v>
      </c>
      <c r="CQ105" s="141">
        <v>52663.350000000006</v>
      </c>
      <c r="CR105" s="141">
        <v>65718.28</v>
      </c>
      <c r="CS105" s="141">
        <v>74641.02</v>
      </c>
      <c r="CT105" s="141">
        <v>80742.840000000011</v>
      </c>
      <c r="CU105" s="141">
        <v>98120.71</v>
      </c>
      <c r="CV105" s="141">
        <v>107480.54000000001</v>
      </c>
      <c r="CW105" s="141">
        <v>114770.46</v>
      </c>
      <c r="CX105" s="141">
        <v>128633.08000000002</v>
      </c>
      <c r="CY105" s="141">
        <v>160299.76</v>
      </c>
      <c r="CZ105" s="141">
        <v>290707.36000000004</v>
      </c>
      <c r="DA105" s="141">
        <v>362107.81</v>
      </c>
      <c r="DB105" s="141">
        <v>447043.88</v>
      </c>
      <c r="DC105" s="141">
        <v>507367.75000000006</v>
      </c>
      <c r="DD105" s="141">
        <v>631771.63</v>
      </c>
      <c r="DE105" s="141">
        <v>771781.04</v>
      </c>
      <c r="DF105" s="141">
        <v>936011.34000000008</v>
      </c>
      <c r="DG105" s="141">
        <v>1309685.1400000001</v>
      </c>
    </row>
    <row r="106" spans="1:111">
      <c r="A106" s="2" t="s">
        <v>14</v>
      </c>
      <c r="B106" t="s">
        <v>31</v>
      </c>
      <c r="C106" t="s">
        <v>32</v>
      </c>
      <c r="D106">
        <v>5</v>
      </c>
      <c r="E106" t="s">
        <v>46</v>
      </c>
      <c r="F106">
        <v>6</v>
      </c>
      <c r="G106">
        <v>2</v>
      </c>
      <c r="H106">
        <v>4</v>
      </c>
      <c r="I106">
        <v>1</v>
      </c>
      <c r="J106" s="4" t="s">
        <v>52</v>
      </c>
      <c r="K106" t="str">
        <f t="shared" si="5"/>
        <v>2+4</v>
      </c>
      <c r="L106">
        <f>VLOOKUP(A106,'ZONE 1 PREMIUM'!$A$4:$N$16,14,0)</f>
        <v>5</v>
      </c>
      <c r="M106">
        <f>VLOOKUP(D106,DROPDOWN!B:C,2,0)</f>
        <v>4</v>
      </c>
      <c r="N106" t="str">
        <f t="shared" si="6"/>
        <v>X143:AP154</v>
      </c>
      <c r="O106" s="4">
        <f t="shared" ca="1" si="7"/>
        <v>56918.1</v>
      </c>
      <c r="X106" s="2" t="s">
        <v>18</v>
      </c>
      <c r="Y106" s="141">
        <v>77765.299999999988</v>
      </c>
      <c r="Z106" s="141">
        <v>94718.599999999991</v>
      </c>
      <c r="AA106" s="141">
        <v>118140.65</v>
      </c>
      <c r="AB106" s="141">
        <v>136409.54999999999</v>
      </c>
      <c r="AC106" s="141">
        <v>147825.59999999998</v>
      </c>
      <c r="AD106" s="141">
        <v>178316.69999999998</v>
      </c>
      <c r="AE106" s="141">
        <v>195674.8</v>
      </c>
      <c r="AF106" s="141">
        <v>208072.94999999998</v>
      </c>
      <c r="AG106" s="141">
        <v>233676.55</v>
      </c>
      <c r="AH106" s="141">
        <v>291930.94999999995</v>
      </c>
      <c r="AI106" s="141">
        <v>528483.64999999991</v>
      </c>
      <c r="AJ106" s="141">
        <v>659962</v>
      </c>
      <c r="AK106" s="141">
        <v>816740.35</v>
      </c>
      <c r="AL106" s="141">
        <v>924900.14999999991</v>
      </c>
      <c r="AM106" s="141">
        <v>1154770.2</v>
      </c>
      <c r="AN106" s="141">
        <v>1414106.7</v>
      </c>
      <c r="AO106" s="141">
        <v>1718861.2999999998</v>
      </c>
      <c r="AP106" s="141">
        <v>2410922.0999999996</v>
      </c>
      <c r="AT106" s="1"/>
      <c r="AU106" s="2" t="s">
        <v>18</v>
      </c>
      <c r="AV106" s="141">
        <v>68968.125</v>
      </c>
      <c r="AW106" s="141">
        <v>83981.25</v>
      </c>
      <c r="AX106" s="141">
        <v>104802.75</v>
      </c>
      <c r="AY106" s="141">
        <v>120981.375</v>
      </c>
      <c r="AZ106" s="141">
        <v>131090.625</v>
      </c>
      <c r="BA106" s="141">
        <v>158172.75</v>
      </c>
      <c r="BB106" s="141">
        <v>173543.625</v>
      </c>
      <c r="BC106" s="141">
        <v>184523.625</v>
      </c>
      <c r="BD106" s="141">
        <v>207195.75</v>
      </c>
      <c r="BE106" s="141">
        <v>258781.5</v>
      </c>
      <c r="BF106" s="141">
        <v>468258.75</v>
      </c>
      <c r="BG106" s="141">
        <v>584685</v>
      </c>
      <c r="BH106" s="141">
        <v>723515.625</v>
      </c>
      <c r="BI106" s="141">
        <v>819732.375</v>
      </c>
      <c r="BJ106" s="141">
        <v>1023288.75</v>
      </c>
      <c r="BK106" s="141">
        <v>1252938.375</v>
      </c>
      <c r="BL106" s="141">
        <v>1522807.875</v>
      </c>
      <c r="BM106" s="141">
        <v>2135648.25</v>
      </c>
      <c r="BQ106" s="1"/>
      <c r="BR106" s="2" t="s">
        <v>18</v>
      </c>
      <c r="BS106" s="141">
        <v>63610.8</v>
      </c>
      <c r="BT106" s="141">
        <v>77445.5</v>
      </c>
      <c r="BU106" s="141">
        <v>96675.700000000012</v>
      </c>
      <c r="BV106" s="141">
        <v>111585.1</v>
      </c>
      <c r="BW106" s="141">
        <v>120899.90000000001</v>
      </c>
      <c r="BX106" s="141">
        <v>145900.70000000001</v>
      </c>
      <c r="BY106" s="141">
        <v>160065.40000000002</v>
      </c>
      <c r="BZ106" s="141">
        <v>170183.2</v>
      </c>
      <c r="CA106" s="141">
        <v>191076.6</v>
      </c>
      <c r="CB106" s="141">
        <v>238613.1</v>
      </c>
      <c r="CC106" s="141">
        <v>431651.00000000006</v>
      </c>
      <c r="CD106" s="141">
        <v>538939.5</v>
      </c>
      <c r="CE106" s="141">
        <v>666875</v>
      </c>
      <c r="CF106" s="141">
        <v>755770.4</v>
      </c>
      <c r="CG106" s="141">
        <v>943351.20000000007</v>
      </c>
      <c r="CH106" s="141">
        <v>1154978</v>
      </c>
      <c r="CI106" s="141">
        <v>1403668.2000000002</v>
      </c>
      <c r="CJ106" s="141">
        <v>1968411.5000000002</v>
      </c>
      <c r="CN106" s="1"/>
      <c r="CO106" s="2" t="s">
        <v>18</v>
      </c>
      <c r="CP106" s="141">
        <v>58547.170000000006</v>
      </c>
      <c r="CQ106" s="141">
        <v>71268.560000000012</v>
      </c>
      <c r="CR106" s="141">
        <v>88995.23000000001</v>
      </c>
      <c r="CS106" s="141">
        <v>102704.16</v>
      </c>
      <c r="CT106" s="141">
        <v>111270.47</v>
      </c>
      <c r="CU106" s="141">
        <v>134302.17000000001</v>
      </c>
      <c r="CV106" s="141">
        <v>147326.58000000002</v>
      </c>
      <c r="CW106" s="141">
        <v>156630.82</v>
      </c>
      <c r="CX106" s="141">
        <v>175842.07</v>
      </c>
      <c r="CY106" s="141">
        <v>219553.25000000003</v>
      </c>
      <c r="CZ106" s="141">
        <v>397058.66000000003</v>
      </c>
      <c r="DA106" s="141">
        <v>495711.29000000004</v>
      </c>
      <c r="DB106" s="141">
        <v>613350.63</v>
      </c>
      <c r="DC106" s="141">
        <v>695325.17</v>
      </c>
      <c r="DD106" s="141">
        <v>867811.13000000012</v>
      </c>
      <c r="DE106" s="141">
        <v>1062406.6500000001</v>
      </c>
      <c r="DF106" s="141">
        <v>1291083.2000000002</v>
      </c>
      <c r="DG106" s="141">
        <v>1810379.9100000001</v>
      </c>
    </row>
    <row r="107" spans="1:111">
      <c r="A107" s="2" t="s">
        <v>15</v>
      </c>
      <c r="B107" t="s">
        <v>33</v>
      </c>
      <c r="C107" t="s">
        <v>34</v>
      </c>
      <c r="D107">
        <v>5</v>
      </c>
      <c r="E107" t="s">
        <v>46</v>
      </c>
      <c r="F107">
        <v>6</v>
      </c>
      <c r="G107">
        <v>2</v>
      </c>
      <c r="H107">
        <v>4</v>
      </c>
      <c r="I107">
        <v>1</v>
      </c>
      <c r="J107" s="4" t="s">
        <v>52</v>
      </c>
      <c r="K107" t="str">
        <f t="shared" si="5"/>
        <v>2+4</v>
      </c>
      <c r="L107">
        <f>VLOOKUP(A107,'ZONE 1 PREMIUM'!$A$4:$N$16,14,0)</f>
        <v>6</v>
      </c>
      <c r="M107">
        <f>VLOOKUP(D107,DROPDOWN!B:C,2,0)</f>
        <v>4</v>
      </c>
      <c r="N107" t="str">
        <f t="shared" si="6"/>
        <v>X143:AP154</v>
      </c>
      <c r="O107" s="4">
        <f t="shared" ca="1" si="7"/>
        <v>68675.7</v>
      </c>
      <c r="X107" s="2" t="s">
        <v>19</v>
      </c>
      <c r="Y107" s="141">
        <v>104740.84999999999</v>
      </c>
      <c r="Z107" s="141">
        <v>127821.34999999999</v>
      </c>
      <c r="AA107" s="141">
        <v>159565.94999999998</v>
      </c>
      <c r="AB107" s="141">
        <v>181704.59999999998</v>
      </c>
      <c r="AC107" s="141">
        <v>197190.49999999997</v>
      </c>
      <c r="AD107" s="141">
        <v>236773.49999999997</v>
      </c>
      <c r="AE107" s="141">
        <v>260259.94999999998</v>
      </c>
      <c r="AF107" s="141">
        <v>279746.69999999995</v>
      </c>
      <c r="AG107" s="141">
        <v>314658.39999999997</v>
      </c>
      <c r="AH107" s="141">
        <v>393780.69999999995</v>
      </c>
      <c r="AI107" s="141">
        <v>699367.89999999991</v>
      </c>
      <c r="AJ107" s="141">
        <v>877525.89999999991</v>
      </c>
      <c r="AK107" s="141">
        <v>1090409.2999999998</v>
      </c>
      <c r="AL107" s="141">
        <v>1248496.3499999999</v>
      </c>
      <c r="AM107" s="141">
        <v>1562204.8499999999</v>
      </c>
      <c r="AN107" s="141">
        <v>1916964.9</v>
      </c>
      <c r="AO107" s="141">
        <v>2334598.9</v>
      </c>
      <c r="AP107" s="141">
        <v>3281194.9499999997</v>
      </c>
      <c r="AT107" s="1"/>
      <c r="AU107" s="2" t="s">
        <v>19</v>
      </c>
      <c r="AV107" s="141">
        <v>92856.375</v>
      </c>
      <c r="AW107" s="141">
        <v>113295.375</v>
      </c>
      <c r="AX107" s="141">
        <v>141486.75</v>
      </c>
      <c r="AY107" s="141">
        <v>161092.125</v>
      </c>
      <c r="AZ107" s="141">
        <v>174804.75</v>
      </c>
      <c r="BA107" s="141">
        <v>209937.375</v>
      </c>
      <c r="BB107" s="141">
        <v>230740.875</v>
      </c>
      <c r="BC107" s="141">
        <v>247997.25</v>
      </c>
      <c r="BD107" s="141">
        <v>278912.25</v>
      </c>
      <c r="BE107" s="141">
        <v>348977.25</v>
      </c>
      <c r="BF107" s="141">
        <v>619596</v>
      </c>
      <c r="BG107" s="141">
        <v>777358.125</v>
      </c>
      <c r="BH107" s="141">
        <v>965873.25</v>
      </c>
      <c r="BI107" s="141">
        <v>1106249.625</v>
      </c>
      <c r="BJ107" s="141">
        <v>1384048.125</v>
      </c>
      <c r="BK107" s="141">
        <v>1698198.75</v>
      </c>
      <c r="BL107" s="141">
        <v>2068025.625</v>
      </c>
      <c r="BM107" s="141">
        <v>2906265.375</v>
      </c>
      <c r="BQ107" s="1"/>
      <c r="BR107" s="2" t="s">
        <v>19</v>
      </c>
      <c r="BS107" s="141">
        <v>85625.1</v>
      </c>
      <c r="BT107" s="141">
        <v>104459.3</v>
      </c>
      <c r="BU107" s="141">
        <v>130480.90000000001</v>
      </c>
      <c r="BV107" s="141">
        <v>148547.30000000002</v>
      </c>
      <c r="BW107" s="141">
        <v>161184.1</v>
      </c>
      <c r="BX107" s="141">
        <v>193602.2</v>
      </c>
      <c r="BY107" s="141">
        <v>212776.30000000002</v>
      </c>
      <c r="BZ107" s="141">
        <v>228677.90000000002</v>
      </c>
      <c r="CA107" s="141">
        <v>257165.7</v>
      </c>
      <c r="CB107" s="141">
        <v>321733.5</v>
      </c>
      <c r="CC107" s="141">
        <v>571120</v>
      </c>
      <c r="CD107" s="141">
        <v>716499.3</v>
      </c>
      <c r="CE107" s="141">
        <v>890219.00000000012</v>
      </c>
      <c r="CF107" s="141">
        <v>1019782.5000000001</v>
      </c>
      <c r="CG107" s="141">
        <v>1275778.9000000001</v>
      </c>
      <c r="CH107" s="141">
        <v>1565274.7000000002</v>
      </c>
      <c r="CI107" s="141">
        <v>1906076.7000000002</v>
      </c>
      <c r="CJ107" s="141">
        <v>2678530.8000000003</v>
      </c>
      <c r="CN107" s="1"/>
      <c r="CO107" s="2" t="s">
        <v>19</v>
      </c>
      <c r="CP107" s="141">
        <v>78789.560000000012</v>
      </c>
      <c r="CQ107" s="141">
        <v>96108.57</v>
      </c>
      <c r="CR107" s="141">
        <v>120079.85</v>
      </c>
      <c r="CS107" s="141">
        <v>136692.54</v>
      </c>
      <c r="CT107" s="141">
        <v>148313.03</v>
      </c>
      <c r="CU107" s="141">
        <v>178164.86000000002</v>
      </c>
      <c r="CV107" s="141">
        <v>195797.79</v>
      </c>
      <c r="CW107" s="141">
        <v>210420.14</v>
      </c>
      <c r="CX107" s="141">
        <v>236616.11000000002</v>
      </c>
      <c r="CY107" s="141">
        <v>295987.32</v>
      </c>
      <c r="CZ107" s="141">
        <v>525311.33000000007</v>
      </c>
      <c r="DA107" s="141">
        <v>658990.02</v>
      </c>
      <c r="DB107" s="141">
        <v>818729.52</v>
      </c>
      <c r="DC107" s="141">
        <v>938071.44000000006</v>
      </c>
      <c r="DD107" s="141">
        <v>1173466.75</v>
      </c>
      <c r="DE107" s="141">
        <v>1439665.4600000002</v>
      </c>
      <c r="DF107" s="141">
        <v>1753041.55</v>
      </c>
      <c r="DG107" s="141">
        <v>2463332.4200000004</v>
      </c>
    </row>
    <row r="108" spans="1:111">
      <c r="A108" s="2" t="s">
        <v>16</v>
      </c>
      <c r="B108" t="s">
        <v>35</v>
      </c>
      <c r="C108" t="s">
        <v>36</v>
      </c>
      <c r="D108">
        <v>5</v>
      </c>
      <c r="E108" t="s">
        <v>46</v>
      </c>
      <c r="F108">
        <v>6</v>
      </c>
      <c r="G108">
        <v>2</v>
      </c>
      <c r="H108">
        <v>4</v>
      </c>
      <c r="I108">
        <v>1</v>
      </c>
      <c r="J108" s="4" t="s">
        <v>52</v>
      </c>
      <c r="K108" t="str">
        <f t="shared" si="5"/>
        <v>2+4</v>
      </c>
      <c r="L108">
        <f>VLOOKUP(A108,'ZONE 1 PREMIUM'!$A$4:$N$16,14,0)</f>
        <v>7</v>
      </c>
      <c r="M108">
        <f>VLOOKUP(D108,DROPDOWN!B:C,2,0)</f>
        <v>4</v>
      </c>
      <c r="N108" t="str">
        <f t="shared" si="6"/>
        <v>X143:AP154</v>
      </c>
      <c r="O108" s="4">
        <f t="shared" ca="1" si="7"/>
        <v>84666.45</v>
      </c>
      <c r="X108" s="2" t="s">
        <v>20</v>
      </c>
      <c r="Y108" s="141">
        <v>128274.45</v>
      </c>
      <c r="Z108" s="141">
        <v>156784.09999999998</v>
      </c>
      <c r="AA108" s="141">
        <v>195995.65</v>
      </c>
      <c r="AB108" s="141">
        <v>221385.34999999998</v>
      </c>
      <c r="AC108" s="141">
        <v>240551.24999999997</v>
      </c>
      <c r="AD108" s="141">
        <v>288713.25</v>
      </c>
      <c r="AE108" s="141">
        <v>317774.89999999997</v>
      </c>
      <c r="AF108" s="141">
        <v>343396.89999999997</v>
      </c>
      <c r="AG108" s="141">
        <v>386761.1</v>
      </c>
      <c r="AH108" s="141">
        <v>484684.74999999994</v>
      </c>
      <c r="AI108" s="141">
        <v>837948.64999999991</v>
      </c>
      <c r="AJ108" s="141">
        <v>1057595.2</v>
      </c>
      <c r="AK108" s="141">
        <v>1320540.3999999999</v>
      </c>
      <c r="AL108" s="141">
        <v>1539009.3499999999</v>
      </c>
      <c r="AM108" s="141">
        <v>1929084.7499999998</v>
      </c>
      <c r="AN108" s="141">
        <v>2371156.25</v>
      </c>
      <c r="AO108" s="141">
        <v>2892436.3</v>
      </c>
      <c r="AP108" s="141">
        <v>4071846.4</v>
      </c>
      <c r="AT108" s="1"/>
      <c r="AU108" s="2" t="s">
        <v>20</v>
      </c>
      <c r="AV108" s="141">
        <v>113697</v>
      </c>
      <c r="AW108" s="141">
        <v>138943.125</v>
      </c>
      <c r="AX108" s="141">
        <v>173746.125</v>
      </c>
      <c r="AY108" s="141">
        <v>196230.375</v>
      </c>
      <c r="AZ108" s="141">
        <v>213202.125</v>
      </c>
      <c r="BA108" s="141">
        <v>255931.875</v>
      </c>
      <c r="BB108" s="141">
        <v>281673</v>
      </c>
      <c r="BC108" s="141">
        <v>304362</v>
      </c>
      <c r="BD108" s="141">
        <v>342762.75</v>
      </c>
      <c r="BE108" s="141">
        <v>429477.75</v>
      </c>
      <c r="BF108" s="141">
        <v>742321.125</v>
      </c>
      <c r="BG108" s="141">
        <v>936822.375</v>
      </c>
      <c r="BH108" s="141">
        <v>1169668.125</v>
      </c>
      <c r="BI108" s="141">
        <v>1363495.5</v>
      </c>
      <c r="BJ108" s="141">
        <v>1708917.75</v>
      </c>
      <c r="BK108" s="141">
        <v>2100386.25</v>
      </c>
      <c r="BL108" s="141">
        <v>2561995.125</v>
      </c>
      <c r="BM108" s="141">
        <v>3606397.875</v>
      </c>
      <c r="BQ108" s="1"/>
      <c r="BR108" s="2" t="s">
        <v>20</v>
      </c>
      <c r="BS108" s="141">
        <v>104830.00000000001</v>
      </c>
      <c r="BT108" s="141">
        <v>128095.00000000001</v>
      </c>
      <c r="BU108" s="141">
        <v>160209.5</v>
      </c>
      <c r="BV108" s="141">
        <v>180928.00000000003</v>
      </c>
      <c r="BW108" s="141">
        <v>196567.80000000002</v>
      </c>
      <c r="BX108" s="141">
        <v>235986.30000000002</v>
      </c>
      <c r="BY108" s="141">
        <v>259712.2</v>
      </c>
      <c r="BZ108" s="141">
        <v>280619.90000000002</v>
      </c>
      <c r="CA108" s="141">
        <v>316006.90000000002</v>
      </c>
      <c r="CB108" s="141">
        <v>395916.4</v>
      </c>
      <c r="CC108" s="141">
        <v>684216.5</v>
      </c>
      <c r="CD108" s="141">
        <v>863451.60000000009</v>
      </c>
      <c r="CE108" s="141">
        <v>1078023.1000000001</v>
      </c>
      <c r="CF108" s="141">
        <v>1256832.5</v>
      </c>
      <c r="CG108" s="141">
        <v>1575146.1</v>
      </c>
      <c r="CH108" s="141">
        <v>1935891.1</v>
      </c>
      <c r="CI108" s="141">
        <v>2361273.2000000002</v>
      </c>
      <c r="CJ108" s="141">
        <v>3323709.4000000004</v>
      </c>
      <c r="CN108" s="1"/>
      <c r="CO108" s="2" t="s">
        <v>20</v>
      </c>
      <c r="CP108" s="141">
        <v>96449.74</v>
      </c>
      <c r="CQ108" s="141">
        <v>117842.08</v>
      </c>
      <c r="CR108" s="141">
        <v>147414.87000000002</v>
      </c>
      <c r="CS108" s="141">
        <v>166466.98000000001</v>
      </c>
      <c r="CT108" s="141">
        <v>180848.44</v>
      </c>
      <c r="CU108" s="141">
        <v>217137.81000000003</v>
      </c>
      <c r="CV108" s="141">
        <v>238957.43000000002</v>
      </c>
      <c r="CW108" s="141">
        <v>258182.85</v>
      </c>
      <c r="CX108" s="141">
        <v>290722.62</v>
      </c>
      <c r="CY108" s="141">
        <v>364200.61000000004</v>
      </c>
      <c r="CZ108" s="141">
        <v>629309.32000000007</v>
      </c>
      <c r="DA108" s="141">
        <v>794120.59000000008</v>
      </c>
      <c r="DB108" s="141">
        <v>991423.67</v>
      </c>
      <c r="DC108" s="141">
        <v>1156037.6500000001</v>
      </c>
      <c r="DD108" s="141">
        <v>1448735.35</v>
      </c>
      <c r="DE108" s="141">
        <v>1780449.6</v>
      </c>
      <c r="DF108" s="141">
        <v>2171598.2800000003</v>
      </c>
      <c r="DG108" s="141">
        <v>3056583.45</v>
      </c>
    </row>
    <row r="109" spans="1:111">
      <c r="A109" s="2" t="s">
        <v>17</v>
      </c>
      <c r="B109" t="s">
        <v>37</v>
      </c>
      <c r="C109" t="s">
        <v>38</v>
      </c>
      <c r="D109">
        <v>5</v>
      </c>
      <c r="E109" t="s">
        <v>46</v>
      </c>
      <c r="F109">
        <v>6</v>
      </c>
      <c r="G109">
        <v>2</v>
      </c>
      <c r="H109">
        <v>4</v>
      </c>
      <c r="I109">
        <v>1</v>
      </c>
      <c r="J109" s="4" t="s">
        <v>52</v>
      </c>
      <c r="K109" t="str">
        <f t="shared" si="5"/>
        <v>2+4</v>
      </c>
      <c r="L109">
        <f>VLOOKUP(A109,'ZONE 1 PREMIUM'!$A$4:$N$16,14,0)</f>
        <v>8</v>
      </c>
      <c r="M109">
        <f>VLOOKUP(D109,DROPDOWN!B:C,2,0)</f>
        <v>4</v>
      </c>
      <c r="N109" t="str">
        <f t="shared" si="6"/>
        <v>X143:AP154</v>
      </c>
      <c r="O109" s="4">
        <f t="shared" ca="1" si="7"/>
        <v>106538.29999999999</v>
      </c>
      <c r="X109" s="2" t="s">
        <v>21</v>
      </c>
      <c r="Y109" s="141">
        <v>162221.29999999999</v>
      </c>
      <c r="Z109" s="141">
        <v>198586.59999999998</v>
      </c>
      <c r="AA109" s="141">
        <v>248555.24999999997</v>
      </c>
      <c r="AB109" s="141">
        <v>281240.55</v>
      </c>
      <c r="AC109" s="141">
        <v>305994.3</v>
      </c>
      <c r="AD109" s="141">
        <v>367216.85</v>
      </c>
      <c r="AE109" s="141">
        <v>404702.24999999994</v>
      </c>
      <c r="AF109" s="141">
        <v>437916.55</v>
      </c>
      <c r="AG109" s="141">
        <v>493918.1</v>
      </c>
      <c r="AH109" s="141">
        <v>619883.35</v>
      </c>
      <c r="AI109" s="141">
        <v>1038175.1499999999</v>
      </c>
      <c r="AJ109" s="141">
        <v>1319476.6499999999</v>
      </c>
      <c r="AK109" s="141">
        <v>1656895.8499999999</v>
      </c>
      <c r="AL109" s="141">
        <v>1972331.65</v>
      </c>
      <c r="AM109" s="141">
        <v>2476673.3499999996</v>
      </c>
      <c r="AN109" s="141">
        <v>3049544.6999999997</v>
      </c>
      <c r="AO109" s="141">
        <v>3726238.05</v>
      </c>
      <c r="AP109" s="141">
        <v>5254369.55</v>
      </c>
      <c r="AT109" s="1"/>
      <c r="AU109" s="2" t="s">
        <v>21</v>
      </c>
      <c r="AV109" s="141">
        <v>143757</v>
      </c>
      <c r="AW109" s="141">
        <v>175959</v>
      </c>
      <c r="AX109" s="141">
        <v>220288.5</v>
      </c>
      <c r="AY109" s="141">
        <v>249231.375</v>
      </c>
      <c r="AZ109" s="141">
        <v>271152</v>
      </c>
      <c r="BA109" s="141">
        <v>325446.75</v>
      </c>
      <c r="BB109" s="141">
        <v>358648.875</v>
      </c>
      <c r="BC109" s="141">
        <v>388060.875</v>
      </c>
      <c r="BD109" s="141">
        <v>437652</v>
      </c>
      <c r="BE109" s="141">
        <v>549196.875</v>
      </c>
      <c r="BF109" s="141">
        <v>919624.5</v>
      </c>
      <c r="BG109" s="141">
        <v>1168723.125</v>
      </c>
      <c r="BH109" s="141">
        <v>1467518.625</v>
      </c>
      <c r="BI109" s="141">
        <v>1747210.5</v>
      </c>
      <c r="BJ109" s="141">
        <v>2193819.75</v>
      </c>
      <c r="BK109" s="141">
        <v>2701113.75</v>
      </c>
      <c r="BL109" s="141">
        <v>3300347.25</v>
      </c>
      <c r="BM109" s="141">
        <v>4653552.375</v>
      </c>
      <c r="BQ109" s="1"/>
      <c r="BR109" s="2" t="s">
        <v>21</v>
      </c>
      <c r="BS109" s="141">
        <v>132530.20000000001</v>
      </c>
      <c r="BT109" s="141">
        <v>162204.90000000002</v>
      </c>
      <c r="BU109" s="141">
        <v>203097.40000000002</v>
      </c>
      <c r="BV109" s="141">
        <v>229769.1</v>
      </c>
      <c r="BW109" s="141">
        <v>249969.50000000003</v>
      </c>
      <c r="BX109" s="141">
        <v>300044.80000000005</v>
      </c>
      <c r="BY109" s="141">
        <v>330644.60000000003</v>
      </c>
      <c r="BZ109" s="141">
        <v>357748.60000000003</v>
      </c>
      <c r="CA109" s="141">
        <v>403448.10000000003</v>
      </c>
      <c r="CB109" s="141">
        <v>506238.70000000007</v>
      </c>
      <c r="CC109" s="141">
        <v>847603.9</v>
      </c>
      <c r="CD109" s="141">
        <v>1077151.9000000001</v>
      </c>
      <c r="CE109" s="141">
        <v>1352498.4000000001</v>
      </c>
      <c r="CF109" s="141">
        <v>1610429.7000000002</v>
      </c>
      <c r="CG109" s="141">
        <v>2021989.2000000002</v>
      </c>
      <c r="CH109" s="141">
        <v>2489470.5</v>
      </c>
      <c r="CI109" s="141">
        <v>3041674.9000000004</v>
      </c>
      <c r="CJ109" s="141">
        <v>4288680</v>
      </c>
      <c r="CN109" s="1"/>
      <c r="CO109" s="2" t="s">
        <v>21</v>
      </c>
      <c r="CP109" s="141">
        <v>121920.86000000002</v>
      </c>
      <c r="CQ109" s="141">
        <v>149206.83000000002</v>
      </c>
      <c r="CR109" s="141">
        <v>186852.16</v>
      </c>
      <c r="CS109" s="141">
        <v>211377.16</v>
      </c>
      <c r="CT109" s="141">
        <v>229951.85</v>
      </c>
      <c r="CU109" s="141">
        <v>276040.32000000001</v>
      </c>
      <c r="CV109" s="141">
        <v>304180.85000000003</v>
      </c>
      <c r="CW109" s="141">
        <v>329103.7</v>
      </c>
      <c r="CX109" s="141">
        <v>371125.38</v>
      </c>
      <c r="CY109" s="141">
        <v>465644.73000000004</v>
      </c>
      <c r="CZ109" s="141">
        <v>779547.29</v>
      </c>
      <c r="DA109" s="141">
        <v>990621.43</v>
      </c>
      <c r="DB109" s="141">
        <v>1243808.81</v>
      </c>
      <c r="DC109" s="141">
        <v>1481177.02</v>
      </c>
      <c r="DD109" s="141">
        <v>1859616.3</v>
      </c>
      <c r="DE109" s="141">
        <v>2289477.4200000004</v>
      </c>
      <c r="DF109" s="141">
        <v>2797243.02</v>
      </c>
      <c r="DG109" s="141">
        <v>3943894.68</v>
      </c>
    </row>
    <row r="110" spans="1:111">
      <c r="A110" s="2" t="s">
        <v>18</v>
      </c>
      <c r="B110" t="s">
        <v>39</v>
      </c>
      <c r="C110" t="s">
        <v>40</v>
      </c>
      <c r="D110">
        <v>5</v>
      </c>
      <c r="E110" t="s">
        <v>46</v>
      </c>
      <c r="F110">
        <v>6</v>
      </c>
      <c r="G110">
        <v>2</v>
      </c>
      <c r="H110">
        <v>4</v>
      </c>
      <c r="I110">
        <v>1</v>
      </c>
      <c r="J110" s="4" t="s">
        <v>52</v>
      </c>
      <c r="K110" t="str">
        <f t="shared" si="5"/>
        <v>2+4</v>
      </c>
      <c r="L110">
        <f>VLOOKUP(A110,'ZONE 1 PREMIUM'!$A$4:$N$16,14,0)</f>
        <v>9</v>
      </c>
      <c r="M110">
        <f>VLOOKUP(D110,DROPDOWN!B:C,2,0)</f>
        <v>4</v>
      </c>
      <c r="N110" t="str">
        <f t="shared" si="6"/>
        <v>X143:AP154</v>
      </c>
      <c r="O110" s="4">
        <f t="shared" ca="1" si="7"/>
        <v>135818.44999999998</v>
      </c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</row>
    <row r="111" spans="1:111">
      <c r="A111" s="2" t="s">
        <v>19</v>
      </c>
      <c r="B111" t="s">
        <v>41</v>
      </c>
      <c r="C111" t="s">
        <v>42</v>
      </c>
      <c r="D111">
        <v>5</v>
      </c>
      <c r="E111" t="s">
        <v>46</v>
      </c>
      <c r="F111">
        <v>6</v>
      </c>
      <c r="G111">
        <v>2</v>
      </c>
      <c r="H111">
        <v>4</v>
      </c>
      <c r="I111">
        <v>1</v>
      </c>
      <c r="J111" s="4" t="s">
        <v>52</v>
      </c>
      <c r="K111" t="str">
        <f t="shared" si="5"/>
        <v>2+4</v>
      </c>
      <c r="L111">
        <f>VLOOKUP(A111,'ZONE 1 PREMIUM'!$A$4:$N$16,14,0)</f>
        <v>10</v>
      </c>
      <c r="M111">
        <f>VLOOKUP(D111,DROPDOWN!B:C,2,0)</f>
        <v>4</v>
      </c>
      <c r="N111" t="str">
        <f t="shared" si="6"/>
        <v>X143:AP154</v>
      </c>
      <c r="O111" s="4">
        <f t="shared" ca="1" si="7"/>
        <v>174115.75</v>
      </c>
      <c r="X111" s="85" t="s">
        <v>67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</row>
    <row r="112" spans="1:111">
      <c r="A112" s="2" t="s">
        <v>20</v>
      </c>
      <c r="B112" t="s">
        <v>43</v>
      </c>
      <c r="C112" t="s">
        <v>44</v>
      </c>
      <c r="D112">
        <v>5</v>
      </c>
      <c r="E112" t="s">
        <v>46</v>
      </c>
      <c r="F112">
        <v>6</v>
      </c>
      <c r="G112">
        <v>2</v>
      </c>
      <c r="H112">
        <v>4</v>
      </c>
      <c r="I112">
        <v>1</v>
      </c>
      <c r="J112" s="4" t="s">
        <v>52</v>
      </c>
      <c r="K112" t="str">
        <f t="shared" si="5"/>
        <v>2+4</v>
      </c>
      <c r="L112">
        <f>VLOOKUP(A112,'ZONE 1 PREMIUM'!$A$4:$N$16,14,0)</f>
        <v>11</v>
      </c>
      <c r="M112">
        <f>VLOOKUP(D112,DROPDOWN!B:C,2,0)</f>
        <v>4</v>
      </c>
      <c r="N112" t="str">
        <f t="shared" si="6"/>
        <v>X143:AP154</v>
      </c>
      <c r="O112" s="4">
        <f t="shared" ca="1" si="7"/>
        <v>210984.74999999997</v>
      </c>
      <c r="X112" s="1"/>
      <c r="Y112" s="117" t="s">
        <v>211</v>
      </c>
      <c r="Z112" s="117"/>
      <c r="AA112" s="118" t="s">
        <v>57</v>
      </c>
      <c r="AB112" s="118"/>
      <c r="AC112" s="118"/>
      <c r="AD112" s="119" t="s">
        <v>58</v>
      </c>
      <c r="AE112" s="119"/>
      <c r="AF112" s="119"/>
      <c r="AG112" s="119"/>
      <c r="AH112" s="119"/>
      <c r="AI112" s="120" t="s">
        <v>59</v>
      </c>
      <c r="AJ112" s="120"/>
      <c r="AK112" s="120"/>
      <c r="AL112" s="116" t="s">
        <v>176</v>
      </c>
      <c r="AM112" s="116"/>
      <c r="AN112" s="116"/>
      <c r="AO112" s="116"/>
      <c r="AP112" s="116"/>
      <c r="AT112" s="5" t="s">
        <v>67</v>
      </c>
      <c r="AU112" s="1"/>
      <c r="AV112" s="117" t="s">
        <v>211</v>
      </c>
      <c r="AW112" s="117"/>
      <c r="AX112" s="118" t="s">
        <v>57</v>
      </c>
      <c r="AY112" s="118"/>
      <c r="AZ112" s="118"/>
      <c r="BA112" s="119" t="s">
        <v>58</v>
      </c>
      <c r="BB112" s="119"/>
      <c r="BC112" s="119"/>
      <c r="BD112" s="119"/>
      <c r="BE112" s="119"/>
      <c r="BF112" s="120" t="s">
        <v>59</v>
      </c>
      <c r="BG112" s="120"/>
      <c r="BH112" s="120"/>
      <c r="BI112" s="116" t="s">
        <v>176</v>
      </c>
      <c r="BJ112" s="116"/>
      <c r="BK112" s="116"/>
      <c r="BL112" s="116"/>
      <c r="BM112" s="116"/>
      <c r="BQ112" s="5" t="s">
        <v>67</v>
      </c>
      <c r="BR112" s="1"/>
      <c r="BS112" s="117" t="s">
        <v>211</v>
      </c>
      <c r="BT112" s="117"/>
      <c r="BU112" s="118" t="s">
        <v>57</v>
      </c>
      <c r="BV112" s="118"/>
      <c r="BW112" s="118"/>
      <c r="BX112" s="119" t="s">
        <v>58</v>
      </c>
      <c r="BY112" s="119"/>
      <c r="BZ112" s="119"/>
      <c r="CA112" s="119"/>
      <c r="CB112" s="119"/>
      <c r="CC112" s="120" t="s">
        <v>59</v>
      </c>
      <c r="CD112" s="120"/>
      <c r="CE112" s="120"/>
      <c r="CF112" s="116" t="s">
        <v>176</v>
      </c>
      <c r="CG112" s="116"/>
      <c r="CH112" s="116"/>
      <c r="CI112" s="116"/>
      <c r="CJ112" s="116"/>
      <c r="CN112" s="5" t="s">
        <v>67</v>
      </c>
      <c r="CO112" s="1"/>
      <c r="CP112" s="117" t="s">
        <v>211</v>
      </c>
      <c r="CQ112" s="117"/>
      <c r="CR112" s="118" t="s">
        <v>57</v>
      </c>
      <c r="CS112" s="118"/>
      <c r="CT112" s="118"/>
      <c r="CU112" s="119" t="s">
        <v>58</v>
      </c>
      <c r="CV112" s="119"/>
      <c r="CW112" s="119"/>
      <c r="CX112" s="119"/>
      <c r="CY112" s="119"/>
      <c r="CZ112" s="120" t="s">
        <v>59</v>
      </c>
      <c r="DA112" s="120"/>
      <c r="DB112" s="120"/>
      <c r="DC112" s="116" t="s">
        <v>176</v>
      </c>
      <c r="DD112" s="116"/>
      <c r="DE112" s="116"/>
      <c r="DF112" s="116"/>
      <c r="DG112" s="116"/>
    </row>
    <row r="113" spans="1:111">
      <c r="A113" s="2" t="s">
        <v>21</v>
      </c>
      <c r="B113" t="s">
        <v>22</v>
      </c>
      <c r="D113">
        <v>5</v>
      </c>
      <c r="E113" t="s">
        <v>46</v>
      </c>
      <c r="F113">
        <v>6</v>
      </c>
      <c r="G113">
        <v>2</v>
      </c>
      <c r="H113">
        <v>4</v>
      </c>
      <c r="I113">
        <v>1</v>
      </c>
      <c r="J113" s="4" t="s">
        <v>52</v>
      </c>
      <c r="K113" t="str">
        <f t="shared" si="5"/>
        <v>2+4</v>
      </c>
      <c r="L113">
        <f>VLOOKUP(A113,'ZONE 1 PREMIUM'!$A$4:$N$16,14,0)</f>
        <v>12</v>
      </c>
      <c r="M113">
        <f>VLOOKUP(D113,DROPDOWN!B:C,2,0)</f>
        <v>4</v>
      </c>
      <c r="N113" t="str">
        <f t="shared" si="6"/>
        <v>X143:AP154</v>
      </c>
      <c r="O113" s="4">
        <f t="shared" ca="1" si="7"/>
        <v>263140.69999999995</v>
      </c>
      <c r="X113" s="2" t="s">
        <v>60</v>
      </c>
      <c r="Y113" s="2" t="s">
        <v>243</v>
      </c>
      <c r="Z113" s="2" t="s">
        <v>244</v>
      </c>
      <c r="AA113" s="6" t="s">
        <v>70</v>
      </c>
      <c r="AB113" s="6" t="s">
        <v>71</v>
      </c>
      <c r="AC113" s="6" t="s">
        <v>72</v>
      </c>
      <c r="AD113" s="6" t="s">
        <v>73</v>
      </c>
      <c r="AE113" s="6" t="s">
        <v>74</v>
      </c>
      <c r="AF113" s="6" t="s">
        <v>75</v>
      </c>
      <c r="AG113" s="6" t="s">
        <v>76</v>
      </c>
      <c r="AH113" s="6" t="s">
        <v>77</v>
      </c>
      <c r="AI113" s="6" t="s">
        <v>78</v>
      </c>
      <c r="AJ113" s="6" t="s">
        <v>79</v>
      </c>
      <c r="AK113" s="6" t="s">
        <v>80</v>
      </c>
      <c r="AL113" s="2" t="s">
        <v>245</v>
      </c>
      <c r="AM113" s="2" t="s">
        <v>246</v>
      </c>
      <c r="AN113" s="2" t="s">
        <v>247</v>
      </c>
      <c r="AO113" s="2" t="s">
        <v>248</v>
      </c>
      <c r="AP113" s="2" t="s">
        <v>310</v>
      </c>
      <c r="AT113" s="1"/>
      <c r="AU113" s="2" t="s">
        <v>60</v>
      </c>
      <c r="AV113" s="2" t="s">
        <v>243</v>
      </c>
      <c r="AW113" s="2" t="s">
        <v>244</v>
      </c>
      <c r="AX113" s="6" t="s">
        <v>70</v>
      </c>
      <c r="AY113" s="6" t="s">
        <v>71</v>
      </c>
      <c r="AZ113" s="6" t="s">
        <v>72</v>
      </c>
      <c r="BA113" s="6" t="s">
        <v>73</v>
      </c>
      <c r="BB113" s="6" t="s">
        <v>74</v>
      </c>
      <c r="BC113" s="6" t="s">
        <v>75</v>
      </c>
      <c r="BD113" s="6" t="s">
        <v>76</v>
      </c>
      <c r="BE113" s="6" t="s">
        <v>77</v>
      </c>
      <c r="BF113" s="6" t="s">
        <v>78</v>
      </c>
      <c r="BG113" s="6" t="s">
        <v>79</v>
      </c>
      <c r="BH113" s="6" t="s">
        <v>80</v>
      </c>
      <c r="BI113" s="2" t="s">
        <v>245</v>
      </c>
      <c r="BJ113" s="2" t="s">
        <v>246</v>
      </c>
      <c r="BK113" s="2" t="s">
        <v>247</v>
      </c>
      <c r="BL113" s="2" t="s">
        <v>248</v>
      </c>
      <c r="BM113" s="2" t="s">
        <v>310</v>
      </c>
      <c r="BQ113" s="1"/>
      <c r="BR113" s="2" t="s">
        <v>60</v>
      </c>
      <c r="BS113" s="2" t="s">
        <v>243</v>
      </c>
      <c r="BT113" s="2" t="s">
        <v>244</v>
      </c>
      <c r="BU113" s="6" t="s">
        <v>70</v>
      </c>
      <c r="BV113" s="6" t="s">
        <v>71</v>
      </c>
      <c r="BW113" s="6" t="s">
        <v>72</v>
      </c>
      <c r="BX113" s="6" t="s">
        <v>73</v>
      </c>
      <c r="BY113" s="6" t="s">
        <v>74</v>
      </c>
      <c r="BZ113" s="6" t="s">
        <v>75</v>
      </c>
      <c r="CA113" s="6" t="s">
        <v>76</v>
      </c>
      <c r="CB113" s="6" t="s">
        <v>77</v>
      </c>
      <c r="CC113" s="6" t="s">
        <v>78</v>
      </c>
      <c r="CD113" s="6" t="s">
        <v>79</v>
      </c>
      <c r="CE113" s="6" t="s">
        <v>80</v>
      </c>
      <c r="CF113" s="2" t="s">
        <v>245</v>
      </c>
      <c r="CG113" s="2" t="s">
        <v>246</v>
      </c>
      <c r="CH113" s="2" t="s">
        <v>247</v>
      </c>
      <c r="CI113" s="2" t="s">
        <v>248</v>
      </c>
      <c r="CJ113" s="2" t="s">
        <v>310</v>
      </c>
      <c r="CN113" s="1"/>
      <c r="CO113" s="2" t="s">
        <v>60</v>
      </c>
      <c r="CP113" s="2" t="s">
        <v>243</v>
      </c>
      <c r="CQ113" s="2" t="s">
        <v>244</v>
      </c>
      <c r="CR113" s="6" t="s">
        <v>70</v>
      </c>
      <c r="CS113" s="6" t="s">
        <v>71</v>
      </c>
      <c r="CT113" s="6" t="s">
        <v>72</v>
      </c>
      <c r="CU113" s="6" t="s">
        <v>73</v>
      </c>
      <c r="CV113" s="6" t="s">
        <v>74</v>
      </c>
      <c r="CW113" s="6" t="s">
        <v>75</v>
      </c>
      <c r="CX113" s="6" t="s">
        <v>76</v>
      </c>
      <c r="CY113" s="6" t="s">
        <v>77</v>
      </c>
      <c r="CZ113" s="6" t="s">
        <v>78</v>
      </c>
      <c r="DA113" s="6" t="s">
        <v>79</v>
      </c>
      <c r="DB113" s="6" t="s">
        <v>80</v>
      </c>
      <c r="DC113" s="2" t="s">
        <v>245</v>
      </c>
      <c r="DD113" s="2" t="s">
        <v>246</v>
      </c>
      <c r="DE113" s="2" t="s">
        <v>247</v>
      </c>
      <c r="DF113" s="2" t="s">
        <v>248</v>
      </c>
      <c r="DG113" s="2" t="s">
        <v>310</v>
      </c>
    </row>
    <row r="114" spans="1:111" ht="15" customHeight="1">
      <c r="A114" s="2" t="s">
        <v>9</v>
      </c>
      <c r="B114" t="s">
        <v>47</v>
      </c>
      <c r="C114" t="s">
        <v>48</v>
      </c>
      <c r="D114">
        <v>5</v>
      </c>
      <c r="E114" t="s">
        <v>26</v>
      </c>
      <c r="F114">
        <v>1</v>
      </c>
      <c r="H114">
        <v>1</v>
      </c>
      <c r="I114">
        <v>1</v>
      </c>
      <c r="J114" s="4" t="s">
        <v>55</v>
      </c>
      <c r="K114" t="str">
        <f t="shared" si="5"/>
        <v>+1</v>
      </c>
      <c r="O114" s="7">
        <v>3029.4786420496716</v>
      </c>
      <c r="X114" s="2" t="s">
        <v>11</v>
      </c>
      <c r="Y114" s="141">
        <v>22057</v>
      </c>
      <c r="Z114" s="141">
        <v>26872.05</v>
      </c>
      <c r="AA114" s="141">
        <v>32672.649999999998</v>
      </c>
      <c r="AB114" s="141">
        <v>35621.25</v>
      </c>
      <c r="AC114" s="141">
        <v>38327.199999999997</v>
      </c>
      <c r="AD114" s="141">
        <v>48467.899999999994</v>
      </c>
      <c r="AE114" s="141">
        <v>53148.399999999994</v>
      </c>
      <c r="AF114" s="141">
        <v>57226.299999999996</v>
      </c>
      <c r="AG114" s="141">
        <v>63806.6</v>
      </c>
      <c r="AH114" s="141">
        <v>79141.849999999991</v>
      </c>
      <c r="AI114" s="141">
        <v>152254.25</v>
      </c>
      <c r="AJ114" s="141">
        <v>185097.09999999998</v>
      </c>
      <c r="AK114" s="141">
        <v>221979.9</v>
      </c>
      <c r="AL114" s="141">
        <v>315447.3</v>
      </c>
      <c r="AM114" s="141">
        <v>375694.64999999997</v>
      </c>
      <c r="AN114" s="141">
        <v>442235.94999999995</v>
      </c>
      <c r="AO114" s="141">
        <v>519323.89999999997</v>
      </c>
      <c r="AP114" s="141">
        <v>696536.6</v>
      </c>
      <c r="AT114" s="1"/>
      <c r="AU114" s="2" t="s">
        <v>11</v>
      </c>
      <c r="AV114" s="141">
        <v>19581.75</v>
      </c>
      <c r="AW114" s="141">
        <v>23845.5</v>
      </c>
      <c r="AX114" s="141">
        <v>29011.5</v>
      </c>
      <c r="AY114" s="141">
        <v>31622.625</v>
      </c>
      <c r="AZ114" s="141">
        <v>34018.875</v>
      </c>
      <c r="BA114" s="141">
        <v>43026.75</v>
      </c>
      <c r="BB114" s="141">
        <v>47172.375</v>
      </c>
      <c r="BC114" s="141">
        <v>50783.625</v>
      </c>
      <c r="BD114" s="141">
        <v>56610</v>
      </c>
      <c r="BE114" s="141">
        <v>70189.875</v>
      </c>
      <c r="BF114" s="141">
        <v>134932.5</v>
      </c>
      <c r="BG114" s="141">
        <v>164017.125</v>
      </c>
      <c r="BH114" s="141">
        <v>196677</v>
      </c>
      <c r="BI114" s="141">
        <v>280370.25</v>
      </c>
      <c r="BJ114" s="141">
        <v>333721.125</v>
      </c>
      <c r="BK114" s="141">
        <v>392645.25</v>
      </c>
      <c r="BL114" s="141">
        <v>460910.25</v>
      </c>
      <c r="BM114" s="141">
        <v>617836.5</v>
      </c>
      <c r="BQ114" s="1"/>
      <c r="BR114" s="2" t="s">
        <v>11</v>
      </c>
      <c r="BS114" s="141">
        <v>18070.800000000003</v>
      </c>
      <c r="BT114" s="141">
        <v>22000</v>
      </c>
      <c r="BU114" s="141">
        <v>26775.100000000002</v>
      </c>
      <c r="BV114" s="141">
        <v>29181.9</v>
      </c>
      <c r="BW114" s="141">
        <v>31390.7</v>
      </c>
      <c r="BX114" s="141">
        <v>39706.700000000004</v>
      </c>
      <c r="BY114" s="141">
        <v>43527</v>
      </c>
      <c r="BZ114" s="141">
        <v>46854.500000000007</v>
      </c>
      <c r="CA114" s="141">
        <v>52223.600000000006</v>
      </c>
      <c r="CB114" s="141">
        <v>64738.3</v>
      </c>
      <c r="CC114" s="141">
        <v>124400.1</v>
      </c>
      <c r="CD114" s="141">
        <v>151201.60000000001</v>
      </c>
      <c r="CE114" s="141">
        <v>181298.7</v>
      </c>
      <c r="CF114" s="141">
        <v>258910.30000000002</v>
      </c>
      <c r="CG114" s="141">
        <v>308074.80000000005</v>
      </c>
      <c r="CH114" s="141">
        <v>362374.10000000003</v>
      </c>
      <c r="CI114" s="141">
        <v>425280.9</v>
      </c>
      <c r="CJ114" s="141">
        <v>569892.4</v>
      </c>
      <c r="CN114" s="1"/>
      <c r="CO114" s="2" t="s">
        <v>11</v>
      </c>
      <c r="CP114" s="141">
        <v>16643.210000000003</v>
      </c>
      <c r="CQ114" s="141">
        <v>20255.47</v>
      </c>
      <c r="CR114" s="141">
        <v>24662.34</v>
      </c>
      <c r="CS114" s="141">
        <v>26875.040000000001</v>
      </c>
      <c r="CT114" s="141">
        <v>28905.710000000003</v>
      </c>
      <c r="CU114" s="141">
        <v>36568.410000000003</v>
      </c>
      <c r="CV114" s="141">
        <v>40081.480000000003</v>
      </c>
      <c r="CW114" s="141">
        <v>43141.11</v>
      </c>
      <c r="CX114" s="141">
        <v>48078.810000000005</v>
      </c>
      <c r="CY114" s="141">
        <v>59585.94</v>
      </c>
      <c r="CZ114" s="141">
        <v>114446.73000000001</v>
      </c>
      <c r="DA114" s="141">
        <v>139090.54</v>
      </c>
      <c r="DB114" s="141">
        <v>166765.64000000001</v>
      </c>
      <c r="DC114" s="141">
        <v>238624.98</v>
      </c>
      <c r="DD114" s="141">
        <v>283832.73000000004</v>
      </c>
      <c r="DE114" s="141">
        <v>333762.36000000004</v>
      </c>
      <c r="DF114" s="141">
        <v>391606.48000000004</v>
      </c>
      <c r="DG114" s="141">
        <v>524581.03</v>
      </c>
    </row>
    <row r="115" spans="1:111" ht="15" customHeight="1">
      <c r="A115" s="2" t="s">
        <v>10</v>
      </c>
      <c r="B115" t="s">
        <v>49</v>
      </c>
      <c r="C115" t="s">
        <v>50</v>
      </c>
      <c r="D115">
        <v>5</v>
      </c>
      <c r="E115" t="s">
        <v>26</v>
      </c>
      <c r="F115">
        <v>1</v>
      </c>
      <c r="G115">
        <v>1</v>
      </c>
      <c r="H115">
        <v>0</v>
      </c>
      <c r="I115">
        <v>1</v>
      </c>
      <c r="J115" s="4" t="s">
        <v>55</v>
      </c>
      <c r="K115" t="str">
        <f t="shared" si="5"/>
        <v>1+0</v>
      </c>
      <c r="L115">
        <f>VLOOKUP(A115,'ZONE 1 PREMIUM'!$A$3:$M$16,13,0)</f>
        <v>3</v>
      </c>
      <c r="M115">
        <f>VLOOKUP(D115,DROPDOWN!B:C,2,0)</f>
        <v>4</v>
      </c>
      <c r="N115" t="str">
        <f>VLOOKUP(K115,$BN$3:$BO$12,2,0)</f>
        <v>AU3:BM16</v>
      </c>
      <c r="O115" s="4">
        <f ca="1">INDEX(INDIRECT(N115),L115,M115)</f>
        <v>5164.875</v>
      </c>
      <c r="X115" s="2" t="s">
        <v>12</v>
      </c>
      <c r="Y115" s="141">
        <v>24301.8</v>
      </c>
      <c r="Z115" s="141">
        <v>29220.35</v>
      </c>
      <c r="AA115" s="141">
        <v>35733.949999999997</v>
      </c>
      <c r="AB115" s="141">
        <v>38963.149999999994</v>
      </c>
      <c r="AC115" s="141">
        <v>41931.299999999996</v>
      </c>
      <c r="AD115" s="141">
        <v>53056.399999999994</v>
      </c>
      <c r="AE115" s="141">
        <v>57971.499999999993</v>
      </c>
      <c r="AF115" s="141">
        <v>62251.799999999996</v>
      </c>
      <c r="AG115" s="141">
        <v>69414</v>
      </c>
      <c r="AH115" s="141">
        <v>86064.849999999991</v>
      </c>
      <c r="AI115" s="141">
        <v>165751.79999999999</v>
      </c>
      <c r="AJ115" s="141">
        <v>202802.49999999997</v>
      </c>
      <c r="AK115" s="141">
        <v>245043.15</v>
      </c>
      <c r="AL115" s="141">
        <v>340471.3</v>
      </c>
      <c r="AM115" s="141">
        <v>407159.8</v>
      </c>
      <c r="AN115" s="141">
        <v>481018.55</v>
      </c>
      <c r="AO115" s="141">
        <v>566738.39999999991</v>
      </c>
      <c r="AP115" s="141">
        <v>763517.2</v>
      </c>
      <c r="AT115" s="1"/>
      <c r="AU115" s="2" t="s">
        <v>12</v>
      </c>
      <c r="AV115" s="141">
        <v>21583.125</v>
      </c>
      <c r="AW115" s="141">
        <v>25938</v>
      </c>
      <c r="AX115" s="141">
        <v>31746.375</v>
      </c>
      <c r="AY115" s="141">
        <v>34605</v>
      </c>
      <c r="AZ115" s="141">
        <v>37234.125</v>
      </c>
      <c r="BA115" s="141">
        <v>47126.25</v>
      </c>
      <c r="BB115" s="141">
        <v>51477.75</v>
      </c>
      <c r="BC115" s="141">
        <v>55267.875</v>
      </c>
      <c r="BD115" s="141">
        <v>61610.625</v>
      </c>
      <c r="BE115" s="141">
        <v>76356</v>
      </c>
      <c r="BF115" s="141">
        <v>146921.625</v>
      </c>
      <c r="BG115" s="141">
        <v>179731.125</v>
      </c>
      <c r="BH115" s="141">
        <v>217135.125</v>
      </c>
      <c r="BI115" s="141">
        <v>302571</v>
      </c>
      <c r="BJ115" s="141">
        <v>361624.5</v>
      </c>
      <c r="BK115" s="141">
        <v>427029.75</v>
      </c>
      <c r="BL115" s="141">
        <v>502936.875</v>
      </c>
      <c r="BM115" s="141">
        <v>677190.375</v>
      </c>
      <c r="BQ115" s="1"/>
      <c r="BR115" s="2" t="s">
        <v>12</v>
      </c>
      <c r="BS115" s="141">
        <v>19922.100000000002</v>
      </c>
      <c r="BT115" s="141">
        <v>23936.000000000004</v>
      </c>
      <c r="BU115" s="141">
        <v>29308.400000000001</v>
      </c>
      <c r="BV115" s="141">
        <v>31944.000000000004</v>
      </c>
      <c r="BW115" s="141">
        <v>34366.200000000004</v>
      </c>
      <c r="BX115" s="141">
        <v>43502.8</v>
      </c>
      <c r="BY115" s="141">
        <v>47512.3</v>
      </c>
      <c r="BZ115" s="141">
        <v>51005.9</v>
      </c>
      <c r="CA115" s="141">
        <v>56850.200000000004</v>
      </c>
      <c r="CB115" s="141">
        <v>70438.5</v>
      </c>
      <c r="CC115" s="141">
        <v>135466.1</v>
      </c>
      <c r="CD115" s="141">
        <v>165700.70000000001</v>
      </c>
      <c r="CE115" s="141">
        <v>200169.2</v>
      </c>
      <c r="CF115" s="141">
        <v>279389</v>
      </c>
      <c r="CG115" s="141">
        <v>333809.30000000005</v>
      </c>
      <c r="CH115" s="141">
        <v>394080.50000000006</v>
      </c>
      <c r="CI115" s="141">
        <v>464030.60000000003</v>
      </c>
      <c r="CJ115" s="141">
        <v>624608.60000000009</v>
      </c>
      <c r="CN115" s="1"/>
      <c r="CO115" s="2" t="s">
        <v>12</v>
      </c>
      <c r="CP115" s="141">
        <v>18352.330000000002</v>
      </c>
      <c r="CQ115" s="141">
        <v>22043.070000000003</v>
      </c>
      <c r="CR115" s="141">
        <v>27004.750000000004</v>
      </c>
      <c r="CS115" s="141">
        <v>29427.820000000003</v>
      </c>
      <c r="CT115" s="141">
        <v>31655.780000000002</v>
      </c>
      <c r="CU115" s="141">
        <v>40078.210000000006</v>
      </c>
      <c r="CV115" s="141">
        <v>43765.68</v>
      </c>
      <c r="CW115" s="141">
        <v>46976.820000000007</v>
      </c>
      <c r="CX115" s="141">
        <v>52351.61</v>
      </c>
      <c r="CY115" s="141">
        <v>64845.19</v>
      </c>
      <c r="CZ115" s="141">
        <v>124640.41</v>
      </c>
      <c r="DA115" s="141">
        <v>152441.95000000001</v>
      </c>
      <c r="DB115" s="141">
        <v>184136.97</v>
      </c>
      <c r="DC115" s="141">
        <v>257476.53000000003</v>
      </c>
      <c r="DD115" s="141">
        <v>307517.34000000003</v>
      </c>
      <c r="DE115" s="141">
        <v>362938.39</v>
      </c>
      <c r="DF115" s="141">
        <v>427259.29000000004</v>
      </c>
      <c r="DG115" s="141">
        <v>574913.96000000008</v>
      </c>
    </row>
    <row r="116" spans="1:111" ht="15" customHeight="1">
      <c r="A116" s="2" t="s">
        <v>11</v>
      </c>
      <c r="B116" t="s">
        <v>45</v>
      </c>
      <c r="C116" t="s">
        <v>25</v>
      </c>
      <c r="D116">
        <v>5</v>
      </c>
      <c r="E116" t="s">
        <v>26</v>
      </c>
      <c r="F116">
        <v>1</v>
      </c>
      <c r="G116">
        <v>1</v>
      </c>
      <c r="H116">
        <v>0</v>
      </c>
      <c r="I116">
        <v>1</v>
      </c>
      <c r="J116" s="4" t="s">
        <v>55</v>
      </c>
      <c r="K116" t="str">
        <f t="shared" si="5"/>
        <v>1+0</v>
      </c>
      <c r="L116">
        <f>VLOOKUP(A116,'ZONE 1 PREMIUM'!$A$3:$M$16,13,0)</f>
        <v>4</v>
      </c>
      <c r="M116">
        <f>VLOOKUP(D116,DROPDOWN!B:C,2,0)</f>
        <v>4</v>
      </c>
      <c r="N116" t="str">
        <f t="shared" ref="N116:N179" si="9">VLOOKUP(K116,$BN$3:$BO$12,2,0)</f>
        <v>AU3:BM16</v>
      </c>
      <c r="O116" s="4">
        <f t="shared" ref="O116:O179" ca="1" si="10">INDEX(INDIRECT(N116),L116,M116)</f>
        <v>13834.125</v>
      </c>
      <c r="X116" s="2" t="s">
        <v>13</v>
      </c>
      <c r="Y116" s="141">
        <v>27066.399999999998</v>
      </c>
      <c r="Z116" s="141">
        <v>32636.999999999996</v>
      </c>
      <c r="AA116" s="141">
        <v>40105.1</v>
      </c>
      <c r="AB116" s="141">
        <v>43764.399999999994</v>
      </c>
      <c r="AC116" s="141">
        <v>47133.899999999994</v>
      </c>
      <c r="AD116" s="141">
        <v>59693.049999999996</v>
      </c>
      <c r="AE116" s="141">
        <v>65282.049999999996</v>
      </c>
      <c r="AF116" s="141">
        <v>70162.649999999994</v>
      </c>
      <c r="AG116" s="141">
        <v>78296.599999999991</v>
      </c>
      <c r="AH116" s="141">
        <v>97161.2</v>
      </c>
      <c r="AI116" s="141">
        <v>176235.19999999998</v>
      </c>
      <c r="AJ116" s="141">
        <v>218374.65</v>
      </c>
      <c r="AK116" s="141">
        <v>266519.39999999997</v>
      </c>
      <c r="AL116" s="141">
        <v>360008.64999999997</v>
      </c>
      <c r="AM116" s="141">
        <v>435133.55</v>
      </c>
      <c r="AN116" s="141">
        <v>518594.8</v>
      </c>
      <c r="AO116" s="141">
        <v>615643.29999999993</v>
      </c>
      <c r="AP116" s="141">
        <v>838147.6</v>
      </c>
      <c r="AT116" s="1"/>
      <c r="AU116" s="2" t="s">
        <v>13</v>
      </c>
      <c r="AV116" s="141">
        <v>24033.375</v>
      </c>
      <c r="AW116" s="141">
        <v>28965.375</v>
      </c>
      <c r="AX116" s="141">
        <v>35622</v>
      </c>
      <c r="AY116" s="141">
        <v>38862</v>
      </c>
      <c r="AZ116" s="141">
        <v>41846.625</v>
      </c>
      <c r="BA116" s="141">
        <v>53011.125</v>
      </c>
      <c r="BB116" s="141">
        <v>57960</v>
      </c>
      <c r="BC116" s="141">
        <v>62282.25</v>
      </c>
      <c r="BD116" s="141">
        <v>69484.5</v>
      </c>
      <c r="BE116" s="141">
        <v>86189.625</v>
      </c>
      <c r="BF116" s="141">
        <v>156213</v>
      </c>
      <c r="BG116" s="141">
        <v>193529.25</v>
      </c>
      <c r="BH116" s="141">
        <v>236162.25</v>
      </c>
      <c r="BI116" s="141">
        <v>319681.125</v>
      </c>
      <c r="BJ116" s="141">
        <v>386206.875</v>
      </c>
      <c r="BK116" s="141">
        <v>460113.75</v>
      </c>
      <c r="BL116" s="141">
        <v>546053.625</v>
      </c>
      <c r="BM116" s="141">
        <v>743088.375</v>
      </c>
      <c r="BQ116" s="1"/>
      <c r="BR116" s="2" t="s">
        <v>13</v>
      </c>
      <c r="BS116" s="141">
        <v>22181.5</v>
      </c>
      <c r="BT116" s="141">
        <v>26726.7</v>
      </c>
      <c r="BU116" s="141">
        <v>32883.4</v>
      </c>
      <c r="BV116" s="141">
        <v>35869.9</v>
      </c>
      <c r="BW116" s="141">
        <v>38619.9</v>
      </c>
      <c r="BX116" s="141">
        <v>48930.200000000004</v>
      </c>
      <c r="BY116" s="141">
        <v>53490.8</v>
      </c>
      <c r="BZ116" s="141">
        <v>57473.9</v>
      </c>
      <c r="CA116" s="141">
        <v>64111.3</v>
      </c>
      <c r="CB116" s="141">
        <v>79505.8</v>
      </c>
      <c r="CC116" s="141">
        <v>144032.90000000002</v>
      </c>
      <c r="CD116" s="141">
        <v>178420</v>
      </c>
      <c r="CE116" s="141">
        <v>217707.6</v>
      </c>
      <c r="CF116" s="141">
        <v>295057.40000000002</v>
      </c>
      <c r="CG116" s="141">
        <v>356362.60000000003</v>
      </c>
      <c r="CH116" s="141">
        <v>424469.10000000003</v>
      </c>
      <c r="CI116" s="141">
        <v>503663.60000000003</v>
      </c>
      <c r="CJ116" s="141">
        <v>685235.10000000009</v>
      </c>
      <c r="CN116" s="1"/>
      <c r="CO116" s="2" t="s">
        <v>13</v>
      </c>
      <c r="CP116" s="141">
        <v>20430.960000000003</v>
      </c>
      <c r="CQ116" s="141">
        <v>24610.02</v>
      </c>
      <c r="CR116" s="141">
        <v>30295.460000000003</v>
      </c>
      <c r="CS116" s="141">
        <v>33040.080000000002</v>
      </c>
      <c r="CT116" s="141">
        <v>35569.97</v>
      </c>
      <c r="CU116" s="141">
        <v>45073.68</v>
      </c>
      <c r="CV116" s="141">
        <v>49266.91</v>
      </c>
      <c r="CW116" s="141">
        <v>52929.310000000005</v>
      </c>
      <c r="CX116" s="141">
        <v>59033.310000000005</v>
      </c>
      <c r="CY116" s="141">
        <v>73188.05</v>
      </c>
      <c r="CZ116" s="141">
        <v>132523.29</v>
      </c>
      <c r="DA116" s="141">
        <v>164142.01</v>
      </c>
      <c r="DB116" s="141">
        <v>200267.88</v>
      </c>
      <c r="DC116" s="141">
        <v>271782.78000000003</v>
      </c>
      <c r="DD116" s="141">
        <v>328154.31</v>
      </c>
      <c r="DE116" s="141">
        <v>390780.26</v>
      </c>
      <c r="DF116" s="141">
        <v>463602.07</v>
      </c>
      <c r="DG116" s="141">
        <v>630560.64</v>
      </c>
    </row>
    <row r="117" spans="1:111" ht="15" customHeight="1">
      <c r="A117" s="2" t="s">
        <v>12</v>
      </c>
      <c r="B117" t="s">
        <v>27</v>
      </c>
      <c r="C117" t="s">
        <v>28</v>
      </c>
      <c r="D117">
        <v>5</v>
      </c>
      <c r="E117" t="s">
        <v>26</v>
      </c>
      <c r="F117">
        <v>1</v>
      </c>
      <c r="G117">
        <v>1</v>
      </c>
      <c r="H117">
        <v>0</v>
      </c>
      <c r="I117">
        <v>1</v>
      </c>
      <c r="J117" s="4" t="s">
        <v>55</v>
      </c>
      <c r="K117" t="str">
        <f t="shared" si="5"/>
        <v>1+0</v>
      </c>
      <c r="L117">
        <f>VLOOKUP(A117,'ZONE 1 PREMIUM'!$A$3:$M$16,13,0)</f>
        <v>5</v>
      </c>
      <c r="M117">
        <f>VLOOKUP(D117,DROPDOWN!B:C,2,0)</f>
        <v>4</v>
      </c>
      <c r="N117" t="str">
        <f t="shared" si="9"/>
        <v>AU3:BM16</v>
      </c>
      <c r="O117" s="4">
        <f t="shared" ca="1" si="10"/>
        <v>15914.25</v>
      </c>
      <c r="X117" s="2" t="s">
        <v>14</v>
      </c>
      <c r="Y117" s="141">
        <v>30416.35</v>
      </c>
      <c r="Z117" s="141">
        <v>36794.25</v>
      </c>
      <c r="AA117" s="141">
        <v>45392.799999999996</v>
      </c>
      <c r="AB117" s="141">
        <v>49590.299999999996</v>
      </c>
      <c r="AC117" s="141">
        <v>53466.95</v>
      </c>
      <c r="AD117" s="141">
        <v>67723.5</v>
      </c>
      <c r="AE117" s="141">
        <v>74031.25</v>
      </c>
      <c r="AF117" s="141">
        <v>79501.799999999988</v>
      </c>
      <c r="AG117" s="141">
        <v>88817.95</v>
      </c>
      <c r="AH117" s="141">
        <v>110352.84999999999</v>
      </c>
      <c r="AI117" s="141">
        <v>192759.55</v>
      </c>
      <c r="AJ117" s="141">
        <v>241228.59999999998</v>
      </c>
      <c r="AK117" s="141">
        <v>296709.19999999995</v>
      </c>
      <c r="AL117" s="141">
        <v>381561.94999999995</v>
      </c>
      <c r="AM117" s="141">
        <v>466576.85</v>
      </c>
      <c r="AN117" s="141">
        <v>561354.1</v>
      </c>
      <c r="AO117" s="141">
        <v>671805.85</v>
      </c>
      <c r="AP117" s="141">
        <v>924620.7</v>
      </c>
      <c r="AT117" s="1"/>
      <c r="AU117" s="2" t="s">
        <v>14</v>
      </c>
      <c r="AV117" s="141">
        <v>27000</v>
      </c>
      <c r="AW117" s="141">
        <v>32647.5</v>
      </c>
      <c r="AX117" s="141">
        <v>40307.625</v>
      </c>
      <c r="AY117" s="141">
        <v>44024.625</v>
      </c>
      <c r="AZ117" s="141">
        <v>47457</v>
      </c>
      <c r="BA117" s="141">
        <v>60127.875</v>
      </c>
      <c r="BB117" s="141">
        <v>65712.375</v>
      </c>
      <c r="BC117" s="141">
        <v>70557.75</v>
      </c>
      <c r="BD117" s="141">
        <v>78806.25</v>
      </c>
      <c r="BE117" s="141">
        <v>97876.125</v>
      </c>
      <c r="BF117" s="141">
        <v>170850.375</v>
      </c>
      <c r="BG117" s="141">
        <v>213771.375</v>
      </c>
      <c r="BH117" s="141">
        <v>262901.25</v>
      </c>
      <c r="BI117" s="141">
        <v>338538.375</v>
      </c>
      <c r="BJ117" s="141">
        <v>413822.25</v>
      </c>
      <c r="BK117" s="141">
        <v>497750.625</v>
      </c>
      <c r="BL117" s="141">
        <v>595559.25</v>
      </c>
      <c r="BM117" s="141">
        <v>819434.25</v>
      </c>
      <c r="BQ117" s="1"/>
      <c r="BR117" s="2" t="s">
        <v>14</v>
      </c>
      <c r="BS117" s="141">
        <v>24916.100000000002</v>
      </c>
      <c r="BT117" s="141">
        <v>30120.2</v>
      </c>
      <c r="BU117" s="141">
        <v>37202</v>
      </c>
      <c r="BV117" s="141">
        <v>40627.4</v>
      </c>
      <c r="BW117" s="141">
        <v>43791</v>
      </c>
      <c r="BX117" s="141">
        <v>55490.600000000006</v>
      </c>
      <c r="BY117" s="141">
        <v>60637.500000000007</v>
      </c>
      <c r="BZ117" s="141">
        <v>65102.400000000009</v>
      </c>
      <c r="CA117" s="141">
        <v>72703.400000000009</v>
      </c>
      <c r="CB117" s="141">
        <v>90277.000000000015</v>
      </c>
      <c r="CC117" s="141">
        <v>157523.30000000002</v>
      </c>
      <c r="CD117" s="141">
        <v>197076.00000000003</v>
      </c>
      <c r="CE117" s="141">
        <v>242349.80000000002</v>
      </c>
      <c r="CF117" s="141">
        <v>312315.30000000005</v>
      </c>
      <c r="CG117" s="141">
        <v>381690.10000000003</v>
      </c>
      <c r="CH117" s="141">
        <v>459031.10000000003</v>
      </c>
      <c r="CI117" s="141">
        <v>549164</v>
      </c>
      <c r="CJ117" s="141">
        <v>755469.00000000012</v>
      </c>
      <c r="CN117" s="1"/>
      <c r="CO117" s="2" t="s">
        <v>14</v>
      </c>
      <c r="CP117" s="141">
        <v>22945.59</v>
      </c>
      <c r="CQ117" s="141">
        <v>27730.690000000002</v>
      </c>
      <c r="CR117" s="141">
        <v>34267.420000000006</v>
      </c>
      <c r="CS117" s="141">
        <v>37417.520000000004</v>
      </c>
      <c r="CT117" s="141">
        <v>40325.64</v>
      </c>
      <c r="CU117" s="141">
        <v>51107.920000000006</v>
      </c>
      <c r="CV117" s="141">
        <v>55840.700000000004</v>
      </c>
      <c r="CW117" s="141">
        <v>59945.640000000007</v>
      </c>
      <c r="CX117" s="141">
        <v>66935.81</v>
      </c>
      <c r="CY117" s="141">
        <v>83095.060000000012</v>
      </c>
      <c r="CZ117" s="141">
        <v>144929.67000000001</v>
      </c>
      <c r="DA117" s="141">
        <v>181299.7</v>
      </c>
      <c r="DB117" s="141">
        <v>222930.07</v>
      </c>
      <c r="DC117" s="141">
        <v>287530.01</v>
      </c>
      <c r="DD117" s="141">
        <v>351322.26</v>
      </c>
      <c r="DE117" s="141">
        <v>422439.31000000006</v>
      </c>
      <c r="DF117" s="141">
        <v>505318.55000000005</v>
      </c>
      <c r="DG117" s="141">
        <v>695021.06</v>
      </c>
    </row>
    <row r="118" spans="1:111" ht="15" customHeight="1">
      <c r="A118" s="2" t="s">
        <v>13</v>
      </c>
      <c r="B118" t="s">
        <v>29</v>
      </c>
      <c r="C118" t="s">
        <v>30</v>
      </c>
      <c r="D118">
        <v>5</v>
      </c>
      <c r="E118" t="s">
        <v>26</v>
      </c>
      <c r="F118">
        <v>1</v>
      </c>
      <c r="G118">
        <v>1</v>
      </c>
      <c r="H118">
        <v>0</v>
      </c>
      <c r="I118">
        <v>1</v>
      </c>
      <c r="J118" s="4" t="s">
        <v>55</v>
      </c>
      <c r="K118" t="str">
        <f t="shared" si="5"/>
        <v>1+0</v>
      </c>
      <c r="L118">
        <f>VLOOKUP(A118,'ZONE 1 PREMIUM'!$A$3:$M$16,13,0)</f>
        <v>6</v>
      </c>
      <c r="M118">
        <f>VLOOKUP(D118,DROPDOWN!B:C,2,0)</f>
        <v>4</v>
      </c>
      <c r="N118" t="str">
        <f t="shared" si="9"/>
        <v>AU3:BM16</v>
      </c>
      <c r="O118" s="4">
        <f t="shared" ca="1" si="10"/>
        <v>18330.75</v>
      </c>
      <c r="X118" s="2" t="s">
        <v>15</v>
      </c>
      <c r="Y118" s="141">
        <v>37113.949999999997</v>
      </c>
      <c r="Z118" s="141">
        <v>45007.549999999996</v>
      </c>
      <c r="AA118" s="141">
        <v>55753.149999999994</v>
      </c>
      <c r="AB118" s="141">
        <v>63246.549999999996</v>
      </c>
      <c r="AC118" s="141">
        <v>68262.849999999991</v>
      </c>
      <c r="AD118" s="141">
        <v>83997.15</v>
      </c>
      <c r="AE118" s="141">
        <v>91862</v>
      </c>
      <c r="AF118" s="141">
        <v>98682.65</v>
      </c>
      <c r="AG118" s="141">
        <v>110356.29999999999</v>
      </c>
      <c r="AH118" s="141">
        <v>137249.04999999999</v>
      </c>
      <c r="AI118" s="141">
        <v>233985.9</v>
      </c>
      <c r="AJ118" s="141">
        <v>295108.39999999997</v>
      </c>
      <c r="AK118" s="141">
        <v>365214.69999999995</v>
      </c>
      <c r="AL118" s="141">
        <v>444573.89999999997</v>
      </c>
      <c r="AM118" s="141">
        <v>549732.19999999995</v>
      </c>
      <c r="AN118" s="141">
        <v>667357.64999999991</v>
      </c>
      <c r="AO118" s="141">
        <v>804734.35</v>
      </c>
      <c r="AP118" s="141">
        <v>1118644.0999999999</v>
      </c>
      <c r="AT118" s="1"/>
      <c r="AU118" s="2" t="s">
        <v>15</v>
      </c>
      <c r="AV118" s="141">
        <v>32941.125</v>
      </c>
      <c r="AW118" s="141">
        <v>39931.875</v>
      </c>
      <c r="AX118" s="141">
        <v>49501.125</v>
      </c>
      <c r="AY118" s="141">
        <v>56137.5</v>
      </c>
      <c r="AZ118" s="141">
        <v>60579</v>
      </c>
      <c r="BA118" s="141">
        <v>74567.25</v>
      </c>
      <c r="BB118" s="141">
        <v>81532.125</v>
      </c>
      <c r="BC118" s="141">
        <v>87572.25</v>
      </c>
      <c r="BD118" s="141">
        <v>97908.75</v>
      </c>
      <c r="BE118" s="141">
        <v>121723.875</v>
      </c>
      <c r="BF118" s="141">
        <v>207387</v>
      </c>
      <c r="BG118" s="141">
        <v>261513</v>
      </c>
      <c r="BH118" s="141">
        <v>323593.875</v>
      </c>
      <c r="BI118" s="141">
        <v>394258.5</v>
      </c>
      <c r="BJ118" s="141">
        <v>487379.25</v>
      </c>
      <c r="BK118" s="141">
        <v>591539.625</v>
      </c>
      <c r="BL118" s="141">
        <v>713190.375</v>
      </c>
      <c r="BM118" s="141">
        <v>991166.625</v>
      </c>
      <c r="BQ118" s="1"/>
      <c r="BR118" s="2" t="s">
        <v>15</v>
      </c>
      <c r="BS118" s="141">
        <v>30395.200000000001</v>
      </c>
      <c r="BT118" s="141">
        <v>36837.9</v>
      </c>
      <c r="BU118" s="141">
        <v>45685.200000000004</v>
      </c>
      <c r="BV118" s="141">
        <v>51801.200000000004</v>
      </c>
      <c r="BW118" s="141">
        <v>55894.3</v>
      </c>
      <c r="BX118" s="141">
        <v>68812.700000000012</v>
      </c>
      <c r="BY118" s="141">
        <v>75231.200000000012</v>
      </c>
      <c r="BZ118" s="141">
        <v>80797.200000000012</v>
      </c>
      <c r="CA118" s="141">
        <v>90322.1</v>
      </c>
      <c r="CB118" s="141">
        <v>112268.20000000001</v>
      </c>
      <c r="CC118" s="141">
        <v>191208.6</v>
      </c>
      <c r="CD118" s="141">
        <v>241087.00000000003</v>
      </c>
      <c r="CE118" s="141">
        <v>298295.80000000005</v>
      </c>
      <c r="CF118" s="141">
        <v>363619.30000000005</v>
      </c>
      <c r="CG118" s="141">
        <v>449431.4</v>
      </c>
      <c r="CH118" s="141">
        <v>545417.4</v>
      </c>
      <c r="CI118" s="141">
        <v>657520.60000000009</v>
      </c>
      <c r="CJ118" s="141">
        <v>913682.00000000012</v>
      </c>
      <c r="CN118" s="1"/>
      <c r="CO118" s="2" t="s">
        <v>15</v>
      </c>
      <c r="CP118" s="141">
        <v>27990.11</v>
      </c>
      <c r="CQ118" s="141">
        <v>33913.170000000006</v>
      </c>
      <c r="CR118" s="141">
        <v>42078.36</v>
      </c>
      <c r="CS118" s="141">
        <v>47701.670000000006</v>
      </c>
      <c r="CT118" s="141">
        <v>51465.440000000002</v>
      </c>
      <c r="CU118" s="141">
        <v>63374.780000000006</v>
      </c>
      <c r="CV118" s="141">
        <v>69276.040000000008</v>
      </c>
      <c r="CW118" s="141">
        <v>74393.590000000011</v>
      </c>
      <c r="CX118" s="141">
        <v>83152.83</v>
      </c>
      <c r="CY118" s="141">
        <v>103332.00000000001</v>
      </c>
      <c r="CZ118" s="141">
        <v>175919.46000000002</v>
      </c>
      <c r="DA118" s="141">
        <v>221783.39</v>
      </c>
      <c r="DB118" s="141">
        <v>274388.97000000003</v>
      </c>
      <c r="DC118" s="141">
        <v>334662.7</v>
      </c>
      <c r="DD118" s="141">
        <v>413568.89</v>
      </c>
      <c r="DE118" s="141">
        <v>501830.55000000005</v>
      </c>
      <c r="DF118" s="141">
        <v>604912.94000000006</v>
      </c>
      <c r="DG118" s="141">
        <v>840458.67</v>
      </c>
    </row>
    <row r="119" spans="1:111" ht="15" customHeight="1">
      <c r="A119" s="2" t="s">
        <v>14</v>
      </c>
      <c r="B119" t="s">
        <v>31</v>
      </c>
      <c r="C119" t="s">
        <v>32</v>
      </c>
      <c r="D119">
        <v>5</v>
      </c>
      <c r="E119" t="s">
        <v>26</v>
      </c>
      <c r="F119">
        <v>1</v>
      </c>
      <c r="G119">
        <v>1</v>
      </c>
      <c r="H119">
        <v>0</v>
      </c>
      <c r="I119">
        <v>1</v>
      </c>
      <c r="J119" s="4" t="s">
        <v>55</v>
      </c>
      <c r="K119" t="str">
        <f t="shared" si="5"/>
        <v>1+0</v>
      </c>
      <c r="L119">
        <f>VLOOKUP(A119,'ZONE 1 PREMIUM'!$A$3:$M$16,13,0)</f>
        <v>7</v>
      </c>
      <c r="M119">
        <f>VLOOKUP(D119,DROPDOWN!B:C,2,0)</f>
        <v>4</v>
      </c>
      <c r="N119" t="str">
        <f t="shared" si="9"/>
        <v>AU3:BM16</v>
      </c>
      <c r="O119" s="4">
        <f t="shared" ca="1" si="10"/>
        <v>21295.125</v>
      </c>
      <c r="X119" s="2" t="s">
        <v>16</v>
      </c>
      <c r="Y119" s="141">
        <v>47826.2</v>
      </c>
      <c r="Z119" s="141">
        <v>58156.649999999994</v>
      </c>
      <c r="AA119" s="141">
        <v>72176.299999999988</v>
      </c>
      <c r="AB119" s="141">
        <v>83261.149999999994</v>
      </c>
      <c r="AC119" s="141">
        <v>89966.799999999988</v>
      </c>
      <c r="AD119" s="141">
        <v>109371.9</v>
      </c>
      <c r="AE119" s="141">
        <v>119800.09999999999</v>
      </c>
      <c r="AF119" s="141">
        <v>128886.24999999999</v>
      </c>
      <c r="AG119" s="141">
        <v>144303.15</v>
      </c>
      <c r="AH119" s="141">
        <v>179713.94999999998</v>
      </c>
      <c r="AI119" s="141">
        <v>313415.25</v>
      </c>
      <c r="AJ119" s="141">
        <v>394631.69999999995</v>
      </c>
      <c r="AK119" s="141">
        <v>487940.39999999997</v>
      </c>
      <c r="AL119" s="141">
        <v>572230.79999999993</v>
      </c>
      <c r="AM119" s="141">
        <v>710923.1</v>
      </c>
      <c r="AN119" s="141">
        <v>866409.99999999988</v>
      </c>
      <c r="AO119" s="141">
        <v>1048296.2999999999</v>
      </c>
      <c r="AP119" s="141">
        <v>1463266.9</v>
      </c>
      <c r="AT119" s="1"/>
      <c r="AU119" s="2" t="s">
        <v>16</v>
      </c>
      <c r="AV119" s="141">
        <v>42433.875</v>
      </c>
      <c r="AW119" s="141">
        <v>51581.25</v>
      </c>
      <c r="AX119" s="141">
        <v>64058.625</v>
      </c>
      <c r="AY119" s="141">
        <v>73875.375</v>
      </c>
      <c r="AZ119" s="141">
        <v>79813.125</v>
      </c>
      <c r="BA119" s="141">
        <v>97059.375</v>
      </c>
      <c r="BB119" s="141">
        <v>106294.5</v>
      </c>
      <c r="BC119" s="141">
        <v>114339.375</v>
      </c>
      <c r="BD119" s="141">
        <v>127991.25</v>
      </c>
      <c r="BE119" s="141">
        <v>159348.375</v>
      </c>
      <c r="BF119" s="141">
        <v>277745.625</v>
      </c>
      <c r="BG119" s="141">
        <v>349665.75</v>
      </c>
      <c r="BH119" s="141">
        <v>432293.625</v>
      </c>
      <c r="BI119" s="141">
        <v>507310.875</v>
      </c>
      <c r="BJ119" s="141">
        <v>630128.25</v>
      </c>
      <c r="BK119" s="141">
        <v>767815.875</v>
      </c>
      <c r="BL119" s="141">
        <v>928881</v>
      </c>
      <c r="BM119" s="141">
        <v>1296349.875</v>
      </c>
      <c r="BQ119" s="1"/>
      <c r="BR119" s="2" t="s">
        <v>16</v>
      </c>
      <c r="BS119" s="141">
        <v>39146.800000000003</v>
      </c>
      <c r="BT119" s="141">
        <v>47576.100000000006</v>
      </c>
      <c r="BU119" s="141">
        <v>59107.4</v>
      </c>
      <c r="BV119" s="141">
        <v>68153.8</v>
      </c>
      <c r="BW119" s="141">
        <v>73625.200000000012</v>
      </c>
      <c r="BX119" s="141">
        <v>89551</v>
      </c>
      <c r="BY119" s="141">
        <v>98061.700000000012</v>
      </c>
      <c r="BZ119" s="141">
        <v>105475.70000000001</v>
      </c>
      <c r="CA119" s="141">
        <v>118055.3</v>
      </c>
      <c r="CB119" s="141">
        <v>146952.30000000002</v>
      </c>
      <c r="CC119" s="141">
        <v>256056.90000000002</v>
      </c>
      <c r="CD119" s="141">
        <v>322333</v>
      </c>
      <c r="CE119" s="141">
        <v>398476.10000000003</v>
      </c>
      <c r="CF119" s="141">
        <v>467804.7</v>
      </c>
      <c r="CG119" s="141">
        <v>580982.60000000009</v>
      </c>
      <c r="CH119" s="141">
        <v>707864.3</v>
      </c>
      <c r="CI119" s="141">
        <v>856289.50000000012</v>
      </c>
      <c r="CJ119" s="141">
        <v>1194919</v>
      </c>
      <c r="CN119" s="1"/>
      <c r="CO119" s="2" t="s">
        <v>16</v>
      </c>
      <c r="CP119" s="141">
        <v>36039.760000000002</v>
      </c>
      <c r="CQ119" s="141">
        <v>43791.840000000004</v>
      </c>
      <c r="CR119" s="141">
        <v>54428.060000000005</v>
      </c>
      <c r="CS119" s="141">
        <v>62745.850000000006</v>
      </c>
      <c r="CT119" s="141">
        <v>67777.290000000008</v>
      </c>
      <c r="CU119" s="141">
        <v>82455.23000000001</v>
      </c>
      <c r="CV119" s="141">
        <v>90280.340000000011</v>
      </c>
      <c r="CW119" s="141">
        <v>97097.200000000012</v>
      </c>
      <c r="CX119" s="141">
        <v>108665.37000000001</v>
      </c>
      <c r="CY119" s="141">
        <v>135236.30000000002</v>
      </c>
      <c r="CZ119" s="141">
        <v>235560.99000000002</v>
      </c>
      <c r="DA119" s="141">
        <v>296502.89</v>
      </c>
      <c r="DB119" s="141">
        <v>366519.04000000004</v>
      </c>
      <c r="DC119" s="141">
        <v>430468.25000000006</v>
      </c>
      <c r="DD119" s="141">
        <v>534538.18000000005</v>
      </c>
      <c r="DE119" s="141">
        <v>651209.60000000009</v>
      </c>
      <c r="DF119" s="141">
        <v>787689.59000000008</v>
      </c>
      <c r="DG119" s="141">
        <v>1099068.8</v>
      </c>
    </row>
    <row r="120" spans="1:111" ht="15" customHeight="1">
      <c r="A120" s="2" t="s">
        <v>15</v>
      </c>
      <c r="B120" t="s">
        <v>33</v>
      </c>
      <c r="C120" t="s">
        <v>34</v>
      </c>
      <c r="D120">
        <v>5</v>
      </c>
      <c r="E120" t="s">
        <v>26</v>
      </c>
      <c r="F120">
        <v>1</v>
      </c>
      <c r="G120">
        <v>1</v>
      </c>
      <c r="H120">
        <v>0</v>
      </c>
      <c r="I120">
        <v>1</v>
      </c>
      <c r="J120" s="4" t="s">
        <v>55</v>
      </c>
      <c r="K120" t="str">
        <f t="shared" si="5"/>
        <v>1+0</v>
      </c>
      <c r="L120">
        <f>VLOOKUP(A120,'ZONE 1 PREMIUM'!$A$3:$M$16,13,0)</f>
        <v>8</v>
      </c>
      <c r="M120">
        <f>VLOOKUP(D120,DROPDOWN!B:C,2,0)</f>
        <v>4</v>
      </c>
      <c r="N120" t="str">
        <f t="shared" si="9"/>
        <v>AU3:BM16</v>
      </c>
      <c r="O120" s="4">
        <f t="shared" ca="1" si="10"/>
        <v>26403.75</v>
      </c>
      <c r="X120" s="2" t="s">
        <v>17</v>
      </c>
      <c r="Y120" s="141">
        <v>62538.149999999994</v>
      </c>
      <c r="Z120" s="141">
        <v>76142.649999999994</v>
      </c>
      <c r="AA120" s="141">
        <v>94680.65</v>
      </c>
      <c r="AB120" s="141">
        <v>107231.74999999999</v>
      </c>
      <c r="AC120" s="141">
        <v>116001.65</v>
      </c>
      <c r="AD120" s="141">
        <v>141601.79999999999</v>
      </c>
      <c r="AE120" s="141">
        <v>155259.19999999998</v>
      </c>
      <c r="AF120" s="141">
        <v>166027.79999999999</v>
      </c>
      <c r="AG120" s="141">
        <v>186111.4</v>
      </c>
      <c r="AH120" s="141">
        <v>232071.15</v>
      </c>
      <c r="AI120" s="141">
        <v>411331.99999999994</v>
      </c>
      <c r="AJ120" s="141">
        <v>517304.49999999994</v>
      </c>
      <c r="AK120" s="141">
        <v>639385.04999999993</v>
      </c>
      <c r="AL120" s="141">
        <v>738589.79999999993</v>
      </c>
      <c r="AM120" s="141">
        <v>919361.74999999988</v>
      </c>
      <c r="AN120" s="141">
        <v>1122506.95</v>
      </c>
      <c r="AO120" s="141">
        <v>1360561.5499999998</v>
      </c>
      <c r="AP120" s="141">
        <v>1902676.15</v>
      </c>
      <c r="AT120" s="1"/>
      <c r="AU120" s="2" t="s">
        <v>17</v>
      </c>
      <c r="AV120" s="141">
        <v>55474.875</v>
      </c>
      <c r="AW120" s="141">
        <v>67521.375</v>
      </c>
      <c r="AX120" s="141">
        <v>84012.75</v>
      </c>
      <c r="AY120" s="141">
        <v>95127.75</v>
      </c>
      <c r="AZ120" s="141">
        <v>102893.625</v>
      </c>
      <c r="BA120" s="141">
        <v>125637.75</v>
      </c>
      <c r="BB120" s="141">
        <v>137731.5</v>
      </c>
      <c r="BC120" s="141">
        <v>147267</v>
      </c>
      <c r="BD120" s="141">
        <v>165052.125</v>
      </c>
      <c r="BE120" s="141">
        <v>205750.125</v>
      </c>
      <c r="BF120" s="141">
        <v>364491</v>
      </c>
      <c r="BG120" s="141">
        <v>458332.875</v>
      </c>
      <c r="BH120" s="141">
        <v>566438.625</v>
      </c>
      <c r="BI120" s="141">
        <v>654699.375</v>
      </c>
      <c r="BJ120" s="141">
        <v>814779</v>
      </c>
      <c r="BK120" s="141">
        <v>994669.875</v>
      </c>
      <c r="BL120" s="141">
        <v>1205474.625</v>
      </c>
      <c r="BM120" s="141">
        <v>1685533.5</v>
      </c>
      <c r="BQ120" s="1"/>
      <c r="BR120" s="2" t="s">
        <v>17</v>
      </c>
      <c r="BS120" s="141">
        <v>51172.000000000007</v>
      </c>
      <c r="BT120" s="141">
        <v>62273.200000000004</v>
      </c>
      <c r="BU120" s="141">
        <v>77509.3</v>
      </c>
      <c r="BV120" s="141">
        <v>87751.400000000009</v>
      </c>
      <c r="BW120" s="141">
        <v>94908.000000000015</v>
      </c>
      <c r="BX120" s="141">
        <v>115905.90000000001</v>
      </c>
      <c r="BY120" s="141">
        <v>127051.1</v>
      </c>
      <c r="BZ120" s="141">
        <v>135837.90000000002</v>
      </c>
      <c r="CA120" s="141">
        <v>152227.90000000002</v>
      </c>
      <c r="CB120" s="141">
        <v>189732.40000000002</v>
      </c>
      <c r="CC120" s="141">
        <v>336013.7</v>
      </c>
      <c r="CD120" s="141">
        <v>422491.30000000005</v>
      </c>
      <c r="CE120" s="141">
        <v>522112.80000000005</v>
      </c>
      <c r="CF120" s="141">
        <v>603663.5</v>
      </c>
      <c r="CG120" s="141">
        <v>751179.00000000012</v>
      </c>
      <c r="CH120" s="141">
        <v>916953.4</v>
      </c>
      <c r="CI120" s="141">
        <v>1111213.4000000001</v>
      </c>
      <c r="CJ120" s="141">
        <v>1553597.1</v>
      </c>
      <c r="CN120" s="1"/>
      <c r="CO120" s="2" t="s">
        <v>17</v>
      </c>
      <c r="CP120" s="141">
        <v>47104.350000000006</v>
      </c>
      <c r="CQ120" s="141">
        <v>57312.200000000004</v>
      </c>
      <c r="CR120" s="141">
        <v>71362.3</v>
      </c>
      <c r="CS120" s="141">
        <v>80779.900000000009</v>
      </c>
      <c r="CT120" s="141">
        <v>87360.23000000001</v>
      </c>
      <c r="CU120" s="141">
        <v>106708.82</v>
      </c>
      <c r="CV120" s="141">
        <v>116957.00000000001</v>
      </c>
      <c r="CW120" s="141">
        <v>125037.17000000001</v>
      </c>
      <c r="CX120" s="141">
        <v>140107.51</v>
      </c>
      <c r="CY120" s="141">
        <v>174594.02000000002</v>
      </c>
      <c r="CZ120" s="141">
        <v>309103.29000000004</v>
      </c>
      <c r="DA120" s="141">
        <v>388622.06000000006</v>
      </c>
      <c r="DB120" s="141">
        <v>480226.75000000006</v>
      </c>
      <c r="DC120" s="141">
        <v>555433.4800000001</v>
      </c>
      <c r="DD120" s="141">
        <v>691077.44000000006</v>
      </c>
      <c r="DE120" s="141">
        <v>843510.67</v>
      </c>
      <c r="DF120" s="141">
        <v>1022137.6900000001</v>
      </c>
      <c r="DG120" s="141">
        <v>1428920.24</v>
      </c>
    </row>
    <row r="121" spans="1:111" ht="15" customHeight="1">
      <c r="A121" s="2" t="s">
        <v>16</v>
      </c>
      <c r="B121" t="s">
        <v>35</v>
      </c>
      <c r="C121" t="s">
        <v>36</v>
      </c>
      <c r="D121">
        <v>5</v>
      </c>
      <c r="E121" t="s">
        <v>26</v>
      </c>
      <c r="F121">
        <v>1</v>
      </c>
      <c r="G121">
        <v>1</v>
      </c>
      <c r="H121">
        <v>0</v>
      </c>
      <c r="I121">
        <v>1</v>
      </c>
      <c r="J121" s="4" t="s">
        <v>55</v>
      </c>
      <c r="K121" t="str">
        <f t="shared" si="5"/>
        <v>1+0</v>
      </c>
      <c r="L121">
        <f>VLOOKUP(A121,'ZONE 1 PREMIUM'!$A$3:$M$16,13,0)</f>
        <v>9</v>
      </c>
      <c r="M121">
        <f>VLOOKUP(D121,DROPDOWN!B:C,2,0)</f>
        <v>4</v>
      </c>
      <c r="N121" t="str">
        <f t="shared" si="9"/>
        <v>AU3:BM16</v>
      </c>
      <c r="O121" s="4">
        <f t="shared" ca="1" si="10"/>
        <v>34650</v>
      </c>
      <c r="X121" s="2" t="s">
        <v>18</v>
      </c>
      <c r="Y121" s="141">
        <v>81813.299999999988</v>
      </c>
      <c r="Z121" s="141">
        <v>99738.349999999991</v>
      </c>
      <c r="AA121" s="141">
        <v>124194.24999999999</v>
      </c>
      <c r="AB121" s="141">
        <v>142872.54999999999</v>
      </c>
      <c r="AC121" s="141">
        <v>154779.65</v>
      </c>
      <c r="AD121" s="141">
        <v>187530.5</v>
      </c>
      <c r="AE121" s="141">
        <v>205854.59999999998</v>
      </c>
      <c r="AF121" s="141">
        <v>219161.24999999997</v>
      </c>
      <c r="AG121" s="141">
        <v>246051.69999999998</v>
      </c>
      <c r="AH121" s="141">
        <v>307329.44999999995</v>
      </c>
      <c r="AI121" s="141">
        <v>545300.1</v>
      </c>
      <c r="AJ121" s="141">
        <v>686931.79999999993</v>
      </c>
      <c r="AK121" s="141">
        <v>850604.39999999991</v>
      </c>
      <c r="AL121" s="141">
        <v>977465.49999999988</v>
      </c>
      <c r="AM121" s="141">
        <v>1219426.6499999999</v>
      </c>
      <c r="AN121" s="141">
        <v>1492052.5499999998</v>
      </c>
      <c r="AO121" s="141">
        <v>1812148.15</v>
      </c>
      <c r="AP121" s="141">
        <v>2539612.8499999996</v>
      </c>
      <c r="AT121" s="1"/>
      <c r="AU121" s="2" t="s">
        <v>18</v>
      </c>
      <c r="AV121" s="141">
        <v>72550.125</v>
      </c>
      <c r="AW121" s="141">
        <v>88423.875</v>
      </c>
      <c r="AX121" s="141">
        <v>110160</v>
      </c>
      <c r="AY121" s="141">
        <v>126700.875</v>
      </c>
      <c r="AZ121" s="141">
        <v>137244.375</v>
      </c>
      <c r="BA121" s="141">
        <v>166326.75</v>
      </c>
      <c r="BB121" s="141">
        <v>182552.625</v>
      </c>
      <c r="BC121" s="141">
        <v>194337</v>
      </c>
      <c r="BD121" s="141">
        <v>218148.75</v>
      </c>
      <c r="BE121" s="141">
        <v>272412</v>
      </c>
      <c r="BF121" s="141">
        <v>483141.375</v>
      </c>
      <c r="BG121" s="141">
        <v>608560.875</v>
      </c>
      <c r="BH121" s="141">
        <v>753498</v>
      </c>
      <c r="BI121" s="141">
        <v>866264.625</v>
      </c>
      <c r="BJ121" s="141">
        <v>1080528.75</v>
      </c>
      <c r="BK121" s="141">
        <v>1321947</v>
      </c>
      <c r="BL121" s="141">
        <v>1605402</v>
      </c>
      <c r="BM121" s="141">
        <v>2249592.75</v>
      </c>
      <c r="BQ121" s="1"/>
      <c r="BR121" s="2" t="s">
        <v>18</v>
      </c>
      <c r="BS121" s="141">
        <v>66909.700000000012</v>
      </c>
      <c r="BT121" s="141">
        <v>81538.600000000006</v>
      </c>
      <c r="BU121" s="141">
        <v>101610.3</v>
      </c>
      <c r="BV121" s="141">
        <v>116853.00000000001</v>
      </c>
      <c r="BW121" s="141">
        <v>126569.30000000002</v>
      </c>
      <c r="BX121" s="141">
        <v>153411.5</v>
      </c>
      <c r="BY121" s="141">
        <v>168363.80000000002</v>
      </c>
      <c r="BZ121" s="141">
        <v>179223</v>
      </c>
      <c r="CA121" s="141">
        <v>201165.80000000002</v>
      </c>
      <c r="CB121" s="141">
        <v>251170.7</v>
      </c>
      <c r="CC121" s="141">
        <v>445362.50000000006</v>
      </c>
      <c r="CD121" s="141">
        <v>560938.4</v>
      </c>
      <c r="CE121" s="141">
        <v>694501.5</v>
      </c>
      <c r="CF121" s="141">
        <v>798642.9</v>
      </c>
      <c r="CG121" s="141">
        <v>996090.70000000007</v>
      </c>
      <c r="CH121" s="141">
        <v>1218563.5</v>
      </c>
      <c r="CI121" s="141">
        <v>1479771.7000000002</v>
      </c>
      <c r="CJ121" s="141">
        <v>2073406.5000000002</v>
      </c>
      <c r="CN121" s="1"/>
      <c r="CO121" s="2" t="s">
        <v>18</v>
      </c>
      <c r="CP121" s="141">
        <v>61579.55</v>
      </c>
      <c r="CQ121" s="141">
        <v>75031.240000000005</v>
      </c>
      <c r="CR121" s="141">
        <v>93530.72</v>
      </c>
      <c r="CS121" s="141">
        <v>107547.03000000001</v>
      </c>
      <c r="CT121" s="141">
        <v>116481.76000000001</v>
      </c>
      <c r="CU121" s="141">
        <v>141205.14000000001</v>
      </c>
      <c r="CV121" s="141">
        <v>154954.40000000002</v>
      </c>
      <c r="CW121" s="141">
        <v>164939.89000000001</v>
      </c>
      <c r="CX121" s="141">
        <v>185116.88</v>
      </c>
      <c r="CY121" s="141">
        <v>231097.44000000003</v>
      </c>
      <c r="CZ121" s="141">
        <v>409661.24000000005</v>
      </c>
      <c r="DA121" s="141">
        <v>515937.33</v>
      </c>
      <c r="DB121" s="141">
        <v>638750.9</v>
      </c>
      <c r="DC121" s="141">
        <v>734739.57000000007</v>
      </c>
      <c r="DD121" s="141">
        <v>916297.60000000009</v>
      </c>
      <c r="DE121" s="141">
        <v>1120866.6200000001</v>
      </c>
      <c r="DF121" s="141">
        <v>1361054.6600000001</v>
      </c>
      <c r="DG121" s="141">
        <v>1906915.7600000002</v>
      </c>
    </row>
    <row r="122" spans="1:111" ht="15" customHeight="1">
      <c r="A122" s="2" t="s">
        <v>17</v>
      </c>
      <c r="B122" t="s">
        <v>37</v>
      </c>
      <c r="C122" t="s">
        <v>38</v>
      </c>
      <c r="D122">
        <v>5</v>
      </c>
      <c r="E122" t="s">
        <v>26</v>
      </c>
      <c r="F122">
        <v>1</v>
      </c>
      <c r="G122">
        <v>1</v>
      </c>
      <c r="H122">
        <v>0</v>
      </c>
      <c r="I122">
        <v>1</v>
      </c>
      <c r="J122" s="4" t="s">
        <v>55</v>
      </c>
      <c r="K122" t="str">
        <f t="shared" si="5"/>
        <v>1+0</v>
      </c>
      <c r="L122">
        <f>VLOOKUP(A122,'ZONE 1 PREMIUM'!$A$3:$M$16,13,0)</f>
        <v>10</v>
      </c>
      <c r="M122">
        <f>VLOOKUP(D122,DROPDOWN!B:C,2,0)</f>
        <v>4</v>
      </c>
      <c r="N122" t="str">
        <f t="shared" si="9"/>
        <v>AU3:BM16</v>
      </c>
      <c r="O122" s="4">
        <f t="shared" ca="1" si="10"/>
        <v>46845</v>
      </c>
      <c r="X122" s="2" t="s">
        <v>19</v>
      </c>
      <c r="Y122" s="141">
        <v>106568.2</v>
      </c>
      <c r="Z122" s="141">
        <v>130137.45</v>
      </c>
      <c r="AA122" s="141">
        <v>162243.15</v>
      </c>
      <c r="AB122" s="141">
        <v>184353.05</v>
      </c>
      <c r="AC122" s="141">
        <v>199998.8</v>
      </c>
      <c r="AD122" s="141">
        <v>241049.19999999998</v>
      </c>
      <c r="AE122" s="141">
        <v>265012.89999999997</v>
      </c>
      <c r="AF122" s="141">
        <v>284963.09999999998</v>
      </c>
      <c r="AG122" s="141">
        <v>320417.59999999998</v>
      </c>
      <c r="AH122" s="141">
        <v>400886.55</v>
      </c>
      <c r="AI122" s="141">
        <v>700169.45</v>
      </c>
      <c r="AJ122" s="141">
        <v>885843.85</v>
      </c>
      <c r="AK122" s="141">
        <v>1101067.5</v>
      </c>
      <c r="AL122" s="141">
        <v>1275045.25</v>
      </c>
      <c r="AM122" s="141">
        <v>1594224.2999999998</v>
      </c>
      <c r="AN122" s="141">
        <v>1954763.0999999999</v>
      </c>
      <c r="AO122" s="141">
        <v>2378876.1999999997</v>
      </c>
      <c r="AP122" s="141">
        <v>3340837.4</v>
      </c>
      <c r="AT122" s="1"/>
      <c r="AU122" s="2" t="s">
        <v>19</v>
      </c>
      <c r="AV122" s="141">
        <v>94470.75</v>
      </c>
      <c r="AW122" s="141">
        <v>115341.75</v>
      </c>
      <c r="AX122" s="141">
        <v>143850.375</v>
      </c>
      <c r="AY122" s="141">
        <v>163429.875</v>
      </c>
      <c r="AZ122" s="141">
        <v>177285.375</v>
      </c>
      <c r="BA122" s="141">
        <v>213714</v>
      </c>
      <c r="BB122" s="141">
        <v>234938.25</v>
      </c>
      <c r="BC122" s="141">
        <v>252605.25</v>
      </c>
      <c r="BD122" s="141">
        <v>284000.625</v>
      </c>
      <c r="BE122" s="141">
        <v>355259.25</v>
      </c>
      <c r="BF122" s="141">
        <v>620293.5</v>
      </c>
      <c r="BG122" s="141">
        <v>784713.375</v>
      </c>
      <c r="BH122" s="141">
        <v>975300.75</v>
      </c>
      <c r="BI122" s="141">
        <v>1129734</v>
      </c>
      <c r="BJ122" s="141">
        <v>1412375.625</v>
      </c>
      <c r="BK122" s="141">
        <v>1731645</v>
      </c>
      <c r="BL122" s="141">
        <v>2107209.375</v>
      </c>
      <c r="BM122" s="141">
        <v>2959054.875</v>
      </c>
      <c r="BQ122" s="1"/>
      <c r="BR122" s="2" t="s">
        <v>19</v>
      </c>
      <c r="BS122" s="141">
        <v>87110.1</v>
      </c>
      <c r="BT122" s="141">
        <v>106343.6</v>
      </c>
      <c r="BU122" s="141">
        <v>132655.6</v>
      </c>
      <c r="BV122" s="141">
        <v>150697.80000000002</v>
      </c>
      <c r="BW122" s="141">
        <v>163465.5</v>
      </c>
      <c r="BX122" s="141">
        <v>197077.1</v>
      </c>
      <c r="BY122" s="141">
        <v>216638.40000000002</v>
      </c>
      <c r="BZ122" s="141">
        <v>232919.50000000003</v>
      </c>
      <c r="CA122" s="141">
        <v>261850.60000000003</v>
      </c>
      <c r="CB122" s="141">
        <v>327516.2</v>
      </c>
      <c r="CC122" s="141">
        <v>571755.80000000005</v>
      </c>
      <c r="CD122" s="141">
        <v>723270.9</v>
      </c>
      <c r="CE122" s="141">
        <v>898901.3</v>
      </c>
      <c r="CF122" s="141">
        <v>1041409.6000000001</v>
      </c>
      <c r="CG122" s="141">
        <v>1301869.8</v>
      </c>
      <c r="CH122" s="141">
        <v>1596082.4000000001</v>
      </c>
      <c r="CI122" s="141">
        <v>1942172.1</v>
      </c>
      <c r="CJ122" s="141">
        <v>2727164</v>
      </c>
      <c r="CN122" s="1"/>
      <c r="CO122" s="2" t="s">
        <v>19</v>
      </c>
      <c r="CP122" s="141">
        <v>80153.150000000009</v>
      </c>
      <c r="CQ122" s="141">
        <v>97839.49</v>
      </c>
      <c r="CR122" s="141">
        <v>122075.64000000001</v>
      </c>
      <c r="CS122" s="141">
        <v>138666.53</v>
      </c>
      <c r="CT122" s="141">
        <v>150406.92000000001</v>
      </c>
      <c r="CU122" s="141">
        <v>181354.2</v>
      </c>
      <c r="CV122" s="141">
        <v>199344.65000000002</v>
      </c>
      <c r="CW122" s="141">
        <v>214314.71000000002</v>
      </c>
      <c r="CX122" s="141">
        <v>240917.25000000003</v>
      </c>
      <c r="CY122" s="141">
        <v>301298.89</v>
      </c>
      <c r="CZ122" s="141">
        <v>525887.94000000006</v>
      </c>
      <c r="DA122" s="141">
        <v>665210.65</v>
      </c>
      <c r="DB122" s="141">
        <v>826707.2300000001</v>
      </c>
      <c r="DC122" s="141">
        <v>957945.41</v>
      </c>
      <c r="DD122" s="141">
        <v>1197444.57</v>
      </c>
      <c r="DE122" s="141">
        <v>1467980.3900000001</v>
      </c>
      <c r="DF122" s="141">
        <v>1786218.9700000002</v>
      </c>
      <c r="DG122" s="141">
        <v>2508037.6800000002</v>
      </c>
    </row>
    <row r="123" spans="1:111" ht="15" customHeight="1">
      <c r="A123" s="2" t="s">
        <v>18</v>
      </c>
      <c r="B123" t="s">
        <v>39</v>
      </c>
      <c r="C123" t="s">
        <v>40</v>
      </c>
      <c r="D123">
        <v>5</v>
      </c>
      <c r="E123" t="s">
        <v>26</v>
      </c>
      <c r="F123">
        <v>1</v>
      </c>
      <c r="G123">
        <v>1</v>
      </c>
      <c r="H123">
        <v>0</v>
      </c>
      <c r="I123">
        <v>1</v>
      </c>
      <c r="J123" s="4" t="s">
        <v>55</v>
      </c>
      <c r="K123" t="str">
        <f t="shared" si="5"/>
        <v>1+0</v>
      </c>
      <c r="L123">
        <f>VLOOKUP(A123,'ZONE 1 PREMIUM'!$A$3:$M$16,13,0)</f>
        <v>11</v>
      </c>
      <c r="M123">
        <f>VLOOKUP(D123,DROPDOWN!B:C,2,0)</f>
        <v>4</v>
      </c>
      <c r="N123" t="str">
        <f t="shared" si="9"/>
        <v>AU3:BM16</v>
      </c>
      <c r="O123" s="4">
        <f t="shared" ca="1" si="10"/>
        <v>64607.625</v>
      </c>
      <c r="X123" s="2" t="s">
        <v>20</v>
      </c>
      <c r="Y123" s="141">
        <v>130298.45</v>
      </c>
      <c r="Z123" s="141">
        <v>159337.09999999998</v>
      </c>
      <c r="AA123" s="141">
        <v>198956.9</v>
      </c>
      <c r="AB123" s="141">
        <v>224404.09999999998</v>
      </c>
      <c r="AC123" s="141">
        <v>243750.55</v>
      </c>
      <c r="AD123" s="141">
        <v>293482.3</v>
      </c>
      <c r="AE123" s="141">
        <v>323059.14999999997</v>
      </c>
      <c r="AF123" s="141">
        <v>349131.94999999995</v>
      </c>
      <c r="AG123" s="141">
        <v>393086.1</v>
      </c>
      <c r="AH123" s="141">
        <v>492475.99999999994</v>
      </c>
      <c r="AI123" s="141">
        <v>839443.64999999991</v>
      </c>
      <c r="AJ123" s="141">
        <v>1067925.6499999999</v>
      </c>
      <c r="AK123" s="141">
        <v>1333518.1499999999</v>
      </c>
      <c r="AL123" s="141">
        <v>1567794.9999999998</v>
      </c>
      <c r="AM123" s="141">
        <v>1963771.0499999998</v>
      </c>
      <c r="AN123" s="141">
        <v>2412073.25</v>
      </c>
      <c r="AO123" s="141">
        <v>2940329.1999999997</v>
      </c>
      <c r="AP123" s="141">
        <v>4136307.3499999996</v>
      </c>
      <c r="AT123" s="1"/>
      <c r="AU123" s="2" t="s">
        <v>20</v>
      </c>
      <c r="AV123" s="141">
        <v>115485.75</v>
      </c>
      <c r="AW123" s="141">
        <v>141201</v>
      </c>
      <c r="AX123" s="141">
        <v>176362.875</v>
      </c>
      <c r="AY123" s="141">
        <v>198897.75</v>
      </c>
      <c r="AZ123" s="141">
        <v>216029.25</v>
      </c>
      <c r="BA123" s="141">
        <v>260146.125</v>
      </c>
      <c r="BB123" s="141">
        <v>286344</v>
      </c>
      <c r="BC123" s="141">
        <v>309432.375</v>
      </c>
      <c r="BD123" s="141">
        <v>348356.25</v>
      </c>
      <c r="BE123" s="141">
        <v>436368.375</v>
      </c>
      <c r="BF123" s="141">
        <v>743632.875</v>
      </c>
      <c r="BG123" s="141">
        <v>945960.75</v>
      </c>
      <c r="BH123" s="141">
        <v>1181151</v>
      </c>
      <c r="BI123" s="141">
        <v>1388965.5</v>
      </c>
      <c r="BJ123" s="141">
        <v>1739614.5</v>
      </c>
      <c r="BK123" s="141">
        <v>2136598.875</v>
      </c>
      <c r="BL123" s="141">
        <v>2604385.125</v>
      </c>
      <c r="BM123" s="141">
        <v>3663460.125</v>
      </c>
      <c r="BQ123" s="1"/>
      <c r="BR123" s="2" t="s">
        <v>20</v>
      </c>
      <c r="BS123" s="141">
        <v>106476.70000000001</v>
      </c>
      <c r="BT123" s="141">
        <v>130172.90000000001</v>
      </c>
      <c r="BU123" s="141">
        <v>162616.30000000002</v>
      </c>
      <c r="BV123" s="141">
        <v>183383.2</v>
      </c>
      <c r="BW123" s="141">
        <v>199170.40000000002</v>
      </c>
      <c r="BX123" s="141">
        <v>239866.00000000003</v>
      </c>
      <c r="BY123" s="141">
        <v>264011</v>
      </c>
      <c r="BZ123" s="141">
        <v>285288.30000000005</v>
      </c>
      <c r="CA123" s="141">
        <v>321156</v>
      </c>
      <c r="CB123" s="141">
        <v>402261.2</v>
      </c>
      <c r="CC123" s="141">
        <v>685419.9</v>
      </c>
      <c r="CD123" s="141">
        <v>871868.8</v>
      </c>
      <c r="CE123" s="141">
        <v>1088600.7000000002</v>
      </c>
      <c r="CF123" s="141">
        <v>1280292.2000000002</v>
      </c>
      <c r="CG123" s="141">
        <v>1603421.6</v>
      </c>
      <c r="CH123" s="141">
        <v>1969251.9000000001</v>
      </c>
      <c r="CI123" s="141">
        <v>2400325.4000000004</v>
      </c>
      <c r="CJ123" s="141">
        <v>3376282.8000000003</v>
      </c>
      <c r="CN123" s="1"/>
      <c r="CO123" s="2" t="s">
        <v>20</v>
      </c>
      <c r="CP123" s="141">
        <v>97962.66</v>
      </c>
      <c r="CQ123" s="141">
        <v>119751.76000000001</v>
      </c>
      <c r="CR123" s="141">
        <v>149626.48000000001</v>
      </c>
      <c r="CS123" s="141">
        <v>168721.1</v>
      </c>
      <c r="CT123" s="141">
        <v>183238.81000000003</v>
      </c>
      <c r="CU123" s="141">
        <v>220699.93000000002</v>
      </c>
      <c r="CV123" s="141">
        <v>242906.50000000003</v>
      </c>
      <c r="CW123" s="141">
        <v>262470.91000000003</v>
      </c>
      <c r="CX123" s="141">
        <v>295453.22000000003</v>
      </c>
      <c r="CY123" s="141">
        <v>370031.02</v>
      </c>
      <c r="CZ123" s="141">
        <v>630410.22000000009</v>
      </c>
      <c r="DA123" s="141">
        <v>801855.2300000001</v>
      </c>
      <c r="DB123" s="141">
        <v>1001145.3800000001</v>
      </c>
      <c r="DC123" s="141">
        <v>1177600.03</v>
      </c>
      <c r="DD123" s="141">
        <v>1474725.31</v>
      </c>
      <c r="DE123" s="141">
        <v>1811114.57</v>
      </c>
      <c r="DF123" s="141">
        <v>2207497.4300000002</v>
      </c>
      <c r="DG123" s="141">
        <v>3104914.0500000003</v>
      </c>
    </row>
    <row r="124" spans="1:111" ht="15" customHeight="1">
      <c r="A124" s="2" t="s">
        <v>19</v>
      </c>
      <c r="B124" t="s">
        <v>41</v>
      </c>
      <c r="C124" t="s">
        <v>42</v>
      </c>
      <c r="D124">
        <v>5</v>
      </c>
      <c r="E124" t="s">
        <v>26</v>
      </c>
      <c r="F124">
        <v>1</v>
      </c>
      <c r="G124">
        <v>1</v>
      </c>
      <c r="H124">
        <v>0</v>
      </c>
      <c r="I124">
        <v>1</v>
      </c>
      <c r="J124" s="4" t="s">
        <v>55</v>
      </c>
      <c r="K124" t="str">
        <f t="shared" si="5"/>
        <v>1+0</v>
      </c>
      <c r="L124">
        <f>VLOOKUP(A124,'ZONE 1 PREMIUM'!$A$3:$M$16,13,0)</f>
        <v>12</v>
      </c>
      <c r="M124">
        <f>VLOOKUP(D124,DROPDOWN!B:C,2,0)</f>
        <v>4</v>
      </c>
      <c r="N124" t="str">
        <f t="shared" si="9"/>
        <v>AU3:BM16</v>
      </c>
      <c r="O124" s="4">
        <f t="shared" ca="1" si="10"/>
        <v>82296</v>
      </c>
      <c r="X124" s="2" t="s">
        <v>21</v>
      </c>
      <c r="Y124" s="141">
        <v>164375.25</v>
      </c>
      <c r="Z124" s="141">
        <v>201291.4</v>
      </c>
      <c r="AA124" s="141">
        <v>251697.05</v>
      </c>
      <c r="AB124" s="141">
        <v>284446.75</v>
      </c>
      <c r="AC124" s="141">
        <v>309387.94999999995</v>
      </c>
      <c r="AD124" s="141">
        <v>372230.85</v>
      </c>
      <c r="AE124" s="141">
        <v>410244.1</v>
      </c>
      <c r="AF124" s="141">
        <v>443917.24999999994</v>
      </c>
      <c r="AG124" s="141">
        <v>500522.55</v>
      </c>
      <c r="AH124" s="141">
        <v>628001.19999999995</v>
      </c>
      <c r="AI124" s="141">
        <v>1039470.0499999999</v>
      </c>
      <c r="AJ124" s="141">
        <v>1331234.25</v>
      </c>
      <c r="AK124" s="141">
        <v>1671432.9999999998</v>
      </c>
      <c r="AL124" s="141">
        <v>2002106.2999999998</v>
      </c>
      <c r="AM124" s="141">
        <v>2512477.4499999997</v>
      </c>
      <c r="AN124" s="141">
        <v>3091685.3</v>
      </c>
      <c r="AO124" s="141">
        <v>3775448.8499999996</v>
      </c>
      <c r="AP124" s="141">
        <v>5320439.3499999996</v>
      </c>
      <c r="AT124" s="1"/>
      <c r="AU124" s="2" t="s">
        <v>21</v>
      </c>
      <c r="AV124" s="141">
        <v>145661.625</v>
      </c>
      <c r="AW124" s="141">
        <v>178351.875</v>
      </c>
      <c r="AX124" s="141">
        <v>223066.125</v>
      </c>
      <c r="AY124" s="141">
        <v>252066.375</v>
      </c>
      <c r="AZ124" s="141">
        <v>274152.375</v>
      </c>
      <c r="BA124" s="141">
        <v>329880.375</v>
      </c>
      <c r="BB124" s="141">
        <v>363549.375</v>
      </c>
      <c r="BC124" s="141">
        <v>393367.5</v>
      </c>
      <c r="BD124" s="141">
        <v>443494.125</v>
      </c>
      <c r="BE124" s="141">
        <v>556378.875</v>
      </c>
      <c r="BF124" s="141">
        <v>920763</v>
      </c>
      <c r="BG124" s="141">
        <v>1179128.25</v>
      </c>
      <c r="BH124" s="141">
        <v>1480384.125</v>
      </c>
      <c r="BI124" s="141">
        <v>1773560.25</v>
      </c>
      <c r="BJ124" s="141">
        <v>2225508.75</v>
      </c>
      <c r="BK124" s="141">
        <v>2738415.375</v>
      </c>
      <c r="BL124" s="141">
        <v>3343908.375</v>
      </c>
      <c r="BM124" s="141">
        <v>4712043.375</v>
      </c>
      <c r="BQ124" s="1"/>
      <c r="BR124" s="2" t="s">
        <v>21</v>
      </c>
      <c r="BS124" s="141">
        <v>134284.70000000001</v>
      </c>
      <c r="BT124" s="141">
        <v>164409.30000000002</v>
      </c>
      <c r="BU124" s="141">
        <v>205654.90000000002</v>
      </c>
      <c r="BV124" s="141">
        <v>232379.40000000002</v>
      </c>
      <c r="BW124" s="141">
        <v>252731.60000000003</v>
      </c>
      <c r="BX124" s="141">
        <v>304126.90000000002</v>
      </c>
      <c r="BY124" s="141">
        <v>335156.80000000005</v>
      </c>
      <c r="BZ124" s="141">
        <v>362635.9</v>
      </c>
      <c r="CA124" s="141">
        <v>408828.2</v>
      </c>
      <c r="CB124" s="141">
        <v>512854.10000000003</v>
      </c>
      <c r="CC124" s="141">
        <v>848647.8</v>
      </c>
      <c r="CD124" s="141">
        <v>1086737.3</v>
      </c>
      <c r="CE124" s="141">
        <v>1364349.8</v>
      </c>
      <c r="CF124" s="141">
        <v>1634704.5000000002</v>
      </c>
      <c r="CG124" s="141">
        <v>2051183.2000000002</v>
      </c>
      <c r="CH124" s="141">
        <v>2523836.7000000002</v>
      </c>
      <c r="CI124" s="141">
        <v>3081809.5000000005</v>
      </c>
      <c r="CJ124" s="141">
        <v>4342572.3000000007</v>
      </c>
      <c r="CN124" s="1"/>
      <c r="CO124" s="2" t="s">
        <v>21</v>
      </c>
      <c r="CP124" s="141">
        <v>123531.88</v>
      </c>
      <c r="CQ124" s="141">
        <v>151233.14000000001</v>
      </c>
      <c r="CR124" s="141">
        <v>189201.11000000002</v>
      </c>
      <c r="CS124" s="141">
        <v>213775.16</v>
      </c>
      <c r="CT124" s="141">
        <v>232489.37000000002</v>
      </c>
      <c r="CU124" s="141">
        <v>279789.92000000004</v>
      </c>
      <c r="CV124" s="141">
        <v>308327.21000000002</v>
      </c>
      <c r="CW124" s="141">
        <v>333593.41000000003</v>
      </c>
      <c r="CX124" s="141">
        <v>376068.53</v>
      </c>
      <c r="CY124" s="141">
        <v>471723.66000000003</v>
      </c>
      <c r="CZ124" s="141">
        <v>780502.13</v>
      </c>
      <c r="DA124" s="141">
        <v>999431.9</v>
      </c>
      <c r="DB124" s="141">
        <v>1254703.3600000001</v>
      </c>
      <c r="DC124" s="141">
        <v>1503490.4100000001</v>
      </c>
      <c r="DD124" s="141">
        <v>1886453.1900000002</v>
      </c>
      <c r="DE124" s="141">
        <v>2321068.89</v>
      </c>
      <c r="DF124" s="141">
        <v>2834139.52</v>
      </c>
      <c r="DG124" s="141">
        <v>3993441.72</v>
      </c>
    </row>
    <row r="125" spans="1:111" ht="15" customHeight="1">
      <c r="A125" s="2" t="s">
        <v>20</v>
      </c>
      <c r="B125" t="s">
        <v>43</v>
      </c>
      <c r="C125" t="s">
        <v>44</v>
      </c>
      <c r="D125">
        <v>5</v>
      </c>
      <c r="E125" t="s">
        <v>26</v>
      </c>
      <c r="F125">
        <v>1</v>
      </c>
      <c r="G125">
        <v>1</v>
      </c>
      <c r="H125">
        <v>0</v>
      </c>
      <c r="I125">
        <v>1</v>
      </c>
      <c r="J125" s="4" t="s">
        <v>55</v>
      </c>
      <c r="K125" t="str">
        <f t="shared" si="5"/>
        <v>1+0</v>
      </c>
      <c r="L125">
        <f>VLOOKUP(A125,'ZONE 1 PREMIUM'!$A$3:$M$16,13,0)</f>
        <v>13</v>
      </c>
      <c r="M125">
        <f>VLOOKUP(D125,DROPDOWN!B:C,2,0)</f>
        <v>4</v>
      </c>
      <c r="N125" t="str">
        <f t="shared" si="9"/>
        <v>AU3:BM16</v>
      </c>
      <c r="O125" s="4">
        <f t="shared" ca="1" si="10"/>
        <v>98572.5</v>
      </c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</row>
    <row r="126" spans="1:111" ht="15" customHeight="1">
      <c r="A126" s="2" t="s">
        <v>21</v>
      </c>
      <c r="B126" t="s">
        <v>22</v>
      </c>
      <c r="D126">
        <v>5</v>
      </c>
      <c r="E126" t="s">
        <v>26</v>
      </c>
      <c r="F126">
        <v>1</v>
      </c>
      <c r="G126">
        <v>1</v>
      </c>
      <c r="H126">
        <v>0</v>
      </c>
      <c r="I126">
        <v>1</v>
      </c>
      <c r="J126" s="4" t="s">
        <v>55</v>
      </c>
      <c r="K126" t="str">
        <f t="shared" si="5"/>
        <v>1+0</v>
      </c>
      <c r="L126">
        <f>VLOOKUP(A126,'ZONE 1 PREMIUM'!$A$3:$M$16,13,0)</f>
        <v>14</v>
      </c>
      <c r="M126">
        <f>VLOOKUP(D126,DROPDOWN!B:C,2,0)</f>
        <v>4</v>
      </c>
      <c r="N126" t="str">
        <f t="shared" si="9"/>
        <v>AU3:BM16</v>
      </c>
      <c r="O126" s="4">
        <f t="shared" ca="1" si="10"/>
        <v>131947.875</v>
      </c>
      <c r="X126" s="85" t="s">
        <v>68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</row>
    <row r="127" spans="1:111" ht="15" customHeight="1">
      <c r="A127" s="2" t="s">
        <v>11</v>
      </c>
      <c r="B127" t="s">
        <v>45</v>
      </c>
      <c r="C127" t="s">
        <v>25</v>
      </c>
      <c r="D127">
        <v>5</v>
      </c>
      <c r="E127" t="s">
        <v>46</v>
      </c>
      <c r="F127">
        <v>2</v>
      </c>
      <c r="G127">
        <v>1</v>
      </c>
      <c r="H127">
        <v>1</v>
      </c>
      <c r="I127">
        <v>1</v>
      </c>
      <c r="J127" s="4" t="s">
        <v>55</v>
      </c>
      <c r="K127" t="str">
        <f t="shared" si="5"/>
        <v>1+1</v>
      </c>
      <c r="L127">
        <f>VLOOKUP(A127,'ZONE 1 PREMIUM'!$A$4:$N$16,14,0)</f>
        <v>2</v>
      </c>
      <c r="M127">
        <f>VLOOKUP(D127,DROPDOWN!B:C,2,0)</f>
        <v>4</v>
      </c>
      <c r="N127" t="str">
        <f t="shared" si="9"/>
        <v>AU20:BM31</v>
      </c>
      <c r="O127" s="4">
        <f t="shared" ca="1" si="10"/>
        <v>15058.125</v>
      </c>
      <c r="X127" s="1"/>
      <c r="Y127" s="117" t="s">
        <v>211</v>
      </c>
      <c r="Z127" s="117"/>
      <c r="AA127" s="118" t="s">
        <v>57</v>
      </c>
      <c r="AB127" s="118"/>
      <c r="AC127" s="118"/>
      <c r="AD127" s="119" t="s">
        <v>58</v>
      </c>
      <c r="AE127" s="119"/>
      <c r="AF127" s="119"/>
      <c r="AG127" s="119"/>
      <c r="AH127" s="119"/>
      <c r="AI127" s="120" t="s">
        <v>59</v>
      </c>
      <c r="AJ127" s="120"/>
      <c r="AK127" s="120"/>
      <c r="AL127" s="116" t="s">
        <v>176</v>
      </c>
      <c r="AM127" s="116"/>
      <c r="AN127" s="116"/>
      <c r="AO127" s="116"/>
      <c r="AP127" s="116"/>
      <c r="AT127" s="5" t="s">
        <v>68</v>
      </c>
      <c r="AU127" s="1"/>
      <c r="AV127" s="117" t="s">
        <v>211</v>
      </c>
      <c r="AW127" s="117"/>
      <c r="AX127" s="118" t="s">
        <v>57</v>
      </c>
      <c r="AY127" s="118"/>
      <c r="AZ127" s="118"/>
      <c r="BA127" s="119" t="s">
        <v>58</v>
      </c>
      <c r="BB127" s="119"/>
      <c r="BC127" s="119"/>
      <c r="BD127" s="119"/>
      <c r="BE127" s="119"/>
      <c r="BF127" s="120" t="s">
        <v>59</v>
      </c>
      <c r="BG127" s="120"/>
      <c r="BH127" s="120"/>
      <c r="BI127" s="116" t="s">
        <v>176</v>
      </c>
      <c r="BJ127" s="116"/>
      <c r="BK127" s="116"/>
      <c r="BL127" s="116"/>
      <c r="BM127" s="116"/>
      <c r="BQ127" s="5" t="s">
        <v>68</v>
      </c>
      <c r="BR127" s="1"/>
      <c r="BS127" s="117" t="s">
        <v>211</v>
      </c>
      <c r="BT127" s="117"/>
      <c r="BU127" s="118" t="s">
        <v>57</v>
      </c>
      <c r="BV127" s="118"/>
      <c r="BW127" s="118"/>
      <c r="BX127" s="119" t="s">
        <v>58</v>
      </c>
      <c r="BY127" s="119"/>
      <c r="BZ127" s="119"/>
      <c r="CA127" s="119"/>
      <c r="CB127" s="119"/>
      <c r="CC127" s="120" t="s">
        <v>59</v>
      </c>
      <c r="CD127" s="120"/>
      <c r="CE127" s="120"/>
      <c r="CF127" s="116" t="s">
        <v>176</v>
      </c>
      <c r="CG127" s="116"/>
      <c r="CH127" s="116"/>
      <c r="CI127" s="116"/>
      <c r="CJ127" s="116"/>
      <c r="CN127" s="5" t="s">
        <v>68</v>
      </c>
      <c r="CO127" s="1"/>
      <c r="CP127" s="117" t="s">
        <v>211</v>
      </c>
      <c r="CQ127" s="117"/>
      <c r="CR127" s="118" t="s">
        <v>57</v>
      </c>
      <c r="CS127" s="118"/>
      <c r="CT127" s="118"/>
      <c r="CU127" s="119" t="s">
        <v>58</v>
      </c>
      <c r="CV127" s="119"/>
      <c r="CW127" s="119"/>
      <c r="CX127" s="119"/>
      <c r="CY127" s="119"/>
      <c r="CZ127" s="120" t="s">
        <v>59</v>
      </c>
      <c r="DA127" s="120"/>
      <c r="DB127" s="120"/>
      <c r="DC127" s="116" t="s">
        <v>176</v>
      </c>
      <c r="DD127" s="116"/>
      <c r="DE127" s="116"/>
      <c r="DF127" s="116"/>
      <c r="DG127" s="116"/>
    </row>
    <row r="128" spans="1:111" ht="15" customHeight="1">
      <c r="A128" s="2" t="s">
        <v>12</v>
      </c>
      <c r="B128" t="s">
        <v>27</v>
      </c>
      <c r="C128" t="s">
        <v>28</v>
      </c>
      <c r="D128">
        <v>5</v>
      </c>
      <c r="E128" t="s">
        <v>46</v>
      </c>
      <c r="F128">
        <v>2</v>
      </c>
      <c r="G128">
        <v>1</v>
      </c>
      <c r="H128">
        <v>1</v>
      </c>
      <c r="I128">
        <v>1</v>
      </c>
      <c r="J128" s="4" t="s">
        <v>55</v>
      </c>
      <c r="K128" t="str">
        <f t="shared" si="5"/>
        <v>1+1</v>
      </c>
      <c r="L128">
        <f>VLOOKUP(A128,'ZONE 1 PREMIUM'!$A$4:$N$16,14,0)</f>
        <v>3</v>
      </c>
      <c r="M128">
        <f>VLOOKUP(D128,DROPDOWN!B:C,2,0)</f>
        <v>4</v>
      </c>
      <c r="N128" t="str">
        <f t="shared" si="9"/>
        <v>AU20:BM31</v>
      </c>
      <c r="O128" s="4">
        <f t="shared" ca="1" si="10"/>
        <v>16673.625</v>
      </c>
      <c r="X128" s="2" t="s">
        <v>60</v>
      </c>
      <c r="Y128" s="2" t="s">
        <v>243</v>
      </c>
      <c r="Z128" s="2" t="s">
        <v>244</v>
      </c>
      <c r="AA128" s="6" t="s">
        <v>70</v>
      </c>
      <c r="AB128" s="6" t="s">
        <v>71</v>
      </c>
      <c r="AC128" s="6" t="s">
        <v>72</v>
      </c>
      <c r="AD128" s="6" t="s">
        <v>73</v>
      </c>
      <c r="AE128" s="6" t="s">
        <v>74</v>
      </c>
      <c r="AF128" s="6" t="s">
        <v>75</v>
      </c>
      <c r="AG128" s="6" t="s">
        <v>76</v>
      </c>
      <c r="AH128" s="6" t="s">
        <v>77</v>
      </c>
      <c r="AI128" s="6" t="s">
        <v>78</v>
      </c>
      <c r="AJ128" s="6" t="s">
        <v>79</v>
      </c>
      <c r="AK128" s="6" t="s">
        <v>80</v>
      </c>
      <c r="AL128" s="2" t="s">
        <v>245</v>
      </c>
      <c r="AM128" s="2" t="s">
        <v>246</v>
      </c>
      <c r="AN128" s="2" t="s">
        <v>247</v>
      </c>
      <c r="AO128" s="2" t="s">
        <v>248</v>
      </c>
      <c r="AP128" s="2" t="s">
        <v>310</v>
      </c>
      <c r="AT128" s="1"/>
      <c r="AU128" s="2" t="s">
        <v>60</v>
      </c>
      <c r="AV128" s="2" t="s">
        <v>243</v>
      </c>
      <c r="AW128" s="2" t="s">
        <v>244</v>
      </c>
      <c r="AX128" s="6" t="s">
        <v>70</v>
      </c>
      <c r="AY128" s="6" t="s">
        <v>71</v>
      </c>
      <c r="AZ128" s="6" t="s">
        <v>72</v>
      </c>
      <c r="BA128" s="6" t="s">
        <v>73</v>
      </c>
      <c r="BB128" s="6" t="s">
        <v>74</v>
      </c>
      <c r="BC128" s="6" t="s">
        <v>75</v>
      </c>
      <c r="BD128" s="6" t="s">
        <v>76</v>
      </c>
      <c r="BE128" s="6" t="s">
        <v>77</v>
      </c>
      <c r="BF128" s="6" t="s">
        <v>78</v>
      </c>
      <c r="BG128" s="6" t="s">
        <v>79</v>
      </c>
      <c r="BH128" s="6" t="s">
        <v>80</v>
      </c>
      <c r="BI128" s="2" t="s">
        <v>245</v>
      </c>
      <c r="BJ128" s="2" t="s">
        <v>246</v>
      </c>
      <c r="BK128" s="2" t="s">
        <v>247</v>
      </c>
      <c r="BL128" s="2" t="s">
        <v>248</v>
      </c>
      <c r="BM128" s="2" t="s">
        <v>310</v>
      </c>
      <c r="BQ128" s="1"/>
      <c r="BR128" s="2" t="s">
        <v>60</v>
      </c>
      <c r="BS128" s="2" t="s">
        <v>243</v>
      </c>
      <c r="BT128" s="2" t="s">
        <v>244</v>
      </c>
      <c r="BU128" s="6" t="s">
        <v>70</v>
      </c>
      <c r="BV128" s="6" t="s">
        <v>71</v>
      </c>
      <c r="BW128" s="6" t="s">
        <v>72</v>
      </c>
      <c r="BX128" s="6" t="s">
        <v>73</v>
      </c>
      <c r="BY128" s="6" t="s">
        <v>74</v>
      </c>
      <c r="BZ128" s="6" t="s">
        <v>75</v>
      </c>
      <c r="CA128" s="6" t="s">
        <v>76</v>
      </c>
      <c r="CB128" s="6" t="s">
        <v>77</v>
      </c>
      <c r="CC128" s="6" t="s">
        <v>78</v>
      </c>
      <c r="CD128" s="6" t="s">
        <v>79</v>
      </c>
      <c r="CE128" s="6" t="s">
        <v>80</v>
      </c>
      <c r="CF128" s="2" t="s">
        <v>245</v>
      </c>
      <c r="CG128" s="2" t="s">
        <v>246</v>
      </c>
      <c r="CH128" s="2" t="s">
        <v>247</v>
      </c>
      <c r="CI128" s="2" t="s">
        <v>248</v>
      </c>
      <c r="CJ128" s="2" t="s">
        <v>310</v>
      </c>
      <c r="CN128" s="1"/>
      <c r="CO128" s="2" t="s">
        <v>60</v>
      </c>
      <c r="CP128" s="2" t="s">
        <v>243</v>
      </c>
      <c r="CQ128" s="2" t="s">
        <v>244</v>
      </c>
      <c r="CR128" s="6" t="s">
        <v>70</v>
      </c>
      <c r="CS128" s="6" t="s">
        <v>71</v>
      </c>
      <c r="CT128" s="6" t="s">
        <v>72</v>
      </c>
      <c r="CU128" s="6" t="s">
        <v>73</v>
      </c>
      <c r="CV128" s="6" t="s">
        <v>74</v>
      </c>
      <c r="CW128" s="6" t="s">
        <v>75</v>
      </c>
      <c r="CX128" s="6" t="s">
        <v>76</v>
      </c>
      <c r="CY128" s="6" t="s">
        <v>77</v>
      </c>
      <c r="CZ128" s="6" t="s">
        <v>78</v>
      </c>
      <c r="DA128" s="6" t="s">
        <v>79</v>
      </c>
      <c r="DB128" s="6" t="s">
        <v>80</v>
      </c>
      <c r="DC128" s="2" t="s">
        <v>245</v>
      </c>
      <c r="DD128" s="2" t="s">
        <v>246</v>
      </c>
      <c r="DE128" s="2" t="s">
        <v>247</v>
      </c>
      <c r="DF128" s="2" t="s">
        <v>248</v>
      </c>
      <c r="DG128" s="2" t="s">
        <v>310</v>
      </c>
    </row>
    <row r="129" spans="1:111" ht="15" customHeight="1">
      <c r="A129" s="2" t="s">
        <v>13</v>
      </c>
      <c r="B129" t="s">
        <v>29</v>
      </c>
      <c r="C129" t="s">
        <v>30</v>
      </c>
      <c r="D129">
        <v>5</v>
      </c>
      <c r="E129" t="s">
        <v>46</v>
      </c>
      <c r="F129">
        <v>2</v>
      </c>
      <c r="G129">
        <v>1</v>
      </c>
      <c r="H129">
        <v>1</v>
      </c>
      <c r="I129">
        <v>1</v>
      </c>
      <c r="J129" s="4" t="s">
        <v>55</v>
      </c>
      <c r="K129" t="str">
        <f t="shared" si="5"/>
        <v>1+1</v>
      </c>
      <c r="L129">
        <f>VLOOKUP(A129,'ZONE 1 PREMIUM'!$A$4:$N$16,14,0)</f>
        <v>4</v>
      </c>
      <c r="M129">
        <f>VLOOKUP(D129,DROPDOWN!B:C,2,0)</f>
        <v>4</v>
      </c>
      <c r="N129" t="str">
        <f t="shared" si="9"/>
        <v>AU20:BM31</v>
      </c>
      <c r="O129" s="4">
        <f t="shared" ca="1" si="10"/>
        <v>19225.125</v>
      </c>
      <c r="X129" s="2" t="s">
        <v>11</v>
      </c>
      <c r="Y129" s="141">
        <v>25426.499999999996</v>
      </c>
      <c r="Z129" s="141">
        <v>30913.149999999998</v>
      </c>
      <c r="AA129" s="141">
        <v>37440.549999999996</v>
      </c>
      <c r="AB129" s="141">
        <v>40829.599999999999</v>
      </c>
      <c r="AC129" s="141">
        <v>43939.199999999997</v>
      </c>
      <c r="AD129" s="141">
        <v>55687.6</v>
      </c>
      <c r="AE129" s="141">
        <v>61017.85</v>
      </c>
      <c r="AF129" s="141">
        <v>65645.45</v>
      </c>
      <c r="AG129" s="141">
        <v>73211.299999999988</v>
      </c>
      <c r="AH129" s="141">
        <v>90850</v>
      </c>
      <c r="AI129" s="141">
        <v>170364.44999999998</v>
      </c>
      <c r="AJ129" s="141">
        <v>208195.99999999997</v>
      </c>
      <c r="AK129" s="141">
        <v>250660.9</v>
      </c>
      <c r="AL129" s="141">
        <v>353652.6</v>
      </c>
      <c r="AM129" s="141">
        <v>422551.39999999997</v>
      </c>
      <c r="AN129" s="141">
        <v>498576.74999999994</v>
      </c>
      <c r="AO129" s="141">
        <v>586603.5</v>
      </c>
      <c r="AP129" s="141">
        <v>789025.35</v>
      </c>
      <c r="AT129" s="1"/>
      <c r="AU129" s="2" t="s">
        <v>11</v>
      </c>
      <c r="AV129" s="141">
        <v>22565.25</v>
      </c>
      <c r="AW129" s="141">
        <v>27424.125</v>
      </c>
      <c r="AX129" s="141">
        <v>33233.625</v>
      </c>
      <c r="AY129" s="141">
        <v>36234</v>
      </c>
      <c r="AZ129" s="141">
        <v>38988</v>
      </c>
      <c r="BA129" s="141">
        <v>49420.125</v>
      </c>
      <c r="BB129" s="141">
        <v>54140.625</v>
      </c>
      <c r="BC129" s="141">
        <v>58239</v>
      </c>
      <c r="BD129" s="141">
        <v>64938.375</v>
      </c>
      <c r="BE129" s="141">
        <v>80557.875</v>
      </c>
      <c r="BF129" s="141">
        <v>150970.5</v>
      </c>
      <c r="BG129" s="141">
        <v>184471.875</v>
      </c>
      <c r="BH129" s="141">
        <v>222075</v>
      </c>
      <c r="BI129" s="141">
        <v>314202.375</v>
      </c>
      <c r="BJ129" s="141">
        <v>375214.5</v>
      </c>
      <c r="BK129" s="141">
        <v>442536.75</v>
      </c>
      <c r="BL129" s="141">
        <v>520488</v>
      </c>
      <c r="BM129" s="141">
        <v>699738.75</v>
      </c>
      <c r="BQ129" s="1"/>
      <c r="BR129" s="2" t="s">
        <v>11</v>
      </c>
      <c r="BS129" s="141">
        <v>20819.7</v>
      </c>
      <c r="BT129" s="141">
        <v>25297.800000000003</v>
      </c>
      <c r="BU129" s="141">
        <v>30665.800000000003</v>
      </c>
      <c r="BV129" s="141">
        <v>33431.200000000004</v>
      </c>
      <c r="BW129" s="141">
        <v>35968.9</v>
      </c>
      <c r="BX129" s="141">
        <v>45598.3</v>
      </c>
      <c r="BY129" s="141">
        <v>49948.800000000003</v>
      </c>
      <c r="BZ129" s="141">
        <v>53725.100000000006</v>
      </c>
      <c r="CA129" s="141">
        <v>59899.4</v>
      </c>
      <c r="CB129" s="141">
        <v>74291.8</v>
      </c>
      <c r="CC129" s="141">
        <v>139178.6</v>
      </c>
      <c r="CD129" s="141">
        <v>170051.20000000001</v>
      </c>
      <c r="CE129" s="141">
        <v>204703.40000000002</v>
      </c>
      <c r="CF129" s="141">
        <v>290087.60000000003</v>
      </c>
      <c r="CG129" s="141">
        <v>346311.9</v>
      </c>
      <c r="CH129" s="141">
        <v>408350.80000000005</v>
      </c>
      <c r="CI129" s="141">
        <v>480183.00000000006</v>
      </c>
      <c r="CJ129" s="141">
        <v>645366.70000000007</v>
      </c>
      <c r="CN129" s="1"/>
      <c r="CO129" s="2" t="s">
        <v>11</v>
      </c>
      <c r="CP129" s="141">
        <v>19170.920000000002</v>
      </c>
      <c r="CQ129" s="141">
        <v>23287.850000000002</v>
      </c>
      <c r="CR129" s="141">
        <v>28240.81</v>
      </c>
      <c r="CS129" s="141">
        <v>30782.690000000002</v>
      </c>
      <c r="CT129" s="141">
        <v>33116.380000000005</v>
      </c>
      <c r="CU129" s="141">
        <v>41986.8</v>
      </c>
      <c r="CV129" s="141">
        <v>45986.01</v>
      </c>
      <c r="CW129" s="141">
        <v>49458.75</v>
      </c>
      <c r="CX129" s="141">
        <v>55135.47</v>
      </c>
      <c r="CY129" s="141">
        <v>68370.25</v>
      </c>
      <c r="CZ129" s="141">
        <v>128035.76000000001</v>
      </c>
      <c r="DA129" s="141">
        <v>156423.72</v>
      </c>
      <c r="DB129" s="141">
        <v>188287.69</v>
      </c>
      <c r="DC129" s="141">
        <v>267293.07</v>
      </c>
      <c r="DD129" s="141">
        <v>318991.77</v>
      </c>
      <c r="DE129" s="141">
        <v>376039.10000000003</v>
      </c>
      <c r="DF129" s="141">
        <v>442090.92000000004</v>
      </c>
      <c r="DG129" s="141">
        <v>593980.24</v>
      </c>
    </row>
    <row r="130" spans="1:111" ht="15" customHeight="1">
      <c r="A130" s="2" t="s">
        <v>14</v>
      </c>
      <c r="B130" t="s">
        <v>31</v>
      </c>
      <c r="C130" t="s">
        <v>32</v>
      </c>
      <c r="D130">
        <v>5</v>
      </c>
      <c r="E130" t="s">
        <v>46</v>
      </c>
      <c r="F130">
        <v>2</v>
      </c>
      <c r="G130">
        <v>1</v>
      </c>
      <c r="H130">
        <v>1</v>
      </c>
      <c r="I130">
        <v>1</v>
      </c>
      <c r="J130" s="4" t="s">
        <v>55</v>
      </c>
      <c r="K130" t="str">
        <f t="shared" si="5"/>
        <v>1+1</v>
      </c>
      <c r="L130">
        <f>VLOOKUP(A130,'ZONE 1 PREMIUM'!$A$4:$N$16,14,0)</f>
        <v>5</v>
      </c>
      <c r="M130">
        <f>VLOOKUP(D130,DROPDOWN!B:C,2,0)</f>
        <v>4</v>
      </c>
      <c r="N130" t="str">
        <f t="shared" si="9"/>
        <v>AU20:BM31</v>
      </c>
      <c r="O130" s="4">
        <f t="shared" ca="1" si="10"/>
        <v>22576.5</v>
      </c>
      <c r="X130" s="2" t="s">
        <v>12</v>
      </c>
      <c r="Y130" s="141">
        <v>27605.749999999996</v>
      </c>
      <c r="Z130" s="141">
        <v>33183.25</v>
      </c>
      <c r="AA130" s="141">
        <v>40415.599999999999</v>
      </c>
      <c r="AB130" s="141">
        <v>44077.2</v>
      </c>
      <c r="AC130" s="141">
        <v>47442.1</v>
      </c>
      <c r="AD130" s="141">
        <v>60147.299999999996</v>
      </c>
      <c r="AE130" s="141">
        <v>65699.5</v>
      </c>
      <c r="AF130" s="141">
        <v>70521.45</v>
      </c>
      <c r="AG130" s="141">
        <v>78651.95</v>
      </c>
      <c r="AH130" s="141">
        <v>97565.999999999985</v>
      </c>
      <c r="AI130" s="141">
        <v>183612.44999999998</v>
      </c>
      <c r="AJ130" s="141">
        <v>225569.05</v>
      </c>
      <c r="AK130" s="141">
        <v>273297.5</v>
      </c>
      <c r="AL130" s="141">
        <v>377926.8</v>
      </c>
      <c r="AM130" s="141">
        <v>453111.49999999994</v>
      </c>
      <c r="AN130" s="141">
        <v>536291</v>
      </c>
      <c r="AO130" s="141">
        <v>632763.35</v>
      </c>
      <c r="AP130" s="141">
        <v>854321.2</v>
      </c>
      <c r="AT130" s="1"/>
      <c r="AU130" s="2" t="s">
        <v>12</v>
      </c>
      <c r="AV130" s="141">
        <v>24508.125</v>
      </c>
      <c r="AW130" s="141">
        <v>29448</v>
      </c>
      <c r="AX130" s="141">
        <v>35892</v>
      </c>
      <c r="AY130" s="141">
        <v>39134.25</v>
      </c>
      <c r="AZ130" s="141">
        <v>42114.375</v>
      </c>
      <c r="BA130" s="141">
        <v>53404.875</v>
      </c>
      <c r="BB130" s="141">
        <v>58322.25</v>
      </c>
      <c r="BC130" s="141">
        <v>62591.625</v>
      </c>
      <c r="BD130" s="141">
        <v>69791.625</v>
      </c>
      <c r="BE130" s="141">
        <v>86540.625</v>
      </c>
      <c r="BF130" s="141">
        <v>162736.875</v>
      </c>
      <c r="BG130" s="141">
        <v>199890</v>
      </c>
      <c r="BH130" s="141">
        <v>242155.125</v>
      </c>
      <c r="BI130" s="141">
        <v>335738.25</v>
      </c>
      <c r="BJ130" s="141">
        <v>402316.875</v>
      </c>
      <c r="BK130" s="141">
        <v>475975.125</v>
      </c>
      <c r="BL130" s="141">
        <v>561404.25</v>
      </c>
      <c r="BM130" s="141">
        <v>757599.75</v>
      </c>
      <c r="BQ130" s="1"/>
      <c r="BR130" s="2" t="s">
        <v>12</v>
      </c>
      <c r="BS130" s="141">
        <v>22618.2</v>
      </c>
      <c r="BT130" s="141">
        <v>27170.000000000004</v>
      </c>
      <c r="BU130" s="141">
        <v>33128.700000000004</v>
      </c>
      <c r="BV130" s="141">
        <v>36117.4</v>
      </c>
      <c r="BW130" s="141">
        <v>38863</v>
      </c>
      <c r="BX130" s="141">
        <v>49288.800000000003</v>
      </c>
      <c r="BY130" s="141">
        <v>53819.700000000004</v>
      </c>
      <c r="BZ130" s="141">
        <v>57754.400000000001</v>
      </c>
      <c r="CA130" s="141">
        <v>64389.600000000006</v>
      </c>
      <c r="CB130" s="141">
        <v>79823.700000000012</v>
      </c>
      <c r="CC130" s="141">
        <v>150040</v>
      </c>
      <c r="CD130" s="141">
        <v>184277.50000000003</v>
      </c>
      <c r="CE130" s="141">
        <v>223226.30000000002</v>
      </c>
      <c r="CF130" s="141">
        <v>309953.60000000003</v>
      </c>
      <c r="CG130" s="141">
        <v>371307.2</v>
      </c>
      <c r="CH130" s="141">
        <v>439184.9</v>
      </c>
      <c r="CI130" s="141">
        <v>517909.70000000007</v>
      </c>
      <c r="CJ130" s="141">
        <v>698706.8</v>
      </c>
      <c r="CN130" s="1"/>
      <c r="CO130" s="2" t="s">
        <v>12</v>
      </c>
      <c r="CP130" s="141">
        <v>20830.990000000002</v>
      </c>
      <c r="CQ130" s="141">
        <v>25016.59</v>
      </c>
      <c r="CR130" s="141">
        <v>30517.820000000003</v>
      </c>
      <c r="CS130" s="141">
        <v>33265.71</v>
      </c>
      <c r="CT130" s="141">
        <v>35790.15</v>
      </c>
      <c r="CU130" s="141">
        <v>45398.5</v>
      </c>
      <c r="CV130" s="141">
        <v>49564.480000000003</v>
      </c>
      <c r="CW130" s="141">
        <v>53183.280000000006</v>
      </c>
      <c r="CX130" s="141">
        <v>59284.01</v>
      </c>
      <c r="CY130" s="141">
        <v>73475.810000000012</v>
      </c>
      <c r="CZ130" s="141">
        <v>138041.96000000002</v>
      </c>
      <c r="DA130" s="141">
        <v>169524.43000000002</v>
      </c>
      <c r="DB130" s="141">
        <v>205337.47</v>
      </c>
      <c r="DC130" s="141">
        <v>285582.18</v>
      </c>
      <c r="DD130" s="141">
        <v>341998.4</v>
      </c>
      <c r="DE130" s="141">
        <v>404412.89</v>
      </c>
      <c r="DF130" s="141">
        <v>476801.97000000003</v>
      </c>
      <c r="DG130" s="141">
        <v>643049.8600000001</v>
      </c>
    </row>
    <row r="131" spans="1:111" ht="15" customHeight="1">
      <c r="A131" s="2" t="s">
        <v>15</v>
      </c>
      <c r="B131" t="s">
        <v>33</v>
      </c>
      <c r="C131" t="s">
        <v>34</v>
      </c>
      <c r="D131">
        <v>5</v>
      </c>
      <c r="E131" t="s">
        <v>46</v>
      </c>
      <c r="F131">
        <v>2</v>
      </c>
      <c r="G131">
        <v>1</v>
      </c>
      <c r="H131">
        <v>1</v>
      </c>
      <c r="I131">
        <v>1</v>
      </c>
      <c r="J131" s="4" t="s">
        <v>55</v>
      </c>
      <c r="K131" t="str">
        <f t="shared" si="5"/>
        <v>1+1</v>
      </c>
      <c r="L131">
        <f>VLOOKUP(A131,'ZONE 1 PREMIUM'!$A$4:$N$16,14,0)</f>
        <v>6</v>
      </c>
      <c r="M131">
        <f>VLOOKUP(D131,DROPDOWN!B:C,2,0)</f>
        <v>4</v>
      </c>
      <c r="N131" t="str">
        <f t="shared" si="9"/>
        <v>AU20:BM31</v>
      </c>
      <c r="O131" s="4">
        <f t="shared" ca="1" si="10"/>
        <v>27471.375</v>
      </c>
      <c r="X131" s="2" t="s">
        <v>13</v>
      </c>
      <c r="Y131" s="141">
        <v>30808.499999999996</v>
      </c>
      <c r="Z131" s="141">
        <v>37170.299999999996</v>
      </c>
      <c r="AA131" s="141">
        <v>45525.049999999996</v>
      </c>
      <c r="AB131" s="141">
        <v>49686.899999999994</v>
      </c>
      <c r="AC131" s="141">
        <v>53518.7</v>
      </c>
      <c r="AD131" s="141">
        <v>67910.95</v>
      </c>
      <c r="AE131" s="141">
        <v>74276.2</v>
      </c>
      <c r="AF131" s="141">
        <v>79823.799999999988</v>
      </c>
      <c r="AG131" s="141">
        <v>89093.95</v>
      </c>
      <c r="AH131" s="141">
        <v>110606.99999999999</v>
      </c>
      <c r="AI131" s="141">
        <v>196869.65</v>
      </c>
      <c r="AJ131" s="141">
        <v>244725.74999999997</v>
      </c>
      <c r="AK131" s="141">
        <v>299276</v>
      </c>
      <c r="AL131" s="141">
        <v>404080.1</v>
      </c>
      <c r="AM131" s="141">
        <v>489357.19999999995</v>
      </c>
      <c r="AN131" s="141">
        <v>584001.04999999993</v>
      </c>
      <c r="AO131" s="141">
        <v>693984.75</v>
      </c>
      <c r="AP131" s="141">
        <v>946254.49999999988</v>
      </c>
      <c r="AT131" s="1"/>
      <c r="AU131" s="2" t="s">
        <v>13</v>
      </c>
      <c r="AV131" s="141">
        <v>27347.625</v>
      </c>
      <c r="AW131" s="141">
        <v>32980.5</v>
      </c>
      <c r="AX131" s="141">
        <v>40422.375</v>
      </c>
      <c r="AY131" s="141">
        <v>44107.875</v>
      </c>
      <c r="AZ131" s="141">
        <v>47500.875</v>
      </c>
      <c r="BA131" s="141">
        <v>60288.75</v>
      </c>
      <c r="BB131" s="141">
        <v>65925</v>
      </c>
      <c r="BC131" s="141">
        <v>70837.875</v>
      </c>
      <c r="BD131" s="141">
        <v>79045.875</v>
      </c>
      <c r="BE131" s="141">
        <v>98097.75</v>
      </c>
      <c r="BF131" s="141">
        <v>174485.25</v>
      </c>
      <c r="BG131" s="141">
        <v>216862.875</v>
      </c>
      <c r="BH131" s="141">
        <v>265169.25</v>
      </c>
      <c r="BI131" s="141">
        <v>358707.375</v>
      </c>
      <c r="BJ131" s="141">
        <v>434223</v>
      </c>
      <c r="BK131" s="141">
        <v>518033.25</v>
      </c>
      <c r="BL131" s="141">
        <v>615427.875</v>
      </c>
      <c r="BM131" s="141">
        <v>838820.25</v>
      </c>
      <c r="BQ131" s="1"/>
      <c r="BR131" s="2" t="s">
        <v>13</v>
      </c>
      <c r="BS131" s="141">
        <v>25235.100000000002</v>
      </c>
      <c r="BT131" s="141">
        <v>30426.000000000004</v>
      </c>
      <c r="BU131" s="141">
        <v>37306.5</v>
      </c>
      <c r="BV131" s="141">
        <v>40703.300000000003</v>
      </c>
      <c r="BW131" s="141">
        <v>43830.600000000006</v>
      </c>
      <c r="BX131" s="141">
        <v>55636.9</v>
      </c>
      <c r="BY131" s="141">
        <v>60831.100000000006</v>
      </c>
      <c r="BZ131" s="141">
        <v>65358.700000000004</v>
      </c>
      <c r="CA131" s="141">
        <v>72922.3</v>
      </c>
      <c r="CB131" s="141">
        <v>90478.3</v>
      </c>
      <c r="CC131" s="141">
        <v>160871.70000000001</v>
      </c>
      <c r="CD131" s="141">
        <v>199922.80000000002</v>
      </c>
      <c r="CE131" s="141">
        <v>244438.7</v>
      </c>
      <c r="CF131" s="141">
        <v>331020.80000000005</v>
      </c>
      <c r="CG131" s="141">
        <v>400610.10000000003</v>
      </c>
      <c r="CH131" s="141">
        <v>477842.2</v>
      </c>
      <c r="CI131" s="141">
        <v>567593.4</v>
      </c>
      <c r="CJ131" s="141">
        <v>773452.9</v>
      </c>
      <c r="CN131" s="1"/>
      <c r="CO131" s="2" t="s">
        <v>13</v>
      </c>
      <c r="CP131" s="141">
        <v>23238.800000000003</v>
      </c>
      <c r="CQ131" s="141">
        <v>28013.000000000004</v>
      </c>
      <c r="CR131" s="141">
        <v>34362.25</v>
      </c>
      <c r="CS131" s="141">
        <v>37485.100000000006</v>
      </c>
      <c r="CT131" s="141">
        <v>40360.520000000004</v>
      </c>
      <c r="CU131" s="141">
        <v>51239.810000000005</v>
      </c>
      <c r="CV131" s="141">
        <v>56016.19</v>
      </c>
      <c r="CW131" s="141">
        <v>60178.9</v>
      </c>
      <c r="CX131" s="141">
        <v>67135.28</v>
      </c>
      <c r="CY131" s="141">
        <v>83277.090000000011</v>
      </c>
      <c r="CZ131" s="141">
        <v>148005.65000000002</v>
      </c>
      <c r="DA131" s="141">
        <v>183914.61000000002</v>
      </c>
      <c r="DB131" s="141">
        <v>224848.47000000003</v>
      </c>
      <c r="DC131" s="141">
        <v>304852.29000000004</v>
      </c>
      <c r="DD131" s="141">
        <v>368840.74000000005</v>
      </c>
      <c r="DE131" s="141">
        <v>439858.60000000003</v>
      </c>
      <c r="DF131" s="141">
        <v>522385.77</v>
      </c>
      <c r="DG131" s="141">
        <v>711679.53</v>
      </c>
    </row>
    <row r="132" spans="1:111" ht="15" customHeight="1">
      <c r="A132" s="2" t="s">
        <v>16</v>
      </c>
      <c r="B132" t="s">
        <v>35</v>
      </c>
      <c r="C132" t="s">
        <v>36</v>
      </c>
      <c r="D132">
        <v>5</v>
      </c>
      <c r="E132" t="s">
        <v>46</v>
      </c>
      <c r="F132">
        <v>2</v>
      </c>
      <c r="G132">
        <v>1</v>
      </c>
      <c r="H132">
        <v>1</v>
      </c>
      <c r="I132">
        <v>1</v>
      </c>
      <c r="J132" s="4" t="s">
        <v>55</v>
      </c>
      <c r="K132" t="str">
        <f t="shared" ref="K132:K195" si="11">G132&amp;"+"&amp;H132</f>
        <v>1+1</v>
      </c>
      <c r="L132">
        <f>VLOOKUP(A132,'ZONE 1 PREMIUM'!$A$4:$N$16,14,0)</f>
        <v>7</v>
      </c>
      <c r="M132">
        <f>VLOOKUP(D132,DROPDOWN!B:C,2,0)</f>
        <v>4</v>
      </c>
      <c r="N132" t="str">
        <f t="shared" si="9"/>
        <v>AU20:BM31</v>
      </c>
      <c r="O132" s="4">
        <f t="shared" ca="1" si="10"/>
        <v>35546.625</v>
      </c>
      <c r="X132" s="2" t="s">
        <v>14</v>
      </c>
      <c r="Y132" s="141">
        <v>34332.1</v>
      </c>
      <c r="Z132" s="141">
        <v>41570.199999999997</v>
      </c>
      <c r="AA132" s="141">
        <v>51155.45</v>
      </c>
      <c r="AB132" s="141">
        <v>55891.149999999994</v>
      </c>
      <c r="AC132" s="141">
        <v>60259.999999999993</v>
      </c>
      <c r="AD132" s="141">
        <v>76471.549999999988</v>
      </c>
      <c r="AE132" s="141">
        <v>83628</v>
      </c>
      <c r="AF132" s="141">
        <v>89836.849999999991</v>
      </c>
      <c r="AG132" s="141">
        <v>100371.99999999999</v>
      </c>
      <c r="AH132" s="141">
        <v>124745.09999999999</v>
      </c>
      <c r="AI132" s="141">
        <v>214839.55</v>
      </c>
      <c r="AJ132" s="141">
        <v>269425.44999999995</v>
      </c>
      <c r="AK132" s="141">
        <v>331768.09999999998</v>
      </c>
      <c r="AL132" s="141">
        <v>428748.74999999994</v>
      </c>
      <c r="AM132" s="141">
        <v>524769.14999999991</v>
      </c>
      <c r="AN132" s="141">
        <v>631709.94999999995</v>
      </c>
      <c r="AO132" s="141">
        <v>756257.24999999988</v>
      </c>
      <c r="AP132" s="141">
        <v>1041476.7999999999</v>
      </c>
      <c r="AT132" s="1"/>
      <c r="AU132" s="2" t="s">
        <v>14</v>
      </c>
      <c r="AV132" s="141">
        <v>30468.375</v>
      </c>
      <c r="AW132" s="141">
        <v>36876.375</v>
      </c>
      <c r="AX132" s="141">
        <v>45410.625</v>
      </c>
      <c r="AY132" s="141">
        <v>49603.5</v>
      </c>
      <c r="AZ132" s="141">
        <v>53472.375</v>
      </c>
      <c r="BA132" s="141">
        <v>67873.5</v>
      </c>
      <c r="BB132" s="141">
        <v>74211.75</v>
      </c>
      <c r="BC132" s="141">
        <v>79709.625</v>
      </c>
      <c r="BD132" s="141">
        <v>89038.125</v>
      </c>
      <c r="BE132" s="141">
        <v>110621.25</v>
      </c>
      <c r="BF132" s="141">
        <v>190402.875</v>
      </c>
      <c r="BG132" s="141">
        <v>238740.75</v>
      </c>
      <c r="BH132" s="141">
        <v>293946.75</v>
      </c>
      <c r="BI132" s="141">
        <v>380324.25</v>
      </c>
      <c r="BJ132" s="141">
        <v>465354</v>
      </c>
      <c r="BK132" s="141">
        <v>560053.125</v>
      </c>
      <c r="BL132" s="141">
        <v>670342.5</v>
      </c>
      <c r="BM132" s="141">
        <v>922914</v>
      </c>
      <c r="BQ132" s="1"/>
      <c r="BR132" s="2" t="s">
        <v>14</v>
      </c>
      <c r="BS132" s="141">
        <v>28111.600000000002</v>
      </c>
      <c r="BT132" s="141">
        <v>34017.5</v>
      </c>
      <c r="BU132" s="141">
        <v>41904.5</v>
      </c>
      <c r="BV132" s="141">
        <v>45768.800000000003</v>
      </c>
      <c r="BW132" s="141">
        <v>49333.9</v>
      </c>
      <c r="BX132" s="141">
        <v>62628.500000000007</v>
      </c>
      <c r="BY132" s="141">
        <v>68469.5</v>
      </c>
      <c r="BZ132" s="141">
        <v>73536.100000000006</v>
      </c>
      <c r="CA132" s="141">
        <v>82132.600000000006</v>
      </c>
      <c r="CB132" s="141">
        <v>102021.70000000001</v>
      </c>
      <c r="CC132" s="141">
        <v>175541.30000000002</v>
      </c>
      <c r="CD132" s="141">
        <v>220085.80000000002</v>
      </c>
      <c r="CE132" s="141">
        <v>270959.7</v>
      </c>
      <c r="CF132" s="141">
        <v>350820.80000000005</v>
      </c>
      <c r="CG132" s="141">
        <v>429177.10000000003</v>
      </c>
      <c r="CH132" s="141">
        <v>516444.50000000006</v>
      </c>
      <c r="CI132" s="141">
        <v>618079</v>
      </c>
      <c r="CJ132" s="141">
        <v>850826.9</v>
      </c>
      <c r="CN132" s="1"/>
      <c r="CO132" s="2" t="s">
        <v>14</v>
      </c>
      <c r="CP132" s="141">
        <v>25884.230000000003</v>
      </c>
      <c r="CQ132" s="141">
        <v>31314.61</v>
      </c>
      <c r="CR132" s="141">
        <v>38591.450000000004</v>
      </c>
      <c r="CS132" s="141">
        <v>42144.850000000006</v>
      </c>
      <c r="CT132" s="141">
        <v>45423.57</v>
      </c>
      <c r="CU132" s="141">
        <v>57670.810000000005</v>
      </c>
      <c r="CV132" s="141">
        <v>63042.33</v>
      </c>
      <c r="CW132" s="141">
        <v>67700.990000000005</v>
      </c>
      <c r="CX132" s="141">
        <v>75605.670000000013</v>
      </c>
      <c r="CY132" s="141">
        <v>93894.780000000013</v>
      </c>
      <c r="CZ132" s="141">
        <v>161497.67000000001</v>
      </c>
      <c r="DA132" s="141">
        <v>202457.69</v>
      </c>
      <c r="DB132" s="141">
        <v>249237.22000000003</v>
      </c>
      <c r="DC132" s="141">
        <v>322937.57</v>
      </c>
      <c r="DD132" s="141">
        <v>394987.66000000003</v>
      </c>
      <c r="DE132" s="141">
        <v>475232.37000000005</v>
      </c>
      <c r="DF132" s="141">
        <v>568687.88</v>
      </c>
      <c r="DG132" s="141">
        <v>782705.02</v>
      </c>
    </row>
    <row r="133" spans="1:111" ht="15" customHeight="1">
      <c r="A133" s="2" t="s">
        <v>17</v>
      </c>
      <c r="B133" t="s">
        <v>37</v>
      </c>
      <c r="C133" t="s">
        <v>38</v>
      </c>
      <c r="D133">
        <v>5</v>
      </c>
      <c r="E133" t="s">
        <v>46</v>
      </c>
      <c r="F133">
        <v>2</v>
      </c>
      <c r="G133">
        <v>1</v>
      </c>
      <c r="H133">
        <v>1</v>
      </c>
      <c r="I133">
        <v>1</v>
      </c>
      <c r="J133" s="4" t="s">
        <v>55</v>
      </c>
      <c r="K133" t="str">
        <f t="shared" si="11"/>
        <v>1+1</v>
      </c>
      <c r="L133">
        <f>VLOOKUP(A133,'ZONE 1 PREMIUM'!$A$4:$N$16,14,0)</f>
        <v>8</v>
      </c>
      <c r="M133">
        <f>VLOOKUP(D133,DROPDOWN!B:C,2,0)</f>
        <v>4</v>
      </c>
      <c r="N133" t="str">
        <f t="shared" si="9"/>
        <v>AU20:BM31</v>
      </c>
      <c r="O133" s="4">
        <f t="shared" ca="1" si="10"/>
        <v>48318.75</v>
      </c>
      <c r="X133" s="2" t="s">
        <v>15</v>
      </c>
      <c r="Y133" s="141">
        <v>41456.35</v>
      </c>
      <c r="Z133" s="141">
        <v>50332.049999999996</v>
      </c>
      <c r="AA133" s="141">
        <v>62213.85</v>
      </c>
      <c r="AB133" s="141">
        <v>70312.149999999994</v>
      </c>
      <c r="AC133" s="141">
        <v>75881.599999999991</v>
      </c>
      <c r="AD133" s="141">
        <v>93808.95</v>
      </c>
      <c r="AE133" s="141">
        <v>102651.29999999999</v>
      </c>
      <c r="AF133" s="141">
        <v>110325.24999999999</v>
      </c>
      <c r="AG133" s="141">
        <v>123373.15</v>
      </c>
      <c r="AH133" s="141">
        <v>153466.34999999998</v>
      </c>
      <c r="AI133" s="141">
        <v>258632.69999999998</v>
      </c>
      <c r="AJ133" s="141">
        <v>326631.05</v>
      </c>
      <c r="AK133" s="141">
        <v>404458.44999999995</v>
      </c>
      <c r="AL133" s="141">
        <v>498004.05</v>
      </c>
      <c r="AM133" s="141">
        <v>615704.25</v>
      </c>
      <c r="AN133" s="141">
        <v>747213.64999999991</v>
      </c>
      <c r="AO133" s="141">
        <v>900696.1</v>
      </c>
      <c r="AP133" s="141">
        <v>1251615.1499999999</v>
      </c>
      <c r="AT133" s="1"/>
      <c r="AU133" s="2" t="s">
        <v>15</v>
      </c>
      <c r="AV133" s="141">
        <v>36786.375</v>
      </c>
      <c r="AW133" s="141">
        <v>44645.625</v>
      </c>
      <c r="AX133" s="141">
        <v>55222.875</v>
      </c>
      <c r="AY133" s="141">
        <v>62393.625</v>
      </c>
      <c r="AZ133" s="141">
        <v>67326.75</v>
      </c>
      <c r="BA133" s="141">
        <v>83256.75</v>
      </c>
      <c r="BB133" s="141">
        <v>91086.75</v>
      </c>
      <c r="BC133" s="141">
        <v>97881.75</v>
      </c>
      <c r="BD133" s="141">
        <v>109435.5</v>
      </c>
      <c r="BE133" s="141">
        <v>136084.5</v>
      </c>
      <c r="BF133" s="141">
        <v>229213.125</v>
      </c>
      <c r="BG133" s="141">
        <v>289427.625</v>
      </c>
      <c r="BH133" s="141">
        <v>358346.25</v>
      </c>
      <c r="BI133" s="141">
        <v>441572.625</v>
      </c>
      <c r="BJ133" s="141">
        <v>545798.25</v>
      </c>
      <c r="BK133" s="141">
        <v>662254.875</v>
      </c>
      <c r="BL133" s="141">
        <v>798168.375</v>
      </c>
      <c r="BM133" s="141">
        <v>1108917</v>
      </c>
      <c r="BQ133" s="1"/>
      <c r="BR133" s="2" t="s">
        <v>15</v>
      </c>
      <c r="BS133" s="141">
        <v>33939.4</v>
      </c>
      <c r="BT133" s="141">
        <v>41181.800000000003</v>
      </c>
      <c r="BU133" s="141">
        <v>50957.500000000007</v>
      </c>
      <c r="BV133" s="141">
        <v>57566.3</v>
      </c>
      <c r="BW133" s="141">
        <v>62111.500000000007</v>
      </c>
      <c r="BX133" s="141">
        <v>76819.600000000006</v>
      </c>
      <c r="BY133" s="141">
        <v>84035.6</v>
      </c>
      <c r="BZ133" s="141">
        <v>90296.8</v>
      </c>
      <c r="CA133" s="141">
        <v>100944.8</v>
      </c>
      <c r="CB133" s="141">
        <v>125502.3</v>
      </c>
      <c r="CC133" s="141">
        <v>211322.1</v>
      </c>
      <c r="CD133" s="141">
        <v>266810.5</v>
      </c>
      <c r="CE133" s="141">
        <v>330320.10000000003</v>
      </c>
      <c r="CF133" s="141">
        <v>407220.00000000006</v>
      </c>
      <c r="CG133" s="141">
        <v>503266.50000000006</v>
      </c>
      <c r="CH133" s="141">
        <v>610582.5</v>
      </c>
      <c r="CI133" s="141">
        <v>735829.60000000009</v>
      </c>
      <c r="CJ133" s="141">
        <v>1022190.4000000001</v>
      </c>
      <c r="CN133" s="1"/>
      <c r="CO133" s="2" t="s">
        <v>15</v>
      </c>
      <c r="CP133" s="141">
        <v>31248.120000000003</v>
      </c>
      <c r="CQ133" s="141">
        <v>37908.020000000004</v>
      </c>
      <c r="CR133" s="141">
        <v>46926.68</v>
      </c>
      <c r="CS133" s="141">
        <v>53002.340000000004</v>
      </c>
      <c r="CT133" s="141">
        <v>57182.490000000005</v>
      </c>
      <c r="CU133" s="141">
        <v>70736.639999999999</v>
      </c>
      <c r="CV133" s="141">
        <v>77371.47</v>
      </c>
      <c r="CW133" s="141">
        <v>83128.850000000006</v>
      </c>
      <c r="CX133" s="141">
        <v>92920.320000000007</v>
      </c>
      <c r="CY133" s="141">
        <v>115500.76000000001</v>
      </c>
      <c r="CZ133" s="141">
        <v>194414.58000000002</v>
      </c>
      <c r="DA133" s="141">
        <v>245437.48</v>
      </c>
      <c r="DB133" s="141">
        <v>303836.41000000003</v>
      </c>
      <c r="DC133" s="141">
        <v>374753.99000000005</v>
      </c>
      <c r="DD133" s="141">
        <v>463071.24000000005</v>
      </c>
      <c r="DE133" s="141">
        <v>561752.21000000008</v>
      </c>
      <c r="DF133" s="141">
        <v>676919.43</v>
      </c>
      <c r="DG133" s="141">
        <v>940235.09000000008</v>
      </c>
    </row>
    <row r="134" spans="1:111" ht="15" customHeight="1">
      <c r="A134" s="2" t="s">
        <v>18</v>
      </c>
      <c r="B134" t="s">
        <v>39</v>
      </c>
      <c r="C134" t="s">
        <v>40</v>
      </c>
      <c r="D134">
        <v>5</v>
      </c>
      <c r="E134" t="s">
        <v>46</v>
      </c>
      <c r="F134">
        <v>2</v>
      </c>
      <c r="G134">
        <v>1</v>
      </c>
      <c r="H134">
        <v>1</v>
      </c>
      <c r="I134">
        <v>1</v>
      </c>
      <c r="J134" s="4" t="s">
        <v>55</v>
      </c>
      <c r="K134" t="str">
        <f t="shared" si="11"/>
        <v>1+1</v>
      </c>
      <c r="L134">
        <f>VLOOKUP(A134,'ZONE 1 PREMIUM'!$A$4:$N$16,14,0)</f>
        <v>9</v>
      </c>
      <c r="M134">
        <f>VLOOKUP(D134,DROPDOWN!B:C,2,0)</f>
        <v>4</v>
      </c>
      <c r="N134" t="str">
        <f t="shared" si="9"/>
        <v>AU20:BM31</v>
      </c>
      <c r="O134" s="4">
        <f t="shared" ca="1" si="10"/>
        <v>65187</v>
      </c>
      <c r="X134" s="2" t="s">
        <v>16</v>
      </c>
      <c r="Y134" s="141">
        <v>52213.45</v>
      </c>
      <c r="Z134" s="141">
        <v>63573.149999999994</v>
      </c>
      <c r="AA134" s="141">
        <v>78741.649999999994</v>
      </c>
      <c r="AB134" s="141">
        <v>90362.4</v>
      </c>
      <c r="AC134" s="141">
        <v>97621.2</v>
      </c>
      <c r="AD134" s="141">
        <v>119344.7</v>
      </c>
      <c r="AE134" s="141">
        <v>130800.99999999999</v>
      </c>
      <c r="AF134" s="141">
        <v>140788.75</v>
      </c>
      <c r="AG134" s="141">
        <v>157606.34999999998</v>
      </c>
      <c r="AH134" s="141">
        <v>196288.9</v>
      </c>
      <c r="AI134" s="141">
        <v>337269.69999999995</v>
      </c>
      <c r="AJ134" s="141">
        <v>425383.85</v>
      </c>
      <c r="AK134" s="141">
        <v>526409.04999999993</v>
      </c>
      <c r="AL134" s="141">
        <v>627893.1</v>
      </c>
      <c r="AM134" s="141">
        <v>779590.74999999988</v>
      </c>
      <c r="AN134" s="141">
        <v>949445.74999999988</v>
      </c>
      <c r="AO134" s="141">
        <v>1147977.1499999999</v>
      </c>
      <c r="AP134" s="141">
        <v>1601234.7</v>
      </c>
      <c r="AT134" s="1"/>
      <c r="AU134" s="2" t="s">
        <v>16</v>
      </c>
      <c r="AV134" s="141">
        <v>46317.375</v>
      </c>
      <c r="AW134" s="141">
        <v>56377.125</v>
      </c>
      <c r="AX134" s="141">
        <v>69870.375</v>
      </c>
      <c r="AY134" s="141">
        <v>80160.75</v>
      </c>
      <c r="AZ134" s="141">
        <v>86589</v>
      </c>
      <c r="BA134" s="141">
        <v>105887.25</v>
      </c>
      <c r="BB134" s="141">
        <v>116032.5</v>
      </c>
      <c r="BC134" s="141">
        <v>124876.125</v>
      </c>
      <c r="BD134" s="141">
        <v>139768.875</v>
      </c>
      <c r="BE134" s="141">
        <v>174022.875</v>
      </c>
      <c r="BF134" s="141">
        <v>298866.375</v>
      </c>
      <c r="BG134" s="141">
        <v>376894.125</v>
      </c>
      <c r="BH134" s="141">
        <v>466355.25</v>
      </c>
      <c r="BI134" s="141">
        <v>556591.5</v>
      </c>
      <c r="BJ134" s="141">
        <v>690924.375</v>
      </c>
      <c r="BK134" s="141">
        <v>841335.75</v>
      </c>
      <c r="BL134" s="141">
        <v>1017141.75</v>
      </c>
      <c r="BM134" s="141">
        <v>1418514.75</v>
      </c>
      <c r="BQ134" s="1"/>
      <c r="BR134" s="2" t="s">
        <v>16</v>
      </c>
      <c r="BS134" s="141">
        <v>42724</v>
      </c>
      <c r="BT134" s="141">
        <v>51994.8</v>
      </c>
      <c r="BU134" s="141">
        <v>64461.100000000006</v>
      </c>
      <c r="BV134" s="141">
        <v>73944.200000000012</v>
      </c>
      <c r="BW134" s="141">
        <v>79867.700000000012</v>
      </c>
      <c r="BX134" s="141">
        <v>97684.400000000009</v>
      </c>
      <c r="BY134" s="141">
        <v>107033.3</v>
      </c>
      <c r="BZ134" s="141">
        <v>115183.20000000001</v>
      </c>
      <c r="CA134" s="141">
        <v>128906.80000000002</v>
      </c>
      <c r="CB134" s="141">
        <v>160473.5</v>
      </c>
      <c r="CC134" s="141">
        <v>275518.10000000003</v>
      </c>
      <c r="CD134" s="141">
        <v>347421.80000000005</v>
      </c>
      <c r="CE134" s="141">
        <v>429862.40000000002</v>
      </c>
      <c r="CF134" s="141">
        <v>513211.60000000003</v>
      </c>
      <c r="CG134" s="141">
        <v>637001.20000000007</v>
      </c>
      <c r="CH134" s="141">
        <v>775608.9</v>
      </c>
      <c r="CI134" s="141">
        <v>937616.9</v>
      </c>
      <c r="CJ134" s="141">
        <v>1307489.7000000002</v>
      </c>
      <c r="CN134" s="1"/>
      <c r="CO134" s="2" t="s">
        <v>16</v>
      </c>
      <c r="CP134" s="141">
        <v>39329.380000000005</v>
      </c>
      <c r="CQ134" s="141">
        <v>47853.18</v>
      </c>
      <c r="CR134" s="141">
        <v>59349.41</v>
      </c>
      <c r="CS134" s="141">
        <v>68069.41</v>
      </c>
      <c r="CT134" s="141">
        <v>73516.14</v>
      </c>
      <c r="CU134" s="141">
        <v>89931.540000000008</v>
      </c>
      <c r="CV134" s="141">
        <v>98527.280000000013</v>
      </c>
      <c r="CW134" s="141">
        <v>106022.12000000001</v>
      </c>
      <c r="CX134" s="141">
        <v>118642.14000000001</v>
      </c>
      <c r="CY134" s="141">
        <v>147667.75</v>
      </c>
      <c r="CZ134" s="141">
        <v>253453.34000000003</v>
      </c>
      <c r="DA134" s="141">
        <v>319571.65000000002</v>
      </c>
      <c r="DB134" s="141">
        <v>395376.79000000004</v>
      </c>
      <c r="DC134" s="141">
        <v>472216.34</v>
      </c>
      <c r="DD134" s="141">
        <v>586043.95000000007</v>
      </c>
      <c r="DE134" s="141">
        <v>713496.56</v>
      </c>
      <c r="DF134" s="141">
        <v>862467.95000000007</v>
      </c>
      <c r="DG134" s="141">
        <v>1202575.2000000002</v>
      </c>
    </row>
    <row r="135" spans="1:111" ht="15" customHeight="1">
      <c r="A135" s="2" t="s">
        <v>19</v>
      </c>
      <c r="B135" t="s">
        <v>41</v>
      </c>
      <c r="C135" t="s">
        <v>42</v>
      </c>
      <c r="D135">
        <v>5</v>
      </c>
      <c r="E135" t="s">
        <v>46</v>
      </c>
      <c r="F135">
        <v>2</v>
      </c>
      <c r="G135">
        <v>1</v>
      </c>
      <c r="H135">
        <v>1</v>
      </c>
      <c r="I135">
        <v>1</v>
      </c>
      <c r="J135" s="4" t="s">
        <v>55</v>
      </c>
      <c r="K135" t="str">
        <f t="shared" si="11"/>
        <v>1+1</v>
      </c>
      <c r="L135">
        <f>VLOOKUP(A135,'ZONE 1 PREMIUM'!$A$4:$N$16,14,0)</f>
        <v>10</v>
      </c>
      <c r="M135">
        <f>VLOOKUP(D135,DROPDOWN!B:C,2,0)</f>
        <v>4</v>
      </c>
      <c r="N135" t="str">
        <f t="shared" si="9"/>
        <v>AU20:BM31</v>
      </c>
      <c r="O135" s="4">
        <f t="shared" ca="1" si="10"/>
        <v>85027.5</v>
      </c>
      <c r="X135" s="2" t="s">
        <v>17</v>
      </c>
      <c r="Y135" s="141">
        <v>66526.349999999991</v>
      </c>
      <c r="Z135" s="141">
        <v>81085.349999999991</v>
      </c>
      <c r="AA135" s="141">
        <v>100651.45</v>
      </c>
      <c r="AB135" s="141">
        <v>113668.29999999999</v>
      </c>
      <c r="AC135" s="141">
        <v>122933.84999999999</v>
      </c>
      <c r="AD135" s="141">
        <v>150721.29999999999</v>
      </c>
      <c r="AE135" s="141">
        <v>165333.19999999998</v>
      </c>
      <c r="AF135" s="141">
        <v>176970.05</v>
      </c>
      <c r="AG135" s="141">
        <v>198334.74999999997</v>
      </c>
      <c r="AH135" s="141">
        <v>247292.55</v>
      </c>
      <c r="AI135" s="141">
        <v>432169.99999999994</v>
      </c>
      <c r="AJ135" s="141">
        <v>544353.64999999991</v>
      </c>
      <c r="AK135" s="141">
        <v>673344.54999999993</v>
      </c>
      <c r="AL135" s="141">
        <v>790336.35</v>
      </c>
      <c r="AM135" s="141">
        <v>983095.89999999991</v>
      </c>
      <c r="AN135" s="141">
        <v>1199445.3999999999</v>
      </c>
      <c r="AO135" s="141">
        <v>1452766.25</v>
      </c>
      <c r="AP135" s="141">
        <v>2030058.2</v>
      </c>
      <c r="AT135" s="1"/>
      <c r="AU135" s="2" t="s">
        <v>17</v>
      </c>
      <c r="AV135" s="141">
        <v>59004</v>
      </c>
      <c r="AW135" s="141">
        <v>71896.5</v>
      </c>
      <c r="AX135" s="141">
        <v>89295.75</v>
      </c>
      <c r="AY135" s="141">
        <v>100822.5</v>
      </c>
      <c r="AZ135" s="141">
        <v>109027.125</v>
      </c>
      <c r="BA135" s="141">
        <v>133706.25</v>
      </c>
      <c r="BB135" s="141">
        <v>146646</v>
      </c>
      <c r="BC135" s="141">
        <v>156951</v>
      </c>
      <c r="BD135" s="141">
        <v>175869</v>
      </c>
      <c r="BE135" s="141">
        <v>219223.125</v>
      </c>
      <c r="BF135" s="141">
        <v>382938.75</v>
      </c>
      <c r="BG135" s="141">
        <v>482280.75</v>
      </c>
      <c r="BH135" s="141">
        <v>596505.375</v>
      </c>
      <c r="BI135" s="141">
        <v>700506</v>
      </c>
      <c r="BJ135" s="141">
        <v>871200</v>
      </c>
      <c r="BK135" s="141">
        <v>1062785.25</v>
      </c>
      <c r="BL135" s="141">
        <v>1287108</v>
      </c>
      <c r="BM135" s="141">
        <v>1798317</v>
      </c>
      <c r="BQ135" s="1"/>
      <c r="BR135" s="2" t="s">
        <v>17</v>
      </c>
      <c r="BS135" s="141">
        <v>54422.500000000007</v>
      </c>
      <c r="BT135" s="141">
        <v>66303.600000000006</v>
      </c>
      <c r="BU135" s="141">
        <v>82375.700000000012</v>
      </c>
      <c r="BV135" s="141">
        <v>92997.3</v>
      </c>
      <c r="BW135" s="141">
        <v>100558.70000000001</v>
      </c>
      <c r="BX135" s="141">
        <v>123338.6</v>
      </c>
      <c r="BY135" s="141">
        <v>135262.6</v>
      </c>
      <c r="BZ135" s="141">
        <v>144758.90000000002</v>
      </c>
      <c r="CA135" s="141">
        <v>162192.80000000002</v>
      </c>
      <c r="CB135" s="141">
        <v>202143.7</v>
      </c>
      <c r="CC135" s="141">
        <v>353010.9</v>
      </c>
      <c r="CD135" s="141">
        <v>444556.2</v>
      </c>
      <c r="CE135" s="141">
        <v>549816.30000000005</v>
      </c>
      <c r="CF135" s="141">
        <v>645867.20000000007</v>
      </c>
      <c r="CG135" s="141">
        <v>803165.00000000012</v>
      </c>
      <c r="CH135" s="141">
        <v>979713.9</v>
      </c>
      <c r="CI135" s="141">
        <v>1186431.4000000001</v>
      </c>
      <c r="CJ135" s="141">
        <v>1657520.7000000002</v>
      </c>
      <c r="CN135" s="1"/>
      <c r="CO135" s="2" t="s">
        <v>17</v>
      </c>
      <c r="CP135" s="141">
        <v>50093.130000000005</v>
      </c>
      <c r="CQ135" s="141">
        <v>61017.110000000008</v>
      </c>
      <c r="CR135" s="141">
        <v>75834.570000000007</v>
      </c>
      <c r="CS135" s="141">
        <v>85602.060000000012</v>
      </c>
      <c r="CT135" s="141">
        <v>92554.08</v>
      </c>
      <c r="CU135" s="141">
        <v>113539.85</v>
      </c>
      <c r="CV135" s="141">
        <v>124504.16</v>
      </c>
      <c r="CW135" s="141">
        <v>133236.15000000002</v>
      </c>
      <c r="CX135" s="141">
        <v>149267.87000000002</v>
      </c>
      <c r="CY135" s="141">
        <v>186004.14</v>
      </c>
      <c r="CZ135" s="141">
        <v>324729.53000000003</v>
      </c>
      <c r="DA135" s="141">
        <v>408908.05000000005</v>
      </c>
      <c r="DB135" s="141">
        <v>505696.78</v>
      </c>
      <c r="DC135" s="141">
        <v>594230.94000000006</v>
      </c>
      <c r="DD135" s="141">
        <v>738870.67</v>
      </c>
      <c r="DE135" s="141">
        <v>901212.00000000012</v>
      </c>
      <c r="DF135" s="141">
        <v>1091293.83</v>
      </c>
      <c r="DG135" s="141">
        <v>1524472.9100000001</v>
      </c>
    </row>
    <row r="136" spans="1:111" ht="15" customHeight="1">
      <c r="A136" s="2" t="s">
        <v>20</v>
      </c>
      <c r="B136" t="s">
        <v>43</v>
      </c>
      <c r="C136" t="s">
        <v>44</v>
      </c>
      <c r="D136">
        <v>5</v>
      </c>
      <c r="E136" t="s">
        <v>46</v>
      </c>
      <c r="F136">
        <v>2</v>
      </c>
      <c r="G136">
        <v>1</v>
      </c>
      <c r="H136">
        <v>1</v>
      </c>
      <c r="I136">
        <v>1</v>
      </c>
      <c r="J136" s="4" t="s">
        <v>55</v>
      </c>
      <c r="K136" t="str">
        <f t="shared" si="11"/>
        <v>1+1</v>
      </c>
      <c r="L136">
        <f>VLOOKUP(A136,'ZONE 1 PREMIUM'!$A$4:$N$16,14,0)</f>
        <v>11</v>
      </c>
      <c r="M136">
        <f>VLOOKUP(D136,DROPDOWN!B:C,2,0)</f>
        <v>4</v>
      </c>
      <c r="N136" t="str">
        <f t="shared" si="9"/>
        <v>AU20:BM31</v>
      </c>
      <c r="O136" s="4">
        <f t="shared" ca="1" si="10"/>
        <v>99990</v>
      </c>
      <c r="X136" s="2" t="s">
        <v>18</v>
      </c>
      <c r="Y136" s="141">
        <v>85787.7</v>
      </c>
      <c r="Z136" s="141">
        <v>104666.09999999999</v>
      </c>
      <c r="AA136" s="141">
        <v>130142.04999999999</v>
      </c>
      <c r="AB136" s="141">
        <v>149234.34999999998</v>
      </c>
      <c r="AC136" s="141">
        <v>161626.75</v>
      </c>
      <c r="AD136" s="141">
        <v>196582.15</v>
      </c>
      <c r="AE136" s="141">
        <v>215851.55</v>
      </c>
      <c r="AF136" s="141">
        <v>230045.99999999997</v>
      </c>
      <c r="AG136" s="141">
        <v>258200.3</v>
      </c>
      <c r="AH136" s="141">
        <v>322448.5</v>
      </c>
      <c r="AI136" s="141">
        <v>565821.85</v>
      </c>
      <c r="AJ136" s="141">
        <v>713580.75</v>
      </c>
      <c r="AK136" s="141">
        <v>884053.29999999993</v>
      </c>
      <c r="AL136" s="141">
        <v>1028993.5499999999</v>
      </c>
      <c r="AM136" s="141">
        <v>1282826.1499999999</v>
      </c>
      <c r="AN136" s="141">
        <v>1568509.15</v>
      </c>
      <c r="AO136" s="141">
        <v>1903682.4</v>
      </c>
      <c r="AP136" s="141">
        <v>2665930</v>
      </c>
      <c r="AT136" s="1"/>
      <c r="AU136" s="2" t="s">
        <v>18</v>
      </c>
      <c r="AV136" s="141">
        <v>76068</v>
      </c>
      <c r="AW136" s="141">
        <v>92785.5</v>
      </c>
      <c r="AX136" s="141">
        <v>115422.75</v>
      </c>
      <c r="AY136" s="141">
        <v>132330.375</v>
      </c>
      <c r="AZ136" s="141">
        <v>143303.625</v>
      </c>
      <c r="BA136" s="141">
        <v>174336.75</v>
      </c>
      <c r="BB136" s="141">
        <v>191400.75</v>
      </c>
      <c r="BC136" s="141">
        <v>203970.375</v>
      </c>
      <c r="BD136" s="141">
        <v>228901.5</v>
      </c>
      <c r="BE136" s="141">
        <v>285795</v>
      </c>
      <c r="BF136" s="141">
        <v>501310.125</v>
      </c>
      <c r="BG136" s="141">
        <v>632154.375</v>
      </c>
      <c r="BH136" s="141">
        <v>783112.5</v>
      </c>
      <c r="BI136" s="141">
        <v>911880</v>
      </c>
      <c r="BJ136" s="141">
        <v>1136657.25</v>
      </c>
      <c r="BK136" s="141">
        <v>1389638.25</v>
      </c>
      <c r="BL136" s="141">
        <v>1686443.625</v>
      </c>
      <c r="BM136" s="141">
        <v>2361436.875</v>
      </c>
      <c r="BQ136" s="1"/>
      <c r="BR136" s="2" t="s">
        <v>18</v>
      </c>
      <c r="BS136" s="141">
        <v>70151.400000000009</v>
      </c>
      <c r="BT136" s="141">
        <v>85556.900000000009</v>
      </c>
      <c r="BU136" s="141">
        <v>106459.1</v>
      </c>
      <c r="BV136" s="141">
        <v>122039.50000000001</v>
      </c>
      <c r="BW136" s="141">
        <v>132151.80000000002</v>
      </c>
      <c r="BX136" s="141">
        <v>160790.30000000002</v>
      </c>
      <c r="BY136" s="141">
        <v>176514.80000000002</v>
      </c>
      <c r="BZ136" s="141">
        <v>188097.80000000002</v>
      </c>
      <c r="CA136" s="141">
        <v>211072.40000000002</v>
      </c>
      <c r="CB136" s="141">
        <v>263501.7</v>
      </c>
      <c r="CC136" s="141">
        <v>462102.30000000005</v>
      </c>
      <c r="CD136" s="141">
        <v>582677.70000000007</v>
      </c>
      <c r="CE136" s="141">
        <v>721789.20000000007</v>
      </c>
      <c r="CF136" s="141">
        <v>840670.60000000009</v>
      </c>
      <c r="CG136" s="141">
        <v>1047807.2000000001</v>
      </c>
      <c r="CH136" s="141">
        <v>1280933.5</v>
      </c>
      <c r="CI136" s="141">
        <v>1554446.3</v>
      </c>
      <c r="CJ136" s="141">
        <v>2176465.5</v>
      </c>
      <c r="CN136" s="1"/>
      <c r="CO136" s="2" t="s">
        <v>18</v>
      </c>
      <c r="CP136" s="141">
        <v>64558.520000000004</v>
      </c>
      <c r="CQ136" s="141">
        <v>78725.25</v>
      </c>
      <c r="CR136" s="141">
        <v>97986.640000000014</v>
      </c>
      <c r="CS136" s="141">
        <v>112313.60000000001</v>
      </c>
      <c r="CT136" s="141">
        <v>121612.39000000001</v>
      </c>
      <c r="CU136" s="141">
        <v>147987.12000000002</v>
      </c>
      <c r="CV136" s="141">
        <v>162447.06</v>
      </c>
      <c r="CW136" s="141">
        <v>173097.45</v>
      </c>
      <c r="CX136" s="141">
        <v>194223.83000000002</v>
      </c>
      <c r="CY136" s="141">
        <v>242433.44000000003</v>
      </c>
      <c r="CZ136" s="141">
        <v>425050.95</v>
      </c>
      <c r="DA136" s="141">
        <v>535923.57000000007</v>
      </c>
      <c r="DB136" s="141">
        <v>663839.43000000005</v>
      </c>
      <c r="DC136" s="141">
        <v>773377.89</v>
      </c>
      <c r="DD136" s="141">
        <v>963844.49000000011</v>
      </c>
      <c r="DE136" s="141">
        <v>1178210.4300000002</v>
      </c>
      <c r="DF136" s="141">
        <v>1429711.58</v>
      </c>
      <c r="DG136" s="141">
        <v>2001674.9100000001</v>
      </c>
    </row>
    <row r="137" spans="1:111" ht="15" customHeight="1">
      <c r="A137" s="2" t="s">
        <v>21</v>
      </c>
      <c r="B137" t="s">
        <v>22</v>
      </c>
      <c r="D137">
        <v>5</v>
      </c>
      <c r="E137" t="s">
        <v>46</v>
      </c>
      <c r="F137">
        <v>2</v>
      </c>
      <c r="G137">
        <v>1</v>
      </c>
      <c r="H137">
        <v>1</v>
      </c>
      <c r="I137">
        <v>1</v>
      </c>
      <c r="J137" s="4" t="s">
        <v>55</v>
      </c>
      <c r="K137" t="str">
        <f t="shared" si="11"/>
        <v>1+1</v>
      </c>
      <c r="L137">
        <f>VLOOKUP(A137,'ZONE 1 PREMIUM'!$A$4:$N$16,14,0)</f>
        <v>12</v>
      </c>
      <c r="M137">
        <f>VLOOKUP(D137,DROPDOWN!B:C,2,0)</f>
        <v>4</v>
      </c>
      <c r="N137" t="str">
        <f t="shared" si="9"/>
        <v>AU20:BM31</v>
      </c>
      <c r="O137" s="4">
        <f t="shared" ca="1" si="10"/>
        <v>135223.875</v>
      </c>
      <c r="X137" s="2" t="s">
        <v>19</v>
      </c>
      <c r="Y137" s="141">
        <v>110325.24999999999</v>
      </c>
      <c r="Z137" s="141">
        <v>134805.29999999999</v>
      </c>
      <c r="AA137" s="141">
        <v>167864.34999999998</v>
      </c>
      <c r="AB137" s="141">
        <v>190368.69999999998</v>
      </c>
      <c r="AC137" s="141">
        <v>206464.09999999998</v>
      </c>
      <c r="AD137" s="141">
        <v>249682.24999999997</v>
      </c>
      <c r="AE137" s="141">
        <v>274552.14999999997</v>
      </c>
      <c r="AF137" s="141">
        <v>295321.14999999997</v>
      </c>
      <c r="AG137" s="141">
        <v>331963.59999999998</v>
      </c>
      <c r="AH137" s="141">
        <v>415239.69999999995</v>
      </c>
      <c r="AI137" s="141">
        <v>719196.2</v>
      </c>
      <c r="AJ137" s="141">
        <v>910590.7</v>
      </c>
      <c r="AK137" s="141">
        <v>1132130.1499999999</v>
      </c>
      <c r="AL137" s="141">
        <v>1324420.5</v>
      </c>
      <c r="AM137" s="141">
        <v>1654849.9999999998</v>
      </c>
      <c r="AN137" s="141">
        <v>2027721.4</v>
      </c>
      <c r="AO137" s="141">
        <v>2466039.2999999998</v>
      </c>
      <c r="AP137" s="141">
        <v>3460847.9499999997</v>
      </c>
      <c r="AT137" s="1"/>
      <c r="AU137" s="2" t="s">
        <v>19</v>
      </c>
      <c r="AV137" s="141">
        <v>97795.125</v>
      </c>
      <c r="AW137" s="141">
        <v>119473.875</v>
      </c>
      <c r="AX137" s="141">
        <v>148825.125</v>
      </c>
      <c r="AY137" s="141">
        <v>168753.375</v>
      </c>
      <c r="AZ137" s="141">
        <v>183007.125</v>
      </c>
      <c r="BA137" s="141">
        <v>221353.875</v>
      </c>
      <c r="BB137" s="141">
        <v>243381.375</v>
      </c>
      <c r="BC137" s="141">
        <v>261772.875</v>
      </c>
      <c r="BD137" s="141">
        <v>294221.25</v>
      </c>
      <c r="BE137" s="141">
        <v>367963.875</v>
      </c>
      <c r="BF137" s="141">
        <v>637137</v>
      </c>
      <c r="BG137" s="141">
        <v>806622.75</v>
      </c>
      <c r="BH137" s="141">
        <v>1002802.5</v>
      </c>
      <c r="BI137" s="141">
        <v>1173444.75</v>
      </c>
      <c r="BJ137" s="141">
        <v>1466050.5</v>
      </c>
      <c r="BK137" s="141">
        <v>1796239.125</v>
      </c>
      <c r="BL137" s="141">
        <v>2184382.125</v>
      </c>
      <c r="BM137" s="141">
        <v>3065315.625</v>
      </c>
      <c r="BQ137" s="1"/>
      <c r="BR137" s="2" t="s">
        <v>19</v>
      </c>
      <c r="BS137" s="141">
        <v>90172.500000000015</v>
      </c>
      <c r="BT137" s="141">
        <v>110149.6</v>
      </c>
      <c r="BU137" s="141">
        <v>137237.1</v>
      </c>
      <c r="BV137" s="141">
        <v>155602.70000000001</v>
      </c>
      <c r="BW137" s="141">
        <v>168736.7</v>
      </c>
      <c r="BX137" s="141">
        <v>204114.90000000002</v>
      </c>
      <c r="BY137" s="141">
        <v>224416.50000000003</v>
      </c>
      <c r="BZ137" s="141">
        <v>241364.2</v>
      </c>
      <c r="CA137" s="141">
        <v>271265.5</v>
      </c>
      <c r="CB137" s="141">
        <v>339221.30000000005</v>
      </c>
      <c r="CC137" s="141">
        <v>587274.60000000009</v>
      </c>
      <c r="CD137" s="141">
        <v>743459.20000000007</v>
      </c>
      <c r="CE137" s="141">
        <v>924242.00000000012</v>
      </c>
      <c r="CF137" s="141">
        <v>1081685</v>
      </c>
      <c r="CG137" s="141">
        <v>1351325.8</v>
      </c>
      <c r="CH137" s="141">
        <v>1655600.1</v>
      </c>
      <c r="CI137" s="141">
        <v>2013282.7000000002</v>
      </c>
      <c r="CJ137" s="141">
        <v>2825079.4000000004</v>
      </c>
      <c r="CN137" s="1"/>
      <c r="CO137" s="2" t="s">
        <v>19</v>
      </c>
      <c r="CP137" s="141">
        <v>82968.62000000001</v>
      </c>
      <c r="CQ137" s="141">
        <v>101338.39000000001</v>
      </c>
      <c r="CR137" s="141">
        <v>126287.40000000001</v>
      </c>
      <c r="CS137" s="141">
        <v>143173.68000000002</v>
      </c>
      <c r="CT137" s="141">
        <v>155251.97</v>
      </c>
      <c r="CU137" s="141">
        <v>187823.35</v>
      </c>
      <c r="CV137" s="141">
        <v>206493.96000000002</v>
      </c>
      <c r="CW137" s="141">
        <v>222077.69</v>
      </c>
      <c r="CX137" s="141">
        <v>249572.94000000003</v>
      </c>
      <c r="CY137" s="141">
        <v>312059.37</v>
      </c>
      <c r="CZ137" s="141">
        <v>540156.04</v>
      </c>
      <c r="DA137" s="141">
        <v>683771.17</v>
      </c>
      <c r="DB137" s="141">
        <v>850005.9800000001</v>
      </c>
      <c r="DC137" s="141">
        <v>994971.62000000011</v>
      </c>
      <c r="DD137" s="141">
        <v>1242913.9200000002</v>
      </c>
      <c r="DE137" s="141">
        <v>1522701.6600000001</v>
      </c>
      <c r="DF137" s="141">
        <v>1851599.35</v>
      </c>
      <c r="DG137" s="141">
        <v>2598067.3200000003</v>
      </c>
    </row>
    <row r="138" spans="1:111" ht="15" customHeight="1">
      <c r="A138" s="2" t="s">
        <v>11</v>
      </c>
      <c r="B138" t="s">
        <v>45</v>
      </c>
      <c r="C138" t="s">
        <v>25</v>
      </c>
      <c r="D138">
        <v>5</v>
      </c>
      <c r="E138" t="s">
        <v>46</v>
      </c>
      <c r="F138">
        <v>3</v>
      </c>
      <c r="G138">
        <v>1</v>
      </c>
      <c r="H138">
        <v>2</v>
      </c>
      <c r="I138">
        <v>1</v>
      </c>
      <c r="J138" s="4" t="s">
        <v>55</v>
      </c>
      <c r="K138" t="str">
        <f t="shared" si="11"/>
        <v>1+2</v>
      </c>
      <c r="L138">
        <f>VLOOKUP(A138,'ZONE 1 PREMIUM'!$A$4:$N$16,14,0)</f>
        <v>2</v>
      </c>
      <c r="M138">
        <f>VLOOKUP(D138,DROPDOWN!B:C,2,0)</f>
        <v>4</v>
      </c>
      <c r="N138" t="str">
        <f t="shared" si="9"/>
        <v>AU35:BM46</v>
      </c>
      <c r="O138" s="4">
        <f t="shared" ca="1" si="10"/>
        <v>18806.625</v>
      </c>
      <c r="X138" s="2" t="s">
        <v>20</v>
      </c>
      <c r="Y138" s="141">
        <v>134472.94999999998</v>
      </c>
      <c r="Z138" s="141">
        <v>164515.54999999999</v>
      </c>
      <c r="AA138" s="141">
        <v>205205.99999999997</v>
      </c>
      <c r="AB138" s="141">
        <v>231145.4</v>
      </c>
      <c r="AC138" s="141">
        <v>250997.84999999998</v>
      </c>
      <c r="AD138" s="141">
        <v>303083.64999999997</v>
      </c>
      <c r="AE138" s="141">
        <v>333661</v>
      </c>
      <c r="AF138" s="141">
        <v>360613.55</v>
      </c>
      <c r="AG138" s="141">
        <v>405886.74999999994</v>
      </c>
      <c r="AH138" s="141">
        <v>508385.1</v>
      </c>
      <c r="AI138" s="141">
        <v>861256.85</v>
      </c>
      <c r="AJ138" s="141">
        <v>1096147.7999999998</v>
      </c>
      <c r="AK138" s="141">
        <v>1368833.5</v>
      </c>
      <c r="AL138" s="141">
        <v>1622250.95</v>
      </c>
      <c r="AM138" s="141">
        <v>2030673.45</v>
      </c>
      <c r="AN138" s="141">
        <v>2492633.0499999998</v>
      </c>
      <c r="AO138" s="141">
        <v>3036633.65</v>
      </c>
      <c r="AP138" s="141">
        <v>4268998.9499999993</v>
      </c>
      <c r="AT138" s="1"/>
      <c r="AU138" s="2" t="s">
        <v>20</v>
      </c>
      <c r="AV138" s="141">
        <v>119180.25</v>
      </c>
      <c r="AW138" s="141">
        <v>145784.25</v>
      </c>
      <c r="AX138" s="141">
        <v>181893.375</v>
      </c>
      <c r="AY138" s="141">
        <v>204863.625</v>
      </c>
      <c r="AZ138" s="141">
        <v>222444</v>
      </c>
      <c r="BA138" s="141">
        <v>268645.5</v>
      </c>
      <c r="BB138" s="141">
        <v>295728.75</v>
      </c>
      <c r="BC138" s="141">
        <v>319596.75</v>
      </c>
      <c r="BD138" s="141">
        <v>359687.25</v>
      </c>
      <c r="BE138" s="141">
        <v>450453.375</v>
      </c>
      <c r="BF138" s="141">
        <v>762945.75</v>
      </c>
      <c r="BG138" s="141">
        <v>970949.25</v>
      </c>
      <c r="BH138" s="141">
        <v>1212420.375</v>
      </c>
      <c r="BI138" s="141">
        <v>1437179.625</v>
      </c>
      <c r="BJ138" s="141">
        <v>1798849.125</v>
      </c>
      <c r="BK138" s="141">
        <v>2207928.375</v>
      </c>
      <c r="BL138" s="141">
        <v>2689656.75</v>
      </c>
      <c r="BM138" s="141">
        <v>3780952.875</v>
      </c>
      <c r="BQ138" s="1"/>
      <c r="BR138" s="2" t="s">
        <v>20</v>
      </c>
      <c r="BS138" s="141">
        <v>109880.1</v>
      </c>
      <c r="BT138" s="141">
        <v>134396.90000000002</v>
      </c>
      <c r="BU138" s="141">
        <v>167712.6</v>
      </c>
      <c r="BV138" s="141">
        <v>188879.90000000002</v>
      </c>
      <c r="BW138" s="141">
        <v>205079.6</v>
      </c>
      <c r="BX138" s="141">
        <v>247695.80000000002</v>
      </c>
      <c r="BY138" s="141">
        <v>272658.10000000003</v>
      </c>
      <c r="BZ138" s="141">
        <v>294652.60000000003</v>
      </c>
      <c r="CA138" s="141">
        <v>331597.2</v>
      </c>
      <c r="CB138" s="141">
        <v>415239.00000000006</v>
      </c>
      <c r="CC138" s="141">
        <v>703214.60000000009</v>
      </c>
      <c r="CD138" s="141">
        <v>894894.00000000012</v>
      </c>
      <c r="CE138" s="141">
        <v>1117414.1000000001</v>
      </c>
      <c r="CF138" s="141">
        <v>1324719</v>
      </c>
      <c r="CG138" s="141">
        <v>1658003.6</v>
      </c>
      <c r="CH138" s="141">
        <v>2034979.1</v>
      </c>
      <c r="CI138" s="141">
        <v>2478900.6</v>
      </c>
      <c r="CJ138" s="141">
        <v>3484550.3000000003</v>
      </c>
      <c r="CN138" s="1"/>
      <c r="CO138" s="2" t="s">
        <v>20</v>
      </c>
      <c r="CP138" s="141">
        <v>101092.05</v>
      </c>
      <c r="CQ138" s="141">
        <v>123635.43000000001</v>
      </c>
      <c r="CR138" s="141">
        <v>154311.30000000002</v>
      </c>
      <c r="CS138" s="141">
        <v>173774.34000000003</v>
      </c>
      <c r="CT138" s="141">
        <v>188671.37000000002</v>
      </c>
      <c r="CU138" s="141">
        <v>227898.29</v>
      </c>
      <c r="CV138" s="141">
        <v>250855.87000000002</v>
      </c>
      <c r="CW138" s="141">
        <v>271079.73000000004</v>
      </c>
      <c r="CX138" s="141">
        <v>305051.76</v>
      </c>
      <c r="CY138" s="141">
        <v>381962.16000000003</v>
      </c>
      <c r="CZ138" s="141">
        <v>646771.12</v>
      </c>
      <c r="DA138" s="141">
        <v>823025.21000000008</v>
      </c>
      <c r="DB138" s="141">
        <v>1027637.8300000001</v>
      </c>
      <c r="DC138" s="141">
        <v>1218445.6000000001</v>
      </c>
      <c r="DD138" s="141">
        <v>1524910</v>
      </c>
      <c r="DE138" s="141">
        <v>1871547.4400000002</v>
      </c>
      <c r="DF138" s="141">
        <v>2279744.81</v>
      </c>
      <c r="DG138" s="141">
        <v>3204465.93</v>
      </c>
    </row>
    <row r="139" spans="1:111" ht="15" customHeight="1">
      <c r="A139" s="2" t="s">
        <v>12</v>
      </c>
      <c r="B139" t="s">
        <v>27</v>
      </c>
      <c r="C139" t="s">
        <v>28</v>
      </c>
      <c r="D139">
        <v>5</v>
      </c>
      <c r="E139" t="s">
        <v>46</v>
      </c>
      <c r="F139">
        <v>3</v>
      </c>
      <c r="G139">
        <v>1</v>
      </c>
      <c r="H139">
        <v>2</v>
      </c>
      <c r="I139">
        <v>1</v>
      </c>
      <c r="J139" s="4" t="s">
        <v>55</v>
      </c>
      <c r="K139" t="str">
        <f t="shared" si="11"/>
        <v>1+2</v>
      </c>
      <c r="L139">
        <f>VLOOKUP(A139,'ZONE 1 PREMIUM'!$A$4:$N$16,14,0)</f>
        <v>3</v>
      </c>
      <c r="M139">
        <f>VLOOKUP(D139,DROPDOWN!B:C,2,0)</f>
        <v>4</v>
      </c>
      <c r="N139" t="str">
        <f t="shared" si="9"/>
        <v>AU35:BM46</v>
      </c>
      <c r="O139" s="4">
        <f t="shared" ca="1" si="10"/>
        <v>20214</v>
      </c>
      <c r="X139" s="2" t="s">
        <v>21</v>
      </c>
      <c r="Y139" s="141">
        <v>168822.3</v>
      </c>
      <c r="Z139" s="141">
        <v>206801.05</v>
      </c>
      <c r="AA139" s="141">
        <v>258353.24999999997</v>
      </c>
      <c r="AB139" s="141">
        <v>291637.69999999995</v>
      </c>
      <c r="AC139" s="141">
        <v>317117.09999999998</v>
      </c>
      <c r="AD139" s="141">
        <v>382431.35</v>
      </c>
      <c r="AE139" s="141">
        <v>421500.3</v>
      </c>
      <c r="AF139" s="141">
        <v>456100.35</v>
      </c>
      <c r="AG139" s="141">
        <v>514105.19999999995</v>
      </c>
      <c r="AH139" s="141">
        <v>644879.75</v>
      </c>
      <c r="AI139" s="141">
        <v>1063141.6499999999</v>
      </c>
      <c r="AJ139" s="141">
        <v>1361744.9</v>
      </c>
      <c r="AK139" s="141">
        <v>1709520.9999999998</v>
      </c>
      <c r="AL139" s="141">
        <v>2059682.2</v>
      </c>
      <c r="AM139" s="141">
        <v>2583219.6999999997</v>
      </c>
      <c r="AN139" s="141">
        <v>3176884.1999999997</v>
      </c>
      <c r="AO139" s="141">
        <v>3877314.6999999997</v>
      </c>
      <c r="AP139" s="141">
        <v>5460821</v>
      </c>
      <c r="AT139" s="1"/>
      <c r="AU139" s="2" t="s">
        <v>21</v>
      </c>
      <c r="AV139" s="141">
        <v>149598</v>
      </c>
      <c r="AW139" s="141">
        <v>183231</v>
      </c>
      <c r="AX139" s="141">
        <v>228958.875</v>
      </c>
      <c r="AY139" s="141">
        <v>258432.75</v>
      </c>
      <c r="AZ139" s="141">
        <v>280995.75</v>
      </c>
      <c r="BA139" s="141">
        <v>338909.625</v>
      </c>
      <c r="BB139" s="141">
        <v>373514.625</v>
      </c>
      <c r="BC139" s="141">
        <v>404154</v>
      </c>
      <c r="BD139" s="141">
        <v>455519.25</v>
      </c>
      <c r="BE139" s="141">
        <v>571323.375</v>
      </c>
      <c r="BF139" s="141">
        <v>941721.75</v>
      </c>
      <c r="BG139" s="141">
        <v>1206144</v>
      </c>
      <c r="BH139" s="141">
        <v>1514110.5</v>
      </c>
      <c r="BI139" s="141">
        <v>1824539.625</v>
      </c>
      <c r="BJ139" s="141">
        <v>2288148.75</v>
      </c>
      <c r="BK139" s="141">
        <v>2813855.625</v>
      </c>
      <c r="BL139" s="141">
        <v>3434107.5</v>
      </c>
      <c r="BM139" s="141">
        <v>4836350.25</v>
      </c>
      <c r="BQ139" s="1"/>
      <c r="BR139" s="2" t="s">
        <v>21</v>
      </c>
      <c r="BS139" s="141">
        <v>137911.40000000002</v>
      </c>
      <c r="BT139" s="141">
        <v>168903.90000000002</v>
      </c>
      <c r="BU139" s="141">
        <v>211083.40000000002</v>
      </c>
      <c r="BV139" s="141">
        <v>238244.6</v>
      </c>
      <c r="BW139" s="141">
        <v>259036.80000000002</v>
      </c>
      <c r="BX139" s="141">
        <v>312447.30000000005</v>
      </c>
      <c r="BY139" s="141">
        <v>344339.60000000003</v>
      </c>
      <c r="BZ139" s="141">
        <v>372574.4</v>
      </c>
      <c r="CA139" s="141">
        <v>419907.4</v>
      </c>
      <c r="CB139" s="141">
        <v>526623.9</v>
      </c>
      <c r="CC139" s="141">
        <v>867960.50000000012</v>
      </c>
      <c r="CD139" s="141">
        <v>1111631.4000000001</v>
      </c>
      <c r="CE139" s="141">
        <v>1395428.1</v>
      </c>
      <c r="CF139" s="141">
        <v>1681678.9000000001</v>
      </c>
      <c r="CG139" s="141">
        <v>2108903.5</v>
      </c>
      <c r="CH139" s="141">
        <v>2593352.3000000003</v>
      </c>
      <c r="CI139" s="141">
        <v>3164926.6</v>
      </c>
      <c r="CJ139" s="141">
        <v>4457119.7</v>
      </c>
      <c r="CN139" s="1"/>
      <c r="CO139" s="2" t="s">
        <v>21</v>
      </c>
      <c r="CP139" s="141">
        <v>126867.28000000001</v>
      </c>
      <c r="CQ139" s="141">
        <v>155365.33000000002</v>
      </c>
      <c r="CR139" s="141">
        <v>194192.22</v>
      </c>
      <c r="CS139" s="141">
        <v>219167.39</v>
      </c>
      <c r="CT139" s="141">
        <v>238285.99000000002</v>
      </c>
      <c r="CU139" s="141">
        <v>287439.54000000004</v>
      </c>
      <c r="CV139" s="141">
        <v>316769.26</v>
      </c>
      <c r="CW139" s="141">
        <v>342731.97000000003</v>
      </c>
      <c r="CX139" s="141">
        <v>386255.67000000004</v>
      </c>
      <c r="CY139" s="141">
        <v>484384.01</v>
      </c>
      <c r="CZ139" s="141">
        <v>798259.32000000007</v>
      </c>
      <c r="DA139" s="141">
        <v>1022320.81</v>
      </c>
      <c r="DB139" s="141">
        <v>1283278.8</v>
      </c>
      <c r="DC139" s="141">
        <v>1546681.6600000001</v>
      </c>
      <c r="DD139" s="141">
        <v>1939525.29</v>
      </c>
      <c r="DE139" s="141">
        <v>2384987.58</v>
      </c>
      <c r="DF139" s="141">
        <v>2910563.7800000003</v>
      </c>
      <c r="DG139" s="141">
        <v>4098768.4200000004</v>
      </c>
    </row>
    <row r="140" spans="1:111" ht="15" customHeight="1">
      <c r="A140" s="2" t="s">
        <v>13</v>
      </c>
      <c r="B140" t="s">
        <v>29</v>
      </c>
      <c r="C140" t="s">
        <v>30</v>
      </c>
      <c r="D140">
        <v>5</v>
      </c>
      <c r="E140" t="s">
        <v>46</v>
      </c>
      <c r="F140">
        <v>3</v>
      </c>
      <c r="G140">
        <v>1</v>
      </c>
      <c r="H140">
        <v>2</v>
      </c>
      <c r="I140">
        <v>1</v>
      </c>
      <c r="J140" s="4" t="s">
        <v>55</v>
      </c>
      <c r="K140" t="str">
        <f t="shared" si="11"/>
        <v>1+2</v>
      </c>
      <c r="L140">
        <f>VLOOKUP(A140,'ZONE 1 PREMIUM'!$A$4:$N$16,14,0)</f>
        <v>4</v>
      </c>
      <c r="M140">
        <f>VLOOKUP(D140,DROPDOWN!B:C,2,0)</f>
        <v>4</v>
      </c>
      <c r="N140" t="str">
        <f t="shared" si="9"/>
        <v>AU35:BM46</v>
      </c>
      <c r="O140" s="4">
        <f t="shared" ca="1" si="10"/>
        <v>23328</v>
      </c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</row>
    <row r="141" spans="1:111" ht="15" customHeight="1">
      <c r="A141" s="2" t="s">
        <v>14</v>
      </c>
      <c r="B141" t="s">
        <v>31</v>
      </c>
      <c r="C141" t="s">
        <v>32</v>
      </c>
      <c r="D141">
        <v>5</v>
      </c>
      <c r="E141" t="s">
        <v>46</v>
      </c>
      <c r="F141">
        <v>3</v>
      </c>
      <c r="G141">
        <v>1</v>
      </c>
      <c r="H141">
        <v>2</v>
      </c>
      <c r="I141">
        <v>1</v>
      </c>
      <c r="J141" s="4" t="s">
        <v>55</v>
      </c>
      <c r="K141" t="str">
        <f t="shared" si="11"/>
        <v>1+2</v>
      </c>
      <c r="L141">
        <f>VLOOKUP(A141,'ZONE 1 PREMIUM'!$A$4:$N$16,14,0)</f>
        <v>5</v>
      </c>
      <c r="M141">
        <f>VLOOKUP(D141,DROPDOWN!B:C,2,0)</f>
        <v>4</v>
      </c>
      <c r="N141" t="str">
        <f t="shared" si="9"/>
        <v>AU35:BM46</v>
      </c>
      <c r="O141" s="4">
        <f t="shared" ca="1" si="10"/>
        <v>26128.125</v>
      </c>
      <c r="X141" s="85" t="s">
        <v>69</v>
      </c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</row>
    <row r="142" spans="1:111" ht="15" customHeight="1">
      <c r="A142" s="2" t="s">
        <v>15</v>
      </c>
      <c r="B142" t="s">
        <v>33</v>
      </c>
      <c r="C142" t="s">
        <v>34</v>
      </c>
      <c r="D142">
        <v>5</v>
      </c>
      <c r="E142" t="s">
        <v>46</v>
      </c>
      <c r="F142">
        <v>3</v>
      </c>
      <c r="G142">
        <v>1</v>
      </c>
      <c r="H142">
        <v>2</v>
      </c>
      <c r="I142">
        <v>1</v>
      </c>
      <c r="J142" s="4" t="s">
        <v>55</v>
      </c>
      <c r="K142" t="str">
        <f t="shared" si="11"/>
        <v>1+2</v>
      </c>
      <c r="L142">
        <f>VLOOKUP(A142,'ZONE 1 PREMIUM'!$A$4:$N$16,14,0)</f>
        <v>6</v>
      </c>
      <c r="M142">
        <f>VLOOKUP(D142,DROPDOWN!B:C,2,0)</f>
        <v>4</v>
      </c>
      <c r="N142" t="str">
        <f t="shared" si="9"/>
        <v>AU35:BM46</v>
      </c>
      <c r="O142" s="4">
        <f t="shared" ca="1" si="10"/>
        <v>32329.125</v>
      </c>
      <c r="X142" s="1"/>
      <c r="Y142" s="117" t="s">
        <v>211</v>
      </c>
      <c r="Z142" s="117"/>
      <c r="AA142" s="118" t="s">
        <v>57</v>
      </c>
      <c r="AB142" s="118"/>
      <c r="AC142" s="118"/>
      <c r="AD142" s="119" t="s">
        <v>58</v>
      </c>
      <c r="AE142" s="119"/>
      <c r="AF142" s="119"/>
      <c r="AG142" s="119"/>
      <c r="AH142" s="119"/>
      <c r="AI142" s="120" t="s">
        <v>59</v>
      </c>
      <c r="AJ142" s="120"/>
      <c r="AK142" s="120"/>
      <c r="AL142" s="116" t="s">
        <v>176</v>
      </c>
      <c r="AM142" s="116"/>
      <c r="AN142" s="116"/>
      <c r="AO142" s="116"/>
      <c r="AP142" s="116"/>
      <c r="AT142" s="5" t="s">
        <v>69</v>
      </c>
      <c r="AU142" s="1"/>
      <c r="AV142" s="117" t="s">
        <v>211</v>
      </c>
      <c r="AW142" s="117"/>
      <c r="AX142" s="118" t="s">
        <v>57</v>
      </c>
      <c r="AY142" s="118"/>
      <c r="AZ142" s="118"/>
      <c r="BA142" s="119" t="s">
        <v>58</v>
      </c>
      <c r="BB142" s="119"/>
      <c r="BC142" s="119"/>
      <c r="BD142" s="119"/>
      <c r="BE142" s="119"/>
      <c r="BF142" s="120" t="s">
        <v>59</v>
      </c>
      <c r="BG142" s="120"/>
      <c r="BH142" s="120"/>
      <c r="BI142" s="116" t="s">
        <v>176</v>
      </c>
      <c r="BJ142" s="116"/>
      <c r="BK142" s="116"/>
      <c r="BL142" s="116"/>
      <c r="BM142" s="116"/>
      <c r="BQ142" s="5" t="s">
        <v>69</v>
      </c>
      <c r="BR142" s="1"/>
      <c r="BS142" s="117" t="s">
        <v>211</v>
      </c>
      <c r="BT142" s="117"/>
      <c r="BU142" s="118" t="s">
        <v>57</v>
      </c>
      <c r="BV142" s="118"/>
      <c r="BW142" s="118"/>
      <c r="BX142" s="119" t="s">
        <v>58</v>
      </c>
      <c r="BY142" s="119"/>
      <c r="BZ142" s="119"/>
      <c r="CA142" s="119"/>
      <c r="CB142" s="119"/>
      <c r="CC142" s="120" t="s">
        <v>59</v>
      </c>
      <c r="CD142" s="120"/>
      <c r="CE142" s="120"/>
      <c r="CF142" s="116" t="s">
        <v>176</v>
      </c>
      <c r="CG142" s="116"/>
      <c r="CH142" s="116"/>
      <c r="CI142" s="116"/>
      <c r="CJ142" s="116"/>
      <c r="CN142" s="5" t="s">
        <v>69</v>
      </c>
      <c r="CO142" s="1"/>
      <c r="CP142" s="117" t="s">
        <v>211</v>
      </c>
      <c r="CQ142" s="117"/>
      <c r="CR142" s="118" t="s">
        <v>57</v>
      </c>
      <c r="CS142" s="118"/>
      <c r="CT142" s="118"/>
      <c r="CU142" s="119" t="s">
        <v>58</v>
      </c>
      <c r="CV142" s="119"/>
      <c r="CW142" s="119"/>
      <c r="CX142" s="119"/>
      <c r="CY142" s="119"/>
      <c r="CZ142" s="120" t="s">
        <v>59</v>
      </c>
      <c r="DA142" s="120"/>
      <c r="DB142" s="120"/>
      <c r="DC142" s="116" t="s">
        <v>176</v>
      </c>
      <c r="DD142" s="116"/>
      <c r="DE142" s="116"/>
      <c r="DF142" s="116"/>
      <c r="DG142" s="116"/>
    </row>
    <row r="143" spans="1:111" ht="15" customHeight="1">
      <c r="A143" s="2" t="s">
        <v>16</v>
      </c>
      <c r="B143" t="s">
        <v>35</v>
      </c>
      <c r="C143" t="s">
        <v>36</v>
      </c>
      <c r="D143">
        <v>5</v>
      </c>
      <c r="E143" t="s">
        <v>46</v>
      </c>
      <c r="F143">
        <v>3</v>
      </c>
      <c r="G143">
        <v>1</v>
      </c>
      <c r="H143">
        <v>2</v>
      </c>
      <c r="I143">
        <v>1</v>
      </c>
      <c r="J143" s="4" t="s">
        <v>55</v>
      </c>
      <c r="K143" t="str">
        <f t="shared" si="11"/>
        <v>1+2</v>
      </c>
      <c r="L143">
        <f>VLOOKUP(A143,'ZONE 1 PREMIUM'!$A$4:$N$16,14,0)</f>
        <v>7</v>
      </c>
      <c r="M143">
        <f>VLOOKUP(D143,DROPDOWN!B:C,2,0)</f>
        <v>4</v>
      </c>
      <c r="N143" t="str">
        <f t="shared" si="9"/>
        <v>AU35:BM46</v>
      </c>
      <c r="O143" s="4">
        <f t="shared" ca="1" si="10"/>
        <v>41519.25</v>
      </c>
      <c r="X143" s="2" t="s">
        <v>60</v>
      </c>
      <c r="Y143" s="2" t="s">
        <v>243</v>
      </c>
      <c r="Z143" s="2" t="s">
        <v>244</v>
      </c>
      <c r="AA143" s="6" t="s">
        <v>70</v>
      </c>
      <c r="AB143" s="6" t="s">
        <v>71</v>
      </c>
      <c r="AC143" s="6" t="s">
        <v>72</v>
      </c>
      <c r="AD143" s="6" t="s">
        <v>73</v>
      </c>
      <c r="AE143" s="6" t="s">
        <v>74</v>
      </c>
      <c r="AF143" s="6" t="s">
        <v>75</v>
      </c>
      <c r="AG143" s="6" t="s">
        <v>76</v>
      </c>
      <c r="AH143" s="6" t="s">
        <v>77</v>
      </c>
      <c r="AI143" s="6" t="s">
        <v>78</v>
      </c>
      <c r="AJ143" s="6" t="s">
        <v>79</v>
      </c>
      <c r="AK143" s="6" t="s">
        <v>80</v>
      </c>
      <c r="AL143" s="2" t="s">
        <v>245</v>
      </c>
      <c r="AM143" s="2" t="s">
        <v>246</v>
      </c>
      <c r="AN143" s="2" t="s">
        <v>247</v>
      </c>
      <c r="AO143" s="2" t="s">
        <v>248</v>
      </c>
      <c r="AP143" s="2" t="s">
        <v>310</v>
      </c>
      <c r="AT143" s="1"/>
      <c r="AU143" s="2" t="s">
        <v>60</v>
      </c>
      <c r="AV143" s="2" t="s">
        <v>243</v>
      </c>
      <c r="AW143" s="2" t="s">
        <v>244</v>
      </c>
      <c r="AX143" s="6" t="s">
        <v>70</v>
      </c>
      <c r="AY143" s="6" t="s">
        <v>71</v>
      </c>
      <c r="AZ143" s="6" t="s">
        <v>72</v>
      </c>
      <c r="BA143" s="6" t="s">
        <v>73</v>
      </c>
      <c r="BB143" s="6" t="s">
        <v>74</v>
      </c>
      <c r="BC143" s="6" t="s">
        <v>75</v>
      </c>
      <c r="BD143" s="6" t="s">
        <v>76</v>
      </c>
      <c r="BE143" s="6" t="s">
        <v>77</v>
      </c>
      <c r="BF143" s="6" t="s">
        <v>78</v>
      </c>
      <c r="BG143" s="6" t="s">
        <v>79</v>
      </c>
      <c r="BH143" s="6" t="s">
        <v>80</v>
      </c>
      <c r="BI143" s="2" t="s">
        <v>245</v>
      </c>
      <c r="BJ143" s="2" t="s">
        <v>246</v>
      </c>
      <c r="BK143" s="2" t="s">
        <v>247</v>
      </c>
      <c r="BL143" s="2" t="s">
        <v>248</v>
      </c>
      <c r="BM143" s="2" t="s">
        <v>310</v>
      </c>
      <c r="BQ143" s="1"/>
      <c r="BR143" s="2" t="s">
        <v>60</v>
      </c>
      <c r="BS143" s="2" t="s">
        <v>243</v>
      </c>
      <c r="BT143" s="2" t="s">
        <v>244</v>
      </c>
      <c r="BU143" s="6" t="s">
        <v>70</v>
      </c>
      <c r="BV143" s="6" t="s">
        <v>71</v>
      </c>
      <c r="BW143" s="6" t="s">
        <v>72</v>
      </c>
      <c r="BX143" s="6" t="s">
        <v>73</v>
      </c>
      <c r="BY143" s="6" t="s">
        <v>74</v>
      </c>
      <c r="BZ143" s="6" t="s">
        <v>75</v>
      </c>
      <c r="CA143" s="6" t="s">
        <v>76</v>
      </c>
      <c r="CB143" s="6" t="s">
        <v>77</v>
      </c>
      <c r="CC143" s="6" t="s">
        <v>78</v>
      </c>
      <c r="CD143" s="6" t="s">
        <v>79</v>
      </c>
      <c r="CE143" s="6" t="s">
        <v>80</v>
      </c>
      <c r="CF143" s="2" t="s">
        <v>245</v>
      </c>
      <c r="CG143" s="2" t="s">
        <v>246</v>
      </c>
      <c r="CH143" s="2" t="s">
        <v>247</v>
      </c>
      <c r="CI143" s="2" t="s">
        <v>248</v>
      </c>
      <c r="CJ143" s="2" t="s">
        <v>310</v>
      </c>
      <c r="CN143" s="1"/>
      <c r="CO143" s="2" t="s">
        <v>60</v>
      </c>
      <c r="CP143" s="2" t="s">
        <v>243</v>
      </c>
      <c r="CQ143" s="2" t="s">
        <v>244</v>
      </c>
      <c r="CR143" s="6" t="s">
        <v>70</v>
      </c>
      <c r="CS143" s="6" t="s">
        <v>71</v>
      </c>
      <c r="CT143" s="6" t="s">
        <v>72</v>
      </c>
      <c r="CU143" s="6" t="s">
        <v>73</v>
      </c>
      <c r="CV143" s="6" t="s">
        <v>74</v>
      </c>
      <c r="CW143" s="6" t="s">
        <v>75</v>
      </c>
      <c r="CX143" s="6" t="s">
        <v>76</v>
      </c>
      <c r="CY143" s="6" t="s">
        <v>77</v>
      </c>
      <c r="CZ143" s="6" t="s">
        <v>78</v>
      </c>
      <c r="DA143" s="6" t="s">
        <v>79</v>
      </c>
      <c r="DB143" s="6" t="s">
        <v>80</v>
      </c>
      <c r="DC143" s="2" t="s">
        <v>245</v>
      </c>
      <c r="DD143" s="2" t="s">
        <v>246</v>
      </c>
      <c r="DE143" s="2" t="s">
        <v>247</v>
      </c>
      <c r="DF143" s="2" t="s">
        <v>248</v>
      </c>
      <c r="DG143" s="2" t="s">
        <v>310</v>
      </c>
    </row>
    <row r="144" spans="1:111" ht="15" customHeight="1">
      <c r="A144" s="2" t="s">
        <v>17</v>
      </c>
      <c r="B144" t="s">
        <v>37</v>
      </c>
      <c r="C144" t="s">
        <v>38</v>
      </c>
      <c r="D144">
        <v>5</v>
      </c>
      <c r="E144" t="s">
        <v>46</v>
      </c>
      <c r="F144">
        <v>3</v>
      </c>
      <c r="G144">
        <v>1</v>
      </c>
      <c r="H144">
        <v>2</v>
      </c>
      <c r="I144">
        <v>1</v>
      </c>
      <c r="J144" s="4" t="s">
        <v>55</v>
      </c>
      <c r="K144" t="str">
        <f t="shared" si="11"/>
        <v>1+2</v>
      </c>
      <c r="L144">
        <f>VLOOKUP(A144,'ZONE 1 PREMIUM'!$A$4:$N$16,14,0)</f>
        <v>8</v>
      </c>
      <c r="M144">
        <f>VLOOKUP(D144,DROPDOWN!B:C,2,0)</f>
        <v>4</v>
      </c>
      <c r="N144" t="str">
        <f t="shared" si="9"/>
        <v>AU35:BM46</v>
      </c>
      <c r="O144" s="4">
        <f t="shared" ca="1" si="10"/>
        <v>54437.625</v>
      </c>
      <c r="X144" s="2" t="s">
        <v>11</v>
      </c>
      <c r="Y144" s="141">
        <v>28794.85</v>
      </c>
      <c r="Z144" s="141">
        <v>34953.1</v>
      </c>
      <c r="AA144" s="141">
        <v>42208.45</v>
      </c>
      <c r="AB144" s="141">
        <v>46036.799999999996</v>
      </c>
      <c r="AC144" s="141">
        <v>49550.049999999996</v>
      </c>
      <c r="AD144" s="141">
        <v>62907.299999999996</v>
      </c>
      <c r="AE144" s="141">
        <v>68887.299999999988</v>
      </c>
      <c r="AF144" s="141">
        <v>74065.75</v>
      </c>
      <c r="AG144" s="141">
        <v>82617.149999999994</v>
      </c>
      <c r="AH144" s="141">
        <v>102556.99999999999</v>
      </c>
      <c r="AI144" s="141">
        <v>188474.65</v>
      </c>
      <c r="AJ144" s="141">
        <v>231296.05</v>
      </c>
      <c r="AK144" s="141">
        <v>279341.89999999997</v>
      </c>
      <c r="AL144" s="141">
        <v>391857.89999999997</v>
      </c>
      <c r="AM144" s="141">
        <v>469408.14999999997</v>
      </c>
      <c r="AN144" s="141">
        <v>554917.54999999993</v>
      </c>
      <c r="AO144" s="141">
        <v>653883.1</v>
      </c>
      <c r="AP144" s="141">
        <v>881514.1</v>
      </c>
      <c r="AT144" s="1"/>
      <c r="AU144" s="2" t="s">
        <v>11</v>
      </c>
      <c r="AV144" s="141">
        <v>25548.75</v>
      </c>
      <c r="AW144" s="141">
        <v>31001.625</v>
      </c>
      <c r="AX144" s="141">
        <v>37455.75</v>
      </c>
      <c r="AY144" s="141">
        <v>40846.5</v>
      </c>
      <c r="AZ144" s="141">
        <v>43957.125</v>
      </c>
      <c r="BA144" s="141">
        <v>55813.5</v>
      </c>
      <c r="BB144" s="141">
        <v>61108.875</v>
      </c>
      <c r="BC144" s="141">
        <v>65695.5</v>
      </c>
      <c r="BD144" s="141">
        <v>73267.875</v>
      </c>
      <c r="BE144" s="141">
        <v>90925.875</v>
      </c>
      <c r="BF144" s="141">
        <v>167007.375</v>
      </c>
      <c r="BG144" s="141">
        <v>204926.625</v>
      </c>
      <c r="BH144" s="141">
        <v>247473</v>
      </c>
      <c r="BI144" s="141">
        <v>348034.5</v>
      </c>
      <c r="BJ144" s="141">
        <v>416707.875</v>
      </c>
      <c r="BK144" s="141">
        <v>492429.375</v>
      </c>
      <c r="BL144" s="141">
        <v>580065.75</v>
      </c>
      <c r="BM144" s="141">
        <v>781639.875</v>
      </c>
      <c r="BQ144" s="1"/>
      <c r="BR144" s="2" t="s">
        <v>11</v>
      </c>
      <c r="BS144" s="141">
        <v>23569.7</v>
      </c>
      <c r="BT144" s="141">
        <v>28594.500000000004</v>
      </c>
      <c r="BU144" s="141">
        <v>34557.600000000006</v>
      </c>
      <c r="BV144" s="141">
        <v>37681.600000000006</v>
      </c>
      <c r="BW144" s="141">
        <v>40548.200000000004</v>
      </c>
      <c r="BX144" s="141">
        <v>51489.9</v>
      </c>
      <c r="BY144" s="141">
        <v>56369.500000000007</v>
      </c>
      <c r="BZ144" s="141">
        <v>60595.700000000004</v>
      </c>
      <c r="CA144" s="141">
        <v>67574.100000000006</v>
      </c>
      <c r="CB144" s="141">
        <v>83846.400000000009</v>
      </c>
      <c r="CC144" s="141">
        <v>153957.1</v>
      </c>
      <c r="CD144" s="141">
        <v>188900.80000000002</v>
      </c>
      <c r="CE144" s="141">
        <v>228108.1</v>
      </c>
      <c r="CF144" s="141">
        <v>321264.90000000002</v>
      </c>
      <c r="CG144" s="141">
        <v>384547.9</v>
      </c>
      <c r="CH144" s="141">
        <v>454326.4</v>
      </c>
      <c r="CI144" s="141">
        <v>535086.20000000007</v>
      </c>
      <c r="CJ144" s="141">
        <v>720839.9</v>
      </c>
      <c r="CN144" s="1"/>
      <c r="CO144" s="2" t="s">
        <v>11</v>
      </c>
      <c r="CP144" s="141">
        <v>21698.63</v>
      </c>
      <c r="CQ144" s="141">
        <v>26320.230000000003</v>
      </c>
      <c r="CR144" s="141">
        <v>31818.190000000002</v>
      </c>
      <c r="CS144" s="141">
        <v>34691.43</v>
      </c>
      <c r="CT144" s="141">
        <v>37327.050000000003</v>
      </c>
      <c r="CU144" s="141">
        <v>47404.100000000006</v>
      </c>
      <c r="CV144" s="141">
        <v>51890.54</v>
      </c>
      <c r="CW144" s="141">
        <v>55776.390000000007</v>
      </c>
      <c r="CX144" s="141">
        <v>62193.22</v>
      </c>
      <c r="CY144" s="141">
        <v>77155.650000000009</v>
      </c>
      <c r="CZ144" s="141">
        <v>141624.79</v>
      </c>
      <c r="DA144" s="141">
        <v>173755.81000000003</v>
      </c>
      <c r="DB144" s="141">
        <v>209808.65000000002</v>
      </c>
      <c r="DC144" s="141">
        <v>295961.16000000003</v>
      </c>
      <c r="DD144" s="141">
        <v>354151.9</v>
      </c>
      <c r="DE144" s="141">
        <v>418314.75000000006</v>
      </c>
      <c r="DF144" s="141">
        <v>492575.36000000004</v>
      </c>
      <c r="DG144" s="141">
        <v>663380.54</v>
      </c>
    </row>
    <row r="145" spans="1:111" ht="15" customHeight="1">
      <c r="A145" s="2" t="s">
        <v>18</v>
      </c>
      <c r="B145" t="s">
        <v>39</v>
      </c>
      <c r="C145" t="s">
        <v>40</v>
      </c>
      <c r="D145">
        <v>5</v>
      </c>
      <c r="E145" t="s">
        <v>46</v>
      </c>
      <c r="F145">
        <v>3</v>
      </c>
      <c r="G145">
        <v>1</v>
      </c>
      <c r="H145">
        <v>2</v>
      </c>
      <c r="I145">
        <v>1</v>
      </c>
      <c r="J145" s="4" t="s">
        <v>55</v>
      </c>
      <c r="K145" t="str">
        <f t="shared" si="11"/>
        <v>1+2</v>
      </c>
      <c r="L145">
        <f>VLOOKUP(A145,'ZONE 1 PREMIUM'!$A$4:$N$16,14,0)</f>
        <v>9</v>
      </c>
      <c r="M145">
        <f>VLOOKUP(D145,DROPDOWN!B:C,2,0)</f>
        <v>4</v>
      </c>
      <c r="N145" t="str">
        <f t="shared" si="9"/>
        <v>AU35:BM46</v>
      </c>
      <c r="O145" s="4">
        <f t="shared" ca="1" si="10"/>
        <v>69372</v>
      </c>
      <c r="X145" s="2" t="s">
        <v>12</v>
      </c>
      <c r="Y145" s="141">
        <v>30908.55</v>
      </c>
      <c r="Z145" s="141">
        <v>37146.149999999994</v>
      </c>
      <c r="AA145" s="141">
        <v>45097.25</v>
      </c>
      <c r="AB145" s="141">
        <v>49191.249999999993</v>
      </c>
      <c r="AC145" s="141">
        <v>52952.899999999994</v>
      </c>
      <c r="AD145" s="141">
        <v>67238.2</v>
      </c>
      <c r="AE145" s="141">
        <v>73428.649999999994</v>
      </c>
      <c r="AF145" s="141">
        <v>78792.25</v>
      </c>
      <c r="AG145" s="141">
        <v>87891.049999999988</v>
      </c>
      <c r="AH145" s="141">
        <v>109068.29999999999</v>
      </c>
      <c r="AI145" s="141">
        <v>201473.09999999998</v>
      </c>
      <c r="AJ145" s="141">
        <v>248334.44999999998</v>
      </c>
      <c r="AK145" s="141">
        <v>301550.69999999995</v>
      </c>
      <c r="AL145" s="141">
        <v>415381.14999999997</v>
      </c>
      <c r="AM145" s="141">
        <v>499064.35</v>
      </c>
      <c r="AN145" s="141">
        <v>591563.44999999995</v>
      </c>
      <c r="AO145" s="141">
        <v>698789.45</v>
      </c>
      <c r="AP145" s="141">
        <v>945125.2</v>
      </c>
      <c r="AT145" s="1"/>
      <c r="AU145" s="2" t="s">
        <v>12</v>
      </c>
      <c r="AV145" s="141">
        <v>27433.125</v>
      </c>
      <c r="AW145" s="141">
        <v>32956.875</v>
      </c>
      <c r="AX145" s="141">
        <v>40037.625</v>
      </c>
      <c r="AY145" s="141">
        <v>43663.5</v>
      </c>
      <c r="AZ145" s="141">
        <v>46993.5</v>
      </c>
      <c r="BA145" s="141">
        <v>59683.5</v>
      </c>
      <c r="BB145" s="141">
        <v>65165.625</v>
      </c>
      <c r="BC145" s="141">
        <v>69915.375</v>
      </c>
      <c r="BD145" s="141">
        <v>77972.625</v>
      </c>
      <c r="BE145" s="141">
        <v>96725.25</v>
      </c>
      <c r="BF145" s="141">
        <v>178553.25</v>
      </c>
      <c r="BG145" s="141">
        <v>220050</v>
      </c>
      <c r="BH145" s="141">
        <v>267175.125</v>
      </c>
      <c r="BI145" s="141">
        <v>368905.5</v>
      </c>
      <c r="BJ145" s="141">
        <v>443009.25</v>
      </c>
      <c r="BK145" s="141">
        <v>524920.5</v>
      </c>
      <c r="BL145" s="141">
        <v>619871.625</v>
      </c>
      <c r="BM145" s="141">
        <v>838009.125</v>
      </c>
      <c r="BQ145" s="1"/>
      <c r="BR145" s="2" t="s">
        <v>12</v>
      </c>
      <c r="BS145" s="141">
        <v>25313.200000000001</v>
      </c>
      <c r="BT145" s="141">
        <v>30404.000000000004</v>
      </c>
      <c r="BU145" s="141">
        <v>36950.100000000006</v>
      </c>
      <c r="BV145" s="141">
        <v>40290.800000000003</v>
      </c>
      <c r="BW145" s="141">
        <v>43359.8</v>
      </c>
      <c r="BX145" s="141">
        <v>55074.8</v>
      </c>
      <c r="BY145" s="141">
        <v>60127.100000000006</v>
      </c>
      <c r="BZ145" s="141">
        <v>64504.000000000007</v>
      </c>
      <c r="CA145" s="141">
        <v>71929</v>
      </c>
      <c r="CB145" s="141">
        <v>89210</v>
      </c>
      <c r="CC145" s="141">
        <v>164615</v>
      </c>
      <c r="CD145" s="141">
        <v>202855.40000000002</v>
      </c>
      <c r="CE145" s="141">
        <v>246282.30000000002</v>
      </c>
      <c r="CF145" s="141">
        <v>340518.2</v>
      </c>
      <c r="CG145" s="141">
        <v>408806.2</v>
      </c>
      <c r="CH145" s="141">
        <v>484289.30000000005</v>
      </c>
      <c r="CI145" s="141">
        <v>571788.80000000005</v>
      </c>
      <c r="CJ145" s="141">
        <v>772806.10000000009</v>
      </c>
      <c r="CN145" s="1"/>
      <c r="CO145" s="2" t="s">
        <v>12</v>
      </c>
      <c r="CP145" s="141">
        <v>23309.65</v>
      </c>
      <c r="CQ145" s="141">
        <v>27991.200000000001</v>
      </c>
      <c r="CR145" s="141">
        <v>34030.89</v>
      </c>
      <c r="CS145" s="141">
        <v>37102.51</v>
      </c>
      <c r="CT145" s="141">
        <v>39925.61</v>
      </c>
      <c r="CU145" s="141">
        <v>50718.79</v>
      </c>
      <c r="CV145" s="141">
        <v>55364.37</v>
      </c>
      <c r="CW145" s="141">
        <v>59388.65</v>
      </c>
      <c r="CX145" s="141">
        <v>66216.41</v>
      </c>
      <c r="CY145" s="141">
        <v>82106.430000000008</v>
      </c>
      <c r="CZ145" s="141">
        <v>151443.51</v>
      </c>
      <c r="DA145" s="141">
        <v>186606.91</v>
      </c>
      <c r="DB145" s="141">
        <v>226539.06000000003</v>
      </c>
      <c r="DC145" s="141">
        <v>313686.74000000005</v>
      </c>
      <c r="DD145" s="141">
        <v>376478.37000000005</v>
      </c>
      <c r="DE145" s="141">
        <v>445887.39</v>
      </c>
      <c r="DF145" s="141">
        <v>526344.65</v>
      </c>
      <c r="DG145" s="141">
        <v>711185.76</v>
      </c>
    </row>
    <row r="146" spans="1:111" ht="15" customHeight="1">
      <c r="A146" s="2" t="s">
        <v>19</v>
      </c>
      <c r="B146" t="s">
        <v>41</v>
      </c>
      <c r="C146" t="s">
        <v>42</v>
      </c>
      <c r="D146">
        <v>5</v>
      </c>
      <c r="E146" t="s">
        <v>46</v>
      </c>
      <c r="F146">
        <v>3</v>
      </c>
      <c r="G146">
        <v>1</v>
      </c>
      <c r="H146">
        <v>2</v>
      </c>
      <c r="I146">
        <v>1</v>
      </c>
      <c r="J146" s="4" t="s">
        <v>55</v>
      </c>
      <c r="K146" t="str">
        <f t="shared" si="11"/>
        <v>1+2</v>
      </c>
      <c r="L146">
        <f>VLOOKUP(A146,'ZONE 1 PREMIUM'!$A$4:$N$16,14,0)</f>
        <v>10</v>
      </c>
      <c r="M146">
        <f>VLOOKUP(D146,DROPDOWN!B:C,2,0)</f>
        <v>4</v>
      </c>
      <c r="N146" t="str">
        <f t="shared" si="9"/>
        <v>AU35:BM46</v>
      </c>
      <c r="O146" s="4">
        <f t="shared" ca="1" si="10"/>
        <v>89960.625</v>
      </c>
      <c r="X146" s="2" t="s">
        <v>13</v>
      </c>
      <c r="Y146" s="141">
        <v>34551.75</v>
      </c>
      <c r="Z146" s="141">
        <v>41704.75</v>
      </c>
      <c r="AA146" s="141">
        <v>50944.999999999993</v>
      </c>
      <c r="AB146" s="141">
        <v>55610.549999999996</v>
      </c>
      <c r="AC146" s="141">
        <v>59903.499999999993</v>
      </c>
      <c r="AD146" s="141">
        <v>76130</v>
      </c>
      <c r="AE146" s="141">
        <v>83270.349999999991</v>
      </c>
      <c r="AF146" s="141">
        <v>89486.099999999991</v>
      </c>
      <c r="AG146" s="141">
        <v>99891.299999999988</v>
      </c>
      <c r="AH146" s="141">
        <v>124052.79999999999</v>
      </c>
      <c r="AI146" s="141">
        <v>217504.09999999998</v>
      </c>
      <c r="AJ146" s="141">
        <v>271075.69999999995</v>
      </c>
      <c r="AK146" s="141">
        <v>332033.75</v>
      </c>
      <c r="AL146" s="141">
        <v>448150.39999999997</v>
      </c>
      <c r="AM146" s="141">
        <v>543580.85</v>
      </c>
      <c r="AN146" s="141">
        <v>649408.44999999995</v>
      </c>
      <c r="AO146" s="141">
        <v>772326.2</v>
      </c>
      <c r="AP146" s="141">
        <v>1054361.3999999999</v>
      </c>
      <c r="AT146" s="1"/>
      <c r="AU146" s="2" t="s">
        <v>13</v>
      </c>
      <c r="AV146" s="141">
        <v>30661.875</v>
      </c>
      <c r="AW146" s="141">
        <v>36995.625</v>
      </c>
      <c r="AX146" s="141">
        <v>45221.625</v>
      </c>
      <c r="AY146" s="141">
        <v>49352.625</v>
      </c>
      <c r="AZ146" s="141">
        <v>53155.125</v>
      </c>
      <c r="BA146" s="141">
        <v>67566.375</v>
      </c>
      <c r="BB146" s="141">
        <v>73890</v>
      </c>
      <c r="BC146" s="141">
        <v>79393.5</v>
      </c>
      <c r="BD146" s="141">
        <v>88607.25</v>
      </c>
      <c r="BE146" s="141">
        <v>110004.75</v>
      </c>
      <c r="BF146" s="141">
        <v>192757.5</v>
      </c>
      <c r="BG146" s="141">
        <v>240197.625</v>
      </c>
      <c r="BH146" s="141">
        <v>294177.375</v>
      </c>
      <c r="BI146" s="141">
        <v>397733.625</v>
      </c>
      <c r="BJ146" s="141">
        <v>482240.25</v>
      </c>
      <c r="BK146" s="141">
        <v>575952.75</v>
      </c>
      <c r="BL146" s="141">
        <v>684801</v>
      </c>
      <c r="BM146" s="141">
        <v>934552.125</v>
      </c>
      <c r="BQ146" s="1"/>
      <c r="BR146" s="2" t="s">
        <v>13</v>
      </c>
      <c r="BS146" s="141">
        <v>28289.800000000003</v>
      </c>
      <c r="BT146" s="141">
        <v>34126.400000000001</v>
      </c>
      <c r="BU146" s="141">
        <v>41729.600000000006</v>
      </c>
      <c r="BV146" s="141">
        <v>45536.700000000004</v>
      </c>
      <c r="BW146" s="141">
        <v>49040.200000000004</v>
      </c>
      <c r="BX146" s="141">
        <v>62343.600000000006</v>
      </c>
      <c r="BY146" s="141">
        <v>68170.3</v>
      </c>
      <c r="BZ146" s="141">
        <v>73242.400000000009</v>
      </c>
      <c r="CA146" s="141">
        <v>81733.3</v>
      </c>
      <c r="CB146" s="141">
        <v>101450.8</v>
      </c>
      <c r="CC146" s="141">
        <v>177709.40000000002</v>
      </c>
      <c r="CD146" s="141">
        <v>221425.6</v>
      </c>
      <c r="CE146" s="141">
        <v>271169.80000000005</v>
      </c>
      <c r="CF146" s="141">
        <v>366983.10000000003</v>
      </c>
      <c r="CG146" s="141">
        <v>444857.60000000003</v>
      </c>
      <c r="CH146" s="141">
        <v>531216.4</v>
      </c>
      <c r="CI146" s="141">
        <v>631522.10000000009</v>
      </c>
      <c r="CJ146" s="141">
        <v>861671.8</v>
      </c>
      <c r="CN146" s="1"/>
      <c r="CO146" s="2" t="s">
        <v>13</v>
      </c>
      <c r="CP146" s="141">
        <v>26047.730000000003</v>
      </c>
      <c r="CQ146" s="141">
        <v>31414.890000000003</v>
      </c>
      <c r="CR146" s="141">
        <v>38429.040000000001</v>
      </c>
      <c r="CS146" s="141">
        <v>41930.120000000003</v>
      </c>
      <c r="CT146" s="141">
        <v>45151.07</v>
      </c>
      <c r="CU146" s="141">
        <v>57407.030000000006</v>
      </c>
      <c r="CV146" s="141">
        <v>62765.47</v>
      </c>
      <c r="CW146" s="141">
        <v>67429.58</v>
      </c>
      <c r="CX146" s="141">
        <v>75236.160000000003</v>
      </c>
      <c r="CY146" s="141">
        <v>93367.22</v>
      </c>
      <c r="CZ146" s="141">
        <v>163489.1</v>
      </c>
      <c r="DA146" s="141">
        <v>203687.21000000002</v>
      </c>
      <c r="DB146" s="141">
        <v>249427.97000000003</v>
      </c>
      <c r="DC146" s="141">
        <v>337920.71</v>
      </c>
      <c r="DD146" s="141">
        <v>409528.26</v>
      </c>
      <c r="DE146" s="141">
        <v>488936.94000000006</v>
      </c>
      <c r="DF146" s="141">
        <v>581170.56000000006</v>
      </c>
      <c r="DG146" s="141">
        <v>792799.51</v>
      </c>
    </row>
    <row r="147" spans="1:111" ht="15" customHeight="1">
      <c r="A147" s="2" t="s">
        <v>20</v>
      </c>
      <c r="B147" t="s">
        <v>43</v>
      </c>
      <c r="C147" t="s">
        <v>44</v>
      </c>
      <c r="D147">
        <v>5</v>
      </c>
      <c r="E147" t="s">
        <v>46</v>
      </c>
      <c r="F147">
        <v>3</v>
      </c>
      <c r="G147">
        <v>1</v>
      </c>
      <c r="H147">
        <v>2</v>
      </c>
      <c r="I147">
        <v>1</v>
      </c>
      <c r="J147" s="4" t="s">
        <v>55</v>
      </c>
      <c r="K147" t="str">
        <f t="shared" si="11"/>
        <v>1+2</v>
      </c>
      <c r="L147">
        <f>VLOOKUP(A147,'ZONE 1 PREMIUM'!$A$4:$N$16,14,0)</f>
        <v>11</v>
      </c>
      <c r="M147">
        <f>VLOOKUP(D147,DROPDOWN!B:C,2,0)</f>
        <v>4</v>
      </c>
      <c r="N147" t="str">
        <f t="shared" si="9"/>
        <v>AU35:BM46</v>
      </c>
      <c r="O147" s="4">
        <f t="shared" ca="1" si="10"/>
        <v>105844.5</v>
      </c>
      <c r="X147" s="2" t="s">
        <v>14</v>
      </c>
      <c r="Y147" s="141">
        <v>38249</v>
      </c>
      <c r="Z147" s="141">
        <v>46345</v>
      </c>
      <c r="AA147" s="141">
        <v>56918.1</v>
      </c>
      <c r="AB147" s="141">
        <v>62190.85</v>
      </c>
      <c r="AC147" s="141">
        <v>67053.049999999988</v>
      </c>
      <c r="AD147" s="141">
        <v>85218.45</v>
      </c>
      <c r="AE147" s="141">
        <v>93225.9</v>
      </c>
      <c r="AF147" s="141">
        <v>100173.04999999999</v>
      </c>
      <c r="AG147" s="141">
        <v>111926.04999999999</v>
      </c>
      <c r="AH147" s="141">
        <v>139138.5</v>
      </c>
      <c r="AI147" s="141">
        <v>236919.55</v>
      </c>
      <c r="AJ147" s="141">
        <v>297622.3</v>
      </c>
      <c r="AK147" s="141">
        <v>366827</v>
      </c>
      <c r="AL147" s="141">
        <v>475935.55</v>
      </c>
      <c r="AM147" s="141">
        <v>582962.6</v>
      </c>
      <c r="AN147" s="141">
        <v>702065.79999999993</v>
      </c>
      <c r="AO147" s="141">
        <v>840707.49999999988</v>
      </c>
      <c r="AP147" s="141">
        <v>1158331.75</v>
      </c>
      <c r="AT147" s="1"/>
      <c r="AU147" s="2" t="s">
        <v>14</v>
      </c>
      <c r="AV147" s="141">
        <v>33935.625</v>
      </c>
      <c r="AW147" s="141">
        <v>41105.25</v>
      </c>
      <c r="AX147" s="141">
        <v>50513.625</v>
      </c>
      <c r="AY147" s="141">
        <v>55182.375</v>
      </c>
      <c r="AZ147" s="141">
        <v>59488.875</v>
      </c>
      <c r="BA147" s="141">
        <v>75619.125</v>
      </c>
      <c r="BB147" s="141">
        <v>82710</v>
      </c>
      <c r="BC147" s="141">
        <v>88861.5</v>
      </c>
      <c r="BD147" s="141">
        <v>99270</v>
      </c>
      <c r="BE147" s="141">
        <v>123367.5</v>
      </c>
      <c r="BF147" s="141">
        <v>209955.375</v>
      </c>
      <c r="BG147" s="141">
        <v>263709</v>
      </c>
      <c r="BH147" s="141">
        <v>324992.25</v>
      </c>
      <c r="BI147" s="141">
        <v>422110.125</v>
      </c>
      <c r="BJ147" s="141">
        <v>516885.75</v>
      </c>
      <c r="BK147" s="141">
        <v>622354.5</v>
      </c>
      <c r="BL147" s="141">
        <v>745125.75</v>
      </c>
      <c r="BM147" s="141">
        <v>1026392.625</v>
      </c>
      <c r="BQ147" s="1"/>
      <c r="BR147" s="2" t="s">
        <v>14</v>
      </c>
      <c r="BS147" s="141">
        <v>31307.100000000002</v>
      </c>
      <c r="BT147" s="141">
        <v>37913.700000000004</v>
      </c>
      <c r="BU147" s="141">
        <v>46607.000000000007</v>
      </c>
      <c r="BV147" s="141">
        <v>50910.200000000004</v>
      </c>
      <c r="BW147" s="141">
        <v>54877.9</v>
      </c>
      <c r="BX147" s="141">
        <v>69766.400000000009</v>
      </c>
      <c r="BY147" s="141">
        <v>76301.5</v>
      </c>
      <c r="BZ147" s="141">
        <v>81969.8</v>
      </c>
      <c r="CA147" s="141">
        <v>91560.700000000012</v>
      </c>
      <c r="CB147" s="141">
        <v>113767.50000000001</v>
      </c>
      <c r="CC147" s="141">
        <v>193559.30000000002</v>
      </c>
      <c r="CD147" s="141">
        <v>243094.50000000003</v>
      </c>
      <c r="CE147" s="141">
        <v>299568.5</v>
      </c>
      <c r="CF147" s="141">
        <v>389327.4</v>
      </c>
      <c r="CG147" s="141">
        <v>476664.10000000003</v>
      </c>
      <c r="CH147" s="141">
        <v>573856.80000000005</v>
      </c>
      <c r="CI147" s="141">
        <v>686992.9</v>
      </c>
      <c r="CJ147" s="141">
        <v>946184.8</v>
      </c>
      <c r="CN147" s="1"/>
      <c r="CO147" s="2" t="s">
        <v>14</v>
      </c>
      <c r="CP147" s="141">
        <v>28822.870000000003</v>
      </c>
      <c r="CQ147" s="141">
        <v>34897.440000000002</v>
      </c>
      <c r="CR147" s="141">
        <v>42915.48</v>
      </c>
      <c r="CS147" s="141">
        <v>46872.18</v>
      </c>
      <c r="CT147" s="141">
        <v>50520.41</v>
      </c>
      <c r="CU147" s="141">
        <v>64234.790000000008</v>
      </c>
      <c r="CV147" s="141">
        <v>70243.960000000006</v>
      </c>
      <c r="CW147" s="141">
        <v>75456.340000000011</v>
      </c>
      <c r="CX147" s="141">
        <v>84275.530000000013</v>
      </c>
      <c r="CY147" s="141">
        <v>104694.50000000001</v>
      </c>
      <c r="CZ147" s="141">
        <v>178065.67</v>
      </c>
      <c r="DA147" s="141">
        <v>223614.59000000003</v>
      </c>
      <c r="DB147" s="141">
        <v>275543.28000000003</v>
      </c>
      <c r="DC147" s="141">
        <v>358345.13</v>
      </c>
      <c r="DD147" s="141">
        <v>438654.15</v>
      </c>
      <c r="DE147" s="141">
        <v>528024.34000000008</v>
      </c>
      <c r="DF147" s="141">
        <v>632056.12</v>
      </c>
      <c r="DG147" s="141">
        <v>870390.07000000007</v>
      </c>
    </row>
    <row r="148" spans="1:111" ht="15" customHeight="1">
      <c r="A148" s="2" t="s">
        <v>21</v>
      </c>
      <c r="B148" t="s">
        <v>22</v>
      </c>
      <c r="D148">
        <v>5</v>
      </c>
      <c r="E148" t="s">
        <v>46</v>
      </c>
      <c r="F148">
        <v>3</v>
      </c>
      <c r="G148">
        <v>1</v>
      </c>
      <c r="H148">
        <v>2</v>
      </c>
      <c r="I148">
        <v>1</v>
      </c>
      <c r="J148" s="4" t="s">
        <v>55</v>
      </c>
      <c r="K148" t="str">
        <f t="shared" si="11"/>
        <v>1+2</v>
      </c>
      <c r="L148">
        <f>VLOOKUP(A148,'ZONE 1 PREMIUM'!$A$4:$N$16,14,0)</f>
        <v>12</v>
      </c>
      <c r="M148">
        <f>VLOOKUP(D148,DROPDOWN!B:C,2,0)</f>
        <v>4</v>
      </c>
      <c r="N148" t="str">
        <f t="shared" si="9"/>
        <v>AU35:BM46</v>
      </c>
      <c r="O148" s="4">
        <f t="shared" ca="1" si="10"/>
        <v>137687.625</v>
      </c>
      <c r="X148" s="2" t="s">
        <v>15</v>
      </c>
      <c r="Y148" s="141">
        <v>45798.75</v>
      </c>
      <c r="Z148" s="141">
        <v>55655.399999999994</v>
      </c>
      <c r="AA148" s="141">
        <v>68675.7</v>
      </c>
      <c r="AB148" s="141">
        <v>77376.599999999991</v>
      </c>
      <c r="AC148" s="141">
        <v>83501.5</v>
      </c>
      <c r="AD148" s="141">
        <v>103620.74999999999</v>
      </c>
      <c r="AE148" s="141">
        <v>113440.59999999999</v>
      </c>
      <c r="AF148" s="141">
        <v>121966.7</v>
      </c>
      <c r="AG148" s="141">
        <v>136388.84999999998</v>
      </c>
      <c r="AH148" s="141">
        <v>169683.65</v>
      </c>
      <c r="AI148" s="141">
        <v>283280.64999999997</v>
      </c>
      <c r="AJ148" s="141">
        <v>358154.85</v>
      </c>
      <c r="AK148" s="141">
        <v>443703.35</v>
      </c>
      <c r="AL148" s="141">
        <v>551434.19999999995</v>
      </c>
      <c r="AM148" s="141">
        <v>681675.14999999991</v>
      </c>
      <c r="AN148" s="141">
        <v>827069.64999999991</v>
      </c>
      <c r="AO148" s="141">
        <v>996658.99999999988</v>
      </c>
      <c r="AP148" s="141">
        <v>1384586.2</v>
      </c>
      <c r="AT148" s="1"/>
      <c r="AU148" s="2" t="s">
        <v>15</v>
      </c>
      <c r="AV148" s="141">
        <v>40631.625</v>
      </c>
      <c r="AW148" s="141">
        <v>49360.5</v>
      </c>
      <c r="AX148" s="141">
        <v>60944.625</v>
      </c>
      <c r="AY148" s="141">
        <v>68649.75</v>
      </c>
      <c r="AZ148" s="141">
        <v>74073.375</v>
      </c>
      <c r="BA148" s="141">
        <v>91945.125</v>
      </c>
      <c r="BB148" s="141">
        <v>100641.375</v>
      </c>
      <c r="BC148" s="141">
        <v>108190.125</v>
      </c>
      <c r="BD148" s="141">
        <v>120962.25</v>
      </c>
      <c r="BE148" s="141">
        <v>150445.125</v>
      </c>
      <c r="BF148" s="141">
        <v>251039.25</v>
      </c>
      <c r="BG148" s="141">
        <v>317342.25</v>
      </c>
      <c r="BH148" s="141">
        <v>393097.5</v>
      </c>
      <c r="BI148" s="141">
        <v>488885.625</v>
      </c>
      <c r="BJ148" s="141">
        <v>604218.375</v>
      </c>
      <c r="BK148" s="141">
        <v>732969</v>
      </c>
      <c r="BL148" s="141">
        <v>883145.25</v>
      </c>
      <c r="BM148" s="141">
        <v>1226666.25</v>
      </c>
      <c r="BQ148" s="1"/>
      <c r="BR148" s="2" t="s">
        <v>15</v>
      </c>
      <c r="BS148" s="141">
        <v>37482.5</v>
      </c>
      <c r="BT148" s="141">
        <v>45526.8</v>
      </c>
      <c r="BU148" s="141">
        <v>56230.9</v>
      </c>
      <c r="BV148" s="141">
        <v>63331.400000000009</v>
      </c>
      <c r="BW148" s="141">
        <v>68328.700000000012</v>
      </c>
      <c r="BX148" s="141">
        <v>84826.5</v>
      </c>
      <c r="BY148" s="141">
        <v>92840.000000000015</v>
      </c>
      <c r="BZ148" s="141">
        <v>99797.500000000015</v>
      </c>
      <c r="CA148" s="141">
        <v>111566.40000000001</v>
      </c>
      <c r="CB148" s="141">
        <v>138735.30000000002</v>
      </c>
      <c r="CC148" s="141">
        <v>231434.50000000003</v>
      </c>
      <c r="CD148" s="141">
        <v>292534</v>
      </c>
      <c r="CE148" s="141">
        <v>362344.4</v>
      </c>
      <c r="CF148" s="141">
        <v>450820.7</v>
      </c>
      <c r="CG148" s="141">
        <v>557101.60000000009</v>
      </c>
      <c r="CH148" s="141">
        <v>675747.60000000009</v>
      </c>
      <c r="CI148" s="141">
        <v>814137.50000000012</v>
      </c>
      <c r="CJ148" s="141">
        <v>1130698.8</v>
      </c>
      <c r="CN148" s="1"/>
      <c r="CO148" s="2" t="s">
        <v>15</v>
      </c>
      <c r="CP148" s="141">
        <v>34506.130000000005</v>
      </c>
      <c r="CQ148" s="141">
        <v>41902.870000000003</v>
      </c>
      <c r="CR148" s="141">
        <v>51775.000000000007</v>
      </c>
      <c r="CS148" s="141">
        <v>58304.100000000006</v>
      </c>
      <c r="CT148" s="141">
        <v>62899.540000000008</v>
      </c>
      <c r="CU148" s="141">
        <v>78099.590000000011</v>
      </c>
      <c r="CV148" s="141">
        <v>85467.99</v>
      </c>
      <c r="CW148" s="141">
        <v>91865.200000000012</v>
      </c>
      <c r="CX148" s="141">
        <v>102686.72</v>
      </c>
      <c r="CY148" s="141">
        <v>127669.52</v>
      </c>
      <c r="CZ148" s="141">
        <v>212908.61000000002</v>
      </c>
      <c r="DA148" s="141">
        <v>269091.57</v>
      </c>
      <c r="DB148" s="141">
        <v>333283.85000000003</v>
      </c>
      <c r="DC148" s="141">
        <v>414846.37000000005</v>
      </c>
      <c r="DD148" s="141">
        <v>512574.68000000005</v>
      </c>
      <c r="DE148" s="141">
        <v>621672.78</v>
      </c>
      <c r="DF148" s="141">
        <v>748925.92</v>
      </c>
      <c r="DG148" s="141">
        <v>1040011.5100000001</v>
      </c>
    </row>
    <row r="149" spans="1:111" ht="15" customHeight="1">
      <c r="A149" s="2" t="s">
        <v>11</v>
      </c>
      <c r="B149" t="s">
        <v>45</v>
      </c>
      <c r="C149" t="s">
        <v>25</v>
      </c>
      <c r="D149">
        <v>5</v>
      </c>
      <c r="E149" t="s">
        <v>46</v>
      </c>
      <c r="F149">
        <v>4</v>
      </c>
      <c r="G149">
        <v>1</v>
      </c>
      <c r="H149">
        <v>3</v>
      </c>
      <c r="I149">
        <v>1</v>
      </c>
      <c r="J149" s="4" t="s">
        <v>55</v>
      </c>
      <c r="K149" t="str">
        <f t="shared" si="11"/>
        <v>1+3</v>
      </c>
      <c r="L149">
        <f>VLOOKUP(A149,'ZONE 1 PREMIUM'!$A$4:$N$16,14,0)</f>
        <v>2</v>
      </c>
      <c r="M149">
        <f>VLOOKUP(D149,DROPDOWN!B:C,2,0)</f>
        <v>4</v>
      </c>
      <c r="N149" t="str">
        <f t="shared" si="9"/>
        <v>AU50:BM61</v>
      </c>
      <c r="O149" s="4">
        <f t="shared" ca="1" si="10"/>
        <v>23028.75</v>
      </c>
      <c r="X149" s="2" t="s">
        <v>16</v>
      </c>
      <c r="Y149" s="141">
        <v>56174.049999999996</v>
      </c>
      <c r="Z149" s="141">
        <v>68467.549999999988</v>
      </c>
      <c r="AA149" s="141">
        <v>84666.45</v>
      </c>
      <c r="AB149" s="141">
        <v>96743.749999999985</v>
      </c>
      <c r="AC149" s="141">
        <v>104499.34999999999</v>
      </c>
      <c r="AD149" s="141">
        <v>128345.74999999999</v>
      </c>
      <c r="AE149" s="141">
        <v>140733.54999999999</v>
      </c>
      <c r="AF149" s="141">
        <v>151537.79999999999</v>
      </c>
      <c r="AG149" s="141">
        <v>169621.55</v>
      </c>
      <c r="AH149" s="141">
        <v>211258.44999999998</v>
      </c>
      <c r="AI149" s="141">
        <v>358549.3</v>
      </c>
      <c r="AJ149" s="141">
        <v>452861.94999999995</v>
      </c>
      <c r="AK149" s="141">
        <v>560809</v>
      </c>
      <c r="AL149" s="141">
        <v>678311.39999999991</v>
      </c>
      <c r="AM149" s="141">
        <v>841764.35</v>
      </c>
      <c r="AN149" s="141">
        <v>1024595.95</v>
      </c>
      <c r="AO149" s="141">
        <v>1238153.25</v>
      </c>
      <c r="AP149" s="141">
        <v>1725987.8499999999</v>
      </c>
      <c r="AT149" s="1"/>
      <c r="AU149" s="2" t="s">
        <v>16</v>
      </c>
      <c r="AV149" s="141">
        <v>49822.875</v>
      </c>
      <c r="AW149" s="141">
        <v>60709.5</v>
      </c>
      <c r="AX149" s="141">
        <v>75112.875</v>
      </c>
      <c r="AY149" s="141">
        <v>85808.25</v>
      </c>
      <c r="AZ149" s="141">
        <v>92676.375</v>
      </c>
      <c r="BA149" s="141">
        <v>113853.375</v>
      </c>
      <c r="BB149" s="141">
        <v>124822.125</v>
      </c>
      <c r="BC149" s="141">
        <v>134390.25</v>
      </c>
      <c r="BD149" s="141">
        <v>150403.5</v>
      </c>
      <c r="BE149" s="141">
        <v>187274.25</v>
      </c>
      <c r="BF149" s="141">
        <v>317704.5</v>
      </c>
      <c r="BG149" s="141">
        <v>401221.125</v>
      </c>
      <c r="BH149" s="141">
        <v>496812.375</v>
      </c>
      <c r="BI149" s="141">
        <v>601224.75</v>
      </c>
      <c r="BJ149" s="141">
        <v>745967.25</v>
      </c>
      <c r="BK149" s="141">
        <v>907870.5</v>
      </c>
      <c r="BL149" s="141">
        <v>1096981.875</v>
      </c>
      <c r="BM149" s="141">
        <v>1528974</v>
      </c>
      <c r="BQ149" s="1"/>
      <c r="BR149" s="2" t="s">
        <v>16</v>
      </c>
      <c r="BS149" s="141">
        <v>45953.600000000006</v>
      </c>
      <c r="BT149" s="141">
        <v>55985.600000000006</v>
      </c>
      <c r="BU149" s="141">
        <v>69291.200000000012</v>
      </c>
      <c r="BV149" s="141">
        <v>79147.200000000012</v>
      </c>
      <c r="BW149" s="141">
        <v>85476.6</v>
      </c>
      <c r="BX149" s="141">
        <v>105022.50000000001</v>
      </c>
      <c r="BY149" s="141">
        <v>115131.50000000001</v>
      </c>
      <c r="BZ149" s="141">
        <v>123948.00000000001</v>
      </c>
      <c r="CA149" s="141">
        <v>138704.5</v>
      </c>
      <c r="CB149" s="141">
        <v>172681.30000000002</v>
      </c>
      <c r="CC149" s="141">
        <v>292876.10000000003</v>
      </c>
      <c r="CD149" s="141">
        <v>369837.60000000003</v>
      </c>
      <c r="CE149" s="141">
        <v>457926.7</v>
      </c>
      <c r="CF149" s="141">
        <v>554335.10000000009</v>
      </c>
      <c r="CG149" s="141">
        <v>687718.9</v>
      </c>
      <c r="CH149" s="141">
        <v>836915.20000000007</v>
      </c>
      <c r="CI149" s="141">
        <v>1011184.9000000001</v>
      </c>
      <c r="CJ149" s="141">
        <v>1409273.8</v>
      </c>
      <c r="CN149" s="1"/>
      <c r="CO149" s="2" t="s">
        <v>16</v>
      </c>
      <c r="CP149" s="141">
        <v>42297.450000000004</v>
      </c>
      <c r="CQ149" s="141">
        <v>51522.12</v>
      </c>
      <c r="CR149" s="141">
        <v>63788.98</v>
      </c>
      <c r="CS149" s="141">
        <v>72852.33</v>
      </c>
      <c r="CT149" s="141">
        <v>78671.840000000011</v>
      </c>
      <c r="CU149" s="141">
        <v>96676.46</v>
      </c>
      <c r="CV149" s="141">
        <v>105971.98000000001</v>
      </c>
      <c r="CW149" s="141">
        <v>114079.40000000001</v>
      </c>
      <c r="CX149" s="141">
        <v>127648.81000000001</v>
      </c>
      <c r="CY149" s="141">
        <v>158891.48000000001</v>
      </c>
      <c r="CZ149" s="141">
        <v>269413.12</v>
      </c>
      <c r="DA149" s="141">
        <v>340181.37000000005</v>
      </c>
      <c r="DB149" s="141">
        <v>421181.45</v>
      </c>
      <c r="DC149" s="141">
        <v>510024.08</v>
      </c>
      <c r="DD149" s="141">
        <v>632673.06000000006</v>
      </c>
      <c r="DE149" s="141">
        <v>769862.64</v>
      </c>
      <c r="DF149" s="141">
        <v>930107.9</v>
      </c>
      <c r="DG149" s="141">
        <v>1296160.4200000002</v>
      </c>
    </row>
    <row r="150" spans="1:111" ht="15" customHeight="1">
      <c r="A150" s="2" t="s">
        <v>12</v>
      </c>
      <c r="B150" t="s">
        <v>27</v>
      </c>
      <c r="C150" t="s">
        <v>28</v>
      </c>
      <c r="D150">
        <v>5</v>
      </c>
      <c r="E150" t="s">
        <v>46</v>
      </c>
      <c r="F150">
        <v>4</v>
      </c>
      <c r="G150">
        <v>1</v>
      </c>
      <c r="H150">
        <v>3</v>
      </c>
      <c r="I150">
        <v>1</v>
      </c>
      <c r="J150" s="4" t="s">
        <v>55</v>
      </c>
      <c r="K150" t="str">
        <f t="shared" si="11"/>
        <v>1+3</v>
      </c>
      <c r="L150">
        <f>VLOOKUP(A150,'ZONE 1 PREMIUM'!$A$4:$N$16,14,0)</f>
        <v>3</v>
      </c>
      <c r="M150">
        <f>VLOOKUP(D150,DROPDOWN!B:C,2,0)</f>
        <v>4</v>
      </c>
      <c r="N150" t="str">
        <f t="shared" si="9"/>
        <v>AU50:BM61</v>
      </c>
      <c r="O150" s="4">
        <f t="shared" ca="1" si="10"/>
        <v>24360.75</v>
      </c>
      <c r="X150" s="2" t="s">
        <v>17</v>
      </c>
      <c r="Y150" s="141">
        <v>70457.049999999988</v>
      </c>
      <c r="Z150" s="141">
        <v>85954.45</v>
      </c>
      <c r="AA150" s="141">
        <v>106538.29999999999</v>
      </c>
      <c r="AB150" s="141">
        <v>120024.34999999999</v>
      </c>
      <c r="AC150" s="141">
        <v>129779.79999999999</v>
      </c>
      <c r="AD150" s="141">
        <v>159706.25</v>
      </c>
      <c r="AE150" s="141">
        <v>175256.55</v>
      </c>
      <c r="AF150" s="141">
        <v>187744.4</v>
      </c>
      <c r="AG150" s="141">
        <v>210370.65</v>
      </c>
      <c r="AH150" s="141">
        <v>262281.64999999997</v>
      </c>
      <c r="AI150" s="141">
        <v>452873.44999999995</v>
      </c>
      <c r="AJ150" s="141">
        <v>571195.79999999993</v>
      </c>
      <c r="AK150" s="141">
        <v>707023.45</v>
      </c>
      <c r="AL150" s="141">
        <v>841198.54999999993</v>
      </c>
      <c r="AM150" s="141">
        <v>1045760.5499999999</v>
      </c>
      <c r="AN150" s="141">
        <v>1275117.7</v>
      </c>
      <c r="AO150" s="141">
        <v>1543481.7</v>
      </c>
      <c r="AP150" s="141">
        <v>2155428.9</v>
      </c>
      <c r="AT150" s="1"/>
      <c r="AU150" s="2" t="s">
        <v>17</v>
      </c>
      <c r="AV150" s="141">
        <v>62483.625</v>
      </c>
      <c r="AW150" s="141">
        <v>76206.375</v>
      </c>
      <c r="AX150" s="141">
        <v>94505.625</v>
      </c>
      <c r="AY150" s="141">
        <v>106447.5</v>
      </c>
      <c r="AZ150" s="141">
        <v>115086.375</v>
      </c>
      <c r="BA150" s="141">
        <v>141657.75</v>
      </c>
      <c r="BB150" s="141">
        <v>155428.875</v>
      </c>
      <c r="BC150" s="141">
        <v>166486.5</v>
      </c>
      <c r="BD150" s="141">
        <v>186522.75</v>
      </c>
      <c r="BE150" s="141">
        <v>232492.5</v>
      </c>
      <c r="BF150" s="141">
        <v>401266.125</v>
      </c>
      <c r="BG150" s="141">
        <v>506044.125</v>
      </c>
      <c r="BH150" s="141">
        <v>626323.5</v>
      </c>
      <c r="BI150" s="141">
        <v>745533</v>
      </c>
      <c r="BJ150" s="141">
        <v>926677.125</v>
      </c>
      <c r="BK150" s="141">
        <v>1129781.25</v>
      </c>
      <c r="BL150" s="141">
        <v>1367425.125</v>
      </c>
      <c r="BM150" s="141">
        <v>1909323</v>
      </c>
      <c r="BQ150" s="1"/>
      <c r="BR150" s="2" t="s">
        <v>17</v>
      </c>
      <c r="BS150" s="141">
        <v>57627.9</v>
      </c>
      <c r="BT150" s="141">
        <v>70273.5</v>
      </c>
      <c r="BU150" s="141">
        <v>87173.900000000009</v>
      </c>
      <c r="BV150" s="141">
        <v>98178.3</v>
      </c>
      <c r="BW150" s="141">
        <v>106140.1</v>
      </c>
      <c r="BX150" s="141">
        <v>130663.50000000001</v>
      </c>
      <c r="BY150" s="141">
        <v>143353.1</v>
      </c>
      <c r="BZ150" s="141">
        <v>153543.5</v>
      </c>
      <c r="CA150" s="141">
        <v>172007</v>
      </c>
      <c r="CB150" s="141">
        <v>214369.1</v>
      </c>
      <c r="CC150" s="141">
        <v>369897.00000000006</v>
      </c>
      <c r="CD150" s="141">
        <v>466451.7</v>
      </c>
      <c r="CE150" s="141">
        <v>577292.10000000009</v>
      </c>
      <c r="CF150" s="141">
        <v>687351.5</v>
      </c>
      <c r="CG150" s="141">
        <v>854280.9</v>
      </c>
      <c r="CH150" s="141">
        <v>1041443.7000000001</v>
      </c>
      <c r="CI150" s="141">
        <v>1260438.3</v>
      </c>
      <c r="CJ150" s="141">
        <v>1759806.4000000001</v>
      </c>
      <c r="CN150" s="1"/>
      <c r="CO150" s="2" t="s">
        <v>17</v>
      </c>
      <c r="CP150" s="141">
        <v>53038.310000000005</v>
      </c>
      <c r="CQ150" s="141">
        <v>64667.520000000004</v>
      </c>
      <c r="CR150" s="141">
        <v>80245.8</v>
      </c>
      <c r="CS150" s="141">
        <v>90364.27</v>
      </c>
      <c r="CT150" s="141">
        <v>97684.71</v>
      </c>
      <c r="CU150" s="141">
        <v>120272.78000000001</v>
      </c>
      <c r="CV150" s="141">
        <v>131941.23000000001</v>
      </c>
      <c r="CW150" s="141">
        <v>141310.87000000002</v>
      </c>
      <c r="CX150" s="141">
        <v>158288.71000000002</v>
      </c>
      <c r="CY150" s="141">
        <v>197242.04</v>
      </c>
      <c r="CZ150" s="141">
        <v>340254.4</v>
      </c>
      <c r="DA150" s="141">
        <v>429038.17000000004</v>
      </c>
      <c r="DB150" s="141">
        <v>530958.62</v>
      </c>
      <c r="DC150" s="141">
        <v>632371.13</v>
      </c>
      <c r="DD150" s="141">
        <v>785866.02</v>
      </c>
      <c r="DE150" s="141">
        <v>957967.21000000008</v>
      </c>
      <c r="DF150" s="141">
        <v>1159337.08</v>
      </c>
      <c r="DG150" s="141">
        <v>1618519.2000000002</v>
      </c>
    </row>
    <row r="151" spans="1:111" ht="15" customHeight="1">
      <c r="A151" s="2" t="s">
        <v>13</v>
      </c>
      <c r="B151" t="s">
        <v>29</v>
      </c>
      <c r="C151" t="s">
        <v>30</v>
      </c>
      <c r="D151">
        <v>5</v>
      </c>
      <c r="E151" t="s">
        <v>46</v>
      </c>
      <c r="F151">
        <v>4</v>
      </c>
      <c r="G151">
        <v>1</v>
      </c>
      <c r="H151">
        <v>3</v>
      </c>
      <c r="I151">
        <v>1</v>
      </c>
      <c r="J151" s="4" t="s">
        <v>55</v>
      </c>
      <c r="K151" t="str">
        <f t="shared" si="11"/>
        <v>1+3</v>
      </c>
      <c r="L151">
        <f>VLOOKUP(A151,'ZONE 1 PREMIUM'!$A$4:$N$16,14,0)</f>
        <v>4</v>
      </c>
      <c r="M151">
        <f>VLOOKUP(D151,DROPDOWN!B:C,2,0)</f>
        <v>4</v>
      </c>
      <c r="N151" t="str">
        <f t="shared" si="9"/>
        <v>AU50:BM61</v>
      </c>
      <c r="O151" s="4">
        <f t="shared" ca="1" si="10"/>
        <v>28127.25</v>
      </c>
      <c r="X151" s="2" t="s">
        <v>18</v>
      </c>
      <c r="Y151" s="141">
        <v>89582.7</v>
      </c>
      <c r="Z151" s="141">
        <v>109370.74999999999</v>
      </c>
      <c r="AA151" s="141">
        <v>135818.44999999998</v>
      </c>
      <c r="AB151" s="141">
        <v>155304.04999999999</v>
      </c>
      <c r="AC151" s="141">
        <v>168158.75</v>
      </c>
      <c r="AD151" s="141">
        <v>205222.09999999998</v>
      </c>
      <c r="AE151" s="141">
        <v>225396.55</v>
      </c>
      <c r="AF151" s="141">
        <v>240437.4</v>
      </c>
      <c r="AG151" s="141">
        <v>269799.19999999995</v>
      </c>
      <c r="AH151" s="141">
        <v>336883.3</v>
      </c>
      <c r="AI151" s="141">
        <v>585379.89999999991</v>
      </c>
      <c r="AJ151" s="141">
        <v>738981.95</v>
      </c>
      <c r="AK151" s="141">
        <v>915939.35</v>
      </c>
      <c r="AL151" s="141">
        <v>1078206.6499999999</v>
      </c>
      <c r="AM151" s="141">
        <v>1343372.5</v>
      </c>
      <c r="AN151" s="141">
        <v>1641519.2</v>
      </c>
      <c r="AO151" s="141">
        <v>1991083.5499999998</v>
      </c>
      <c r="AP151" s="141">
        <v>2786535.0999999996</v>
      </c>
      <c r="AT151" s="1"/>
      <c r="AU151" s="2" t="s">
        <v>18</v>
      </c>
      <c r="AV151" s="141">
        <v>79426.125</v>
      </c>
      <c r="AW151" s="141">
        <v>96950.25</v>
      </c>
      <c r="AX151" s="141">
        <v>120447</v>
      </c>
      <c r="AY151" s="141">
        <v>137702.25</v>
      </c>
      <c r="AZ151" s="141">
        <v>149085</v>
      </c>
      <c r="BA151" s="141">
        <v>181982.25</v>
      </c>
      <c r="BB151" s="141">
        <v>199847.25</v>
      </c>
      <c r="BC151" s="141">
        <v>213167.25</v>
      </c>
      <c r="BD151" s="141">
        <v>239168.25</v>
      </c>
      <c r="BE151" s="141">
        <v>298571.625</v>
      </c>
      <c r="BF151" s="141">
        <v>518622.75</v>
      </c>
      <c r="BG151" s="141">
        <v>654642</v>
      </c>
      <c r="BH151" s="141">
        <v>811343.25</v>
      </c>
      <c r="BI151" s="141">
        <v>955446.75</v>
      </c>
      <c r="BJ151" s="141">
        <v>1190260.125</v>
      </c>
      <c r="BK151" s="141">
        <v>1454277.375</v>
      </c>
      <c r="BL151" s="141">
        <v>1763826.75</v>
      </c>
      <c r="BM151" s="141">
        <v>2468223</v>
      </c>
      <c r="BQ151" s="1"/>
      <c r="BR151" s="2" t="s">
        <v>18</v>
      </c>
      <c r="BS151" s="141">
        <v>73244.600000000006</v>
      </c>
      <c r="BT151" s="141">
        <v>89392.6</v>
      </c>
      <c r="BU151" s="141">
        <v>111086.8</v>
      </c>
      <c r="BV151" s="141">
        <v>126987.30000000002</v>
      </c>
      <c r="BW151" s="141">
        <v>137476.90000000002</v>
      </c>
      <c r="BX151" s="141">
        <v>167833.60000000001</v>
      </c>
      <c r="BY151" s="141">
        <v>184296.2</v>
      </c>
      <c r="BZ151" s="141">
        <v>196570.00000000003</v>
      </c>
      <c r="CA151" s="141">
        <v>220530.2</v>
      </c>
      <c r="CB151" s="141">
        <v>275272.80000000005</v>
      </c>
      <c r="CC151" s="141">
        <v>478054.50000000006</v>
      </c>
      <c r="CD151" s="141">
        <v>603398.40000000002</v>
      </c>
      <c r="CE151" s="141">
        <v>747800.9</v>
      </c>
      <c r="CF151" s="141">
        <v>880811.8</v>
      </c>
      <c r="CG151" s="141">
        <v>1097196.1000000001</v>
      </c>
      <c r="CH151" s="141">
        <v>1340493</v>
      </c>
      <c r="CI151" s="141">
        <v>1625749.4000000001</v>
      </c>
      <c r="CJ151" s="141">
        <v>2274863.8000000003</v>
      </c>
      <c r="CN151" s="1"/>
      <c r="CO151" s="2" t="s">
        <v>18</v>
      </c>
      <c r="CP151" s="141">
        <v>67402.33</v>
      </c>
      <c r="CQ151" s="141">
        <v>82251.400000000009</v>
      </c>
      <c r="CR151" s="141">
        <v>102239.82</v>
      </c>
      <c r="CS151" s="141">
        <v>116861.08</v>
      </c>
      <c r="CT151" s="141">
        <v>126506.49</v>
      </c>
      <c r="CU151" s="141">
        <v>154460.63</v>
      </c>
      <c r="CV151" s="141">
        <v>169598.55000000002</v>
      </c>
      <c r="CW151" s="141">
        <v>180885.5</v>
      </c>
      <c r="CX151" s="141">
        <v>202917.67</v>
      </c>
      <c r="CY151" s="141">
        <v>253253.87000000002</v>
      </c>
      <c r="CZ151" s="141">
        <v>439716.9</v>
      </c>
      <c r="DA151" s="141">
        <v>554973.5</v>
      </c>
      <c r="DB151" s="141">
        <v>687756.21000000008</v>
      </c>
      <c r="DC151" s="141">
        <v>810280.93</v>
      </c>
      <c r="DD151" s="141">
        <v>1009251.7100000001</v>
      </c>
      <c r="DE151" s="141">
        <v>1232969.8500000001</v>
      </c>
      <c r="DF151" s="141">
        <v>1495269.6300000001</v>
      </c>
      <c r="DG151" s="141">
        <v>2092147.09</v>
      </c>
    </row>
    <row r="152" spans="1:111" ht="15" customHeight="1">
      <c r="A152" s="2" t="s">
        <v>14</v>
      </c>
      <c r="B152" t="s">
        <v>31</v>
      </c>
      <c r="C152" t="s">
        <v>32</v>
      </c>
      <c r="D152">
        <v>5</v>
      </c>
      <c r="E152" t="s">
        <v>46</v>
      </c>
      <c r="F152">
        <v>4</v>
      </c>
      <c r="G152">
        <v>1</v>
      </c>
      <c r="H152">
        <v>3</v>
      </c>
      <c r="I152">
        <v>1</v>
      </c>
      <c r="J152" s="4" t="s">
        <v>55</v>
      </c>
      <c r="K152" t="str">
        <f t="shared" si="11"/>
        <v>1+3</v>
      </c>
      <c r="L152">
        <f>VLOOKUP(A152,'ZONE 1 PREMIUM'!$A$4:$N$16,14,0)</f>
        <v>5</v>
      </c>
      <c r="M152">
        <f>VLOOKUP(D152,DROPDOWN!B:C,2,0)</f>
        <v>4</v>
      </c>
      <c r="N152" t="str">
        <f t="shared" si="9"/>
        <v>AU50:BM61</v>
      </c>
      <c r="O152" s="4">
        <f t="shared" ca="1" si="10"/>
        <v>31231.125</v>
      </c>
      <c r="X152" s="2" t="s">
        <v>19</v>
      </c>
      <c r="Y152" s="141">
        <v>114493.99999999999</v>
      </c>
      <c r="Z152" s="141">
        <v>139974.54999999999</v>
      </c>
      <c r="AA152" s="141">
        <v>174115.75</v>
      </c>
      <c r="AB152" s="141">
        <v>197111.15</v>
      </c>
      <c r="AC152" s="141">
        <v>213719.44999999998</v>
      </c>
      <c r="AD152" s="141">
        <v>259243.34999999998</v>
      </c>
      <c r="AE152" s="141">
        <v>285111.44999999995</v>
      </c>
      <c r="AF152" s="141">
        <v>306772.84999999998</v>
      </c>
      <c r="AG152" s="141">
        <v>344743.55</v>
      </c>
      <c r="AH152" s="141">
        <v>431136.14999999997</v>
      </c>
      <c r="AI152" s="141">
        <v>741085.29999999993</v>
      </c>
      <c r="AJ152" s="141">
        <v>938941.64999999991</v>
      </c>
      <c r="AK152" s="141">
        <v>1167661.7</v>
      </c>
      <c r="AL152" s="141">
        <v>1378607.3499999999</v>
      </c>
      <c r="AM152" s="141">
        <v>1721521.2499999998</v>
      </c>
      <c r="AN152" s="141">
        <v>2108129.4</v>
      </c>
      <c r="AO152" s="141">
        <v>2562312.6999999997</v>
      </c>
      <c r="AP152" s="141">
        <v>3593721.2499999995</v>
      </c>
      <c r="AT152" s="1"/>
      <c r="AU152" s="2" t="s">
        <v>19</v>
      </c>
      <c r="AV152" s="141">
        <v>101486.25</v>
      </c>
      <c r="AW152" s="141">
        <v>124050.375</v>
      </c>
      <c r="AX152" s="141">
        <v>154357.875</v>
      </c>
      <c r="AY152" s="141">
        <v>174721.5</v>
      </c>
      <c r="AZ152" s="141">
        <v>189428.625</v>
      </c>
      <c r="BA152" s="141">
        <v>229817.25</v>
      </c>
      <c r="BB152" s="141">
        <v>252729</v>
      </c>
      <c r="BC152" s="141">
        <v>271910.25</v>
      </c>
      <c r="BD152" s="141">
        <v>305534.25</v>
      </c>
      <c r="BE152" s="141">
        <v>382037.625</v>
      </c>
      <c r="BF152" s="141">
        <v>656516.25</v>
      </c>
      <c r="BG152" s="141">
        <v>831723.75</v>
      </c>
      <c r="BH152" s="141">
        <v>1034263.125</v>
      </c>
      <c r="BI152" s="141">
        <v>1221421.5</v>
      </c>
      <c r="BJ152" s="141">
        <v>1525081.5</v>
      </c>
      <c r="BK152" s="141">
        <v>1867434.75</v>
      </c>
      <c r="BL152" s="141">
        <v>2269627.875</v>
      </c>
      <c r="BM152" s="141">
        <v>3182970.375</v>
      </c>
      <c r="BQ152" s="1"/>
      <c r="BR152" s="2" t="s">
        <v>19</v>
      </c>
      <c r="BS152" s="141">
        <v>93572.6</v>
      </c>
      <c r="BT152" s="141">
        <v>114365.90000000001</v>
      </c>
      <c r="BU152" s="141">
        <v>142335.6</v>
      </c>
      <c r="BV152" s="141">
        <v>161100.5</v>
      </c>
      <c r="BW152" s="141">
        <v>174653.6</v>
      </c>
      <c r="BX152" s="141">
        <v>211912.80000000002</v>
      </c>
      <c r="BY152" s="141">
        <v>233028.40000000002</v>
      </c>
      <c r="BZ152" s="141">
        <v>250704.30000000002</v>
      </c>
      <c r="CA152" s="141">
        <v>281689.10000000003</v>
      </c>
      <c r="CB152" s="141">
        <v>352189.2</v>
      </c>
      <c r="CC152" s="141">
        <v>605130.9</v>
      </c>
      <c r="CD152" s="141">
        <v>766588.9</v>
      </c>
      <c r="CE152" s="141">
        <v>953231.4</v>
      </c>
      <c r="CF152" s="141">
        <v>1125890.7000000002</v>
      </c>
      <c r="CG152" s="141">
        <v>1405719.7000000002</v>
      </c>
      <c r="CH152" s="141">
        <v>1721204.1</v>
      </c>
      <c r="CI152" s="141">
        <v>2091832.6</v>
      </c>
      <c r="CJ152" s="141">
        <v>2933495.4000000004</v>
      </c>
      <c r="CN152" s="1"/>
      <c r="CO152" s="2" t="s">
        <v>19</v>
      </c>
      <c r="CP152" s="141">
        <v>86094.74</v>
      </c>
      <c r="CQ152" s="141">
        <v>105214.43000000001</v>
      </c>
      <c r="CR152" s="141">
        <v>130973.31000000001</v>
      </c>
      <c r="CS152" s="141">
        <v>148228.01</v>
      </c>
      <c r="CT152" s="141">
        <v>160691.07</v>
      </c>
      <c r="CU152" s="141">
        <v>194991.19</v>
      </c>
      <c r="CV152" s="141">
        <v>214410.63</v>
      </c>
      <c r="CW152" s="141">
        <v>230663.62000000002</v>
      </c>
      <c r="CX152" s="141">
        <v>259155.13</v>
      </c>
      <c r="CY152" s="141">
        <v>323981.79000000004</v>
      </c>
      <c r="CZ152" s="141">
        <v>556573.62</v>
      </c>
      <c r="DA152" s="141">
        <v>705037.07000000007</v>
      </c>
      <c r="DB152" s="141">
        <v>876660.84000000008</v>
      </c>
      <c r="DC152" s="141">
        <v>1035615.54</v>
      </c>
      <c r="DD152" s="141">
        <v>1292925.3</v>
      </c>
      <c r="DE152" s="141">
        <v>1583022.26</v>
      </c>
      <c r="DF152" s="141">
        <v>1923823.84</v>
      </c>
      <c r="DG152" s="141">
        <v>2697753.27</v>
      </c>
    </row>
    <row r="153" spans="1:111" ht="15" customHeight="1">
      <c r="A153" s="2" t="s">
        <v>15</v>
      </c>
      <c r="B153" t="s">
        <v>33</v>
      </c>
      <c r="C153" t="s">
        <v>34</v>
      </c>
      <c r="D153">
        <v>5</v>
      </c>
      <c r="E153" t="s">
        <v>46</v>
      </c>
      <c r="F153">
        <v>4</v>
      </c>
      <c r="G153">
        <v>1</v>
      </c>
      <c r="H153">
        <v>3</v>
      </c>
      <c r="I153">
        <v>1</v>
      </c>
      <c r="J153" s="4" t="s">
        <v>55</v>
      </c>
      <c r="K153" t="str">
        <f t="shared" si="11"/>
        <v>1+3</v>
      </c>
      <c r="L153">
        <f>VLOOKUP(A153,'ZONE 1 PREMIUM'!$A$4:$N$16,14,0)</f>
        <v>6</v>
      </c>
      <c r="M153">
        <f>VLOOKUP(D153,DROPDOWN!B:C,2,0)</f>
        <v>4</v>
      </c>
      <c r="N153" t="str">
        <f t="shared" si="9"/>
        <v>AU50:BM61</v>
      </c>
      <c r="O153" s="4">
        <f t="shared" ca="1" si="10"/>
        <v>38050.875</v>
      </c>
      <c r="X153" s="2" t="s">
        <v>20</v>
      </c>
      <c r="Y153" s="141">
        <v>138336.94999999998</v>
      </c>
      <c r="Z153" s="141">
        <v>169313.34999999998</v>
      </c>
      <c r="AA153" s="141">
        <v>210984.74999999997</v>
      </c>
      <c r="AB153" s="141">
        <v>237365.74999999997</v>
      </c>
      <c r="AC153" s="141">
        <v>257680.49999999997</v>
      </c>
      <c r="AD153" s="141">
        <v>311982.34999999998</v>
      </c>
      <c r="AE153" s="141">
        <v>343487.75</v>
      </c>
      <c r="AF153" s="141">
        <v>371256.8</v>
      </c>
      <c r="AG153" s="141">
        <v>417747.85</v>
      </c>
      <c r="AH153" s="141">
        <v>523121.19999999995</v>
      </c>
      <c r="AI153" s="141">
        <v>881221.99999999988</v>
      </c>
      <c r="AJ153" s="141">
        <v>1122006.7</v>
      </c>
      <c r="AK153" s="141">
        <v>1401195.65</v>
      </c>
      <c r="AL153" s="141">
        <v>1672860.15</v>
      </c>
      <c r="AM153" s="141">
        <v>2092792.9999999998</v>
      </c>
      <c r="AN153" s="141">
        <v>2567366.9499999997</v>
      </c>
      <c r="AO153" s="141">
        <v>3125889.7499999995</v>
      </c>
      <c r="AP153" s="141">
        <v>4391856.8999999994</v>
      </c>
      <c r="AT153" s="1"/>
      <c r="AU153" s="2" t="s">
        <v>20</v>
      </c>
      <c r="AV153" s="141">
        <v>122601.375</v>
      </c>
      <c r="AW153" s="141">
        <v>150031.125</v>
      </c>
      <c r="AX153" s="141">
        <v>187009.875</v>
      </c>
      <c r="AY153" s="141">
        <v>210370.5</v>
      </c>
      <c r="AZ153" s="141">
        <v>228359.25</v>
      </c>
      <c r="BA153" s="141">
        <v>276521.625</v>
      </c>
      <c r="BB153" s="141">
        <v>304427.25</v>
      </c>
      <c r="BC153" s="141">
        <v>329017.5</v>
      </c>
      <c r="BD153" s="141">
        <v>370186.875</v>
      </c>
      <c r="BE153" s="141">
        <v>463497.75</v>
      </c>
      <c r="BF153" s="141">
        <v>780621.75</v>
      </c>
      <c r="BG153" s="141">
        <v>993843</v>
      </c>
      <c r="BH153" s="141">
        <v>1241074.125</v>
      </c>
      <c r="BI153" s="141">
        <v>1481986.125</v>
      </c>
      <c r="BJ153" s="141">
        <v>1853849.25</v>
      </c>
      <c r="BK153" s="141">
        <v>2274098.625</v>
      </c>
      <c r="BL153" s="141">
        <v>2768686.875</v>
      </c>
      <c r="BM153" s="141">
        <v>3889738.125</v>
      </c>
      <c r="BQ153" s="1"/>
      <c r="BR153" s="2" t="s">
        <v>20</v>
      </c>
      <c r="BS153" s="141">
        <v>113031.6</v>
      </c>
      <c r="BT153" s="141">
        <v>138309.6</v>
      </c>
      <c r="BU153" s="141">
        <v>172425</v>
      </c>
      <c r="BV153" s="141">
        <v>193953.1</v>
      </c>
      <c r="BW153" s="141">
        <v>210530.1</v>
      </c>
      <c r="BX153" s="141">
        <v>254951.40000000002</v>
      </c>
      <c r="BY153" s="141">
        <v>280671.60000000003</v>
      </c>
      <c r="BZ153" s="141">
        <v>303331.60000000003</v>
      </c>
      <c r="CA153" s="141">
        <v>341269.5</v>
      </c>
      <c r="CB153" s="141">
        <v>427258.7</v>
      </c>
      <c r="CC153" s="141">
        <v>719502.3</v>
      </c>
      <c r="CD153" s="141">
        <v>915989.8</v>
      </c>
      <c r="CE153" s="141">
        <v>1143817.4000000001</v>
      </c>
      <c r="CF153" s="141">
        <v>1366003.1</v>
      </c>
      <c r="CG153" s="141">
        <v>1708682.8</v>
      </c>
      <c r="CH153" s="141">
        <v>2095949.9000000001</v>
      </c>
      <c r="CI153" s="141">
        <v>2551723.9000000004</v>
      </c>
      <c r="CJ153" s="141">
        <v>3584793.3000000003</v>
      </c>
      <c r="CN153" s="1"/>
      <c r="CO153" s="2" t="s">
        <v>20</v>
      </c>
      <c r="CP153" s="141">
        <v>103989.27</v>
      </c>
      <c r="CQ153" s="141">
        <v>127232.43000000001</v>
      </c>
      <c r="CR153" s="141">
        <v>158642.96000000002</v>
      </c>
      <c r="CS153" s="141">
        <v>178437.36000000002</v>
      </c>
      <c r="CT153" s="141">
        <v>193681.01</v>
      </c>
      <c r="CU153" s="141">
        <v>234569.09000000003</v>
      </c>
      <c r="CV153" s="141">
        <v>258223.18000000002</v>
      </c>
      <c r="CW153" s="141">
        <v>279059.62</v>
      </c>
      <c r="CX153" s="141">
        <v>313943.98000000004</v>
      </c>
      <c r="CY153" s="141">
        <v>393012.58</v>
      </c>
      <c r="CZ153" s="141">
        <v>661745.54</v>
      </c>
      <c r="DA153" s="141">
        <v>842420.67</v>
      </c>
      <c r="DB153" s="141">
        <v>1051914.31</v>
      </c>
      <c r="DC153" s="141">
        <v>1256403.76</v>
      </c>
      <c r="DD153" s="141">
        <v>1571505.32</v>
      </c>
      <c r="DE153" s="141">
        <v>1927607.2300000002</v>
      </c>
      <c r="DF153" s="141">
        <v>2346702.4200000004</v>
      </c>
      <c r="DG153" s="141">
        <v>3296636.33</v>
      </c>
    </row>
    <row r="154" spans="1:111">
      <c r="A154" s="2" t="s">
        <v>16</v>
      </c>
      <c r="B154" t="s">
        <v>35</v>
      </c>
      <c r="C154" t="s">
        <v>36</v>
      </c>
      <c r="D154">
        <v>5</v>
      </c>
      <c r="E154" t="s">
        <v>46</v>
      </c>
      <c r="F154">
        <v>4</v>
      </c>
      <c r="G154">
        <v>1</v>
      </c>
      <c r="H154">
        <v>3</v>
      </c>
      <c r="I154">
        <v>1</v>
      </c>
      <c r="J154" s="4" t="s">
        <v>55</v>
      </c>
      <c r="K154" t="str">
        <f t="shared" si="11"/>
        <v>1+3</v>
      </c>
      <c r="L154">
        <f>VLOOKUP(A154,'ZONE 1 PREMIUM'!$A$4:$N$16,14,0)</f>
        <v>7</v>
      </c>
      <c r="M154">
        <f>VLOOKUP(D154,DROPDOWN!B:C,2,0)</f>
        <v>4</v>
      </c>
      <c r="N154" t="str">
        <f t="shared" si="9"/>
        <v>AU50:BM61</v>
      </c>
      <c r="O154" s="4">
        <f t="shared" ca="1" si="10"/>
        <v>47882.25</v>
      </c>
      <c r="X154" s="2" t="s">
        <v>21</v>
      </c>
      <c r="Y154" s="141">
        <v>172044.59999999998</v>
      </c>
      <c r="Z154" s="141">
        <v>210809.94999999998</v>
      </c>
      <c r="AA154" s="141">
        <v>263140.69999999995</v>
      </c>
      <c r="AB154" s="141">
        <v>296725.3</v>
      </c>
      <c r="AC154" s="141">
        <v>322562.34999999998</v>
      </c>
      <c r="AD154" s="141">
        <v>389854.6</v>
      </c>
      <c r="AE154" s="141">
        <v>429697.49999999994</v>
      </c>
      <c r="AF154" s="141">
        <v>464972.6</v>
      </c>
      <c r="AG154" s="141">
        <v>523958.39999999997</v>
      </c>
      <c r="AH154" s="141">
        <v>657084.69999999995</v>
      </c>
      <c r="AI154" s="141">
        <v>1079212.8999999999</v>
      </c>
      <c r="AJ154" s="141">
        <v>1382516.2</v>
      </c>
      <c r="AK154" s="141">
        <v>1735387.95</v>
      </c>
      <c r="AL154" s="141">
        <v>2102237.9499999997</v>
      </c>
      <c r="AM154" s="141">
        <v>2635162.9</v>
      </c>
      <c r="AN154" s="141">
        <v>3239007.1999999997</v>
      </c>
      <c r="AO154" s="141">
        <v>3951069.9499999997</v>
      </c>
      <c r="AP154" s="141">
        <v>5561690.9499999993</v>
      </c>
      <c r="AT154" s="1"/>
      <c r="AU154" s="2" t="s">
        <v>21</v>
      </c>
      <c r="AV154" s="141">
        <v>152449.875</v>
      </c>
      <c r="AW154" s="141">
        <v>186779.25</v>
      </c>
      <c r="AX154" s="141">
        <v>233194.5</v>
      </c>
      <c r="AY154" s="141">
        <v>262935</v>
      </c>
      <c r="AZ154" s="141">
        <v>285815.25</v>
      </c>
      <c r="BA154" s="141">
        <v>345479.625</v>
      </c>
      <c r="BB154" s="141">
        <v>380768.625</v>
      </c>
      <c r="BC154" s="141">
        <v>412006.5</v>
      </c>
      <c r="BD154" s="141">
        <v>464240.25</v>
      </c>
      <c r="BE154" s="141">
        <v>582126.75</v>
      </c>
      <c r="BF154" s="141">
        <v>955948.5</v>
      </c>
      <c r="BG154" s="141">
        <v>1224532.125</v>
      </c>
      <c r="BH154" s="141">
        <v>1537011</v>
      </c>
      <c r="BI154" s="141">
        <v>1862214.75</v>
      </c>
      <c r="BJ154" s="141">
        <v>2334135.375</v>
      </c>
      <c r="BK154" s="141">
        <v>2868856.875</v>
      </c>
      <c r="BL154" s="141">
        <v>3499410.375</v>
      </c>
      <c r="BM154" s="141">
        <v>4925662.875</v>
      </c>
      <c r="BQ154" s="1"/>
      <c r="BR154" s="2" t="s">
        <v>21</v>
      </c>
      <c r="BS154" s="141">
        <v>140538.20000000001</v>
      </c>
      <c r="BT154" s="141">
        <v>172173.1</v>
      </c>
      <c r="BU154" s="141">
        <v>214986.2</v>
      </c>
      <c r="BV154" s="141">
        <v>242392.7</v>
      </c>
      <c r="BW154" s="141">
        <v>263476.40000000002</v>
      </c>
      <c r="BX154" s="141">
        <v>318498.40000000002</v>
      </c>
      <c r="BY154" s="141">
        <v>351022.10000000003</v>
      </c>
      <c r="BZ154" s="141">
        <v>379808.00000000006</v>
      </c>
      <c r="CA154" s="141">
        <v>427942.9</v>
      </c>
      <c r="CB154" s="141">
        <v>536577.80000000005</v>
      </c>
      <c r="CC154" s="141">
        <v>881069.20000000007</v>
      </c>
      <c r="CD154" s="141">
        <v>1128574.7000000002</v>
      </c>
      <c r="CE154" s="141">
        <v>1416529.4000000001</v>
      </c>
      <c r="CF154" s="141">
        <v>1716391.6</v>
      </c>
      <c r="CG154" s="141">
        <v>2151276.6</v>
      </c>
      <c r="CH154" s="141">
        <v>2644032.6</v>
      </c>
      <c r="CI154" s="141">
        <v>3225099.9000000004</v>
      </c>
      <c r="CJ154" s="141">
        <v>4539418.4000000004</v>
      </c>
      <c r="CN154" s="1"/>
      <c r="CO154" s="2" t="s">
        <v>21</v>
      </c>
      <c r="CP154" s="141">
        <v>129281.63</v>
      </c>
      <c r="CQ154" s="141">
        <v>158370.46000000002</v>
      </c>
      <c r="CR154" s="141">
        <v>197778.32</v>
      </c>
      <c r="CS154" s="141">
        <v>222979.12000000002</v>
      </c>
      <c r="CT154" s="141">
        <v>242366.95</v>
      </c>
      <c r="CU154" s="141">
        <v>293001.81</v>
      </c>
      <c r="CV154" s="141">
        <v>322911.41000000003</v>
      </c>
      <c r="CW154" s="141">
        <v>349380.97000000003</v>
      </c>
      <c r="CX154" s="141">
        <v>393641.51</v>
      </c>
      <c r="CY154" s="141">
        <v>493534.56000000006</v>
      </c>
      <c r="CZ154" s="141">
        <v>810310.3600000001</v>
      </c>
      <c r="DA154" s="141">
        <v>1037898.0000000001</v>
      </c>
      <c r="DB154" s="141">
        <v>1302679.7100000002</v>
      </c>
      <c r="DC154" s="141">
        <v>1578595.77</v>
      </c>
      <c r="DD154" s="141">
        <v>1978481.8900000001</v>
      </c>
      <c r="DE154" s="141">
        <v>2431583.9900000002</v>
      </c>
      <c r="DF154" s="141">
        <v>2965888.91</v>
      </c>
      <c r="DG154" s="141">
        <v>4174438.4000000004</v>
      </c>
    </row>
    <row r="155" spans="1:111">
      <c r="A155" s="2" t="s">
        <v>17</v>
      </c>
      <c r="B155" t="s">
        <v>37</v>
      </c>
      <c r="C155" t="s">
        <v>38</v>
      </c>
      <c r="D155">
        <v>5</v>
      </c>
      <c r="E155" t="s">
        <v>46</v>
      </c>
      <c r="F155">
        <v>4</v>
      </c>
      <c r="G155">
        <v>1</v>
      </c>
      <c r="H155">
        <v>3</v>
      </c>
      <c r="I155">
        <v>1</v>
      </c>
      <c r="J155" s="4" t="s">
        <v>55</v>
      </c>
      <c r="K155" t="str">
        <f t="shared" si="11"/>
        <v>1+3</v>
      </c>
      <c r="L155">
        <f>VLOOKUP(A155,'ZONE 1 PREMIUM'!$A$4:$N$16,14,0)</f>
        <v>8</v>
      </c>
      <c r="M155">
        <f>VLOOKUP(D155,DROPDOWN!B:C,2,0)</f>
        <v>4</v>
      </c>
      <c r="N155" t="str">
        <f t="shared" si="9"/>
        <v>AU50:BM61</v>
      </c>
      <c r="O155" s="4">
        <f t="shared" ca="1" si="10"/>
        <v>60060.375</v>
      </c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</row>
    <row r="156" spans="1:111">
      <c r="A156" s="2" t="s">
        <v>18</v>
      </c>
      <c r="B156" t="s">
        <v>39</v>
      </c>
      <c r="C156" t="s">
        <v>40</v>
      </c>
      <c r="D156">
        <v>5</v>
      </c>
      <c r="E156" t="s">
        <v>46</v>
      </c>
      <c r="F156">
        <v>4</v>
      </c>
      <c r="G156">
        <v>1</v>
      </c>
      <c r="H156">
        <v>3</v>
      </c>
      <c r="I156">
        <v>1</v>
      </c>
      <c r="J156" s="4" t="s">
        <v>55</v>
      </c>
      <c r="K156" t="str">
        <f t="shared" si="11"/>
        <v>1+3</v>
      </c>
      <c r="L156">
        <f>VLOOKUP(A156,'ZONE 1 PREMIUM'!$A$4:$N$16,14,0)</f>
        <v>9</v>
      </c>
      <c r="M156">
        <f>VLOOKUP(D156,DROPDOWN!B:C,2,0)</f>
        <v>4</v>
      </c>
      <c r="N156" t="str">
        <f t="shared" si="9"/>
        <v>AU50:BM61</v>
      </c>
      <c r="O156" s="4">
        <f t="shared" ca="1" si="10"/>
        <v>75606.75</v>
      </c>
    </row>
    <row r="157" spans="1:111">
      <c r="A157" s="2" t="s">
        <v>19</v>
      </c>
      <c r="B157" t="s">
        <v>41</v>
      </c>
      <c r="C157" t="s">
        <v>42</v>
      </c>
      <c r="D157">
        <v>5</v>
      </c>
      <c r="E157" t="s">
        <v>46</v>
      </c>
      <c r="F157">
        <v>4</v>
      </c>
      <c r="G157">
        <v>1</v>
      </c>
      <c r="H157">
        <v>3</v>
      </c>
      <c r="I157">
        <v>1</v>
      </c>
      <c r="J157" s="4" t="s">
        <v>55</v>
      </c>
      <c r="K157" t="str">
        <f t="shared" si="11"/>
        <v>1+3</v>
      </c>
      <c r="L157">
        <f>VLOOKUP(A157,'ZONE 1 PREMIUM'!$A$4:$N$16,14,0)</f>
        <v>10</v>
      </c>
      <c r="M157">
        <f>VLOOKUP(D157,DROPDOWN!B:C,2,0)</f>
        <v>4</v>
      </c>
      <c r="N157" t="str">
        <f t="shared" si="9"/>
        <v>AU50:BM61</v>
      </c>
      <c r="O157" s="4">
        <f t="shared" ca="1" si="10"/>
        <v>94947.75</v>
      </c>
    </row>
    <row r="158" spans="1:111">
      <c r="A158" s="2" t="s">
        <v>20</v>
      </c>
      <c r="B158" t="s">
        <v>43</v>
      </c>
      <c r="C158" t="s">
        <v>44</v>
      </c>
      <c r="D158">
        <v>5</v>
      </c>
      <c r="E158" t="s">
        <v>46</v>
      </c>
      <c r="F158">
        <v>4</v>
      </c>
      <c r="G158">
        <v>1</v>
      </c>
      <c r="H158">
        <v>3</v>
      </c>
      <c r="I158">
        <v>1</v>
      </c>
      <c r="J158" s="4" t="s">
        <v>55</v>
      </c>
      <c r="K158" t="str">
        <f t="shared" si="11"/>
        <v>1+3</v>
      </c>
      <c r="L158">
        <f>VLOOKUP(A158,'ZONE 1 PREMIUM'!$A$4:$N$16,14,0)</f>
        <v>11</v>
      </c>
      <c r="M158">
        <f>VLOOKUP(D158,DROPDOWN!B:C,2,0)</f>
        <v>4</v>
      </c>
      <c r="N158" t="str">
        <f t="shared" si="9"/>
        <v>AU50:BM61</v>
      </c>
      <c r="O158" s="4">
        <f t="shared" ca="1" si="10"/>
        <v>110584.125</v>
      </c>
    </row>
    <row r="159" spans="1:111">
      <c r="A159" s="2" t="s">
        <v>21</v>
      </c>
      <c r="B159" t="s">
        <v>22</v>
      </c>
      <c r="D159">
        <v>5</v>
      </c>
      <c r="E159" t="s">
        <v>46</v>
      </c>
      <c r="F159">
        <v>4</v>
      </c>
      <c r="G159">
        <v>1</v>
      </c>
      <c r="H159">
        <v>3</v>
      </c>
      <c r="I159">
        <v>1</v>
      </c>
      <c r="J159" s="4" t="s">
        <v>55</v>
      </c>
      <c r="K159" t="str">
        <f t="shared" si="11"/>
        <v>1+3</v>
      </c>
      <c r="L159">
        <f>VLOOKUP(A159,'ZONE 1 PREMIUM'!$A$4:$N$16,14,0)</f>
        <v>12</v>
      </c>
      <c r="M159">
        <f>VLOOKUP(D159,DROPDOWN!B:C,2,0)</f>
        <v>4</v>
      </c>
      <c r="N159" t="str">
        <f t="shared" si="9"/>
        <v>AU50:BM61</v>
      </c>
      <c r="O159" s="4">
        <f t="shared" ca="1" si="10"/>
        <v>142716.375</v>
      </c>
    </row>
    <row r="160" spans="1:111">
      <c r="A160" s="2" t="s">
        <v>11</v>
      </c>
      <c r="B160" t="s">
        <v>45</v>
      </c>
      <c r="C160" t="s">
        <v>25</v>
      </c>
      <c r="D160">
        <v>5</v>
      </c>
      <c r="E160" t="s">
        <v>46</v>
      </c>
      <c r="F160">
        <v>5</v>
      </c>
      <c r="G160">
        <v>1</v>
      </c>
      <c r="H160">
        <v>4</v>
      </c>
      <c r="I160">
        <v>1</v>
      </c>
      <c r="J160" s="4" t="s">
        <v>55</v>
      </c>
      <c r="K160" t="str">
        <f t="shared" si="11"/>
        <v>1+4</v>
      </c>
      <c r="L160">
        <f>VLOOKUP(A160,'ZONE 1 PREMIUM'!$A$4:$N$16,14,0)</f>
        <v>2</v>
      </c>
      <c r="M160">
        <f>VLOOKUP(D160,DROPDOWN!B:C,2,0)</f>
        <v>4</v>
      </c>
      <c r="N160" t="str">
        <f t="shared" si="9"/>
        <v>AU65:BM76</v>
      </c>
      <c r="O160" s="4">
        <f t="shared" ca="1" si="10"/>
        <v>27250.875</v>
      </c>
    </row>
    <row r="161" spans="1:15">
      <c r="A161" s="2" t="s">
        <v>12</v>
      </c>
      <c r="B161" t="s">
        <v>27</v>
      </c>
      <c r="C161" t="s">
        <v>28</v>
      </c>
      <c r="D161">
        <v>5</v>
      </c>
      <c r="E161" t="s">
        <v>46</v>
      </c>
      <c r="F161">
        <v>5</v>
      </c>
      <c r="G161">
        <v>1</v>
      </c>
      <c r="H161">
        <v>4</v>
      </c>
      <c r="I161">
        <v>1</v>
      </c>
      <c r="J161" s="4" t="s">
        <v>55</v>
      </c>
      <c r="K161" t="str">
        <f t="shared" si="11"/>
        <v>1+4</v>
      </c>
      <c r="L161">
        <f>VLOOKUP(A161,'ZONE 1 PREMIUM'!$A$4:$N$16,14,0)</f>
        <v>3</v>
      </c>
      <c r="M161">
        <f>VLOOKUP(D161,DROPDOWN!B:C,2,0)</f>
        <v>4</v>
      </c>
      <c r="N161" t="str">
        <f t="shared" si="9"/>
        <v>AU65:BM76</v>
      </c>
      <c r="O161" s="4">
        <f t="shared" ca="1" si="10"/>
        <v>28506.375</v>
      </c>
    </row>
    <row r="162" spans="1:15">
      <c r="A162" s="2" t="s">
        <v>13</v>
      </c>
      <c r="B162" t="s">
        <v>29</v>
      </c>
      <c r="C162" t="s">
        <v>30</v>
      </c>
      <c r="D162">
        <v>5</v>
      </c>
      <c r="E162" t="s">
        <v>46</v>
      </c>
      <c r="F162">
        <v>5</v>
      </c>
      <c r="G162">
        <v>1</v>
      </c>
      <c r="H162">
        <v>4</v>
      </c>
      <c r="I162">
        <v>1</v>
      </c>
      <c r="J162" s="4" t="s">
        <v>55</v>
      </c>
      <c r="K162" t="str">
        <f t="shared" si="11"/>
        <v>1+4</v>
      </c>
      <c r="L162">
        <f>VLOOKUP(A162,'ZONE 1 PREMIUM'!$A$4:$N$16,14,0)</f>
        <v>4</v>
      </c>
      <c r="M162">
        <f>VLOOKUP(D162,DROPDOWN!B:C,2,0)</f>
        <v>4</v>
      </c>
      <c r="N162" t="str">
        <f t="shared" si="9"/>
        <v>AU65:BM76</v>
      </c>
      <c r="O162" s="4">
        <f t="shared" ca="1" si="10"/>
        <v>32926.5</v>
      </c>
    </row>
    <row r="163" spans="1:15">
      <c r="A163" s="2" t="s">
        <v>14</v>
      </c>
      <c r="B163" t="s">
        <v>31</v>
      </c>
      <c r="C163" t="s">
        <v>32</v>
      </c>
      <c r="D163">
        <v>5</v>
      </c>
      <c r="E163" t="s">
        <v>46</v>
      </c>
      <c r="F163">
        <v>5</v>
      </c>
      <c r="G163">
        <v>1</v>
      </c>
      <c r="H163">
        <v>4</v>
      </c>
      <c r="I163">
        <v>1</v>
      </c>
      <c r="J163" s="4" t="s">
        <v>55</v>
      </c>
      <c r="K163" t="str">
        <f t="shared" si="11"/>
        <v>1+4</v>
      </c>
      <c r="L163">
        <f>VLOOKUP(A163,'ZONE 1 PREMIUM'!$A$4:$N$16,14,0)</f>
        <v>5</v>
      </c>
      <c r="M163">
        <f>VLOOKUP(D163,DROPDOWN!B:C,2,0)</f>
        <v>4</v>
      </c>
      <c r="N163" t="str">
        <f t="shared" si="9"/>
        <v>AU65:BM76</v>
      </c>
      <c r="O163" s="4">
        <f t="shared" ca="1" si="10"/>
        <v>36334.125</v>
      </c>
    </row>
    <row r="164" spans="1:15">
      <c r="A164" s="2" t="s">
        <v>15</v>
      </c>
      <c r="B164" t="s">
        <v>33</v>
      </c>
      <c r="C164" t="s">
        <v>34</v>
      </c>
      <c r="D164">
        <v>5</v>
      </c>
      <c r="E164" t="s">
        <v>46</v>
      </c>
      <c r="F164">
        <v>5</v>
      </c>
      <c r="G164">
        <v>1</v>
      </c>
      <c r="H164">
        <v>4</v>
      </c>
      <c r="I164">
        <v>1</v>
      </c>
      <c r="J164" s="4" t="s">
        <v>55</v>
      </c>
      <c r="K164" t="str">
        <f t="shared" si="11"/>
        <v>1+4</v>
      </c>
      <c r="L164">
        <f>VLOOKUP(A164,'ZONE 1 PREMIUM'!$A$4:$N$16,14,0)</f>
        <v>6</v>
      </c>
      <c r="M164">
        <f>VLOOKUP(D164,DROPDOWN!B:C,2,0)</f>
        <v>4</v>
      </c>
      <c r="N164" t="str">
        <f t="shared" si="9"/>
        <v>AU65:BM76</v>
      </c>
      <c r="O164" s="4">
        <f t="shared" ca="1" si="10"/>
        <v>43772.625</v>
      </c>
    </row>
    <row r="165" spans="1:15">
      <c r="A165" s="2" t="s">
        <v>16</v>
      </c>
      <c r="B165" t="s">
        <v>35</v>
      </c>
      <c r="C165" t="s">
        <v>36</v>
      </c>
      <c r="D165">
        <v>5</v>
      </c>
      <c r="E165" t="s">
        <v>46</v>
      </c>
      <c r="F165">
        <v>5</v>
      </c>
      <c r="G165">
        <v>1</v>
      </c>
      <c r="H165">
        <v>4</v>
      </c>
      <c r="I165">
        <v>1</v>
      </c>
      <c r="J165" s="4" t="s">
        <v>55</v>
      </c>
      <c r="K165" t="str">
        <f t="shared" si="11"/>
        <v>1+4</v>
      </c>
      <c r="L165">
        <f>VLOOKUP(A165,'ZONE 1 PREMIUM'!$A$4:$N$16,14,0)</f>
        <v>7</v>
      </c>
      <c r="M165">
        <f>VLOOKUP(D165,DROPDOWN!B:C,2,0)</f>
        <v>4</v>
      </c>
      <c r="N165" t="str">
        <f t="shared" si="9"/>
        <v>AU65:BM76</v>
      </c>
      <c r="O165" s="4">
        <f t="shared" ca="1" si="10"/>
        <v>53196.75</v>
      </c>
    </row>
    <row r="166" spans="1:15">
      <c r="A166" s="2" t="s">
        <v>17</v>
      </c>
      <c r="B166" t="s">
        <v>37</v>
      </c>
      <c r="C166" t="s">
        <v>38</v>
      </c>
      <c r="D166">
        <v>5</v>
      </c>
      <c r="E166" t="s">
        <v>46</v>
      </c>
      <c r="F166">
        <v>5</v>
      </c>
      <c r="G166">
        <v>1</v>
      </c>
      <c r="H166">
        <v>4</v>
      </c>
      <c r="I166">
        <v>1</v>
      </c>
      <c r="J166" s="4" t="s">
        <v>55</v>
      </c>
      <c r="K166" t="str">
        <f t="shared" si="11"/>
        <v>1+4</v>
      </c>
      <c r="L166">
        <f>VLOOKUP(A166,'ZONE 1 PREMIUM'!$A$4:$N$16,14,0)</f>
        <v>8</v>
      </c>
      <c r="M166">
        <f>VLOOKUP(D166,DROPDOWN!B:C,2,0)</f>
        <v>4</v>
      </c>
      <c r="N166" t="str">
        <f t="shared" si="9"/>
        <v>AU65:BM76</v>
      </c>
      <c r="O166" s="4">
        <f t="shared" ca="1" si="10"/>
        <v>65187</v>
      </c>
    </row>
    <row r="167" spans="1:15">
      <c r="A167" s="2" t="s">
        <v>18</v>
      </c>
      <c r="B167" t="s">
        <v>39</v>
      </c>
      <c r="C167" t="s">
        <v>40</v>
      </c>
      <c r="D167">
        <v>5</v>
      </c>
      <c r="E167" t="s">
        <v>46</v>
      </c>
      <c r="F167">
        <v>5</v>
      </c>
      <c r="G167">
        <v>1</v>
      </c>
      <c r="H167">
        <v>4</v>
      </c>
      <c r="I167">
        <v>1</v>
      </c>
      <c r="J167" s="4" t="s">
        <v>55</v>
      </c>
      <c r="K167" t="str">
        <f t="shared" si="11"/>
        <v>1+4</v>
      </c>
      <c r="L167">
        <f>VLOOKUP(A167,'ZONE 1 PREMIUM'!$A$4:$N$16,14,0)</f>
        <v>9</v>
      </c>
      <c r="M167">
        <f>VLOOKUP(D167,DROPDOWN!B:C,2,0)</f>
        <v>4</v>
      </c>
      <c r="N167" t="str">
        <f t="shared" si="9"/>
        <v>AU65:BM76</v>
      </c>
      <c r="O167" s="4">
        <f t="shared" ca="1" si="10"/>
        <v>80893.125</v>
      </c>
    </row>
    <row r="168" spans="1:15">
      <c r="A168" s="2" t="s">
        <v>19</v>
      </c>
      <c r="B168" t="s">
        <v>41</v>
      </c>
      <c r="C168" t="s">
        <v>42</v>
      </c>
      <c r="D168">
        <v>5</v>
      </c>
      <c r="E168" t="s">
        <v>46</v>
      </c>
      <c r="F168">
        <v>5</v>
      </c>
      <c r="G168">
        <v>1</v>
      </c>
      <c r="H168">
        <v>4</v>
      </c>
      <c r="I168">
        <v>1</v>
      </c>
      <c r="J168" s="4" t="s">
        <v>55</v>
      </c>
      <c r="K168" t="str">
        <f t="shared" si="11"/>
        <v>1+4</v>
      </c>
      <c r="L168">
        <f>VLOOKUP(A168,'ZONE 1 PREMIUM'!$A$4:$N$16,14,0)</f>
        <v>10</v>
      </c>
      <c r="M168">
        <f>VLOOKUP(D168,DROPDOWN!B:C,2,0)</f>
        <v>4</v>
      </c>
      <c r="N168" t="str">
        <f t="shared" si="9"/>
        <v>AU65:BM76</v>
      </c>
      <c r="O168" s="4">
        <f t="shared" ca="1" si="10"/>
        <v>100095.75</v>
      </c>
    </row>
    <row r="169" spans="1:15">
      <c r="A169" s="2" t="s">
        <v>20</v>
      </c>
      <c r="B169" t="s">
        <v>43</v>
      </c>
      <c r="C169" t="s">
        <v>44</v>
      </c>
      <c r="D169">
        <v>5</v>
      </c>
      <c r="E169" t="s">
        <v>46</v>
      </c>
      <c r="F169">
        <v>5</v>
      </c>
      <c r="G169">
        <v>1</v>
      </c>
      <c r="H169">
        <v>4</v>
      </c>
      <c r="I169">
        <v>1</v>
      </c>
      <c r="J169" s="4" t="s">
        <v>55</v>
      </c>
      <c r="K169" t="str">
        <f t="shared" si="11"/>
        <v>1+4</v>
      </c>
      <c r="L169">
        <f>VLOOKUP(A169,'ZONE 1 PREMIUM'!$A$4:$N$16,14,0)</f>
        <v>11</v>
      </c>
      <c r="M169">
        <f>VLOOKUP(D169,DROPDOWN!B:C,2,0)</f>
        <v>4</v>
      </c>
      <c r="N169" t="str">
        <f t="shared" si="9"/>
        <v>AU65:BM76</v>
      </c>
      <c r="O169" s="4">
        <f t="shared" ca="1" si="10"/>
        <v>115758</v>
      </c>
    </row>
    <row r="170" spans="1:15">
      <c r="A170" s="2" t="s">
        <v>21</v>
      </c>
      <c r="B170" t="s">
        <v>22</v>
      </c>
      <c r="D170">
        <v>5</v>
      </c>
      <c r="E170" t="s">
        <v>46</v>
      </c>
      <c r="F170">
        <v>5</v>
      </c>
      <c r="G170">
        <v>1</v>
      </c>
      <c r="H170">
        <v>4</v>
      </c>
      <c r="I170">
        <v>1</v>
      </c>
      <c r="J170" s="4" t="s">
        <v>55</v>
      </c>
      <c r="K170" t="str">
        <f t="shared" si="11"/>
        <v>1+4</v>
      </c>
      <c r="L170">
        <f>VLOOKUP(A170,'ZONE 1 PREMIUM'!$A$4:$N$16,14,0)</f>
        <v>12</v>
      </c>
      <c r="M170">
        <f>VLOOKUP(D170,DROPDOWN!B:C,2,0)</f>
        <v>4</v>
      </c>
      <c r="N170" t="str">
        <f t="shared" si="9"/>
        <v>AU65:BM76</v>
      </c>
      <c r="O170" s="4">
        <f t="shared" ca="1" si="10"/>
        <v>148069.125</v>
      </c>
    </row>
    <row r="171" spans="1:15">
      <c r="A171" s="2" t="s">
        <v>11</v>
      </c>
      <c r="B171" t="s">
        <v>45</v>
      </c>
      <c r="C171" t="s">
        <v>25</v>
      </c>
      <c r="D171">
        <v>5</v>
      </c>
      <c r="E171" t="s">
        <v>46</v>
      </c>
      <c r="F171">
        <v>2</v>
      </c>
      <c r="G171">
        <v>2</v>
      </c>
      <c r="H171">
        <v>0</v>
      </c>
      <c r="I171">
        <v>1</v>
      </c>
      <c r="J171" s="4" t="s">
        <v>55</v>
      </c>
      <c r="K171" t="str">
        <f t="shared" si="11"/>
        <v>2+0</v>
      </c>
      <c r="L171">
        <f>VLOOKUP(A171,'ZONE 1 PREMIUM'!$A$4:$N$16,14,0)</f>
        <v>2</v>
      </c>
      <c r="M171">
        <f>VLOOKUP(D171,DROPDOWN!B:C,2,0)</f>
        <v>4</v>
      </c>
      <c r="N171" t="str">
        <f t="shared" si="9"/>
        <v>AU81:BM92</v>
      </c>
      <c r="O171" s="4">
        <f t="shared" ca="1" si="10"/>
        <v>20409.75</v>
      </c>
    </row>
    <row r="172" spans="1:15">
      <c r="A172" s="2" t="s">
        <v>12</v>
      </c>
      <c r="B172" t="s">
        <v>27</v>
      </c>
      <c r="C172" t="s">
        <v>28</v>
      </c>
      <c r="D172">
        <v>5</v>
      </c>
      <c r="E172" t="s">
        <v>46</v>
      </c>
      <c r="F172">
        <v>2</v>
      </c>
      <c r="G172">
        <v>2</v>
      </c>
      <c r="H172">
        <v>0</v>
      </c>
      <c r="I172">
        <v>1</v>
      </c>
      <c r="J172" s="4" t="s">
        <v>55</v>
      </c>
      <c r="K172" t="str">
        <f t="shared" si="11"/>
        <v>2+0</v>
      </c>
      <c r="L172">
        <f>VLOOKUP(A172,'ZONE 1 PREMIUM'!$A$4:$N$16,14,0)</f>
        <v>3</v>
      </c>
      <c r="M172">
        <f>VLOOKUP(D172,DROPDOWN!B:C,2,0)</f>
        <v>4</v>
      </c>
      <c r="N172" t="str">
        <f t="shared" si="9"/>
        <v>AU81:BM92</v>
      </c>
      <c r="O172" s="4">
        <f t="shared" ca="1" si="10"/>
        <v>23297.625</v>
      </c>
    </row>
    <row r="173" spans="1:15">
      <c r="A173" s="2" t="s">
        <v>13</v>
      </c>
      <c r="B173" t="s">
        <v>29</v>
      </c>
      <c r="C173" t="s">
        <v>30</v>
      </c>
      <c r="D173">
        <v>5</v>
      </c>
      <c r="E173" t="s">
        <v>46</v>
      </c>
      <c r="F173">
        <v>2</v>
      </c>
      <c r="G173">
        <v>2</v>
      </c>
      <c r="H173">
        <v>0</v>
      </c>
      <c r="I173">
        <v>1</v>
      </c>
      <c r="J173" s="4" t="s">
        <v>55</v>
      </c>
      <c r="K173" t="str">
        <f t="shared" si="11"/>
        <v>2+0</v>
      </c>
      <c r="L173">
        <f>VLOOKUP(A173,'ZONE 1 PREMIUM'!$A$4:$N$16,14,0)</f>
        <v>4</v>
      </c>
      <c r="M173">
        <f>VLOOKUP(D173,DROPDOWN!B:C,2,0)</f>
        <v>4</v>
      </c>
      <c r="N173" t="str">
        <f t="shared" si="9"/>
        <v>AU81:BM92</v>
      </c>
      <c r="O173" s="4">
        <f t="shared" ca="1" si="10"/>
        <v>25824.375</v>
      </c>
    </row>
    <row r="174" spans="1:15">
      <c r="A174" s="2" t="s">
        <v>14</v>
      </c>
      <c r="B174" t="s">
        <v>31</v>
      </c>
      <c r="C174" t="s">
        <v>32</v>
      </c>
      <c r="D174">
        <v>5</v>
      </c>
      <c r="E174" t="s">
        <v>46</v>
      </c>
      <c r="F174">
        <v>2</v>
      </c>
      <c r="G174">
        <v>2</v>
      </c>
      <c r="H174">
        <v>0</v>
      </c>
      <c r="I174">
        <v>1</v>
      </c>
      <c r="J174" s="4" t="s">
        <v>55</v>
      </c>
      <c r="K174" t="str">
        <f t="shared" si="11"/>
        <v>2+0</v>
      </c>
      <c r="L174">
        <f>VLOOKUP(A174,'ZONE 1 PREMIUM'!$A$4:$N$16,14,0)</f>
        <v>5</v>
      </c>
      <c r="M174">
        <f>VLOOKUP(D174,DROPDOWN!B:C,2,0)</f>
        <v>4</v>
      </c>
      <c r="N174" t="str">
        <f t="shared" si="9"/>
        <v>AU81:BM92</v>
      </c>
      <c r="O174" s="4">
        <f t="shared" ca="1" si="10"/>
        <v>29873.25</v>
      </c>
    </row>
    <row r="175" spans="1:15">
      <c r="A175" s="2" t="s">
        <v>15</v>
      </c>
      <c r="B175" t="s">
        <v>33</v>
      </c>
      <c r="C175" t="s">
        <v>34</v>
      </c>
      <c r="D175">
        <v>5</v>
      </c>
      <c r="E175" t="s">
        <v>46</v>
      </c>
      <c r="F175">
        <v>2</v>
      </c>
      <c r="G175">
        <v>2</v>
      </c>
      <c r="H175">
        <v>0</v>
      </c>
      <c r="I175">
        <v>1</v>
      </c>
      <c r="J175" s="4" t="s">
        <v>55</v>
      </c>
      <c r="K175" t="str">
        <f t="shared" si="11"/>
        <v>2+0</v>
      </c>
      <c r="L175">
        <f>VLOOKUP(A175,'ZONE 1 PREMIUM'!$A$4:$N$16,14,0)</f>
        <v>6</v>
      </c>
      <c r="M175">
        <f>VLOOKUP(D175,DROPDOWN!B:C,2,0)</f>
        <v>4</v>
      </c>
      <c r="N175" t="str">
        <f t="shared" si="9"/>
        <v>AU81:BM92</v>
      </c>
      <c r="O175" s="4">
        <f t="shared" ca="1" si="10"/>
        <v>37794.375</v>
      </c>
    </row>
    <row r="176" spans="1:15">
      <c r="A176" s="2" t="s">
        <v>16</v>
      </c>
      <c r="B176" t="s">
        <v>35</v>
      </c>
      <c r="C176" t="s">
        <v>36</v>
      </c>
      <c r="D176">
        <v>5</v>
      </c>
      <c r="E176" t="s">
        <v>46</v>
      </c>
      <c r="F176">
        <v>2</v>
      </c>
      <c r="G176">
        <v>2</v>
      </c>
      <c r="H176">
        <v>0</v>
      </c>
      <c r="I176">
        <v>1</v>
      </c>
      <c r="J176" s="4" t="s">
        <v>55</v>
      </c>
      <c r="K176" t="str">
        <f t="shared" si="11"/>
        <v>2+0</v>
      </c>
      <c r="L176">
        <f>VLOOKUP(A176,'ZONE 1 PREMIUM'!$A$4:$N$16,14,0)</f>
        <v>7</v>
      </c>
      <c r="M176">
        <f>VLOOKUP(D176,DROPDOWN!B:C,2,0)</f>
        <v>4</v>
      </c>
      <c r="N176" t="str">
        <f t="shared" si="9"/>
        <v>AU81:BM92</v>
      </c>
      <c r="O176" s="4">
        <f t="shared" ca="1" si="10"/>
        <v>49552.875</v>
      </c>
    </row>
    <row r="177" spans="1:15">
      <c r="A177" s="2" t="s">
        <v>17</v>
      </c>
      <c r="B177" t="s">
        <v>37</v>
      </c>
      <c r="C177" t="s">
        <v>38</v>
      </c>
      <c r="D177">
        <v>5</v>
      </c>
      <c r="E177" t="s">
        <v>46</v>
      </c>
      <c r="F177">
        <v>2</v>
      </c>
      <c r="G177">
        <v>2</v>
      </c>
      <c r="H177">
        <v>0</v>
      </c>
      <c r="I177">
        <v>1</v>
      </c>
      <c r="J177" s="4" t="s">
        <v>55</v>
      </c>
      <c r="K177" t="str">
        <f t="shared" si="11"/>
        <v>2+0</v>
      </c>
      <c r="L177">
        <f>VLOOKUP(A177,'ZONE 1 PREMIUM'!$A$4:$N$16,14,0)</f>
        <v>8</v>
      </c>
      <c r="M177">
        <f>VLOOKUP(D177,DROPDOWN!B:C,2,0)</f>
        <v>4</v>
      </c>
      <c r="N177" t="str">
        <f t="shared" si="9"/>
        <v>AU81:BM92</v>
      </c>
      <c r="O177" s="4">
        <f t="shared" ca="1" si="10"/>
        <v>69364.125</v>
      </c>
    </row>
    <row r="178" spans="1:15">
      <c r="A178" s="2" t="s">
        <v>18</v>
      </c>
      <c r="B178" t="s">
        <v>39</v>
      </c>
      <c r="C178" t="s">
        <v>40</v>
      </c>
      <c r="D178">
        <v>5</v>
      </c>
      <c r="E178" t="s">
        <v>46</v>
      </c>
      <c r="F178">
        <v>2</v>
      </c>
      <c r="G178">
        <v>2</v>
      </c>
      <c r="H178">
        <v>0</v>
      </c>
      <c r="I178">
        <v>1</v>
      </c>
      <c r="J178" s="4" t="s">
        <v>55</v>
      </c>
      <c r="K178" t="str">
        <f t="shared" si="11"/>
        <v>2+0</v>
      </c>
      <c r="L178">
        <f>VLOOKUP(A178,'ZONE 1 PREMIUM'!$A$4:$N$16,14,0)</f>
        <v>9</v>
      </c>
      <c r="M178">
        <f>VLOOKUP(D178,DROPDOWN!B:C,2,0)</f>
        <v>4</v>
      </c>
      <c r="N178" t="str">
        <f t="shared" si="9"/>
        <v>AU81:BM92</v>
      </c>
      <c r="O178" s="4">
        <f t="shared" ca="1" si="10"/>
        <v>96674.625</v>
      </c>
    </row>
    <row r="179" spans="1:15">
      <c r="A179" s="2" t="s">
        <v>19</v>
      </c>
      <c r="B179" t="s">
        <v>41</v>
      </c>
      <c r="C179" t="s">
        <v>42</v>
      </c>
      <c r="D179">
        <v>5</v>
      </c>
      <c r="E179" t="s">
        <v>46</v>
      </c>
      <c r="F179">
        <v>2</v>
      </c>
      <c r="G179">
        <v>2</v>
      </c>
      <c r="H179">
        <v>0</v>
      </c>
      <c r="I179">
        <v>1</v>
      </c>
      <c r="J179" s="4" t="s">
        <v>55</v>
      </c>
      <c r="K179" t="str">
        <f t="shared" si="11"/>
        <v>2+0</v>
      </c>
      <c r="L179">
        <f>VLOOKUP(A179,'ZONE 1 PREMIUM'!$A$4:$N$16,14,0)</f>
        <v>10</v>
      </c>
      <c r="M179">
        <f>VLOOKUP(D179,DROPDOWN!B:C,2,0)</f>
        <v>4</v>
      </c>
      <c r="N179" t="str">
        <f t="shared" si="9"/>
        <v>AU81:BM92</v>
      </c>
      <c r="O179" s="4">
        <f t="shared" ca="1" si="10"/>
        <v>136414.125</v>
      </c>
    </row>
    <row r="180" spans="1:15">
      <c r="A180" s="2" t="s">
        <v>20</v>
      </c>
      <c r="B180" t="s">
        <v>43</v>
      </c>
      <c r="C180" t="s">
        <v>44</v>
      </c>
      <c r="D180">
        <v>5</v>
      </c>
      <c r="E180" t="s">
        <v>46</v>
      </c>
      <c r="F180">
        <v>2</v>
      </c>
      <c r="G180">
        <v>2</v>
      </c>
      <c r="H180">
        <v>0</v>
      </c>
      <c r="I180">
        <v>1</v>
      </c>
      <c r="J180" s="4" t="s">
        <v>55</v>
      </c>
      <c r="K180" t="str">
        <f t="shared" si="11"/>
        <v>2+0</v>
      </c>
      <c r="L180">
        <f>VLOOKUP(A180,'ZONE 1 PREMIUM'!$A$4:$N$16,14,0)</f>
        <v>11</v>
      </c>
      <c r="M180">
        <f>VLOOKUP(D180,DROPDOWN!B:C,2,0)</f>
        <v>4</v>
      </c>
      <c r="N180" t="str">
        <f t="shared" ref="N180:N225" si="12">VLOOKUP(K180,$BN$3:$BO$12,2,0)</f>
        <v>AU81:BM92</v>
      </c>
      <c r="O180" s="4">
        <f t="shared" ref="O180:O224" ca="1" si="13">INDEX(INDIRECT(N180),L180,M180)</f>
        <v>169816.5</v>
      </c>
    </row>
    <row r="181" spans="1:15">
      <c r="A181" s="2" t="s">
        <v>21</v>
      </c>
      <c r="B181" t="s">
        <v>22</v>
      </c>
      <c r="D181">
        <v>5</v>
      </c>
      <c r="E181" t="s">
        <v>46</v>
      </c>
      <c r="F181">
        <v>2</v>
      </c>
      <c r="G181">
        <v>2</v>
      </c>
      <c r="H181">
        <v>0</v>
      </c>
      <c r="I181">
        <v>1</v>
      </c>
      <c r="J181" s="4" t="s">
        <v>55</v>
      </c>
      <c r="K181" t="str">
        <f t="shared" si="11"/>
        <v>2+0</v>
      </c>
      <c r="L181">
        <f>VLOOKUP(A181,'ZONE 1 PREMIUM'!$A$4:$N$16,14,0)</f>
        <v>12</v>
      </c>
      <c r="M181">
        <f>VLOOKUP(D181,DROPDOWN!B:C,2,0)</f>
        <v>4</v>
      </c>
      <c r="N181" t="str">
        <f t="shared" si="12"/>
        <v>AU81:BM92</v>
      </c>
      <c r="O181" s="4">
        <f t="shared" ca="1" si="13"/>
        <v>216515.25</v>
      </c>
    </row>
    <row r="182" spans="1:15">
      <c r="A182" s="2" t="s">
        <v>11</v>
      </c>
      <c r="B182" t="s">
        <v>45</v>
      </c>
      <c r="C182" t="s">
        <v>25</v>
      </c>
      <c r="D182">
        <v>5</v>
      </c>
      <c r="E182" t="s">
        <v>46</v>
      </c>
      <c r="F182">
        <v>3</v>
      </c>
      <c r="G182">
        <v>2</v>
      </c>
      <c r="H182">
        <v>1</v>
      </c>
      <c r="I182">
        <v>1</v>
      </c>
      <c r="J182" s="4" t="s">
        <v>55</v>
      </c>
      <c r="K182" t="str">
        <f t="shared" si="11"/>
        <v>2+1</v>
      </c>
      <c r="L182">
        <f>VLOOKUP(A182,'ZONE 1 PREMIUM'!$A$4:$N$16,14,0)</f>
        <v>2</v>
      </c>
      <c r="M182">
        <f>VLOOKUP(D182,DROPDOWN!B:C,2,0)</f>
        <v>4</v>
      </c>
      <c r="N182" t="str">
        <f t="shared" si="12"/>
        <v>AU98:BM109</v>
      </c>
      <c r="O182" s="4">
        <f t="shared" ca="1" si="13"/>
        <v>24788.25</v>
      </c>
    </row>
    <row r="183" spans="1:15">
      <c r="A183" s="2" t="s">
        <v>12</v>
      </c>
      <c r="B183" t="s">
        <v>27</v>
      </c>
      <c r="C183" t="s">
        <v>28</v>
      </c>
      <c r="D183">
        <v>5</v>
      </c>
      <c r="E183" t="s">
        <v>46</v>
      </c>
      <c r="F183">
        <v>3</v>
      </c>
      <c r="G183">
        <v>2</v>
      </c>
      <c r="H183">
        <v>1</v>
      </c>
      <c r="I183">
        <v>1</v>
      </c>
      <c r="J183" s="4" t="s">
        <v>55</v>
      </c>
      <c r="K183" t="str">
        <f t="shared" si="11"/>
        <v>2+1</v>
      </c>
      <c r="L183">
        <f>VLOOKUP(A183,'ZONE 1 PREMIUM'!$A$4:$N$16,14,0)</f>
        <v>3</v>
      </c>
      <c r="M183">
        <f>VLOOKUP(D183,DROPDOWN!B:C,2,0)</f>
        <v>4</v>
      </c>
      <c r="N183" t="str">
        <f t="shared" si="12"/>
        <v>AU98:BM109</v>
      </c>
      <c r="O183" s="4">
        <f t="shared" ca="1" si="13"/>
        <v>27600.75</v>
      </c>
    </row>
    <row r="184" spans="1:15">
      <c r="A184" s="2" t="s">
        <v>13</v>
      </c>
      <c r="B184" t="s">
        <v>29</v>
      </c>
      <c r="C184" t="s">
        <v>30</v>
      </c>
      <c r="D184">
        <v>5</v>
      </c>
      <c r="E184" t="s">
        <v>46</v>
      </c>
      <c r="F184">
        <v>3</v>
      </c>
      <c r="G184">
        <v>2</v>
      </c>
      <c r="H184">
        <v>1</v>
      </c>
      <c r="I184">
        <v>1</v>
      </c>
      <c r="J184" s="4" t="s">
        <v>55</v>
      </c>
      <c r="K184" t="str">
        <f t="shared" si="11"/>
        <v>2+1</v>
      </c>
      <c r="L184">
        <f>VLOOKUP(A184,'ZONE 1 PREMIUM'!$A$4:$N$16,14,0)</f>
        <v>4</v>
      </c>
      <c r="M184">
        <f>VLOOKUP(D184,DROPDOWN!B:C,2,0)</f>
        <v>4</v>
      </c>
      <c r="N184" t="str">
        <f t="shared" si="12"/>
        <v>AU98:BM109</v>
      </c>
      <c r="O184" s="4">
        <f t="shared" ca="1" si="13"/>
        <v>30822.75</v>
      </c>
    </row>
    <row r="185" spans="1:15">
      <c r="A185" s="2" t="s">
        <v>14</v>
      </c>
      <c r="B185" t="s">
        <v>31</v>
      </c>
      <c r="C185" t="s">
        <v>32</v>
      </c>
      <c r="D185">
        <v>5</v>
      </c>
      <c r="E185" t="s">
        <v>46</v>
      </c>
      <c r="F185">
        <v>3</v>
      </c>
      <c r="G185">
        <v>2</v>
      </c>
      <c r="H185">
        <v>1</v>
      </c>
      <c r="I185">
        <v>1</v>
      </c>
      <c r="J185" s="4" t="s">
        <v>55</v>
      </c>
      <c r="K185" t="str">
        <f t="shared" si="11"/>
        <v>2+1</v>
      </c>
      <c r="L185">
        <f>VLOOKUP(A185,'ZONE 1 PREMIUM'!$A$4:$N$16,14,0)</f>
        <v>5</v>
      </c>
      <c r="M185">
        <f>VLOOKUP(D185,DROPDOWN!B:C,2,0)</f>
        <v>4</v>
      </c>
      <c r="N185" t="str">
        <f t="shared" si="12"/>
        <v>AU98:BM109</v>
      </c>
      <c r="O185" s="4">
        <f t="shared" ca="1" si="13"/>
        <v>35204.625</v>
      </c>
    </row>
    <row r="186" spans="1:15">
      <c r="A186" s="2" t="s">
        <v>15</v>
      </c>
      <c r="B186" t="s">
        <v>33</v>
      </c>
      <c r="C186" t="s">
        <v>34</v>
      </c>
      <c r="D186">
        <v>5</v>
      </c>
      <c r="E186" t="s">
        <v>46</v>
      </c>
      <c r="F186">
        <v>3</v>
      </c>
      <c r="G186">
        <v>2</v>
      </c>
      <c r="H186">
        <v>1</v>
      </c>
      <c r="I186">
        <v>1</v>
      </c>
      <c r="J186" s="4" t="s">
        <v>55</v>
      </c>
      <c r="K186" t="str">
        <f t="shared" si="11"/>
        <v>2+1</v>
      </c>
      <c r="L186">
        <f>VLOOKUP(A186,'ZONE 1 PREMIUM'!$A$4:$N$16,14,0)</f>
        <v>6</v>
      </c>
      <c r="M186">
        <f>VLOOKUP(D186,DROPDOWN!B:C,2,0)</f>
        <v>4</v>
      </c>
      <c r="N186" t="str">
        <f t="shared" si="12"/>
        <v>AU98:BM109</v>
      </c>
      <c r="O186" s="4">
        <f t="shared" ca="1" si="13"/>
        <v>43779.375</v>
      </c>
    </row>
    <row r="187" spans="1:15">
      <c r="A187" s="2" t="s">
        <v>16</v>
      </c>
      <c r="B187" t="s">
        <v>35</v>
      </c>
      <c r="C187" t="s">
        <v>36</v>
      </c>
      <c r="D187">
        <v>5</v>
      </c>
      <c r="E187" t="s">
        <v>46</v>
      </c>
      <c r="F187">
        <v>3</v>
      </c>
      <c r="G187">
        <v>2</v>
      </c>
      <c r="H187">
        <v>1</v>
      </c>
      <c r="I187">
        <v>1</v>
      </c>
      <c r="J187" s="4" t="s">
        <v>55</v>
      </c>
      <c r="K187" t="str">
        <f t="shared" si="11"/>
        <v>2+1</v>
      </c>
      <c r="L187">
        <f>VLOOKUP(A187,'ZONE 1 PREMIUM'!$A$4:$N$16,14,0)</f>
        <v>7</v>
      </c>
      <c r="M187">
        <f>VLOOKUP(D187,DROPDOWN!B:C,2,0)</f>
        <v>4</v>
      </c>
      <c r="N187" t="str">
        <f t="shared" si="12"/>
        <v>AU98:BM109</v>
      </c>
      <c r="O187" s="4">
        <f t="shared" ca="1" si="13"/>
        <v>56966.625</v>
      </c>
    </row>
    <row r="188" spans="1:15">
      <c r="A188" s="2" t="s">
        <v>17</v>
      </c>
      <c r="B188" t="s">
        <v>37</v>
      </c>
      <c r="C188" t="s">
        <v>38</v>
      </c>
      <c r="D188">
        <v>5</v>
      </c>
      <c r="E188" t="s">
        <v>46</v>
      </c>
      <c r="F188">
        <v>3</v>
      </c>
      <c r="G188">
        <v>2</v>
      </c>
      <c r="H188">
        <v>1</v>
      </c>
      <c r="I188">
        <v>1</v>
      </c>
      <c r="J188" s="4" t="s">
        <v>55</v>
      </c>
      <c r="K188" t="str">
        <f t="shared" si="11"/>
        <v>2+1</v>
      </c>
      <c r="L188">
        <f>VLOOKUP(A188,'ZONE 1 PREMIUM'!$A$4:$N$16,14,0)</f>
        <v>8</v>
      </c>
      <c r="M188">
        <f>VLOOKUP(D188,DROPDOWN!B:C,2,0)</f>
        <v>4</v>
      </c>
      <c r="N188" t="str">
        <f t="shared" si="12"/>
        <v>AU98:BM109</v>
      </c>
      <c r="O188" s="4">
        <f t="shared" ca="1" si="13"/>
        <v>77350.5</v>
      </c>
    </row>
    <row r="189" spans="1:15">
      <c r="A189" s="2" t="s">
        <v>18</v>
      </c>
      <c r="B189" t="s">
        <v>39</v>
      </c>
      <c r="C189" t="s">
        <v>40</v>
      </c>
      <c r="D189">
        <v>5</v>
      </c>
      <c r="E189" t="s">
        <v>46</v>
      </c>
      <c r="F189">
        <v>3</v>
      </c>
      <c r="G189">
        <v>2</v>
      </c>
      <c r="H189">
        <v>1</v>
      </c>
      <c r="I189">
        <v>1</v>
      </c>
      <c r="J189" s="4" t="s">
        <v>55</v>
      </c>
      <c r="K189" t="str">
        <f t="shared" si="11"/>
        <v>2+1</v>
      </c>
      <c r="L189">
        <f>VLOOKUP(A189,'ZONE 1 PREMIUM'!$A$4:$N$16,14,0)</f>
        <v>9</v>
      </c>
      <c r="M189">
        <f>VLOOKUP(D189,DROPDOWN!B:C,2,0)</f>
        <v>4</v>
      </c>
      <c r="N189" t="str">
        <f t="shared" si="12"/>
        <v>AU98:BM109</v>
      </c>
      <c r="O189" s="4">
        <f t="shared" ca="1" si="13"/>
        <v>104802.75</v>
      </c>
    </row>
    <row r="190" spans="1:15">
      <c r="A190" s="2" t="s">
        <v>19</v>
      </c>
      <c r="B190" t="s">
        <v>41</v>
      </c>
      <c r="C190" t="s">
        <v>42</v>
      </c>
      <c r="D190">
        <v>5</v>
      </c>
      <c r="E190" t="s">
        <v>46</v>
      </c>
      <c r="F190">
        <v>3</v>
      </c>
      <c r="G190">
        <v>2</v>
      </c>
      <c r="H190">
        <v>1</v>
      </c>
      <c r="I190">
        <v>1</v>
      </c>
      <c r="J190" s="4" t="s">
        <v>55</v>
      </c>
      <c r="K190" t="str">
        <f t="shared" si="11"/>
        <v>2+1</v>
      </c>
      <c r="L190">
        <f>VLOOKUP(A190,'ZONE 1 PREMIUM'!$A$4:$N$16,14,0)</f>
        <v>10</v>
      </c>
      <c r="M190">
        <f>VLOOKUP(D190,DROPDOWN!B:C,2,0)</f>
        <v>4</v>
      </c>
      <c r="N190" t="str">
        <f t="shared" si="12"/>
        <v>AU98:BM109</v>
      </c>
      <c r="O190" s="4">
        <f t="shared" ca="1" si="13"/>
        <v>141486.75</v>
      </c>
    </row>
    <row r="191" spans="1:15">
      <c r="A191" s="2" t="s">
        <v>20</v>
      </c>
      <c r="B191" t="s">
        <v>43</v>
      </c>
      <c r="C191" t="s">
        <v>44</v>
      </c>
      <c r="D191">
        <v>5</v>
      </c>
      <c r="E191" t="s">
        <v>46</v>
      </c>
      <c r="F191">
        <v>3</v>
      </c>
      <c r="G191">
        <v>2</v>
      </c>
      <c r="H191">
        <v>1</v>
      </c>
      <c r="I191">
        <v>1</v>
      </c>
      <c r="J191" s="4" t="s">
        <v>55</v>
      </c>
      <c r="K191" t="str">
        <f t="shared" si="11"/>
        <v>2+1</v>
      </c>
      <c r="L191">
        <f>VLOOKUP(A191,'ZONE 1 PREMIUM'!$A$4:$N$16,14,0)</f>
        <v>11</v>
      </c>
      <c r="M191">
        <f>VLOOKUP(D191,DROPDOWN!B:C,2,0)</f>
        <v>4</v>
      </c>
      <c r="N191" t="str">
        <f t="shared" si="12"/>
        <v>AU98:BM109</v>
      </c>
      <c r="O191" s="4">
        <f t="shared" ca="1" si="13"/>
        <v>173746.125</v>
      </c>
    </row>
    <row r="192" spans="1:15">
      <c r="A192" s="2" t="s">
        <v>21</v>
      </c>
      <c r="B192" t="s">
        <v>22</v>
      </c>
      <c r="D192">
        <v>5</v>
      </c>
      <c r="E192" t="s">
        <v>46</v>
      </c>
      <c r="F192">
        <v>3</v>
      </c>
      <c r="G192">
        <v>2</v>
      </c>
      <c r="H192">
        <v>1</v>
      </c>
      <c r="I192">
        <v>1</v>
      </c>
      <c r="J192" s="4" t="s">
        <v>55</v>
      </c>
      <c r="K192" t="str">
        <f t="shared" si="11"/>
        <v>2+1</v>
      </c>
      <c r="L192">
        <f>VLOOKUP(A192,'ZONE 1 PREMIUM'!$A$4:$N$16,14,0)</f>
        <v>12</v>
      </c>
      <c r="M192">
        <f>VLOOKUP(D192,DROPDOWN!B:C,2,0)</f>
        <v>4</v>
      </c>
      <c r="N192" t="str">
        <f t="shared" si="12"/>
        <v>AU98:BM109</v>
      </c>
      <c r="O192" s="4">
        <f t="shared" ca="1" si="13"/>
        <v>220288.5</v>
      </c>
    </row>
    <row r="193" spans="1:15">
      <c r="A193" s="2" t="s">
        <v>11</v>
      </c>
      <c r="B193" t="s">
        <v>45</v>
      </c>
      <c r="C193" t="s">
        <v>25</v>
      </c>
      <c r="D193">
        <v>5</v>
      </c>
      <c r="E193" t="s">
        <v>46</v>
      </c>
      <c r="F193">
        <v>4</v>
      </c>
      <c r="G193">
        <v>2</v>
      </c>
      <c r="H193">
        <v>2</v>
      </c>
      <c r="I193">
        <v>1</v>
      </c>
      <c r="J193" s="4" t="s">
        <v>55</v>
      </c>
      <c r="K193" t="str">
        <f t="shared" si="11"/>
        <v>2+2</v>
      </c>
      <c r="L193">
        <f>VLOOKUP(A193,'ZONE 1 PREMIUM'!$A$4:$N$16,14,0)</f>
        <v>2</v>
      </c>
      <c r="M193">
        <f>VLOOKUP(D193,DROPDOWN!B:C,2,0)</f>
        <v>4</v>
      </c>
      <c r="N193" t="str">
        <f t="shared" si="12"/>
        <v>AU113:BM124</v>
      </c>
      <c r="O193" s="4">
        <f t="shared" ca="1" si="13"/>
        <v>29011.5</v>
      </c>
    </row>
    <row r="194" spans="1:15">
      <c r="A194" s="2" t="s">
        <v>12</v>
      </c>
      <c r="B194" t="s">
        <v>27</v>
      </c>
      <c r="C194" t="s">
        <v>28</v>
      </c>
      <c r="D194">
        <v>5</v>
      </c>
      <c r="E194" t="s">
        <v>46</v>
      </c>
      <c r="F194">
        <v>4</v>
      </c>
      <c r="G194">
        <v>2</v>
      </c>
      <c r="H194">
        <v>2</v>
      </c>
      <c r="I194">
        <v>1</v>
      </c>
      <c r="J194" s="4" t="s">
        <v>55</v>
      </c>
      <c r="K194" t="str">
        <f t="shared" si="11"/>
        <v>2+2</v>
      </c>
      <c r="L194">
        <f>VLOOKUP(A194,'ZONE 1 PREMIUM'!$A$4:$N$16,14,0)</f>
        <v>3</v>
      </c>
      <c r="M194">
        <f>VLOOKUP(D194,DROPDOWN!B:C,2,0)</f>
        <v>4</v>
      </c>
      <c r="N194" t="str">
        <f t="shared" si="12"/>
        <v>AU113:BM124</v>
      </c>
      <c r="O194" s="4">
        <f t="shared" ca="1" si="13"/>
        <v>31746.375</v>
      </c>
    </row>
    <row r="195" spans="1:15">
      <c r="A195" s="2" t="s">
        <v>13</v>
      </c>
      <c r="B195" t="s">
        <v>29</v>
      </c>
      <c r="C195" t="s">
        <v>30</v>
      </c>
      <c r="D195">
        <v>5</v>
      </c>
      <c r="E195" t="s">
        <v>46</v>
      </c>
      <c r="F195">
        <v>4</v>
      </c>
      <c r="G195">
        <v>2</v>
      </c>
      <c r="H195">
        <v>2</v>
      </c>
      <c r="I195">
        <v>1</v>
      </c>
      <c r="J195" s="4" t="s">
        <v>55</v>
      </c>
      <c r="K195" t="str">
        <f t="shared" si="11"/>
        <v>2+2</v>
      </c>
      <c r="L195">
        <f>VLOOKUP(A195,'ZONE 1 PREMIUM'!$A$4:$N$16,14,0)</f>
        <v>4</v>
      </c>
      <c r="M195">
        <f>VLOOKUP(D195,DROPDOWN!B:C,2,0)</f>
        <v>4</v>
      </c>
      <c r="N195" t="str">
        <f t="shared" si="12"/>
        <v>AU113:BM124</v>
      </c>
      <c r="O195" s="4">
        <f t="shared" ca="1" si="13"/>
        <v>35622</v>
      </c>
    </row>
    <row r="196" spans="1:15">
      <c r="A196" s="2" t="s">
        <v>14</v>
      </c>
      <c r="B196" t="s">
        <v>31</v>
      </c>
      <c r="C196" t="s">
        <v>32</v>
      </c>
      <c r="D196">
        <v>5</v>
      </c>
      <c r="E196" t="s">
        <v>46</v>
      </c>
      <c r="F196">
        <v>4</v>
      </c>
      <c r="G196">
        <v>2</v>
      </c>
      <c r="H196">
        <v>2</v>
      </c>
      <c r="I196">
        <v>1</v>
      </c>
      <c r="J196" s="4" t="s">
        <v>55</v>
      </c>
      <c r="K196" t="str">
        <f t="shared" ref="K196:K259" si="14">G196&amp;"+"&amp;H196</f>
        <v>2+2</v>
      </c>
      <c r="L196">
        <f>VLOOKUP(A196,'ZONE 1 PREMIUM'!$A$4:$N$16,14,0)</f>
        <v>5</v>
      </c>
      <c r="M196">
        <f>VLOOKUP(D196,DROPDOWN!B:C,2,0)</f>
        <v>4</v>
      </c>
      <c r="N196" t="str">
        <f t="shared" si="12"/>
        <v>AU113:BM124</v>
      </c>
      <c r="O196" s="4">
        <f t="shared" ca="1" si="13"/>
        <v>40307.625</v>
      </c>
    </row>
    <row r="197" spans="1:15">
      <c r="A197" s="2" t="s">
        <v>15</v>
      </c>
      <c r="B197" t="s">
        <v>33</v>
      </c>
      <c r="C197" t="s">
        <v>34</v>
      </c>
      <c r="D197">
        <v>5</v>
      </c>
      <c r="E197" t="s">
        <v>46</v>
      </c>
      <c r="F197">
        <v>4</v>
      </c>
      <c r="G197">
        <v>2</v>
      </c>
      <c r="H197">
        <v>2</v>
      </c>
      <c r="I197">
        <v>1</v>
      </c>
      <c r="J197" s="4" t="s">
        <v>55</v>
      </c>
      <c r="K197" t="str">
        <f t="shared" si="14"/>
        <v>2+2</v>
      </c>
      <c r="L197">
        <f>VLOOKUP(A197,'ZONE 1 PREMIUM'!$A$4:$N$16,14,0)</f>
        <v>6</v>
      </c>
      <c r="M197">
        <f>VLOOKUP(D197,DROPDOWN!B:C,2,0)</f>
        <v>4</v>
      </c>
      <c r="N197" t="str">
        <f t="shared" si="12"/>
        <v>AU113:BM124</v>
      </c>
      <c r="O197" s="4">
        <f t="shared" ca="1" si="13"/>
        <v>49501.125</v>
      </c>
    </row>
    <row r="198" spans="1:15">
      <c r="A198" s="2" t="s">
        <v>16</v>
      </c>
      <c r="B198" t="s">
        <v>35</v>
      </c>
      <c r="C198" t="s">
        <v>36</v>
      </c>
      <c r="D198">
        <v>5</v>
      </c>
      <c r="E198" t="s">
        <v>46</v>
      </c>
      <c r="F198">
        <v>4</v>
      </c>
      <c r="G198">
        <v>2</v>
      </c>
      <c r="H198">
        <v>2</v>
      </c>
      <c r="I198">
        <v>1</v>
      </c>
      <c r="J198" s="4" t="s">
        <v>55</v>
      </c>
      <c r="K198" t="str">
        <f t="shared" si="14"/>
        <v>2+2</v>
      </c>
      <c r="L198">
        <f>VLOOKUP(A198,'ZONE 1 PREMIUM'!$A$4:$N$16,14,0)</f>
        <v>7</v>
      </c>
      <c r="M198">
        <f>VLOOKUP(D198,DROPDOWN!B:C,2,0)</f>
        <v>4</v>
      </c>
      <c r="N198" t="str">
        <f t="shared" si="12"/>
        <v>AU113:BM124</v>
      </c>
      <c r="O198" s="4">
        <f t="shared" ca="1" si="13"/>
        <v>64058.625</v>
      </c>
    </row>
    <row r="199" spans="1:15">
      <c r="A199" s="2" t="s">
        <v>17</v>
      </c>
      <c r="B199" t="s">
        <v>37</v>
      </c>
      <c r="C199" t="s">
        <v>38</v>
      </c>
      <c r="D199">
        <v>5</v>
      </c>
      <c r="E199" t="s">
        <v>46</v>
      </c>
      <c r="F199">
        <v>4</v>
      </c>
      <c r="G199">
        <v>2</v>
      </c>
      <c r="H199">
        <v>2</v>
      </c>
      <c r="I199">
        <v>1</v>
      </c>
      <c r="J199" s="4" t="s">
        <v>55</v>
      </c>
      <c r="K199" t="str">
        <f t="shared" si="14"/>
        <v>2+2</v>
      </c>
      <c r="L199">
        <f>VLOOKUP(A199,'ZONE 1 PREMIUM'!$A$4:$N$16,14,0)</f>
        <v>8</v>
      </c>
      <c r="M199">
        <f>VLOOKUP(D199,DROPDOWN!B:C,2,0)</f>
        <v>4</v>
      </c>
      <c r="N199" t="str">
        <f t="shared" si="12"/>
        <v>AU113:BM124</v>
      </c>
      <c r="O199" s="4">
        <f t="shared" ca="1" si="13"/>
        <v>84012.75</v>
      </c>
    </row>
    <row r="200" spans="1:15">
      <c r="A200" s="2" t="s">
        <v>18</v>
      </c>
      <c r="B200" t="s">
        <v>39</v>
      </c>
      <c r="C200" t="s">
        <v>40</v>
      </c>
      <c r="D200">
        <v>5</v>
      </c>
      <c r="E200" t="s">
        <v>46</v>
      </c>
      <c r="F200">
        <v>4</v>
      </c>
      <c r="G200">
        <v>2</v>
      </c>
      <c r="H200">
        <v>2</v>
      </c>
      <c r="I200">
        <v>1</v>
      </c>
      <c r="J200" s="4" t="s">
        <v>55</v>
      </c>
      <c r="K200" t="str">
        <f t="shared" si="14"/>
        <v>2+2</v>
      </c>
      <c r="L200">
        <f>VLOOKUP(A200,'ZONE 1 PREMIUM'!$A$4:$N$16,14,0)</f>
        <v>9</v>
      </c>
      <c r="M200">
        <f>VLOOKUP(D200,DROPDOWN!B:C,2,0)</f>
        <v>4</v>
      </c>
      <c r="N200" t="str">
        <f t="shared" si="12"/>
        <v>AU113:BM124</v>
      </c>
      <c r="O200" s="4">
        <f t="shared" ca="1" si="13"/>
        <v>110160</v>
      </c>
    </row>
    <row r="201" spans="1:15">
      <c r="A201" s="2" t="s">
        <v>19</v>
      </c>
      <c r="B201" t="s">
        <v>41</v>
      </c>
      <c r="C201" t="s">
        <v>42</v>
      </c>
      <c r="D201">
        <v>5</v>
      </c>
      <c r="E201" t="s">
        <v>46</v>
      </c>
      <c r="F201">
        <v>4</v>
      </c>
      <c r="G201">
        <v>2</v>
      </c>
      <c r="H201">
        <v>2</v>
      </c>
      <c r="I201">
        <v>1</v>
      </c>
      <c r="J201" s="4" t="s">
        <v>55</v>
      </c>
      <c r="K201" t="str">
        <f t="shared" si="14"/>
        <v>2+2</v>
      </c>
      <c r="L201">
        <f>VLOOKUP(A201,'ZONE 1 PREMIUM'!$A$4:$N$16,14,0)</f>
        <v>10</v>
      </c>
      <c r="M201">
        <f>VLOOKUP(D201,DROPDOWN!B:C,2,0)</f>
        <v>4</v>
      </c>
      <c r="N201" t="str">
        <f t="shared" si="12"/>
        <v>AU113:BM124</v>
      </c>
      <c r="O201" s="4">
        <f t="shared" ca="1" si="13"/>
        <v>143850.375</v>
      </c>
    </row>
    <row r="202" spans="1:15">
      <c r="A202" s="2" t="s">
        <v>20</v>
      </c>
      <c r="B202" t="s">
        <v>43</v>
      </c>
      <c r="C202" t="s">
        <v>44</v>
      </c>
      <c r="D202">
        <v>5</v>
      </c>
      <c r="E202" t="s">
        <v>46</v>
      </c>
      <c r="F202">
        <v>4</v>
      </c>
      <c r="G202">
        <v>2</v>
      </c>
      <c r="H202">
        <v>2</v>
      </c>
      <c r="I202">
        <v>1</v>
      </c>
      <c r="J202" s="4" t="s">
        <v>55</v>
      </c>
      <c r="K202" t="str">
        <f t="shared" si="14"/>
        <v>2+2</v>
      </c>
      <c r="L202">
        <f>VLOOKUP(A202,'ZONE 1 PREMIUM'!$A$4:$N$16,14,0)</f>
        <v>11</v>
      </c>
      <c r="M202">
        <f>VLOOKUP(D202,DROPDOWN!B:C,2,0)</f>
        <v>4</v>
      </c>
      <c r="N202" t="str">
        <f t="shared" si="12"/>
        <v>AU113:BM124</v>
      </c>
      <c r="O202" s="4">
        <f t="shared" ca="1" si="13"/>
        <v>176362.875</v>
      </c>
    </row>
    <row r="203" spans="1:15">
      <c r="A203" s="2" t="s">
        <v>21</v>
      </c>
      <c r="B203" t="s">
        <v>22</v>
      </c>
      <c r="D203">
        <v>5</v>
      </c>
      <c r="E203" t="s">
        <v>46</v>
      </c>
      <c r="F203">
        <v>4</v>
      </c>
      <c r="G203">
        <v>2</v>
      </c>
      <c r="H203">
        <v>2</v>
      </c>
      <c r="I203">
        <v>1</v>
      </c>
      <c r="J203" s="4" t="s">
        <v>55</v>
      </c>
      <c r="K203" t="str">
        <f t="shared" si="14"/>
        <v>2+2</v>
      </c>
      <c r="L203">
        <f>VLOOKUP(A203,'ZONE 1 PREMIUM'!$A$4:$N$16,14,0)</f>
        <v>12</v>
      </c>
      <c r="M203">
        <f>VLOOKUP(D203,DROPDOWN!B:C,2,0)</f>
        <v>4</v>
      </c>
      <c r="N203" t="str">
        <f t="shared" si="12"/>
        <v>AU113:BM124</v>
      </c>
      <c r="O203" s="4">
        <f t="shared" ca="1" si="13"/>
        <v>223066.125</v>
      </c>
    </row>
    <row r="204" spans="1:15">
      <c r="A204" s="2" t="s">
        <v>11</v>
      </c>
      <c r="B204" t="s">
        <v>45</v>
      </c>
      <c r="C204" t="s">
        <v>25</v>
      </c>
      <c r="D204">
        <v>5</v>
      </c>
      <c r="E204" t="s">
        <v>46</v>
      </c>
      <c r="F204">
        <v>5</v>
      </c>
      <c r="G204">
        <v>2</v>
      </c>
      <c r="H204">
        <v>3</v>
      </c>
      <c r="I204">
        <v>1</v>
      </c>
      <c r="J204" s="4" t="s">
        <v>55</v>
      </c>
      <c r="K204" t="str">
        <f t="shared" si="14"/>
        <v>2+3</v>
      </c>
      <c r="L204">
        <f>VLOOKUP(A204,'ZONE 1 PREMIUM'!$A$4:$N$16,14,0)</f>
        <v>2</v>
      </c>
      <c r="M204">
        <f>VLOOKUP(D204,DROPDOWN!B:C,2,0)</f>
        <v>4</v>
      </c>
      <c r="N204" t="str">
        <f t="shared" si="12"/>
        <v>AU128:BM139</v>
      </c>
      <c r="O204" s="4">
        <f t="shared" ca="1" si="13"/>
        <v>33233.625</v>
      </c>
    </row>
    <row r="205" spans="1:15">
      <c r="A205" s="2" t="s">
        <v>12</v>
      </c>
      <c r="B205" t="s">
        <v>27</v>
      </c>
      <c r="C205" t="s">
        <v>28</v>
      </c>
      <c r="D205">
        <v>5</v>
      </c>
      <c r="E205" t="s">
        <v>46</v>
      </c>
      <c r="F205">
        <v>5</v>
      </c>
      <c r="G205">
        <v>2</v>
      </c>
      <c r="H205">
        <v>3</v>
      </c>
      <c r="I205">
        <v>1</v>
      </c>
      <c r="J205" s="4" t="s">
        <v>55</v>
      </c>
      <c r="K205" t="str">
        <f t="shared" si="14"/>
        <v>2+3</v>
      </c>
      <c r="L205">
        <f>VLOOKUP(A205,'ZONE 1 PREMIUM'!$A$4:$N$16,14,0)</f>
        <v>3</v>
      </c>
      <c r="M205">
        <f>VLOOKUP(D205,DROPDOWN!B:C,2,0)</f>
        <v>4</v>
      </c>
      <c r="N205" t="str">
        <f t="shared" si="12"/>
        <v>AU128:BM139</v>
      </c>
      <c r="O205" s="4">
        <f t="shared" ca="1" si="13"/>
        <v>35892</v>
      </c>
    </row>
    <row r="206" spans="1:15">
      <c r="A206" s="2" t="s">
        <v>13</v>
      </c>
      <c r="B206" t="s">
        <v>29</v>
      </c>
      <c r="C206" t="s">
        <v>30</v>
      </c>
      <c r="D206">
        <v>5</v>
      </c>
      <c r="E206" t="s">
        <v>46</v>
      </c>
      <c r="F206">
        <v>5</v>
      </c>
      <c r="G206">
        <v>2</v>
      </c>
      <c r="H206">
        <v>3</v>
      </c>
      <c r="I206">
        <v>1</v>
      </c>
      <c r="J206" s="4" t="s">
        <v>55</v>
      </c>
      <c r="K206" t="str">
        <f t="shared" si="14"/>
        <v>2+3</v>
      </c>
      <c r="L206">
        <f>VLOOKUP(A206,'ZONE 1 PREMIUM'!$A$4:$N$16,14,0)</f>
        <v>4</v>
      </c>
      <c r="M206">
        <f>VLOOKUP(D206,DROPDOWN!B:C,2,0)</f>
        <v>4</v>
      </c>
      <c r="N206" t="str">
        <f t="shared" si="12"/>
        <v>AU128:BM139</v>
      </c>
      <c r="O206" s="4">
        <f t="shared" ca="1" si="13"/>
        <v>40422.375</v>
      </c>
    </row>
    <row r="207" spans="1:15">
      <c r="A207" s="2" t="s">
        <v>14</v>
      </c>
      <c r="B207" t="s">
        <v>31</v>
      </c>
      <c r="C207" t="s">
        <v>32</v>
      </c>
      <c r="D207">
        <v>5</v>
      </c>
      <c r="E207" t="s">
        <v>46</v>
      </c>
      <c r="F207">
        <v>5</v>
      </c>
      <c r="G207">
        <v>2</v>
      </c>
      <c r="H207">
        <v>3</v>
      </c>
      <c r="I207">
        <v>1</v>
      </c>
      <c r="J207" s="4" t="s">
        <v>55</v>
      </c>
      <c r="K207" t="str">
        <f t="shared" si="14"/>
        <v>2+3</v>
      </c>
      <c r="L207">
        <f>VLOOKUP(A207,'ZONE 1 PREMIUM'!$A$4:$N$16,14,0)</f>
        <v>5</v>
      </c>
      <c r="M207">
        <f>VLOOKUP(D207,DROPDOWN!B:C,2,0)</f>
        <v>4</v>
      </c>
      <c r="N207" t="str">
        <f t="shared" si="12"/>
        <v>AU128:BM139</v>
      </c>
      <c r="O207" s="4">
        <f t="shared" ca="1" si="13"/>
        <v>45410.625</v>
      </c>
    </row>
    <row r="208" spans="1:15">
      <c r="A208" s="2" t="s">
        <v>15</v>
      </c>
      <c r="B208" t="s">
        <v>33</v>
      </c>
      <c r="C208" t="s">
        <v>34</v>
      </c>
      <c r="D208">
        <v>5</v>
      </c>
      <c r="E208" t="s">
        <v>46</v>
      </c>
      <c r="F208">
        <v>5</v>
      </c>
      <c r="G208">
        <v>2</v>
      </c>
      <c r="H208">
        <v>3</v>
      </c>
      <c r="I208">
        <v>1</v>
      </c>
      <c r="J208" s="4" t="s">
        <v>55</v>
      </c>
      <c r="K208" t="str">
        <f t="shared" si="14"/>
        <v>2+3</v>
      </c>
      <c r="L208">
        <f>VLOOKUP(A208,'ZONE 1 PREMIUM'!$A$4:$N$16,14,0)</f>
        <v>6</v>
      </c>
      <c r="M208">
        <f>VLOOKUP(D208,DROPDOWN!B:C,2,0)</f>
        <v>4</v>
      </c>
      <c r="N208" t="str">
        <f t="shared" si="12"/>
        <v>AU128:BM139</v>
      </c>
      <c r="O208" s="4">
        <f t="shared" ca="1" si="13"/>
        <v>55222.875</v>
      </c>
    </row>
    <row r="209" spans="1:15">
      <c r="A209" s="2" t="s">
        <v>16</v>
      </c>
      <c r="B209" t="s">
        <v>35</v>
      </c>
      <c r="C209" t="s">
        <v>36</v>
      </c>
      <c r="D209">
        <v>5</v>
      </c>
      <c r="E209" t="s">
        <v>46</v>
      </c>
      <c r="F209">
        <v>5</v>
      </c>
      <c r="G209">
        <v>2</v>
      </c>
      <c r="H209">
        <v>3</v>
      </c>
      <c r="I209">
        <v>1</v>
      </c>
      <c r="J209" s="4" t="s">
        <v>55</v>
      </c>
      <c r="K209" t="str">
        <f t="shared" si="14"/>
        <v>2+3</v>
      </c>
      <c r="L209">
        <f>VLOOKUP(A209,'ZONE 1 PREMIUM'!$A$4:$N$16,14,0)</f>
        <v>7</v>
      </c>
      <c r="M209">
        <f>VLOOKUP(D209,DROPDOWN!B:C,2,0)</f>
        <v>4</v>
      </c>
      <c r="N209" t="str">
        <f t="shared" si="12"/>
        <v>AU128:BM139</v>
      </c>
      <c r="O209" s="4">
        <f t="shared" ca="1" si="13"/>
        <v>69870.375</v>
      </c>
    </row>
    <row r="210" spans="1:15">
      <c r="A210" s="2" t="s">
        <v>17</v>
      </c>
      <c r="B210" t="s">
        <v>37</v>
      </c>
      <c r="C210" t="s">
        <v>38</v>
      </c>
      <c r="D210">
        <v>5</v>
      </c>
      <c r="E210" t="s">
        <v>46</v>
      </c>
      <c r="F210">
        <v>5</v>
      </c>
      <c r="G210">
        <v>2</v>
      </c>
      <c r="H210">
        <v>3</v>
      </c>
      <c r="I210">
        <v>1</v>
      </c>
      <c r="J210" s="4" t="s">
        <v>55</v>
      </c>
      <c r="K210" t="str">
        <f t="shared" si="14"/>
        <v>2+3</v>
      </c>
      <c r="L210">
        <f>VLOOKUP(A210,'ZONE 1 PREMIUM'!$A$4:$N$16,14,0)</f>
        <v>8</v>
      </c>
      <c r="M210">
        <f>VLOOKUP(D210,DROPDOWN!B:C,2,0)</f>
        <v>4</v>
      </c>
      <c r="N210" t="str">
        <f t="shared" si="12"/>
        <v>AU128:BM139</v>
      </c>
      <c r="O210" s="4">
        <f t="shared" ca="1" si="13"/>
        <v>89295.75</v>
      </c>
    </row>
    <row r="211" spans="1:15">
      <c r="A211" s="2" t="s">
        <v>18</v>
      </c>
      <c r="B211" t="s">
        <v>39</v>
      </c>
      <c r="C211" t="s">
        <v>40</v>
      </c>
      <c r="D211">
        <v>5</v>
      </c>
      <c r="E211" t="s">
        <v>46</v>
      </c>
      <c r="F211">
        <v>5</v>
      </c>
      <c r="G211">
        <v>2</v>
      </c>
      <c r="H211">
        <v>3</v>
      </c>
      <c r="I211">
        <v>1</v>
      </c>
      <c r="J211" s="4" t="s">
        <v>55</v>
      </c>
      <c r="K211" t="str">
        <f t="shared" si="14"/>
        <v>2+3</v>
      </c>
      <c r="L211">
        <f>VLOOKUP(A211,'ZONE 1 PREMIUM'!$A$4:$N$16,14,0)</f>
        <v>9</v>
      </c>
      <c r="M211">
        <f>VLOOKUP(D211,DROPDOWN!B:C,2,0)</f>
        <v>4</v>
      </c>
      <c r="N211" t="str">
        <f t="shared" si="12"/>
        <v>AU128:BM139</v>
      </c>
      <c r="O211" s="4">
        <f t="shared" ca="1" si="13"/>
        <v>115422.75</v>
      </c>
    </row>
    <row r="212" spans="1:15">
      <c r="A212" s="2" t="s">
        <v>19</v>
      </c>
      <c r="B212" t="s">
        <v>41</v>
      </c>
      <c r="C212" t="s">
        <v>42</v>
      </c>
      <c r="D212">
        <v>5</v>
      </c>
      <c r="E212" t="s">
        <v>46</v>
      </c>
      <c r="F212">
        <v>5</v>
      </c>
      <c r="G212">
        <v>2</v>
      </c>
      <c r="H212">
        <v>3</v>
      </c>
      <c r="I212">
        <v>1</v>
      </c>
      <c r="J212" s="4" t="s">
        <v>55</v>
      </c>
      <c r="K212" t="str">
        <f t="shared" si="14"/>
        <v>2+3</v>
      </c>
      <c r="L212">
        <f>VLOOKUP(A212,'ZONE 1 PREMIUM'!$A$4:$N$16,14,0)</f>
        <v>10</v>
      </c>
      <c r="M212">
        <f>VLOOKUP(D212,DROPDOWN!B:C,2,0)</f>
        <v>4</v>
      </c>
      <c r="N212" t="str">
        <f t="shared" si="12"/>
        <v>AU128:BM139</v>
      </c>
      <c r="O212" s="4">
        <f t="shared" ca="1" si="13"/>
        <v>148825.125</v>
      </c>
    </row>
    <row r="213" spans="1:15">
      <c r="A213" s="2" t="s">
        <v>20</v>
      </c>
      <c r="B213" t="s">
        <v>43</v>
      </c>
      <c r="C213" t="s">
        <v>44</v>
      </c>
      <c r="D213">
        <v>5</v>
      </c>
      <c r="E213" t="s">
        <v>46</v>
      </c>
      <c r="F213">
        <v>5</v>
      </c>
      <c r="G213">
        <v>2</v>
      </c>
      <c r="H213">
        <v>3</v>
      </c>
      <c r="I213">
        <v>1</v>
      </c>
      <c r="J213" s="4" t="s">
        <v>55</v>
      </c>
      <c r="K213" t="str">
        <f t="shared" si="14"/>
        <v>2+3</v>
      </c>
      <c r="L213">
        <f>VLOOKUP(A213,'ZONE 1 PREMIUM'!$A$4:$N$16,14,0)</f>
        <v>11</v>
      </c>
      <c r="M213">
        <f>VLOOKUP(D213,DROPDOWN!B:C,2,0)</f>
        <v>4</v>
      </c>
      <c r="N213" t="str">
        <f t="shared" si="12"/>
        <v>AU128:BM139</v>
      </c>
      <c r="O213" s="4">
        <f t="shared" ca="1" si="13"/>
        <v>181893.375</v>
      </c>
    </row>
    <row r="214" spans="1:15">
      <c r="A214" s="2" t="s">
        <v>21</v>
      </c>
      <c r="B214" t="s">
        <v>22</v>
      </c>
      <c r="D214">
        <v>5</v>
      </c>
      <c r="E214" t="s">
        <v>46</v>
      </c>
      <c r="F214">
        <v>5</v>
      </c>
      <c r="G214">
        <v>2</v>
      </c>
      <c r="H214">
        <v>3</v>
      </c>
      <c r="I214">
        <v>1</v>
      </c>
      <c r="J214" s="4" t="s">
        <v>55</v>
      </c>
      <c r="K214" t="str">
        <f t="shared" si="14"/>
        <v>2+3</v>
      </c>
      <c r="L214">
        <f>VLOOKUP(A214,'ZONE 1 PREMIUM'!$A$4:$N$16,14,0)</f>
        <v>12</v>
      </c>
      <c r="M214">
        <f>VLOOKUP(D214,DROPDOWN!B:C,2,0)</f>
        <v>4</v>
      </c>
      <c r="N214" t="str">
        <f t="shared" si="12"/>
        <v>AU128:BM139</v>
      </c>
      <c r="O214" s="4">
        <f t="shared" ca="1" si="13"/>
        <v>228958.875</v>
      </c>
    </row>
    <row r="215" spans="1:15">
      <c r="A215" s="2" t="s">
        <v>11</v>
      </c>
      <c r="B215" t="s">
        <v>45</v>
      </c>
      <c r="C215" t="s">
        <v>25</v>
      </c>
      <c r="D215">
        <v>5</v>
      </c>
      <c r="E215" t="s">
        <v>46</v>
      </c>
      <c r="F215">
        <v>6</v>
      </c>
      <c r="G215">
        <v>2</v>
      </c>
      <c r="H215">
        <v>4</v>
      </c>
      <c r="I215">
        <v>1</v>
      </c>
      <c r="J215" s="4" t="s">
        <v>55</v>
      </c>
      <c r="K215" t="str">
        <f t="shared" si="14"/>
        <v>2+4</v>
      </c>
      <c r="L215">
        <f>VLOOKUP(A215,'ZONE 1 PREMIUM'!$A$4:$N$16,14,0)</f>
        <v>2</v>
      </c>
      <c r="M215">
        <f>VLOOKUP(D215,DROPDOWN!B:C,2,0)</f>
        <v>4</v>
      </c>
      <c r="N215" t="str">
        <f t="shared" si="12"/>
        <v>AU143:BM154</v>
      </c>
      <c r="O215" s="4">
        <f t="shared" ca="1" si="13"/>
        <v>37455.75</v>
      </c>
    </row>
    <row r="216" spans="1:15">
      <c r="A216" s="2" t="s">
        <v>12</v>
      </c>
      <c r="B216" t="s">
        <v>27</v>
      </c>
      <c r="C216" t="s">
        <v>28</v>
      </c>
      <c r="D216">
        <v>5</v>
      </c>
      <c r="E216" t="s">
        <v>46</v>
      </c>
      <c r="F216">
        <v>6</v>
      </c>
      <c r="G216">
        <v>2</v>
      </c>
      <c r="H216">
        <v>4</v>
      </c>
      <c r="I216">
        <v>1</v>
      </c>
      <c r="J216" s="4" t="s">
        <v>55</v>
      </c>
      <c r="K216" t="str">
        <f t="shared" si="14"/>
        <v>2+4</v>
      </c>
      <c r="L216">
        <f>VLOOKUP(A216,'ZONE 1 PREMIUM'!$A$4:$N$16,14,0)</f>
        <v>3</v>
      </c>
      <c r="M216">
        <f>VLOOKUP(D216,DROPDOWN!B:C,2,0)</f>
        <v>4</v>
      </c>
      <c r="N216" t="str">
        <f t="shared" si="12"/>
        <v>AU143:BM154</v>
      </c>
      <c r="O216" s="4">
        <f t="shared" ca="1" si="13"/>
        <v>40037.625</v>
      </c>
    </row>
    <row r="217" spans="1:15">
      <c r="A217" s="2" t="s">
        <v>13</v>
      </c>
      <c r="B217" t="s">
        <v>29</v>
      </c>
      <c r="C217" t="s">
        <v>30</v>
      </c>
      <c r="D217">
        <v>5</v>
      </c>
      <c r="E217" t="s">
        <v>46</v>
      </c>
      <c r="F217">
        <v>6</v>
      </c>
      <c r="G217">
        <v>2</v>
      </c>
      <c r="H217">
        <v>4</v>
      </c>
      <c r="I217">
        <v>1</v>
      </c>
      <c r="J217" s="4" t="s">
        <v>55</v>
      </c>
      <c r="K217" t="str">
        <f t="shared" si="14"/>
        <v>2+4</v>
      </c>
      <c r="L217">
        <f>VLOOKUP(A217,'ZONE 1 PREMIUM'!$A$4:$N$16,14,0)</f>
        <v>4</v>
      </c>
      <c r="M217">
        <f>VLOOKUP(D217,DROPDOWN!B:C,2,0)</f>
        <v>4</v>
      </c>
      <c r="N217" t="str">
        <f t="shared" si="12"/>
        <v>AU143:BM154</v>
      </c>
      <c r="O217" s="4">
        <f t="shared" ca="1" si="13"/>
        <v>45221.625</v>
      </c>
    </row>
    <row r="218" spans="1:15">
      <c r="A218" s="2" t="s">
        <v>14</v>
      </c>
      <c r="B218" t="s">
        <v>31</v>
      </c>
      <c r="C218" t="s">
        <v>32</v>
      </c>
      <c r="D218">
        <v>5</v>
      </c>
      <c r="E218" t="s">
        <v>46</v>
      </c>
      <c r="F218">
        <v>6</v>
      </c>
      <c r="G218">
        <v>2</v>
      </c>
      <c r="H218">
        <v>4</v>
      </c>
      <c r="I218">
        <v>1</v>
      </c>
      <c r="J218" s="4" t="s">
        <v>55</v>
      </c>
      <c r="K218" t="str">
        <f t="shared" si="14"/>
        <v>2+4</v>
      </c>
      <c r="L218">
        <f>VLOOKUP(A218,'ZONE 1 PREMIUM'!$A$4:$N$16,14,0)</f>
        <v>5</v>
      </c>
      <c r="M218">
        <f>VLOOKUP(D218,DROPDOWN!B:C,2,0)</f>
        <v>4</v>
      </c>
      <c r="N218" t="str">
        <f t="shared" si="12"/>
        <v>AU143:BM154</v>
      </c>
      <c r="O218" s="4">
        <f t="shared" ca="1" si="13"/>
        <v>50513.625</v>
      </c>
    </row>
    <row r="219" spans="1:15">
      <c r="A219" s="2" t="s">
        <v>15</v>
      </c>
      <c r="B219" t="s">
        <v>33</v>
      </c>
      <c r="C219" t="s">
        <v>34</v>
      </c>
      <c r="D219">
        <v>5</v>
      </c>
      <c r="E219" t="s">
        <v>46</v>
      </c>
      <c r="F219">
        <v>6</v>
      </c>
      <c r="G219">
        <v>2</v>
      </c>
      <c r="H219">
        <v>4</v>
      </c>
      <c r="I219">
        <v>1</v>
      </c>
      <c r="J219" s="4" t="s">
        <v>55</v>
      </c>
      <c r="K219" t="str">
        <f t="shared" si="14"/>
        <v>2+4</v>
      </c>
      <c r="L219">
        <f>VLOOKUP(A219,'ZONE 1 PREMIUM'!$A$4:$N$16,14,0)</f>
        <v>6</v>
      </c>
      <c r="M219">
        <f>VLOOKUP(D219,DROPDOWN!B:C,2,0)</f>
        <v>4</v>
      </c>
      <c r="N219" t="str">
        <f t="shared" si="12"/>
        <v>AU143:BM154</v>
      </c>
      <c r="O219" s="4">
        <f t="shared" ca="1" si="13"/>
        <v>60944.625</v>
      </c>
    </row>
    <row r="220" spans="1:15">
      <c r="A220" s="2" t="s">
        <v>16</v>
      </c>
      <c r="B220" t="s">
        <v>35</v>
      </c>
      <c r="C220" t="s">
        <v>36</v>
      </c>
      <c r="D220">
        <v>5</v>
      </c>
      <c r="E220" t="s">
        <v>46</v>
      </c>
      <c r="F220">
        <v>6</v>
      </c>
      <c r="G220">
        <v>2</v>
      </c>
      <c r="H220">
        <v>4</v>
      </c>
      <c r="I220">
        <v>1</v>
      </c>
      <c r="J220" s="4" t="s">
        <v>55</v>
      </c>
      <c r="K220" t="str">
        <f t="shared" si="14"/>
        <v>2+4</v>
      </c>
      <c r="L220">
        <f>VLOOKUP(A220,'ZONE 1 PREMIUM'!$A$4:$N$16,14,0)</f>
        <v>7</v>
      </c>
      <c r="M220">
        <f>VLOOKUP(D220,DROPDOWN!B:C,2,0)</f>
        <v>4</v>
      </c>
      <c r="N220" t="str">
        <f t="shared" si="12"/>
        <v>AU143:BM154</v>
      </c>
      <c r="O220" s="4">
        <f t="shared" ca="1" si="13"/>
        <v>75112.875</v>
      </c>
    </row>
    <row r="221" spans="1:15">
      <c r="A221" s="2" t="s">
        <v>17</v>
      </c>
      <c r="B221" t="s">
        <v>37</v>
      </c>
      <c r="C221" t="s">
        <v>38</v>
      </c>
      <c r="D221">
        <v>5</v>
      </c>
      <c r="E221" t="s">
        <v>46</v>
      </c>
      <c r="F221">
        <v>6</v>
      </c>
      <c r="G221">
        <v>2</v>
      </c>
      <c r="H221">
        <v>4</v>
      </c>
      <c r="I221">
        <v>1</v>
      </c>
      <c r="J221" s="4" t="s">
        <v>55</v>
      </c>
      <c r="K221" t="str">
        <f t="shared" si="14"/>
        <v>2+4</v>
      </c>
      <c r="L221">
        <f>VLOOKUP(A221,'ZONE 1 PREMIUM'!$A$4:$N$16,14,0)</f>
        <v>8</v>
      </c>
      <c r="M221">
        <f>VLOOKUP(D221,DROPDOWN!B:C,2,0)</f>
        <v>4</v>
      </c>
      <c r="N221" t="str">
        <f t="shared" si="12"/>
        <v>AU143:BM154</v>
      </c>
      <c r="O221" s="4">
        <f t="shared" ca="1" si="13"/>
        <v>94505.625</v>
      </c>
    </row>
    <row r="222" spans="1:15">
      <c r="A222" s="2" t="s">
        <v>18</v>
      </c>
      <c r="B222" t="s">
        <v>39</v>
      </c>
      <c r="C222" t="s">
        <v>40</v>
      </c>
      <c r="D222">
        <v>5</v>
      </c>
      <c r="E222" t="s">
        <v>46</v>
      </c>
      <c r="F222">
        <v>6</v>
      </c>
      <c r="G222">
        <v>2</v>
      </c>
      <c r="H222">
        <v>4</v>
      </c>
      <c r="I222">
        <v>1</v>
      </c>
      <c r="J222" s="4" t="s">
        <v>55</v>
      </c>
      <c r="K222" t="str">
        <f t="shared" si="14"/>
        <v>2+4</v>
      </c>
      <c r="L222">
        <f>VLOOKUP(A222,'ZONE 1 PREMIUM'!$A$4:$N$16,14,0)</f>
        <v>9</v>
      </c>
      <c r="M222">
        <f>VLOOKUP(D222,DROPDOWN!B:C,2,0)</f>
        <v>4</v>
      </c>
      <c r="N222" t="str">
        <f t="shared" si="12"/>
        <v>AU143:BM154</v>
      </c>
      <c r="O222" s="4">
        <f t="shared" ca="1" si="13"/>
        <v>120447</v>
      </c>
    </row>
    <row r="223" spans="1:15">
      <c r="A223" s="2" t="s">
        <v>19</v>
      </c>
      <c r="B223" t="s">
        <v>41</v>
      </c>
      <c r="C223" t="s">
        <v>42</v>
      </c>
      <c r="D223">
        <v>5</v>
      </c>
      <c r="E223" t="s">
        <v>46</v>
      </c>
      <c r="F223">
        <v>6</v>
      </c>
      <c r="G223">
        <v>2</v>
      </c>
      <c r="H223">
        <v>4</v>
      </c>
      <c r="I223">
        <v>1</v>
      </c>
      <c r="J223" s="4" t="s">
        <v>55</v>
      </c>
      <c r="K223" t="str">
        <f t="shared" si="14"/>
        <v>2+4</v>
      </c>
      <c r="L223">
        <f>VLOOKUP(A223,'ZONE 1 PREMIUM'!$A$4:$N$16,14,0)</f>
        <v>10</v>
      </c>
      <c r="M223">
        <f>VLOOKUP(D223,DROPDOWN!B:C,2,0)</f>
        <v>4</v>
      </c>
      <c r="N223" t="str">
        <f t="shared" si="12"/>
        <v>AU143:BM154</v>
      </c>
      <c r="O223" s="4">
        <f t="shared" ca="1" si="13"/>
        <v>154357.875</v>
      </c>
    </row>
    <row r="224" spans="1:15">
      <c r="A224" s="2" t="s">
        <v>20</v>
      </c>
      <c r="B224" t="s">
        <v>43</v>
      </c>
      <c r="C224" t="s">
        <v>44</v>
      </c>
      <c r="D224">
        <v>5</v>
      </c>
      <c r="E224" t="s">
        <v>46</v>
      </c>
      <c r="F224">
        <v>6</v>
      </c>
      <c r="G224">
        <v>2</v>
      </c>
      <c r="H224">
        <v>4</v>
      </c>
      <c r="I224">
        <v>1</v>
      </c>
      <c r="J224" s="4" t="s">
        <v>55</v>
      </c>
      <c r="K224" t="str">
        <f t="shared" si="14"/>
        <v>2+4</v>
      </c>
      <c r="L224">
        <f>VLOOKUP(A224,'ZONE 1 PREMIUM'!$A$4:$N$16,14,0)</f>
        <v>11</v>
      </c>
      <c r="M224">
        <f>VLOOKUP(D224,DROPDOWN!B:C,2,0)</f>
        <v>4</v>
      </c>
      <c r="N224" t="str">
        <f t="shared" si="12"/>
        <v>AU143:BM154</v>
      </c>
      <c r="O224" s="4">
        <f t="shared" ca="1" si="13"/>
        <v>187009.875</v>
      </c>
    </row>
    <row r="225" spans="1:15">
      <c r="A225" s="2" t="s">
        <v>21</v>
      </c>
      <c r="B225" t="s">
        <v>22</v>
      </c>
      <c r="D225">
        <v>5</v>
      </c>
      <c r="E225" t="s">
        <v>46</v>
      </c>
      <c r="F225">
        <v>6</v>
      </c>
      <c r="G225">
        <v>2</v>
      </c>
      <c r="H225">
        <v>4</v>
      </c>
      <c r="I225">
        <v>1</v>
      </c>
      <c r="J225" s="4" t="s">
        <v>55</v>
      </c>
      <c r="K225" t="str">
        <f t="shared" si="14"/>
        <v>2+4</v>
      </c>
      <c r="L225">
        <f>VLOOKUP(A225,'ZONE 1 PREMIUM'!$A$4:$N$16,14,0)</f>
        <v>12</v>
      </c>
      <c r="M225">
        <f>VLOOKUP(D225,DROPDOWN!B:C,2,0)</f>
        <v>4</v>
      </c>
      <c r="N225" t="str">
        <f t="shared" si="12"/>
        <v>AU143:BM154</v>
      </c>
      <c r="O225" s="4">
        <f ca="1">INDEX(INDIRECT(N225),L225,M225)</f>
        <v>233194.5</v>
      </c>
    </row>
    <row r="226" spans="1:15">
      <c r="A226" s="2" t="s">
        <v>9</v>
      </c>
      <c r="B226" t="s">
        <v>47</v>
      </c>
      <c r="C226" t="s">
        <v>48</v>
      </c>
      <c r="D226">
        <v>5</v>
      </c>
      <c r="E226" t="s">
        <v>26</v>
      </c>
      <c r="F226">
        <v>1</v>
      </c>
      <c r="H226">
        <v>1</v>
      </c>
      <c r="I226">
        <v>1</v>
      </c>
      <c r="J226" s="4" t="s">
        <v>53</v>
      </c>
      <c r="K226" t="str">
        <f t="shared" si="14"/>
        <v>+1</v>
      </c>
      <c r="O226" s="13">
        <v>2894.9895069694039</v>
      </c>
    </row>
    <row r="227" spans="1:15">
      <c r="A227" s="2" t="s">
        <v>10</v>
      </c>
      <c r="B227" t="s">
        <v>49</v>
      </c>
      <c r="C227" t="s">
        <v>50</v>
      </c>
      <c r="D227">
        <v>5</v>
      </c>
      <c r="E227" t="s">
        <v>26</v>
      </c>
      <c r="F227">
        <v>1</v>
      </c>
      <c r="G227">
        <v>1</v>
      </c>
      <c r="H227">
        <v>0</v>
      </c>
      <c r="I227">
        <v>1</v>
      </c>
      <c r="J227" s="4" t="s">
        <v>53</v>
      </c>
      <c r="K227" t="str">
        <f t="shared" si="14"/>
        <v>1+0</v>
      </c>
      <c r="L227">
        <f>VLOOKUP(A227,'ZONE 1 PREMIUM'!$A$3:$M$16,13,0)</f>
        <v>3</v>
      </c>
      <c r="M227">
        <f>VLOOKUP(D227,DROPDOWN!B:C,2,0)</f>
        <v>4</v>
      </c>
      <c r="N227" t="str">
        <f>VLOOKUP(K227,$CK$3:$CL$12,2,0)</f>
        <v>BR3:CJ16</v>
      </c>
      <c r="O227" s="4">
        <f ca="1">INDEX(INDIRECT(N227),L227,M227)</f>
        <v>4766.3</v>
      </c>
    </row>
    <row r="228" spans="1:15">
      <c r="A228" s="2" t="s">
        <v>11</v>
      </c>
      <c r="B228" t="s">
        <v>45</v>
      </c>
      <c r="C228" t="s">
        <v>25</v>
      </c>
      <c r="D228">
        <v>5</v>
      </c>
      <c r="E228" t="s">
        <v>26</v>
      </c>
      <c r="F228">
        <v>1</v>
      </c>
      <c r="G228">
        <v>1</v>
      </c>
      <c r="H228">
        <v>0</v>
      </c>
      <c r="I228">
        <v>1</v>
      </c>
      <c r="J228" s="4" t="s">
        <v>53</v>
      </c>
      <c r="K228" t="str">
        <f t="shared" si="14"/>
        <v>1+0</v>
      </c>
      <c r="L228">
        <f>VLOOKUP(A228,'ZONE 1 PREMIUM'!$A$3:$M$16,13,0)</f>
        <v>4</v>
      </c>
      <c r="M228">
        <f>VLOOKUP(D228,DROPDOWN!B:C,2,0)</f>
        <v>4</v>
      </c>
      <c r="N228" t="str">
        <f t="shared" ref="N228:N291" si="15">VLOOKUP(K228,$CK$3:$CL$12,2,0)</f>
        <v>BR3:CJ16</v>
      </c>
      <c r="O228" s="4">
        <f t="shared" ref="O228:O291" ca="1" si="16">INDEX(INDIRECT(N228),L228,M228)</f>
        <v>12765.500000000002</v>
      </c>
    </row>
    <row r="229" spans="1:15">
      <c r="A229" s="2" t="s">
        <v>12</v>
      </c>
      <c r="B229" t="s">
        <v>27</v>
      </c>
      <c r="C229" t="s">
        <v>28</v>
      </c>
      <c r="D229">
        <v>5</v>
      </c>
      <c r="E229" t="s">
        <v>26</v>
      </c>
      <c r="F229">
        <v>1</v>
      </c>
      <c r="G229">
        <v>1</v>
      </c>
      <c r="H229">
        <v>0</v>
      </c>
      <c r="I229">
        <v>1</v>
      </c>
      <c r="J229" s="4" t="s">
        <v>53</v>
      </c>
      <c r="K229" t="str">
        <f t="shared" si="14"/>
        <v>1+0</v>
      </c>
      <c r="L229">
        <f>VLOOKUP(A229,'ZONE 1 PREMIUM'!$A$3:$M$16,13,0)</f>
        <v>5</v>
      </c>
      <c r="M229">
        <f>VLOOKUP(D229,DROPDOWN!B:C,2,0)</f>
        <v>4</v>
      </c>
      <c r="N229" t="str">
        <f t="shared" si="15"/>
        <v>BR3:CJ16</v>
      </c>
      <c r="O229" s="4">
        <f t="shared" ca="1" si="16"/>
        <v>14689.400000000001</v>
      </c>
    </row>
    <row r="230" spans="1:15">
      <c r="A230" s="2" t="s">
        <v>13</v>
      </c>
      <c r="B230" t="s">
        <v>29</v>
      </c>
      <c r="C230" t="s">
        <v>30</v>
      </c>
      <c r="D230">
        <v>5</v>
      </c>
      <c r="E230" t="s">
        <v>26</v>
      </c>
      <c r="F230">
        <v>1</v>
      </c>
      <c r="G230">
        <v>1</v>
      </c>
      <c r="H230">
        <v>0</v>
      </c>
      <c r="I230">
        <v>1</v>
      </c>
      <c r="J230" s="4" t="s">
        <v>53</v>
      </c>
      <c r="K230" t="str">
        <f t="shared" si="14"/>
        <v>1+0</v>
      </c>
      <c r="L230">
        <f>VLOOKUP(A230,'ZONE 1 PREMIUM'!$A$3:$M$16,13,0)</f>
        <v>6</v>
      </c>
      <c r="M230">
        <f>VLOOKUP(D230,DROPDOWN!B:C,2,0)</f>
        <v>4</v>
      </c>
      <c r="N230" t="str">
        <f t="shared" si="15"/>
        <v>BR3:CJ16</v>
      </c>
      <c r="O230" s="4">
        <f t="shared" ca="1" si="16"/>
        <v>16915.800000000003</v>
      </c>
    </row>
    <row r="231" spans="1:15">
      <c r="A231" s="2" t="s">
        <v>14</v>
      </c>
      <c r="B231" t="s">
        <v>31</v>
      </c>
      <c r="C231" t="s">
        <v>32</v>
      </c>
      <c r="D231">
        <v>5</v>
      </c>
      <c r="E231" t="s">
        <v>26</v>
      </c>
      <c r="F231">
        <v>1</v>
      </c>
      <c r="G231">
        <v>1</v>
      </c>
      <c r="H231">
        <v>0</v>
      </c>
      <c r="I231">
        <v>1</v>
      </c>
      <c r="J231" s="4" t="s">
        <v>53</v>
      </c>
      <c r="K231" t="str">
        <f t="shared" si="14"/>
        <v>1+0</v>
      </c>
      <c r="L231">
        <f>VLOOKUP(A231,'ZONE 1 PREMIUM'!$A$3:$M$16,13,0)</f>
        <v>7</v>
      </c>
      <c r="M231">
        <f>VLOOKUP(D231,DROPDOWN!B:C,2,0)</f>
        <v>4</v>
      </c>
      <c r="N231" t="str">
        <f t="shared" si="15"/>
        <v>BR3:CJ16</v>
      </c>
      <c r="O231" s="4">
        <f t="shared" ca="1" si="16"/>
        <v>19648.2</v>
      </c>
    </row>
    <row r="232" spans="1:15">
      <c r="A232" s="2" t="s">
        <v>15</v>
      </c>
      <c r="B232" t="s">
        <v>33</v>
      </c>
      <c r="C232" t="s">
        <v>34</v>
      </c>
      <c r="D232">
        <v>5</v>
      </c>
      <c r="E232" t="s">
        <v>26</v>
      </c>
      <c r="F232">
        <v>1</v>
      </c>
      <c r="G232">
        <v>1</v>
      </c>
      <c r="H232">
        <v>0</v>
      </c>
      <c r="I232">
        <v>1</v>
      </c>
      <c r="J232" s="4" t="s">
        <v>53</v>
      </c>
      <c r="K232" t="str">
        <f t="shared" si="14"/>
        <v>1+0</v>
      </c>
      <c r="L232">
        <f>VLOOKUP(A232,'ZONE 1 PREMIUM'!$A$3:$M$16,13,0)</f>
        <v>8</v>
      </c>
      <c r="M232">
        <f>VLOOKUP(D232,DROPDOWN!B:C,2,0)</f>
        <v>4</v>
      </c>
      <c r="N232" t="str">
        <f t="shared" si="15"/>
        <v>BR3:CJ16</v>
      </c>
      <c r="O232" s="4">
        <f t="shared" ca="1" si="16"/>
        <v>24362.800000000003</v>
      </c>
    </row>
    <row r="233" spans="1:15">
      <c r="A233" s="2" t="s">
        <v>16</v>
      </c>
      <c r="B233" t="s">
        <v>35</v>
      </c>
      <c r="C233" t="s">
        <v>36</v>
      </c>
      <c r="D233">
        <v>5</v>
      </c>
      <c r="E233" t="s">
        <v>26</v>
      </c>
      <c r="F233">
        <v>1</v>
      </c>
      <c r="G233">
        <v>1</v>
      </c>
      <c r="H233">
        <v>0</v>
      </c>
      <c r="I233">
        <v>1</v>
      </c>
      <c r="J233" s="4" t="s">
        <v>53</v>
      </c>
      <c r="K233" t="str">
        <f t="shared" si="14"/>
        <v>1+0</v>
      </c>
      <c r="L233">
        <f>VLOOKUP(A233,'ZONE 1 PREMIUM'!$A$3:$M$16,13,0)</f>
        <v>9</v>
      </c>
      <c r="M233">
        <f>VLOOKUP(D233,DROPDOWN!B:C,2,0)</f>
        <v>4</v>
      </c>
      <c r="N233" t="str">
        <f t="shared" si="15"/>
        <v>BR3:CJ16</v>
      </c>
      <c r="O233" s="4">
        <f t="shared" ca="1" si="16"/>
        <v>31961.600000000002</v>
      </c>
    </row>
    <row r="234" spans="1:15">
      <c r="A234" s="2" t="s">
        <v>17</v>
      </c>
      <c r="B234" t="s">
        <v>37</v>
      </c>
      <c r="C234" t="s">
        <v>38</v>
      </c>
      <c r="D234">
        <v>5</v>
      </c>
      <c r="E234" t="s">
        <v>26</v>
      </c>
      <c r="F234">
        <v>1</v>
      </c>
      <c r="G234">
        <v>1</v>
      </c>
      <c r="H234">
        <v>0</v>
      </c>
      <c r="I234">
        <v>1</v>
      </c>
      <c r="J234" s="4" t="s">
        <v>53</v>
      </c>
      <c r="K234" t="str">
        <f t="shared" si="14"/>
        <v>1+0</v>
      </c>
      <c r="L234">
        <f>VLOOKUP(A234,'ZONE 1 PREMIUM'!$A$3:$M$16,13,0)</f>
        <v>10</v>
      </c>
      <c r="M234">
        <f>VLOOKUP(D234,DROPDOWN!B:C,2,0)</f>
        <v>4</v>
      </c>
      <c r="N234" t="str">
        <f t="shared" si="15"/>
        <v>BR3:CJ16</v>
      </c>
      <c r="O234" s="4">
        <f t="shared" ca="1" si="16"/>
        <v>43209.100000000006</v>
      </c>
    </row>
    <row r="235" spans="1:15">
      <c r="A235" s="2" t="s">
        <v>18</v>
      </c>
      <c r="B235" t="s">
        <v>39</v>
      </c>
      <c r="C235" t="s">
        <v>40</v>
      </c>
      <c r="D235">
        <v>5</v>
      </c>
      <c r="E235" t="s">
        <v>26</v>
      </c>
      <c r="F235">
        <v>1</v>
      </c>
      <c r="G235">
        <v>1</v>
      </c>
      <c r="H235">
        <v>0</v>
      </c>
      <c r="I235">
        <v>1</v>
      </c>
      <c r="J235" s="4" t="s">
        <v>53</v>
      </c>
      <c r="K235" t="str">
        <f t="shared" si="14"/>
        <v>1+0</v>
      </c>
      <c r="L235">
        <f>VLOOKUP(A235,'ZONE 1 PREMIUM'!$A$3:$M$16,13,0)</f>
        <v>11</v>
      </c>
      <c r="M235">
        <f>VLOOKUP(D235,DROPDOWN!B:C,2,0)</f>
        <v>4</v>
      </c>
      <c r="N235" t="str">
        <f t="shared" si="15"/>
        <v>BR3:CJ16</v>
      </c>
      <c r="O235" s="4">
        <f t="shared" ca="1" si="16"/>
        <v>59578.200000000004</v>
      </c>
    </row>
    <row r="236" spans="1:15">
      <c r="A236" s="2" t="s">
        <v>19</v>
      </c>
      <c r="B236" t="s">
        <v>41</v>
      </c>
      <c r="C236" t="s">
        <v>42</v>
      </c>
      <c r="D236">
        <v>5</v>
      </c>
      <c r="E236" t="s">
        <v>26</v>
      </c>
      <c r="F236">
        <v>1</v>
      </c>
      <c r="G236">
        <v>1</v>
      </c>
      <c r="H236">
        <v>0</v>
      </c>
      <c r="I236">
        <v>1</v>
      </c>
      <c r="J236" s="4" t="s">
        <v>53</v>
      </c>
      <c r="K236" t="str">
        <f t="shared" si="14"/>
        <v>1+0</v>
      </c>
      <c r="L236">
        <f>VLOOKUP(A236,'ZONE 1 PREMIUM'!$A$3:$M$16,13,0)</f>
        <v>12</v>
      </c>
      <c r="M236">
        <f>VLOOKUP(D236,DROPDOWN!B:C,2,0)</f>
        <v>4</v>
      </c>
      <c r="N236" t="str">
        <f t="shared" si="15"/>
        <v>BR3:CJ16</v>
      </c>
      <c r="O236" s="4">
        <f t="shared" ca="1" si="16"/>
        <v>75880.200000000012</v>
      </c>
    </row>
    <row r="237" spans="1:15">
      <c r="A237" s="2" t="s">
        <v>20</v>
      </c>
      <c r="B237" t="s">
        <v>43</v>
      </c>
      <c r="C237" t="s">
        <v>44</v>
      </c>
      <c r="D237">
        <v>5</v>
      </c>
      <c r="E237" t="s">
        <v>26</v>
      </c>
      <c r="F237">
        <v>1</v>
      </c>
      <c r="G237">
        <v>1</v>
      </c>
      <c r="H237">
        <v>0</v>
      </c>
      <c r="I237">
        <v>1</v>
      </c>
      <c r="J237" s="4" t="s">
        <v>53</v>
      </c>
      <c r="K237" t="str">
        <f t="shared" si="14"/>
        <v>1+0</v>
      </c>
      <c r="L237">
        <f>VLOOKUP(A237,'ZONE 1 PREMIUM'!$A$3:$M$16,13,0)</f>
        <v>13</v>
      </c>
      <c r="M237">
        <f>VLOOKUP(D237,DROPDOWN!B:C,2,0)</f>
        <v>4</v>
      </c>
      <c r="N237" t="str">
        <f t="shared" si="15"/>
        <v>BR3:CJ16</v>
      </c>
      <c r="O237" s="4">
        <f t="shared" ca="1" si="16"/>
        <v>90878.700000000012</v>
      </c>
    </row>
    <row r="238" spans="1:15">
      <c r="A238" s="2" t="s">
        <v>21</v>
      </c>
      <c r="B238" t="s">
        <v>22</v>
      </c>
      <c r="D238">
        <v>5</v>
      </c>
      <c r="E238" t="s">
        <v>26</v>
      </c>
      <c r="F238">
        <v>1</v>
      </c>
      <c r="G238">
        <v>1</v>
      </c>
      <c r="H238">
        <v>0</v>
      </c>
      <c r="I238">
        <v>1</v>
      </c>
      <c r="J238" s="4" t="s">
        <v>53</v>
      </c>
      <c r="K238" t="str">
        <f t="shared" si="14"/>
        <v>1+0</v>
      </c>
      <c r="L238">
        <f>VLOOKUP(A238,'ZONE 1 PREMIUM'!$A$3:$M$16,13,0)</f>
        <v>14</v>
      </c>
      <c r="M238">
        <f>VLOOKUP(D238,DROPDOWN!B:C,2,0)</f>
        <v>4</v>
      </c>
      <c r="N238" t="str">
        <f t="shared" si="15"/>
        <v>BR3:CJ16</v>
      </c>
      <c r="O238" s="4">
        <f t="shared" ca="1" si="16"/>
        <v>121634.70000000001</v>
      </c>
    </row>
    <row r="239" spans="1:15">
      <c r="A239" s="2" t="s">
        <v>11</v>
      </c>
      <c r="B239" t="s">
        <v>45</v>
      </c>
      <c r="C239" t="s">
        <v>25</v>
      </c>
      <c r="D239">
        <v>5</v>
      </c>
      <c r="E239" t="s">
        <v>46</v>
      </c>
      <c r="F239">
        <v>2</v>
      </c>
      <c r="G239">
        <v>1</v>
      </c>
      <c r="H239">
        <v>1</v>
      </c>
      <c r="I239">
        <v>1</v>
      </c>
      <c r="J239" s="4" t="s">
        <v>53</v>
      </c>
      <c r="K239" t="str">
        <f t="shared" si="14"/>
        <v>1+1</v>
      </c>
      <c r="L239">
        <f>VLOOKUP(A239,'ZONE 1 PREMIUM'!$A$4:$N$16,14,0)</f>
        <v>2</v>
      </c>
      <c r="M239">
        <f>VLOOKUP(D239,DROPDOWN!B:C,2,0)</f>
        <v>4</v>
      </c>
      <c r="N239" t="str">
        <f t="shared" si="15"/>
        <v>BR20:CJ31</v>
      </c>
      <c r="O239" s="4">
        <f t="shared" ca="1" si="16"/>
        <v>13900.7</v>
      </c>
    </row>
    <row r="240" spans="1:15">
      <c r="A240" s="2" t="s">
        <v>12</v>
      </c>
      <c r="B240" t="s">
        <v>27</v>
      </c>
      <c r="C240" t="s">
        <v>28</v>
      </c>
      <c r="D240">
        <v>5</v>
      </c>
      <c r="E240" t="s">
        <v>46</v>
      </c>
      <c r="F240">
        <v>2</v>
      </c>
      <c r="G240">
        <v>1</v>
      </c>
      <c r="H240">
        <v>1</v>
      </c>
      <c r="I240">
        <v>1</v>
      </c>
      <c r="J240" s="4" t="s">
        <v>53</v>
      </c>
      <c r="K240" t="str">
        <f t="shared" si="14"/>
        <v>1+1</v>
      </c>
      <c r="L240">
        <f>VLOOKUP(A240,'ZONE 1 PREMIUM'!$A$4:$N$16,14,0)</f>
        <v>3</v>
      </c>
      <c r="M240">
        <f>VLOOKUP(D240,DROPDOWN!B:C,2,0)</f>
        <v>4</v>
      </c>
      <c r="N240" t="str">
        <f t="shared" si="15"/>
        <v>BR20:CJ31</v>
      </c>
      <c r="O240" s="4">
        <f t="shared" ca="1" si="16"/>
        <v>15397.800000000001</v>
      </c>
    </row>
    <row r="241" spans="1:15">
      <c r="A241" s="2" t="s">
        <v>13</v>
      </c>
      <c r="B241" t="s">
        <v>29</v>
      </c>
      <c r="C241" t="s">
        <v>30</v>
      </c>
      <c r="D241">
        <v>5</v>
      </c>
      <c r="E241" t="s">
        <v>46</v>
      </c>
      <c r="F241">
        <v>2</v>
      </c>
      <c r="G241">
        <v>1</v>
      </c>
      <c r="H241">
        <v>1</v>
      </c>
      <c r="I241">
        <v>1</v>
      </c>
      <c r="J241" s="4" t="s">
        <v>53</v>
      </c>
      <c r="K241" t="str">
        <f t="shared" si="14"/>
        <v>1+1</v>
      </c>
      <c r="L241">
        <f>VLOOKUP(A241,'ZONE 1 PREMIUM'!$A$4:$N$16,14,0)</f>
        <v>4</v>
      </c>
      <c r="M241">
        <f>VLOOKUP(D241,DROPDOWN!B:C,2,0)</f>
        <v>4</v>
      </c>
      <c r="N241" t="str">
        <f t="shared" si="15"/>
        <v>BR20:CJ31</v>
      </c>
      <c r="O241" s="4">
        <f t="shared" ca="1" si="16"/>
        <v>17750.7</v>
      </c>
    </row>
    <row r="242" spans="1:15">
      <c r="A242" s="2" t="s">
        <v>14</v>
      </c>
      <c r="B242" t="s">
        <v>31</v>
      </c>
      <c r="C242" t="s">
        <v>32</v>
      </c>
      <c r="D242">
        <v>5</v>
      </c>
      <c r="E242" t="s">
        <v>46</v>
      </c>
      <c r="F242">
        <v>2</v>
      </c>
      <c r="G242">
        <v>1</v>
      </c>
      <c r="H242">
        <v>1</v>
      </c>
      <c r="I242">
        <v>1</v>
      </c>
      <c r="J242" s="4" t="s">
        <v>53</v>
      </c>
      <c r="K242" t="str">
        <f t="shared" si="14"/>
        <v>1+1</v>
      </c>
      <c r="L242">
        <f>VLOOKUP(A242,'ZONE 1 PREMIUM'!$A$4:$N$16,14,0)</f>
        <v>5</v>
      </c>
      <c r="M242">
        <f>VLOOKUP(D242,DROPDOWN!B:C,2,0)</f>
        <v>4</v>
      </c>
      <c r="N242" t="str">
        <f t="shared" si="15"/>
        <v>BR20:CJ31</v>
      </c>
      <c r="O242" s="4">
        <f t="shared" ca="1" si="16"/>
        <v>20841.7</v>
      </c>
    </row>
    <row r="243" spans="1:15">
      <c r="A243" s="2" t="s">
        <v>15</v>
      </c>
      <c r="B243" t="s">
        <v>33</v>
      </c>
      <c r="C243" t="s">
        <v>34</v>
      </c>
      <c r="D243">
        <v>5</v>
      </c>
      <c r="E243" t="s">
        <v>46</v>
      </c>
      <c r="F243">
        <v>2</v>
      </c>
      <c r="G243">
        <v>1</v>
      </c>
      <c r="H243">
        <v>1</v>
      </c>
      <c r="I243">
        <v>1</v>
      </c>
      <c r="J243" s="4" t="s">
        <v>53</v>
      </c>
      <c r="K243" t="str">
        <f t="shared" si="14"/>
        <v>1+1</v>
      </c>
      <c r="L243">
        <f>VLOOKUP(A243,'ZONE 1 PREMIUM'!$A$4:$N$16,14,0)</f>
        <v>6</v>
      </c>
      <c r="M243">
        <f>VLOOKUP(D243,DROPDOWN!B:C,2,0)</f>
        <v>4</v>
      </c>
      <c r="N243" t="str">
        <f t="shared" si="15"/>
        <v>BR20:CJ31</v>
      </c>
      <c r="O243" s="4">
        <f t="shared" ca="1" si="16"/>
        <v>25359.4</v>
      </c>
    </row>
    <row r="244" spans="1:15">
      <c r="A244" s="2" t="s">
        <v>16</v>
      </c>
      <c r="B244" t="s">
        <v>35</v>
      </c>
      <c r="C244" t="s">
        <v>36</v>
      </c>
      <c r="D244">
        <v>5</v>
      </c>
      <c r="E244" t="s">
        <v>46</v>
      </c>
      <c r="F244">
        <v>2</v>
      </c>
      <c r="G244">
        <v>1</v>
      </c>
      <c r="H244">
        <v>1</v>
      </c>
      <c r="I244">
        <v>1</v>
      </c>
      <c r="J244" s="4" t="s">
        <v>53</v>
      </c>
      <c r="K244" t="str">
        <f t="shared" si="14"/>
        <v>1+1</v>
      </c>
      <c r="L244">
        <f>VLOOKUP(A244,'ZONE 1 PREMIUM'!$A$4:$N$16,14,0)</f>
        <v>7</v>
      </c>
      <c r="M244">
        <f>VLOOKUP(D244,DROPDOWN!B:C,2,0)</f>
        <v>4</v>
      </c>
      <c r="N244" t="str">
        <f t="shared" si="15"/>
        <v>BR20:CJ31</v>
      </c>
      <c r="O244" s="4">
        <f t="shared" ca="1" si="16"/>
        <v>32803.100000000006</v>
      </c>
    </row>
    <row r="245" spans="1:15">
      <c r="A245" s="2" t="s">
        <v>17</v>
      </c>
      <c r="B245" t="s">
        <v>37</v>
      </c>
      <c r="C245" t="s">
        <v>38</v>
      </c>
      <c r="D245">
        <v>5</v>
      </c>
      <c r="E245" t="s">
        <v>46</v>
      </c>
      <c r="F245">
        <v>2</v>
      </c>
      <c r="G245">
        <v>1</v>
      </c>
      <c r="H245">
        <v>1</v>
      </c>
      <c r="I245">
        <v>1</v>
      </c>
      <c r="J245" s="4" t="s">
        <v>53</v>
      </c>
      <c r="K245" t="str">
        <f t="shared" si="14"/>
        <v>1+1</v>
      </c>
      <c r="L245">
        <f>VLOOKUP(A245,'ZONE 1 PREMIUM'!$A$4:$N$16,14,0)</f>
        <v>8</v>
      </c>
      <c r="M245">
        <f>VLOOKUP(D245,DROPDOWN!B:C,2,0)</f>
        <v>4</v>
      </c>
      <c r="N245" t="str">
        <f t="shared" si="15"/>
        <v>BR20:CJ31</v>
      </c>
      <c r="O245" s="4">
        <f t="shared" ca="1" si="16"/>
        <v>44585.200000000004</v>
      </c>
    </row>
    <row r="246" spans="1:15">
      <c r="A246" s="2" t="s">
        <v>18</v>
      </c>
      <c r="B246" t="s">
        <v>39</v>
      </c>
      <c r="C246" t="s">
        <v>40</v>
      </c>
      <c r="D246">
        <v>5</v>
      </c>
      <c r="E246" t="s">
        <v>46</v>
      </c>
      <c r="F246">
        <v>2</v>
      </c>
      <c r="G246">
        <v>1</v>
      </c>
      <c r="H246">
        <v>1</v>
      </c>
      <c r="I246">
        <v>1</v>
      </c>
      <c r="J246" s="4" t="s">
        <v>53</v>
      </c>
      <c r="K246" t="str">
        <f t="shared" si="14"/>
        <v>1+1</v>
      </c>
      <c r="L246">
        <f>VLOOKUP(A246,'ZONE 1 PREMIUM'!$A$4:$N$16,14,0)</f>
        <v>9</v>
      </c>
      <c r="M246">
        <f>VLOOKUP(D246,DROPDOWN!B:C,2,0)</f>
        <v>4</v>
      </c>
      <c r="N246" t="str">
        <f t="shared" si="15"/>
        <v>BR20:CJ31</v>
      </c>
      <c r="O246" s="4">
        <f t="shared" ca="1" si="16"/>
        <v>60131.500000000007</v>
      </c>
    </row>
    <row r="247" spans="1:15">
      <c r="A247" s="2" t="s">
        <v>19</v>
      </c>
      <c r="B247" t="s">
        <v>41</v>
      </c>
      <c r="C247" t="s">
        <v>42</v>
      </c>
      <c r="D247">
        <v>5</v>
      </c>
      <c r="E247" t="s">
        <v>46</v>
      </c>
      <c r="F247">
        <v>2</v>
      </c>
      <c r="G247">
        <v>1</v>
      </c>
      <c r="H247">
        <v>1</v>
      </c>
      <c r="I247">
        <v>1</v>
      </c>
      <c r="J247" s="4" t="s">
        <v>53</v>
      </c>
      <c r="K247" t="str">
        <f t="shared" si="14"/>
        <v>1+1</v>
      </c>
      <c r="L247">
        <f>VLOOKUP(A247,'ZONE 1 PREMIUM'!$A$4:$N$16,14,0)</f>
        <v>10</v>
      </c>
      <c r="M247">
        <f>VLOOKUP(D247,DROPDOWN!B:C,2,0)</f>
        <v>4</v>
      </c>
      <c r="N247" t="str">
        <f t="shared" si="15"/>
        <v>BR20:CJ31</v>
      </c>
      <c r="O247" s="4">
        <f t="shared" ca="1" si="16"/>
        <v>78413.5</v>
      </c>
    </row>
    <row r="248" spans="1:15">
      <c r="A248" s="2" t="s">
        <v>20</v>
      </c>
      <c r="B248" t="s">
        <v>43</v>
      </c>
      <c r="C248" t="s">
        <v>44</v>
      </c>
      <c r="D248">
        <v>5</v>
      </c>
      <c r="E248" t="s">
        <v>46</v>
      </c>
      <c r="F248">
        <v>2</v>
      </c>
      <c r="G248">
        <v>1</v>
      </c>
      <c r="H248">
        <v>1</v>
      </c>
      <c r="I248">
        <v>1</v>
      </c>
      <c r="J248" s="4" t="s">
        <v>53</v>
      </c>
      <c r="K248" t="str">
        <f t="shared" si="14"/>
        <v>1+1</v>
      </c>
      <c r="L248">
        <f>VLOOKUP(A248,'ZONE 1 PREMIUM'!$A$4:$N$16,14,0)</f>
        <v>11</v>
      </c>
      <c r="M248">
        <f>VLOOKUP(D248,DROPDOWN!B:C,2,0)</f>
        <v>4</v>
      </c>
      <c r="N248" t="str">
        <f t="shared" si="15"/>
        <v>BR20:CJ31</v>
      </c>
      <c r="O248" s="4">
        <f t="shared" ca="1" si="16"/>
        <v>92202.000000000015</v>
      </c>
    </row>
    <row r="249" spans="1:15">
      <c r="A249" s="2" t="s">
        <v>21</v>
      </c>
      <c r="B249" t="s">
        <v>22</v>
      </c>
      <c r="D249">
        <v>5</v>
      </c>
      <c r="E249" t="s">
        <v>46</v>
      </c>
      <c r="F249">
        <v>2</v>
      </c>
      <c r="G249">
        <v>1</v>
      </c>
      <c r="H249">
        <v>1</v>
      </c>
      <c r="I249">
        <v>1</v>
      </c>
      <c r="J249" s="4" t="s">
        <v>53</v>
      </c>
      <c r="K249" t="str">
        <f t="shared" si="14"/>
        <v>1+1</v>
      </c>
      <c r="L249">
        <f>VLOOKUP(A249,'ZONE 1 PREMIUM'!$A$4:$N$16,14,0)</f>
        <v>12</v>
      </c>
      <c r="M249">
        <f>VLOOKUP(D249,DROPDOWN!B:C,2,0)</f>
        <v>4</v>
      </c>
      <c r="N249" t="str">
        <f t="shared" si="15"/>
        <v>BR20:CJ31</v>
      </c>
      <c r="O249" s="4">
        <f t="shared" ca="1" si="16"/>
        <v>124672.90000000001</v>
      </c>
    </row>
    <row r="250" spans="1:15">
      <c r="A250" s="2" t="s">
        <v>11</v>
      </c>
      <c r="B250" t="s">
        <v>45</v>
      </c>
      <c r="C250" t="s">
        <v>25</v>
      </c>
      <c r="D250">
        <v>5</v>
      </c>
      <c r="E250" t="s">
        <v>46</v>
      </c>
      <c r="F250">
        <v>3</v>
      </c>
      <c r="G250">
        <v>1</v>
      </c>
      <c r="H250">
        <v>2</v>
      </c>
      <c r="I250">
        <v>1</v>
      </c>
      <c r="J250" s="4" t="s">
        <v>53</v>
      </c>
      <c r="K250" t="str">
        <f t="shared" si="14"/>
        <v>1+2</v>
      </c>
      <c r="L250">
        <f>VLOOKUP(A250,'ZONE 1 PREMIUM'!$A$4:$N$16,14,0)</f>
        <v>2</v>
      </c>
      <c r="M250">
        <f>VLOOKUP(D250,DROPDOWN!B:C,2,0)</f>
        <v>4</v>
      </c>
      <c r="N250" t="str">
        <f t="shared" si="15"/>
        <v>BR35:CJ46</v>
      </c>
      <c r="O250" s="4">
        <f t="shared" ca="1" si="16"/>
        <v>17354.7</v>
      </c>
    </row>
    <row r="251" spans="1:15">
      <c r="A251" s="2" t="s">
        <v>12</v>
      </c>
      <c r="B251" t="s">
        <v>27</v>
      </c>
      <c r="C251" t="s">
        <v>28</v>
      </c>
      <c r="D251">
        <v>5</v>
      </c>
      <c r="E251" t="s">
        <v>46</v>
      </c>
      <c r="F251">
        <v>3</v>
      </c>
      <c r="G251">
        <v>1</v>
      </c>
      <c r="H251">
        <v>2</v>
      </c>
      <c r="I251">
        <v>1</v>
      </c>
      <c r="J251" s="4" t="s">
        <v>53</v>
      </c>
      <c r="K251" t="str">
        <f t="shared" si="14"/>
        <v>1+2</v>
      </c>
      <c r="L251">
        <f>VLOOKUP(A251,'ZONE 1 PREMIUM'!$A$4:$N$16,14,0)</f>
        <v>3</v>
      </c>
      <c r="M251">
        <f>VLOOKUP(D251,DROPDOWN!B:C,2,0)</f>
        <v>4</v>
      </c>
      <c r="N251" t="str">
        <f t="shared" si="15"/>
        <v>BR35:CJ46</v>
      </c>
      <c r="O251" s="4">
        <f t="shared" ca="1" si="16"/>
        <v>18659.300000000003</v>
      </c>
    </row>
    <row r="252" spans="1:15">
      <c r="A252" s="2" t="s">
        <v>13</v>
      </c>
      <c r="B252" t="s">
        <v>29</v>
      </c>
      <c r="C252" t="s">
        <v>30</v>
      </c>
      <c r="D252">
        <v>5</v>
      </c>
      <c r="E252" t="s">
        <v>46</v>
      </c>
      <c r="F252">
        <v>3</v>
      </c>
      <c r="G252">
        <v>1</v>
      </c>
      <c r="H252">
        <v>2</v>
      </c>
      <c r="I252">
        <v>1</v>
      </c>
      <c r="J252" s="4" t="s">
        <v>53</v>
      </c>
      <c r="K252" t="str">
        <f t="shared" si="14"/>
        <v>1+2</v>
      </c>
      <c r="L252">
        <f>VLOOKUP(A252,'ZONE 1 PREMIUM'!$A$4:$N$16,14,0)</f>
        <v>4</v>
      </c>
      <c r="M252">
        <f>VLOOKUP(D252,DROPDOWN!B:C,2,0)</f>
        <v>4</v>
      </c>
      <c r="N252" t="str">
        <f t="shared" si="15"/>
        <v>BR35:CJ46</v>
      </c>
      <c r="O252" s="4">
        <f t="shared" ca="1" si="16"/>
        <v>21529.200000000001</v>
      </c>
    </row>
    <row r="253" spans="1:15">
      <c r="A253" s="2" t="s">
        <v>14</v>
      </c>
      <c r="B253" t="s">
        <v>31</v>
      </c>
      <c r="C253" t="s">
        <v>32</v>
      </c>
      <c r="D253">
        <v>5</v>
      </c>
      <c r="E253" t="s">
        <v>46</v>
      </c>
      <c r="F253">
        <v>3</v>
      </c>
      <c r="G253">
        <v>1</v>
      </c>
      <c r="H253">
        <v>2</v>
      </c>
      <c r="I253">
        <v>1</v>
      </c>
      <c r="J253" s="4" t="s">
        <v>53</v>
      </c>
      <c r="K253" t="str">
        <f t="shared" si="14"/>
        <v>1+2</v>
      </c>
      <c r="L253">
        <f>VLOOKUP(A253,'ZONE 1 PREMIUM'!$A$4:$N$16,14,0)</f>
        <v>5</v>
      </c>
      <c r="M253">
        <f>VLOOKUP(D253,DROPDOWN!B:C,2,0)</f>
        <v>4</v>
      </c>
      <c r="N253" t="str">
        <f t="shared" si="15"/>
        <v>BR35:CJ46</v>
      </c>
      <c r="O253" s="4">
        <f t="shared" ca="1" si="16"/>
        <v>24112.000000000004</v>
      </c>
    </row>
    <row r="254" spans="1:15">
      <c r="A254" s="2" t="s">
        <v>15</v>
      </c>
      <c r="B254" t="s">
        <v>33</v>
      </c>
      <c r="C254" t="s">
        <v>34</v>
      </c>
      <c r="D254">
        <v>5</v>
      </c>
      <c r="E254" t="s">
        <v>46</v>
      </c>
      <c r="F254">
        <v>3</v>
      </c>
      <c r="G254">
        <v>1</v>
      </c>
      <c r="H254">
        <v>2</v>
      </c>
      <c r="I254">
        <v>1</v>
      </c>
      <c r="J254" s="4" t="s">
        <v>53</v>
      </c>
      <c r="K254" t="str">
        <f t="shared" si="14"/>
        <v>1+2</v>
      </c>
      <c r="L254">
        <f>VLOOKUP(A254,'ZONE 1 PREMIUM'!$A$4:$N$16,14,0)</f>
        <v>6</v>
      </c>
      <c r="M254">
        <f>VLOOKUP(D254,DROPDOWN!B:C,2,0)</f>
        <v>4</v>
      </c>
      <c r="N254" t="str">
        <f t="shared" si="15"/>
        <v>BR35:CJ46</v>
      </c>
      <c r="O254" s="4">
        <f t="shared" ca="1" si="16"/>
        <v>29834.2</v>
      </c>
    </row>
    <row r="255" spans="1:15">
      <c r="A255" s="2" t="s">
        <v>16</v>
      </c>
      <c r="B255" t="s">
        <v>35</v>
      </c>
      <c r="C255" t="s">
        <v>36</v>
      </c>
      <c r="D255">
        <v>5</v>
      </c>
      <c r="E255" t="s">
        <v>46</v>
      </c>
      <c r="F255">
        <v>3</v>
      </c>
      <c r="G255">
        <v>1</v>
      </c>
      <c r="H255">
        <v>2</v>
      </c>
      <c r="I255">
        <v>1</v>
      </c>
      <c r="J255" s="4" t="s">
        <v>53</v>
      </c>
      <c r="K255" t="str">
        <f t="shared" si="14"/>
        <v>1+2</v>
      </c>
      <c r="L255">
        <f>VLOOKUP(A255,'ZONE 1 PREMIUM'!$A$4:$N$16,14,0)</f>
        <v>7</v>
      </c>
      <c r="M255">
        <f>VLOOKUP(D255,DROPDOWN!B:C,2,0)</f>
        <v>4</v>
      </c>
      <c r="N255" t="str">
        <f t="shared" si="15"/>
        <v>BR35:CJ46</v>
      </c>
      <c r="O255" s="4">
        <f t="shared" ca="1" si="16"/>
        <v>38306.400000000001</v>
      </c>
    </row>
    <row r="256" spans="1:15">
      <c r="A256" s="2" t="s">
        <v>17</v>
      </c>
      <c r="B256" t="s">
        <v>37</v>
      </c>
      <c r="C256" t="s">
        <v>38</v>
      </c>
      <c r="D256">
        <v>5</v>
      </c>
      <c r="E256" t="s">
        <v>46</v>
      </c>
      <c r="F256">
        <v>3</v>
      </c>
      <c r="G256">
        <v>1</v>
      </c>
      <c r="H256">
        <v>2</v>
      </c>
      <c r="I256">
        <v>1</v>
      </c>
      <c r="J256" s="4" t="s">
        <v>53</v>
      </c>
      <c r="K256" t="str">
        <f t="shared" si="14"/>
        <v>1+2</v>
      </c>
      <c r="L256">
        <f>VLOOKUP(A256,'ZONE 1 PREMIUM'!$A$4:$N$16,14,0)</f>
        <v>8</v>
      </c>
      <c r="M256">
        <f>VLOOKUP(D256,DROPDOWN!B:C,2,0)</f>
        <v>4</v>
      </c>
      <c r="N256" t="str">
        <f t="shared" si="15"/>
        <v>BR35:CJ46</v>
      </c>
      <c r="O256" s="4">
        <f t="shared" ca="1" si="16"/>
        <v>50222.700000000004</v>
      </c>
    </row>
    <row r="257" spans="1:15">
      <c r="A257" s="2" t="s">
        <v>18</v>
      </c>
      <c r="B257" t="s">
        <v>39</v>
      </c>
      <c r="C257" t="s">
        <v>40</v>
      </c>
      <c r="D257">
        <v>5</v>
      </c>
      <c r="E257" t="s">
        <v>46</v>
      </c>
      <c r="F257">
        <v>3</v>
      </c>
      <c r="G257">
        <v>1</v>
      </c>
      <c r="H257">
        <v>2</v>
      </c>
      <c r="I257">
        <v>1</v>
      </c>
      <c r="J257" s="4" t="s">
        <v>53</v>
      </c>
      <c r="K257" t="str">
        <f t="shared" si="14"/>
        <v>1+2</v>
      </c>
      <c r="L257">
        <f>VLOOKUP(A257,'ZONE 1 PREMIUM'!$A$4:$N$16,14,0)</f>
        <v>9</v>
      </c>
      <c r="M257">
        <f>VLOOKUP(D257,DROPDOWN!B:C,2,0)</f>
        <v>4</v>
      </c>
      <c r="N257" t="str">
        <f t="shared" si="15"/>
        <v>BR35:CJ46</v>
      </c>
      <c r="O257" s="4">
        <f t="shared" ca="1" si="16"/>
        <v>63984.800000000003</v>
      </c>
    </row>
    <row r="258" spans="1:15">
      <c r="A258" s="2" t="s">
        <v>19</v>
      </c>
      <c r="B258" t="s">
        <v>41</v>
      </c>
      <c r="C258" t="s">
        <v>42</v>
      </c>
      <c r="D258">
        <v>5</v>
      </c>
      <c r="E258" t="s">
        <v>46</v>
      </c>
      <c r="F258">
        <v>3</v>
      </c>
      <c r="G258">
        <v>1</v>
      </c>
      <c r="H258">
        <v>2</v>
      </c>
      <c r="I258">
        <v>1</v>
      </c>
      <c r="J258" s="4" t="s">
        <v>53</v>
      </c>
      <c r="K258" t="str">
        <f t="shared" si="14"/>
        <v>1+2</v>
      </c>
      <c r="L258">
        <f>VLOOKUP(A258,'ZONE 1 PREMIUM'!$A$4:$N$16,14,0)</f>
        <v>10</v>
      </c>
      <c r="M258">
        <f>VLOOKUP(D258,DROPDOWN!B:C,2,0)</f>
        <v>4</v>
      </c>
      <c r="N258" t="str">
        <f t="shared" si="15"/>
        <v>BR35:CJ46</v>
      </c>
      <c r="O258" s="4">
        <f t="shared" ca="1" si="16"/>
        <v>82957.600000000006</v>
      </c>
    </row>
    <row r="259" spans="1:15">
      <c r="A259" s="2" t="s">
        <v>20</v>
      </c>
      <c r="B259" t="s">
        <v>43</v>
      </c>
      <c r="C259" t="s">
        <v>44</v>
      </c>
      <c r="D259">
        <v>5</v>
      </c>
      <c r="E259" t="s">
        <v>46</v>
      </c>
      <c r="F259">
        <v>3</v>
      </c>
      <c r="G259">
        <v>1</v>
      </c>
      <c r="H259">
        <v>2</v>
      </c>
      <c r="I259">
        <v>1</v>
      </c>
      <c r="J259" s="4" t="s">
        <v>53</v>
      </c>
      <c r="K259" t="str">
        <f t="shared" si="14"/>
        <v>1+2</v>
      </c>
      <c r="L259">
        <f>VLOOKUP(A259,'ZONE 1 PREMIUM'!$A$4:$N$16,14,0)</f>
        <v>11</v>
      </c>
      <c r="M259">
        <f>VLOOKUP(D259,DROPDOWN!B:C,2,0)</f>
        <v>4</v>
      </c>
      <c r="N259" t="str">
        <f t="shared" si="15"/>
        <v>BR35:CJ46</v>
      </c>
      <c r="O259" s="4">
        <f t="shared" ca="1" si="16"/>
        <v>97595.3</v>
      </c>
    </row>
    <row r="260" spans="1:15">
      <c r="A260" s="2" t="s">
        <v>21</v>
      </c>
      <c r="B260" t="s">
        <v>22</v>
      </c>
      <c r="D260">
        <v>5</v>
      </c>
      <c r="E260" t="s">
        <v>46</v>
      </c>
      <c r="F260">
        <v>3</v>
      </c>
      <c r="G260">
        <v>1</v>
      </c>
      <c r="H260">
        <v>2</v>
      </c>
      <c r="I260">
        <v>1</v>
      </c>
      <c r="J260" s="4" t="s">
        <v>53</v>
      </c>
      <c r="K260" t="str">
        <f t="shared" ref="K260:K323" si="17">G260&amp;"+"&amp;H260</f>
        <v>1+2</v>
      </c>
      <c r="L260">
        <f>VLOOKUP(A260,'ZONE 1 PREMIUM'!$A$4:$N$16,14,0)</f>
        <v>12</v>
      </c>
      <c r="M260">
        <f>VLOOKUP(D260,DROPDOWN!B:C,2,0)</f>
        <v>4</v>
      </c>
      <c r="N260" t="str">
        <f t="shared" si="15"/>
        <v>BR35:CJ46</v>
      </c>
      <c r="O260" s="4">
        <f t="shared" ca="1" si="16"/>
        <v>126940.00000000001</v>
      </c>
    </row>
    <row r="261" spans="1:15">
      <c r="A261" s="2" t="s">
        <v>11</v>
      </c>
      <c r="B261" t="s">
        <v>45</v>
      </c>
      <c r="C261" t="s">
        <v>25</v>
      </c>
      <c r="D261">
        <v>5</v>
      </c>
      <c r="E261" t="s">
        <v>46</v>
      </c>
      <c r="F261">
        <v>4</v>
      </c>
      <c r="G261">
        <v>1</v>
      </c>
      <c r="H261">
        <v>3</v>
      </c>
      <c r="I261">
        <v>1</v>
      </c>
      <c r="J261" s="4" t="s">
        <v>53</v>
      </c>
      <c r="K261" t="str">
        <f t="shared" si="17"/>
        <v>1+3</v>
      </c>
      <c r="L261">
        <f>VLOOKUP(A261,'ZONE 1 PREMIUM'!$A$4:$N$16,14,0)</f>
        <v>2</v>
      </c>
      <c r="M261">
        <f>VLOOKUP(D261,DROPDOWN!B:C,2,0)</f>
        <v>4</v>
      </c>
      <c r="N261" t="str">
        <f t="shared" si="15"/>
        <v>BR50:CJ61</v>
      </c>
      <c r="O261" s="4">
        <f t="shared" ca="1" si="16"/>
        <v>21245.4</v>
      </c>
    </row>
    <row r="262" spans="1:15">
      <c r="A262" s="2" t="s">
        <v>12</v>
      </c>
      <c r="B262" t="s">
        <v>27</v>
      </c>
      <c r="C262" t="s">
        <v>28</v>
      </c>
      <c r="D262">
        <v>5</v>
      </c>
      <c r="E262" t="s">
        <v>46</v>
      </c>
      <c r="F262">
        <v>4</v>
      </c>
      <c r="G262">
        <v>1</v>
      </c>
      <c r="H262">
        <v>3</v>
      </c>
      <c r="I262">
        <v>1</v>
      </c>
      <c r="J262" s="4" t="s">
        <v>53</v>
      </c>
      <c r="K262" t="str">
        <f t="shared" si="17"/>
        <v>1+3</v>
      </c>
      <c r="L262">
        <f>VLOOKUP(A262,'ZONE 1 PREMIUM'!$A$4:$N$16,14,0)</f>
        <v>3</v>
      </c>
      <c r="M262">
        <f>VLOOKUP(D262,DROPDOWN!B:C,2,0)</f>
        <v>4</v>
      </c>
      <c r="N262" t="str">
        <f t="shared" si="15"/>
        <v>BR50:CJ61</v>
      </c>
      <c r="O262" s="4">
        <f t="shared" ca="1" si="16"/>
        <v>22479.600000000002</v>
      </c>
    </row>
    <row r="263" spans="1:15">
      <c r="A263" s="2" t="s">
        <v>13</v>
      </c>
      <c r="B263" t="s">
        <v>29</v>
      </c>
      <c r="C263" t="s">
        <v>30</v>
      </c>
      <c r="D263">
        <v>5</v>
      </c>
      <c r="E263" t="s">
        <v>46</v>
      </c>
      <c r="F263">
        <v>4</v>
      </c>
      <c r="G263">
        <v>1</v>
      </c>
      <c r="H263">
        <v>3</v>
      </c>
      <c r="I263">
        <v>1</v>
      </c>
      <c r="J263" s="4" t="s">
        <v>53</v>
      </c>
      <c r="K263" t="str">
        <f t="shared" si="17"/>
        <v>1+3</v>
      </c>
      <c r="L263">
        <f>VLOOKUP(A263,'ZONE 1 PREMIUM'!$A$4:$N$16,14,0)</f>
        <v>4</v>
      </c>
      <c r="M263">
        <f>VLOOKUP(D263,DROPDOWN!B:C,2,0)</f>
        <v>4</v>
      </c>
      <c r="N263" t="str">
        <f t="shared" si="15"/>
        <v>BR50:CJ61</v>
      </c>
      <c r="O263" s="4">
        <f t="shared" ca="1" si="16"/>
        <v>25952.300000000003</v>
      </c>
    </row>
    <row r="264" spans="1:15">
      <c r="A264" s="2" t="s">
        <v>14</v>
      </c>
      <c r="B264" t="s">
        <v>31</v>
      </c>
      <c r="C264" t="s">
        <v>32</v>
      </c>
      <c r="D264">
        <v>5</v>
      </c>
      <c r="E264" t="s">
        <v>46</v>
      </c>
      <c r="F264">
        <v>4</v>
      </c>
      <c r="G264">
        <v>1</v>
      </c>
      <c r="H264">
        <v>3</v>
      </c>
      <c r="I264">
        <v>1</v>
      </c>
      <c r="J264" s="4" t="s">
        <v>53</v>
      </c>
      <c r="K264" t="str">
        <f t="shared" si="17"/>
        <v>1+3</v>
      </c>
      <c r="L264">
        <f>VLOOKUP(A264,'ZONE 1 PREMIUM'!$A$4:$N$16,14,0)</f>
        <v>5</v>
      </c>
      <c r="M264">
        <f>VLOOKUP(D264,DROPDOWN!B:C,2,0)</f>
        <v>4</v>
      </c>
      <c r="N264" t="str">
        <f t="shared" si="15"/>
        <v>BR50:CJ61</v>
      </c>
      <c r="O264" s="4">
        <f t="shared" ca="1" si="16"/>
        <v>28814.500000000004</v>
      </c>
    </row>
    <row r="265" spans="1:15">
      <c r="A265" s="2" t="s">
        <v>15</v>
      </c>
      <c r="B265" t="s">
        <v>33</v>
      </c>
      <c r="C265" t="s">
        <v>34</v>
      </c>
      <c r="D265">
        <v>5</v>
      </c>
      <c r="E265" t="s">
        <v>46</v>
      </c>
      <c r="F265">
        <v>4</v>
      </c>
      <c r="G265">
        <v>1</v>
      </c>
      <c r="H265">
        <v>3</v>
      </c>
      <c r="I265">
        <v>1</v>
      </c>
      <c r="J265" s="4" t="s">
        <v>53</v>
      </c>
      <c r="K265" t="str">
        <f t="shared" si="17"/>
        <v>1+3</v>
      </c>
      <c r="L265">
        <f>VLOOKUP(A265,'ZONE 1 PREMIUM'!$A$4:$N$16,14,0)</f>
        <v>6</v>
      </c>
      <c r="M265">
        <f>VLOOKUP(D265,DROPDOWN!B:C,2,0)</f>
        <v>4</v>
      </c>
      <c r="N265" t="str">
        <f t="shared" si="15"/>
        <v>BR50:CJ61</v>
      </c>
      <c r="O265" s="4">
        <f t="shared" ca="1" si="16"/>
        <v>35106.5</v>
      </c>
    </row>
    <row r="266" spans="1:15">
      <c r="A266" s="2" t="s">
        <v>16</v>
      </c>
      <c r="B266" t="s">
        <v>35</v>
      </c>
      <c r="C266" t="s">
        <v>36</v>
      </c>
      <c r="D266">
        <v>5</v>
      </c>
      <c r="E266" t="s">
        <v>46</v>
      </c>
      <c r="F266">
        <v>4</v>
      </c>
      <c r="G266">
        <v>1</v>
      </c>
      <c r="H266">
        <v>3</v>
      </c>
      <c r="I266">
        <v>1</v>
      </c>
      <c r="J266" s="4" t="s">
        <v>53</v>
      </c>
      <c r="K266" t="str">
        <f t="shared" si="17"/>
        <v>1+3</v>
      </c>
      <c r="L266">
        <f>VLOOKUP(A266,'ZONE 1 PREMIUM'!$A$4:$N$16,14,0)</f>
        <v>7</v>
      </c>
      <c r="M266">
        <f>VLOOKUP(D266,DROPDOWN!B:C,2,0)</f>
        <v>4</v>
      </c>
      <c r="N266" t="str">
        <f t="shared" si="15"/>
        <v>BR50:CJ61</v>
      </c>
      <c r="O266" s="4">
        <f t="shared" ca="1" si="16"/>
        <v>44169.4</v>
      </c>
    </row>
    <row r="267" spans="1:15">
      <c r="A267" s="2" t="s">
        <v>17</v>
      </c>
      <c r="B267" t="s">
        <v>37</v>
      </c>
      <c r="C267" t="s">
        <v>38</v>
      </c>
      <c r="D267">
        <v>5</v>
      </c>
      <c r="E267" t="s">
        <v>46</v>
      </c>
      <c r="F267">
        <v>4</v>
      </c>
      <c r="G267">
        <v>1</v>
      </c>
      <c r="H267">
        <v>3</v>
      </c>
      <c r="I267">
        <v>1</v>
      </c>
      <c r="J267" s="4" t="s">
        <v>53</v>
      </c>
      <c r="K267" t="str">
        <f t="shared" si="17"/>
        <v>1+3</v>
      </c>
      <c r="L267">
        <f>VLOOKUP(A267,'ZONE 1 PREMIUM'!$A$4:$N$16,14,0)</f>
        <v>8</v>
      </c>
      <c r="M267">
        <f>VLOOKUP(D267,DROPDOWN!B:C,2,0)</f>
        <v>4</v>
      </c>
      <c r="N267" t="str">
        <f t="shared" si="15"/>
        <v>BR50:CJ61</v>
      </c>
      <c r="O267" s="4">
        <f t="shared" ca="1" si="16"/>
        <v>55401.500000000007</v>
      </c>
    </row>
    <row r="268" spans="1:15">
      <c r="A268" s="2" t="s">
        <v>18</v>
      </c>
      <c r="B268" t="s">
        <v>39</v>
      </c>
      <c r="C268" t="s">
        <v>40</v>
      </c>
      <c r="D268">
        <v>5</v>
      </c>
      <c r="E268" t="s">
        <v>46</v>
      </c>
      <c r="F268">
        <v>4</v>
      </c>
      <c r="G268">
        <v>1</v>
      </c>
      <c r="H268">
        <v>3</v>
      </c>
      <c r="I268">
        <v>1</v>
      </c>
      <c r="J268" s="4" t="s">
        <v>53</v>
      </c>
      <c r="K268" t="str">
        <f t="shared" si="17"/>
        <v>1+3</v>
      </c>
      <c r="L268">
        <f>VLOOKUP(A268,'ZONE 1 PREMIUM'!$A$4:$N$16,14,0)</f>
        <v>9</v>
      </c>
      <c r="M268">
        <f>VLOOKUP(D268,DROPDOWN!B:C,2,0)</f>
        <v>4</v>
      </c>
      <c r="N268" t="str">
        <f t="shared" si="15"/>
        <v>BR50:CJ61</v>
      </c>
      <c r="O268" s="4">
        <f t="shared" ca="1" si="16"/>
        <v>69729</v>
      </c>
    </row>
    <row r="269" spans="1:15">
      <c r="A269" s="2" t="s">
        <v>19</v>
      </c>
      <c r="B269" t="s">
        <v>41</v>
      </c>
      <c r="C269" t="s">
        <v>42</v>
      </c>
      <c r="D269">
        <v>5</v>
      </c>
      <c r="E269" t="s">
        <v>46</v>
      </c>
      <c r="F269">
        <v>4</v>
      </c>
      <c r="G269">
        <v>1</v>
      </c>
      <c r="H269">
        <v>3</v>
      </c>
      <c r="I269">
        <v>1</v>
      </c>
      <c r="J269" s="4" t="s">
        <v>53</v>
      </c>
      <c r="K269" t="str">
        <f t="shared" si="17"/>
        <v>1+3</v>
      </c>
      <c r="L269">
        <f>VLOOKUP(A269,'ZONE 1 PREMIUM'!$A$4:$N$16,14,0)</f>
        <v>10</v>
      </c>
      <c r="M269">
        <f>VLOOKUP(D269,DROPDOWN!B:C,2,0)</f>
        <v>4</v>
      </c>
      <c r="N269" t="str">
        <f t="shared" si="15"/>
        <v>BR50:CJ61</v>
      </c>
      <c r="O269" s="4">
        <f t="shared" ca="1" si="16"/>
        <v>87551.200000000012</v>
      </c>
    </row>
    <row r="270" spans="1:15">
      <c r="A270" s="2" t="s">
        <v>20</v>
      </c>
      <c r="B270" t="s">
        <v>43</v>
      </c>
      <c r="C270" t="s">
        <v>44</v>
      </c>
      <c r="D270">
        <v>5</v>
      </c>
      <c r="E270" t="s">
        <v>46</v>
      </c>
      <c r="F270">
        <v>4</v>
      </c>
      <c r="G270">
        <v>1</v>
      </c>
      <c r="H270">
        <v>3</v>
      </c>
      <c r="I270">
        <v>1</v>
      </c>
      <c r="J270" s="4" t="s">
        <v>53</v>
      </c>
      <c r="K270" t="str">
        <f t="shared" si="17"/>
        <v>1+3</v>
      </c>
      <c r="L270">
        <f>VLOOKUP(A270,'ZONE 1 PREMIUM'!$A$4:$N$16,14,0)</f>
        <v>11</v>
      </c>
      <c r="M270">
        <f>VLOOKUP(D270,DROPDOWN!B:C,2,0)</f>
        <v>4</v>
      </c>
      <c r="N270" t="str">
        <f t="shared" si="15"/>
        <v>BR50:CJ61</v>
      </c>
      <c r="O270" s="4">
        <f t="shared" ca="1" si="16"/>
        <v>101962.3</v>
      </c>
    </row>
    <row r="271" spans="1:15">
      <c r="A271" s="2" t="s">
        <v>21</v>
      </c>
      <c r="B271" t="s">
        <v>22</v>
      </c>
      <c r="D271">
        <v>5</v>
      </c>
      <c r="E271" t="s">
        <v>46</v>
      </c>
      <c r="F271">
        <v>4</v>
      </c>
      <c r="G271">
        <v>1</v>
      </c>
      <c r="H271">
        <v>3</v>
      </c>
      <c r="I271">
        <v>1</v>
      </c>
      <c r="J271" s="4" t="s">
        <v>53</v>
      </c>
      <c r="K271" t="str">
        <f t="shared" si="17"/>
        <v>1+3</v>
      </c>
      <c r="L271">
        <f>VLOOKUP(A271,'ZONE 1 PREMIUM'!$A$4:$N$16,14,0)</f>
        <v>12</v>
      </c>
      <c r="M271">
        <f>VLOOKUP(D271,DROPDOWN!B:C,2,0)</f>
        <v>4</v>
      </c>
      <c r="N271" t="str">
        <f t="shared" si="15"/>
        <v>BR50:CJ61</v>
      </c>
      <c r="O271" s="4">
        <f t="shared" ca="1" si="16"/>
        <v>131573.20000000001</v>
      </c>
    </row>
    <row r="272" spans="1:15">
      <c r="A272" s="2" t="s">
        <v>11</v>
      </c>
      <c r="B272" t="s">
        <v>45</v>
      </c>
      <c r="C272" t="s">
        <v>25</v>
      </c>
      <c r="D272">
        <v>5</v>
      </c>
      <c r="E272" t="s">
        <v>46</v>
      </c>
      <c r="F272">
        <v>5</v>
      </c>
      <c r="G272">
        <v>1</v>
      </c>
      <c r="H272">
        <v>4</v>
      </c>
      <c r="I272">
        <v>1</v>
      </c>
      <c r="J272" s="4" t="s">
        <v>53</v>
      </c>
      <c r="K272" t="str">
        <f t="shared" si="17"/>
        <v>1+4</v>
      </c>
      <c r="L272">
        <f>VLOOKUP(A272,'ZONE 1 PREMIUM'!$A$4:$N$16,14,0)</f>
        <v>2</v>
      </c>
      <c r="M272">
        <f>VLOOKUP(D272,DROPDOWN!B:C,2,0)</f>
        <v>4</v>
      </c>
      <c r="N272" t="str">
        <f t="shared" si="15"/>
        <v>BR65:CJ76</v>
      </c>
      <c r="O272" s="4">
        <f t="shared" ca="1" si="16"/>
        <v>25136.100000000002</v>
      </c>
    </row>
    <row r="273" spans="1:15">
      <c r="A273" s="2" t="s">
        <v>12</v>
      </c>
      <c r="B273" t="s">
        <v>27</v>
      </c>
      <c r="C273" t="s">
        <v>28</v>
      </c>
      <c r="D273">
        <v>5</v>
      </c>
      <c r="E273" t="s">
        <v>46</v>
      </c>
      <c r="F273">
        <v>5</v>
      </c>
      <c r="G273">
        <v>1</v>
      </c>
      <c r="H273">
        <v>4</v>
      </c>
      <c r="I273">
        <v>1</v>
      </c>
      <c r="J273" s="4" t="s">
        <v>53</v>
      </c>
      <c r="K273" t="str">
        <f t="shared" si="17"/>
        <v>1+4</v>
      </c>
      <c r="L273">
        <f>VLOOKUP(A273,'ZONE 1 PREMIUM'!$A$4:$N$16,14,0)</f>
        <v>3</v>
      </c>
      <c r="M273">
        <f>VLOOKUP(D273,DROPDOWN!B:C,2,0)</f>
        <v>4</v>
      </c>
      <c r="N273" t="str">
        <f t="shared" si="15"/>
        <v>BR65:CJ76</v>
      </c>
      <c r="O273" s="4">
        <f t="shared" ca="1" si="16"/>
        <v>26299.9</v>
      </c>
    </row>
    <row r="274" spans="1:15">
      <c r="A274" s="2" t="s">
        <v>13</v>
      </c>
      <c r="B274" t="s">
        <v>29</v>
      </c>
      <c r="C274" t="s">
        <v>30</v>
      </c>
      <c r="D274">
        <v>5</v>
      </c>
      <c r="E274" t="s">
        <v>46</v>
      </c>
      <c r="F274">
        <v>5</v>
      </c>
      <c r="G274">
        <v>1</v>
      </c>
      <c r="H274">
        <v>4</v>
      </c>
      <c r="I274">
        <v>1</v>
      </c>
      <c r="J274" s="4" t="s">
        <v>53</v>
      </c>
      <c r="K274" t="str">
        <f t="shared" si="17"/>
        <v>1+4</v>
      </c>
      <c r="L274">
        <f>VLOOKUP(A274,'ZONE 1 PREMIUM'!$A$4:$N$16,14,0)</f>
        <v>4</v>
      </c>
      <c r="M274">
        <f>VLOOKUP(D274,DROPDOWN!B:C,2,0)</f>
        <v>4</v>
      </c>
      <c r="N274" t="str">
        <f t="shared" si="15"/>
        <v>BR65:CJ76</v>
      </c>
      <c r="O274" s="4">
        <f t="shared" ca="1" si="16"/>
        <v>30375.4</v>
      </c>
    </row>
    <row r="275" spans="1:15">
      <c r="A275" s="2" t="s">
        <v>14</v>
      </c>
      <c r="B275" t="s">
        <v>31</v>
      </c>
      <c r="C275" t="s">
        <v>32</v>
      </c>
      <c r="D275">
        <v>5</v>
      </c>
      <c r="E275" t="s">
        <v>46</v>
      </c>
      <c r="F275">
        <v>5</v>
      </c>
      <c r="G275">
        <v>1</v>
      </c>
      <c r="H275">
        <v>4</v>
      </c>
      <c r="I275">
        <v>1</v>
      </c>
      <c r="J275" s="4" t="s">
        <v>53</v>
      </c>
      <c r="K275" t="str">
        <f t="shared" si="17"/>
        <v>1+4</v>
      </c>
      <c r="L275">
        <f>VLOOKUP(A275,'ZONE 1 PREMIUM'!$A$4:$N$16,14,0)</f>
        <v>5</v>
      </c>
      <c r="M275">
        <f>VLOOKUP(D275,DROPDOWN!B:C,2,0)</f>
        <v>4</v>
      </c>
      <c r="N275" t="str">
        <f t="shared" si="15"/>
        <v>BR65:CJ76</v>
      </c>
      <c r="O275" s="4">
        <f t="shared" ca="1" si="16"/>
        <v>33517</v>
      </c>
    </row>
    <row r="276" spans="1:15">
      <c r="A276" s="2" t="s">
        <v>15</v>
      </c>
      <c r="B276" t="s">
        <v>33</v>
      </c>
      <c r="C276" t="s">
        <v>34</v>
      </c>
      <c r="D276">
        <v>5</v>
      </c>
      <c r="E276" t="s">
        <v>46</v>
      </c>
      <c r="F276">
        <v>5</v>
      </c>
      <c r="G276">
        <v>1</v>
      </c>
      <c r="H276">
        <v>4</v>
      </c>
      <c r="I276">
        <v>1</v>
      </c>
      <c r="J276" s="4" t="s">
        <v>53</v>
      </c>
      <c r="K276" t="str">
        <f t="shared" si="17"/>
        <v>1+4</v>
      </c>
      <c r="L276">
        <f>VLOOKUP(A276,'ZONE 1 PREMIUM'!$A$4:$N$16,14,0)</f>
        <v>6</v>
      </c>
      <c r="M276">
        <f>VLOOKUP(D276,DROPDOWN!B:C,2,0)</f>
        <v>4</v>
      </c>
      <c r="N276" t="str">
        <f t="shared" si="15"/>
        <v>BR65:CJ76</v>
      </c>
      <c r="O276" s="4">
        <f t="shared" ca="1" si="16"/>
        <v>40379.9</v>
      </c>
    </row>
    <row r="277" spans="1:15">
      <c r="A277" s="2" t="s">
        <v>16</v>
      </c>
      <c r="B277" t="s">
        <v>35</v>
      </c>
      <c r="C277" t="s">
        <v>36</v>
      </c>
      <c r="D277">
        <v>5</v>
      </c>
      <c r="E277" t="s">
        <v>46</v>
      </c>
      <c r="F277">
        <v>5</v>
      </c>
      <c r="G277">
        <v>1</v>
      </c>
      <c r="H277">
        <v>4</v>
      </c>
      <c r="I277">
        <v>1</v>
      </c>
      <c r="J277" s="4" t="s">
        <v>53</v>
      </c>
      <c r="K277" t="str">
        <f t="shared" si="17"/>
        <v>1+4</v>
      </c>
      <c r="L277">
        <f>VLOOKUP(A277,'ZONE 1 PREMIUM'!$A$4:$N$16,14,0)</f>
        <v>7</v>
      </c>
      <c r="M277">
        <f>VLOOKUP(D277,DROPDOWN!B:C,2,0)</f>
        <v>4</v>
      </c>
      <c r="N277" t="str">
        <f t="shared" si="15"/>
        <v>BR65:CJ76</v>
      </c>
      <c r="O277" s="4">
        <f t="shared" ca="1" si="16"/>
        <v>49065.500000000007</v>
      </c>
    </row>
    <row r="278" spans="1:15">
      <c r="A278" s="2" t="s">
        <v>17</v>
      </c>
      <c r="B278" t="s">
        <v>37</v>
      </c>
      <c r="C278" t="s">
        <v>38</v>
      </c>
      <c r="D278">
        <v>5</v>
      </c>
      <c r="E278" t="s">
        <v>46</v>
      </c>
      <c r="F278">
        <v>5</v>
      </c>
      <c r="G278">
        <v>1</v>
      </c>
      <c r="H278">
        <v>4</v>
      </c>
      <c r="I278">
        <v>1</v>
      </c>
      <c r="J278" s="4" t="s">
        <v>53</v>
      </c>
      <c r="K278" t="str">
        <f t="shared" si="17"/>
        <v>1+4</v>
      </c>
      <c r="L278">
        <f>VLOOKUP(A278,'ZONE 1 PREMIUM'!$A$4:$N$16,14,0)</f>
        <v>8</v>
      </c>
      <c r="M278">
        <f>VLOOKUP(D278,DROPDOWN!B:C,2,0)</f>
        <v>4</v>
      </c>
      <c r="N278" t="str">
        <f t="shared" si="15"/>
        <v>BR65:CJ76</v>
      </c>
      <c r="O278" s="4">
        <f t="shared" ca="1" si="16"/>
        <v>60123.8</v>
      </c>
    </row>
    <row r="279" spans="1:15">
      <c r="A279" s="2" t="s">
        <v>18</v>
      </c>
      <c r="B279" t="s">
        <v>39</v>
      </c>
      <c r="C279" t="s">
        <v>40</v>
      </c>
      <c r="D279">
        <v>5</v>
      </c>
      <c r="E279" t="s">
        <v>46</v>
      </c>
      <c r="F279">
        <v>5</v>
      </c>
      <c r="G279">
        <v>1</v>
      </c>
      <c r="H279">
        <v>4</v>
      </c>
      <c r="I279">
        <v>1</v>
      </c>
      <c r="J279" s="4" t="s">
        <v>53</v>
      </c>
      <c r="K279" t="str">
        <f t="shared" si="17"/>
        <v>1+4</v>
      </c>
      <c r="L279">
        <f>VLOOKUP(A279,'ZONE 1 PREMIUM'!$A$4:$N$16,14,0)</f>
        <v>9</v>
      </c>
      <c r="M279">
        <f>VLOOKUP(D279,DROPDOWN!B:C,2,0)</f>
        <v>4</v>
      </c>
      <c r="N279" t="str">
        <f t="shared" si="15"/>
        <v>BR65:CJ76</v>
      </c>
      <c r="O279" s="4">
        <f t="shared" ca="1" si="16"/>
        <v>74598.700000000012</v>
      </c>
    </row>
    <row r="280" spans="1:15">
      <c r="A280" s="2" t="s">
        <v>19</v>
      </c>
      <c r="B280" t="s">
        <v>41</v>
      </c>
      <c r="C280" t="s">
        <v>42</v>
      </c>
      <c r="D280">
        <v>5</v>
      </c>
      <c r="E280" t="s">
        <v>46</v>
      </c>
      <c r="F280">
        <v>5</v>
      </c>
      <c r="G280">
        <v>1</v>
      </c>
      <c r="H280">
        <v>4</v>
      </c>
      <c r="I280">
        <v>1</v>
      </c>
      <c r="J280" s="4" t="s">
        <v>53</v>
      </c>
      <c r="K280" t="str">
        <f t="shared" si="17"/>
        <v>1+4</v>
      </c>
      <c r="L280">
        <f>VLOOKUP(A280,'ZONE 1 PREMIUM'!$A$4:$N$16,14,0)</f>
        <v>10</v>
      </c>
      <c r="M280">
        <f>VLOOKUP(D280,DROPDOWN!B:C,2,0)</f>
        <v>4</v>
      </c>
      <c r="N280" t="str">
        <f t="shared" si="15"/>
        <v>BR65:CJ76</v>
      </c>
      <c r="O280" s="4">
        <f t="shared" ca="1" si="16"/>
        <v>92293.3</v>
      </c>
    </row>
    <row r="281" spans="1:15">
      <c r="A281" s="2" t="s">
        <v>20</v>
      </c>
      <c r="B281" t="s">
        <v>43</v>
      </c>
      <c r="C281" t="s">
        <v>44</v>
      </c>
      <c r="D281">
        <v>5</v>
      </c>
      <c r="E281" t="s">
        <v>46</v>
      </c>
      <c r="F281">
        <v>5</v>
      </c>
      <c r="G281">
        <v>1</v>
      </c>
      <c r="H281">
        <v>4</v>
      </c>
      <c r="I281">
        <v>1</v>
      </c>
      <c r="J281" s="4" t="s">
        <v>53</v>
      </c>
      <c r="K281" t="str">
        <f t="shared" si="17"/>
        <v>1+4</v>
      </c>
      <c r="L281">
        <f>VLOOKUP(A281,'ZONE 1 PREMIUM'!$A$4:$N$16,14,0)</f>
        <v>11</v>
      </c>
      <c r="M281">
        <f>VLOOKUP(D281,DROPDOWN!B:C,2,0)</f>
        <v>4</v>
      </c>
      <c r="N281" t="str">
        <f t="shared" si="15"/>
        <v>BR65:CJ76</v>
      </c>
      <c r="O281" s="4">
        <f t="shared" ca="1" si="16"/>
        <v>106728.6</v>
      </c>
    </row>
    <row r="282" spans="1:15">
      <c r="A282" s="2" t="s">
        <v>21</v>
      </c>
      <c r="B282" t="s">
        <v>22</v>
      </c>
      <c r="D282">
        <v>5</v>
      </c>
      <c r="E282" t="s">
        <v>46</v>
      </c>
      <c r="F282">
        <v>5</v>
      </c>
      <c r="G282">
        <v>1</v>
      </c>
      <c r="H282">
        <v>4</v>
      </c>
      <c r="I282">
        <v>1</v>
      </c>
      <c r="J282" s="4" t="s">
        <v>53</v>
      </c>
      <c r="K282" t="str">
        <f t="shared" si="17"/>
        <v>1+4</v>
      </c>
      <c r="L282">
        <f>VLOOKUP(A282,'ZONE 1 PREMIUM'!$A$4:$N$16,14,0)</f>
        <v>12</v>
      </c>
      <c r="M282">
        <f>VLOOKUP(D282,DROPDOWN!B:C,2,0)</f>
        <v>4</v>
      </c>
      <c r="N282" t="str">
        <f t="shared" si="15"/>
        <v>BR65:CJ76</v>
      </c>
      <c r="O282" s="4">
        <f t="shared" ca="1" si="16"/>
        <v>136504.5</v>
      </c>
    </row>
    <row r="283" spans="1:15">
      <c r="A283" s="2" t="s">
        <v>11</v>
      </c>
      <c r="B283" t="s">
        <v>45</v>
      </c>
      <c r="C283" t="s">
        <v>25</v>
      </c>
      <c r="D283">
        <v>5</v>
      </c>
      <c r="E283" t="s">
        <v>46</v>
      </c>
      <c r="F283">
        <v>2</v>
      </c>
      <c r="G283">
        <v>2</v>
      </c>
      <c r="H283">
        <v>0</v>
      </c>
      <c r="I283">
        <v>1</v>
      </c>
      <c r="J283" s="4" t="s">
        <v>53</v>
      </c>
      <c r="K283" t="str">
        <f t="shared" si="17"/>
        <v>2+0</v>
      </c>
      <c r="L283">
        <f>VLOOKUP(A283,'ZONE 1 PREMIUM'!$A$4:$N$16,14,0)</f>
        <v>2</v>
      </c>
      <c r="M283">
        <f>VLOOKUP(D283,DROPDOWN!B:C,2,0)</f>
        <v>4</v>
      </c>
      <c r="N283" t="str">
        <f t="shared" si="15"/>
        <v>BR81:CJ92</v>
      </c>
      <c r="O283" s="4">
        <f t="shared" ca="1" si="16"/>
        <v>18841.900000000001</v>
      </c>
    </row>
    <row r="284" spans="1:15">
      <c r="A284" s="2" t="s">
        <v>12</v>
      </c>
      <c r="B284" t="s">
        <v>27</v>
      </c>
      <c r="C284" t="s">
        <v>28</v>
      </c>
      <c r="D284">
        <v>5</v>
      </c>
      <c r="E284" t="s">
        <v>46</v>
      </c>
      <c r="F284">
        <v>2</v>
      </c>
      <c r="G284">
        <v>2</v>
      </c>
      <c r="H284">
        <v>0</v>
      </c>
      <c r="I284">
        <v>1</v>
      </c>
      <c r="J284" s="4" t="s">
        <v>53</v>
      </c>
      <c r="K284" t="str">
        <f t="shared" si="17"/>
        <v>2+0</v>
      </c>
      <c r="L284">
        <f>VLOOKUP(A284,'ZONE 1 PREMIUM'!$A$4:$N$16,14,0)</f>
        <v>3</v>
      </c>
      <c r="M284">
        <f>VLOOKUP(D284,DROPDOWN!B:C,2,0)</f>
        <v>4</v>
      </c>
      <c r="N284" t="str">
        <f t="shared" si="15"/>
        <v>BR81:CJ92</v>
      </c>
      <c r="O284" s="4">
        <f t="shared" ca="1" si="16"/>
        <v>21516</v>
      </c>
    </row>
    <row r="285" spans="1:15">
      <c r="A285" s="2" t="s">
        <v>13</v>
      </c>
      <c r="B285" t="s">
        <v>29</v>
      </c>
      <c r="C285" t="s">
        <v>30</v>
      </c>
      <c r="D285">
        <v>5</v>
      </c>
      <c r="E285" t="s">
        <v>46</v>
      </c>
      <c r="F285">
        <v>2</v>
      </c>
      <c r="G285">
        <v>2</v>
      </c>
      <c r="H285">
        <v>0</v>
      </c>
      <c r="I285">
        <v>1</v>
      </c>
      <c r="J285" s="4" t="s">
        <v>53</v>
      </c>
      <c r="K285" t="str">
        <f t="shared" si="17"/>
        <v>2+0</v>
      </c>
      <c r="L285">
        <f>VLOOKUP(A285,'ZONE 1 PREMIUM'!$A$4:$N$16,14,0)</f>
        <v>4</v>
      </c>
      <c r="M285">
        <f>VLOOKUP(D285,DROPDOWN!B:C,2,0)</f>
        <v>4</v>
      </c>
      <c r="N285" t="str">
        <f t="shared" si="15"/>
        <v>BR81:CJ92</v>
      </c>
      <c r="O285" s="4">
        <f t="shared" ca="1" si="16"/>
        <v>23845.800000000003</v>
      </c>
    </row>
    <row r="286" spans="1:15">
      <c r="A286" s="2" t="s">
        <v>14</v>
      </c>
      <c r="B286" t="s">
        <v>31</v>
      </c>
      <c r="C286" t="s">
        <v>32</v>
      </c>
      <c r="D286">
        <v>5</v>
      </c>
      <c r="E286" t="s">
        <v>46</v>
      </c>
      <c r="F286">
        <v>2</v>
      </c>
      <c r="G286">
        <v>2</v>
      </c>
      <c r="H286">
        <v>0</v>
      </c>
      <c r="I286">
        <v>1</v>
      </c>
      <c r="J286" s="4" t="s">
        <v>53</v>
      </c>
      <c r="K286" t="str">
        <f t="shared" si="17"/>
        <v>2+0</v>
      </c>
      <c r="L286">
        <f>VLOOKUP(A286,'ZONE 1 PREMIUM'!$A$4:$N$16,14,0)</f>
        <v>5</v>
      </c>
      <c r="M286">
        <f>VLOOKUP(D286,DROPDOWN!B:C,2,0)</f>
        <v>4</v>
      </c>
      <c r="N286" t="str">
        <f t="shared" si="15"/>
        <v>BR81:CJ92</v>
      </c>
      <c r="O286" s="4">
        <f t="shared" ca="1" si="16"/>
        <v>27577.000000000004</v>
      </c>
    </row>
    <row r="287" spans="1:15">
      <c r="A287" s="2" t="s">
        <v>15</v>
      </c>
      <c r="B287" t="s">
        <v>33</v>
      </c>
      <c r="C287" t="s">
        <v>34</v>
      </c>
      <c r="D287">
        <v>5</v>
      </c>
      <c r="E287" t="s">
        <v>46</v>
      </c>
      <c r="F287">
        <v>2</v>
      </c>
      <c r="G287">
        <v>2</v>
      </c>
      <c r="H287">
        <v>0</v>
      </c>
      <c r="I287">
        <v>1</v>
      </c>
      <c r="J287" s="4" t="s">
        <v>53</v>
      </c>
      <c r="K287" t="str">
        <f t="shared" si="17"/>
        <v>2+0</v>
      </c>
      <c r="L287">
        <f>VLOOKUP(A287,'ZONE 1 PREMIUM'!$A$4:$N$16,14,0)</f>
        <v>6</v>
      </c>
      <c r="M287">
        <f>VLOOKUP(D287,DROPDOWN!B:C,2,0)</f>
        <v>4</v>
      </c>
      <c r="N287" t="str">
        <f t="shared" si="15"/>
        <v>BR81:CJ92</v>
      </c>
      <c r="O287" s="4">
        <f t="shared" ca="1" si="16"/>
        <v>34885.4</v>
      </c>
    </row>
    <row r="288" spans="1:15">
      <c r="A288" s="2" t="s">
        <v>16</v>
      </c>
      <c r="B288" t="s">
        <v>35</v>
      </c>
      <c r="C288" t="s">
        <v>36</v>
      </c>
      <c r="D288">
        <v>5</v>
      </c>
      <c r="E288" t="s">
        <v>46</v>
      </c>
      <c r="F288">
        <v>2</v>
      </c>
      <c r="G288">
        <v>2</v>
      </c>
      <c r="H288">
        <v>0</v>
      </c>
      <c r="I288">
        <v>1</v>
      </c>
      <c r="J288" s="4" t="s">
        <v>53</v>
      </c>
      <c r="K288" t="str">
        <f t="shared" si="17"/>
        <v>2+0</v>
      </c>
      <c r="L288">
        <f>VLOOKUP(A288,'ZONE 1 PREMIUM'!$A$4:$N$16,14,0)</f>
        <v>7</v>
      </c>
      <c r="M288">
        <f>VLOOKUP(D288,DROPDOWN!B:C,2,0)</f>
        <v>4</v>
      </c>
      <c r="N288" t="str">
        <f t="shared" si="15"/>
        <v>BR81:CJ92</v>
      </c>
      <c r="O288" s="4">
        <f t="shared" ca="1" si="16"/>
        <v>45725.9</v>
      </c>
    </row>
    <row r="289" spans="1:15">
      <c r="A289" s="2" t="s">
        <v>17</v>
      </c>
      <c r="B289" t="s">
        <v>37</v>
      </c>
      <c r="C289" t="s">
        <v>38</v>
      </c>
      <c r="D289">
        <v>5</v>
      </c>
      <c r="E289" t="s">
        <v>46</v>
      </c>
      <c r="F289">
        <v>2</v>
      </c>
      <c r="G289">
        <v>2</v>
      </c>
      <c r="H289">
        <v>0</v>
      </c>
      <c r="I289">
        <v>1</v>
      </c>
      <c r="J289" s="4" t="s">
        <v>53</v>
      </c>
      <c r="K289" t="str">
        <f t="shared" si="17"/>
        <v>2+0</v>
      </c>
      <c r="L289">
        <f>VLOOKUP(A289,'ZONE 1 PREMIUM'!$A$4:$N$16,14,0)</f>
        <v>8</v>
      </c>
      <c r="M289">
        <f>VLOOKUP(D289,DROPDOWN!B:C,2,0)</f>
        <v>4</v>
      </c>
      <c r="N289" t="str">
        <f t="shared" si="15"/>
        <v>BR81:CJ92</v>
      </c>
      <c r="O289" s="4">
        <f t="shared" ca="1" si="16"/>
        <v>63995.8</v>
      </c>
    </row>
    <row r="290" spans="1:15">
      <c r="A290" s="2" t="s">
        <v>18</v>
      </c>
      <c r="B290" t="s">
        <v>39</v>
      </c>
      <c r="C290" t="s">
        <v>40</v>
      </c>
      <c r="D290">
        <v>5</v>
      </c>
      <c r="E290" t="s">
        <v>46</v>
      </c>
      <c r="F290">
        <v>2</v>
      </c>
      <c r="G290">
        <v>2</v>
      </c>
      <c r="H290">
        <v>0</v>
      </c>
      <c r="I290">
        <v>1</v>
      </c>
      <c r="J290" s="4" t="s">
        <v>53</v>
      </c>
      <c r="K290" t="str">
        <f t="shared" si="17"/>
        <v>2+0</v>
      </c>
      <c r="L290">
        <f>VLOOKUP(A290,'ZONE 1 PREMIUM'!$A$4:$N$16,14,0)</f>
        <v>9</v>
      </c>
      <c r="M290">
        <f>VLOOKUP(D290,DROPDOWN!B:C,2,0)</f>
        <v>4</v>
      </c>
      <c r="N290" t="str">
        <f t="shared" si="15"/>
        <v>BR81:CJ92</v>
      </c>
      <c r="O290" s="4">
        <f t="shared" ca="1" si="16"/>
        <v>89170.400000000009</v>
      </c>
    </row>
    <row r="291" spans="1:15">
      <c r="A291" s="2" t="s">
        <v>19</v>
      </c>
      <c r="B291" t="s">
        <v>41</v>
      </c>
      <c r="C291" t="s">
        <v>42</v>
      </c>
      <c r="D291">
        <v>5</v>
      </c>
      <c r="E291" t="s">
        <v>46</v>
      </c>
      <c r="F291">
        <v>2</v>
      </c>
      <c r="G291">
        <v>2</v>
      </c>
      <c r="H291">
        <v>0</v>
      </c>
      <c r="I291">
        <v>1</v>
      </c>
      <c r="J291" s="4" t="s">
        <v>53</v>
      </c>
      <c r="K291" t="str">
        <f t="shared" si="17"/>
        <v>2+0</v>
      </c>
      <c r="L291">
        <f>VLOOKUP(A291,'ZONE 1 PREMIUM'!$A$4:$N$16,14,0)</f>
        <v>10</v>
      </c>
      <c r="M291">
        <f>VLOOKUP(D291,DROPDOWN!B:C,2,0)</f>
        <v>4</v>
      </c>
      <c r="N291" t="str">
        <f t="shared" si="15"/>
        <v>BR81:CJ92</v>
      </c>
      <c r="O291" s="4">
        <f t="shared" ca="1" si="16"/>
        <v>125792.70000000001</v>
      </c>
    </row>
    <row r="292" spans="1:15">
      <c r="A292" s="2" t="s">
        <v>20</v>
      </c>
      <c r="B292" t="s">
        <v>43</v>
      </c>
      <c r="C292" t="s">
        <v>44</v>
      </c>
      <c r="D292">
        <v>5</v>
      </c>
      <c r="E292" t="s">
        <v>46</v>
      </c>
      <c r="F292">
        <v>2</v>
      </c>
      <c r="G292">
        <v>2</v>
      </c>
      <c r="H292">
        <v>0</v>
      </c>
      <c r="I292">
        <v>1</v>
      </c>
      <c r="J292" s="4" t="s">
        <v>53</v>
      </c>
      <c r="K292" t="str">
        <f t="shared" si="17"/>
        <v>2+0</v>
      </c>
      <c r="L292">
        <f>VLOOKUP(A292,'ZONE 1 PREMIUM'!$A$4:$N$16,14,0)</f>
        <v>11</v>
      </c>
      <c r="M292">
        <f>VLOOKUP(D292,DROPDOWN!B:C,2,0)</f>
        <v>4</v>
      </c>
      <c r="N292" t="str">
        <f t="shared" ref="N292:N337" si="18">VLOOKUP(K292,$CK$3:$CL$12,2,0)</f>
        <v>BR81:CJ92</v>
      </c>
      <c r="O292" s="4">
        <f t="shared" ref="O292:O336" ca="1" si="19">INDEX(INDIRECT(N292),L292,M292)</f>
        <v>156572.90000000002</v>
      </c>
    </row>
    <row r="293" spans="1:15">
      <c r="A293" s="2" t="s">
        <v>21</v>
      </c>
      <c r="B293" t="s">
        <v>22</v>
      </c>
      <c r="D293">
        <v>5</v>
      </c>
      <c r="E293" t="s">
        <v>46</v>
      </c>
      <c r="F293">
        <v>2</v>
      </c>
      <c r="G293">
        <v>2</v>
      </c>
      <c r="H293">
        <v>0</v>
      </c>
      <c r="I293">
        <v>1</v>
      </c>
      <c r="J293" s="4" t="s">
        <v>53</v>
      </c>
      <c r="K293" t="str">
        <f t="shared" si="17"/>
        <v>2+0</v>
      </c>
      <c r="L293">
        <f>VLOOKUP(A293,'ZONE 1 PREMIUM'!$A$4:$N$16,14,0)</f>
        <v>12</v>
      </c>
      <c r="M293">
        <f>VLOOKUP(D293,DROPDOWN!B:C,2,0)</f>
        <v>4</v>
      </c>
      <c r="N293" t="str">
        <f t="shared" si="18"/>
        <v>BR81:CJ92</v>
      </c>
      <c r="O293" s="4">
        <f t="shared" ca="1" si="19"/>
        <v>199606.00000000003</v>
      </c>
    </row>
    <row r="294" spans="1:15">
      <c r="A294" s="2" t="s">
        <v>11</v>
      </c>
      <c r="B294" t="s">
        <v>45</v>
      </c>
      <c r="C294" t="s">
        <v>25</v>
      </c>
      <c r="D294">
        <v>5</v>
      </c>
      <c r="E294" t="s">
        <v>46</v>
      </c>
      <c r="F294">
        <v>3</v>
      </c>
      <c r="G294">
        <v>2</v>
      </c>
      <c r="H294">
        <v>1</v>
      </c>
      <c r="I294">
        <v>1</v>
      </c>
      <c r="J294" s="4" t="s">
        <v>53</v>
      </c>
      <c r="K294" t="str">
        <f t="shared" si="17"/>
        <v>2+1</v>
      </c>
      <c r="L294">
        <f>VLOOKUP(A294,'ZONE 1 PREMIUM'!$A$4:$N$16,14,0)</f>
        <v>2</v>
      </c>
      <c r="M294">
        <f>VLOOKUP(D294,DROPDOWN!B:C,2,0)</f>
        <v>4</v>
      </c>
      <c r="N294" t="str">
        <f t="shared" si="18"/>
        <v>BR98:CJ109</v>
      </c>
      <c r="O294" s="4">
        <f t="shared" ca="1" si="19"/>
        <v>22884.400000000001</v>
      </c>
    </row>
    <row r="295" spans="1:15">
      <c r="A295" s="2" t="s">
        <v>12</v>
      </c>
      <c r="B295" t="s">
        <v>27</v>
      </c>
      <c r="C295" t="s">
        <v>28</v>
      </c>
      <c r="D295">
        <v>5</v>
      </c>
      <c r="E295" t="s">
        <v>46</v>
      </c>
      <c r="F295">
        <v>3</v>
      </c>
      <c r="G295">
        <v>2</v>
      </c>
      <c r="H295">
        <v>1</v>
      </c>
      <c r="I295">
        <v>1</v>
      </c>
      <c r="J295" s="4" t="s">
        <v>53</v>
      </c>
      <c r="K295" t="str">
        <f t="shared" si="17"/>
        <v>2+1</v>
      </c>
      <c r="L295">
        <f>VLOOKUP(A295,'ZONE 1 PREMIUM'!$A$4:$N$16,14,0)</f>
        <v>3</v>
      </c>
      <c r="M295">
        <f>VLOOKUP(D295,DROPDOWN!B:C,2,0)</f>
        <v>4</v>
      </c>
      <c r="N295" t="str">
        <f t="shared" si="18"/>
        <v>BR98:CJ109</v>
      </c>
      <c r="O295" s="4">
        <f t="shared" ca="1" si="19"/>
        <v>25488.100000000002</v>
      </c>
    </row>
    <row r="296" spans="1:15">
      <c r="A296" s="2" t="s">
        <v>13</v>
      </c>
      <c r="B296" t="s">
        <v>29</v>
      </c>
      <c r="C296" t="s">
        <v>30</v>
      </c>
      <c r="D296">
        <v>5</v>
      </c>
      <c r="E296" t="s">
        <v>46</v>
      </c>
      <c r="F296">
        <v>3</v>
      </c>
      <c r="G296">
        <v>2</v>
      </c>
      <c r="H296">
        <v>1</v>
      </c>
      <c r="I296">
        <v>1</v>
      </c>
      <c r="J296" s="4" t="s">
        <v>53</v>
      </c>
      <c r="K296" t="str">
        <f t="shared" si="17"/>
        <v>2+1</v>
      </c>
      <c r="L296">
        <f>VLOOKUP(A296,'ZONE 1 PREMIUM'!$A$4:$N$16,14,0)</f>
        <v>4</v>
      </c>
      <c r="M296">
        <f>VLOOKUP(D296,DROPDOWN!B:C,2,0)</f>
        <v>4</v>
      </c>
      <c r="N296" t="str">
        <f t="shared" si="18"/>
        <v>BR98:CJ109</v>
      </c>
      <c r="O296" s="4">
        <f t="shared" ca="1" si="19"/>
        <v>28460.300000000003</v>
      </c>
    </row>
    <row r="297" spans="1:15">
      <c r="A297" s="2" t="s">
        <v>14</v>
      </c>
      <c r="B297" t="s">
        <v>31</v>
      </c>
      <c r="C297" t="s">
        <v>32</v>
      </c>
      <c r="D297">
        <v>5</v>
      </c>
      <c r="E297" t="s">
        <v>46</v>
      </c>
      <c r="F297">
        <v>3</v>
      </c>
      <c r="G297">
        <v>2</v>
      </c>
      <c r="H297">
        <v>1</v>
      </c>
      <c r="I297">
        <v>1</v>
      </c>
      <c r="J297" s="4" t="s">
        <v>53</v>
      </c>
      <c r="K297" t="str">
        <f t="shared" si="17"/>
        <v>2+1</v>
      </c>
      <c r="L297">
        <f>VLOOKUP(A297,'ZONE 1 PREMIUM'!$A$4:$N$16,14,0)</f>
        <v>5</v>
      </c>
      <c r="M297">
        <f>VLOOKUP(D297,DROPDOWN!B:C,2,0)</f>
        <v>4</v>
      </c>
      <c r="N297" t="str">
        <f t="shared" si="18"/>
        <v>BR98:CJ109</v>
      </c>
      <c r="O297" s="4">
        <f t="shared" ca="1" si="19"/>
        <v>32499.500000000004</v>
      </c>
    </row>
    <row r="298" spans="1:15">
      <c r="A298" s="2" t="s">
        <v>15</v>
      </c>
      <c r="B298" t="s">
        <v>33</v>
      </c>
      <c r="C298" t="s">
        <v>34</v>
      </c>
      <c r="D298">
        <v>5</v>
      </c>
      <c r="E298" t="s">
        <v>46</v>
      </c>
      <c r="F298">
        <v>3</v>
      </c>
      <c r="G298">
        <v>2</v>
      </c>
      <c r="H298">
        <v>1</v>
      </c>
      <c r="I298">
        <v>1</v>
      </c>
      <c r="J298" s="4" t="s">
        <v>53</v>
      </c>
      <c r="K298" t="str">
        <f t="shared" si="17"/>
        <v>2+1</v>
      </c>
      <c r="L298">
        <f>VLOOKUP(A298,'ZONE 1 PREMIUM'!$A$4:$N$16,14,0)</f>
        <v>6</v>
      </c>
      <c r="M298">
        <f>VLOOKUP(D298,DROPDOWN!B:C,2,0)</f>
        <v>4</v>
      </c>
      <c r="N298" t="str">
        <f t="shared" si="18"/>
        <v>BR98:CJ109</v>
      </c>
      <c r="O298" s="4">
        <f t="shared" ca="1" si="19"/>
        <v>40412.9</v>
      </c>
    </row>
    <row r="299" spans="1:15">
      <c r="A299" s="2" t="s">
        <v>16</v>
      </c>
      <c r="B299" t="s">
        <v>35</v>
      </c>
      <c r="C299" t="s">
        <v>36</v>
      </c>
      <c r="D299">
        <v>5</v>
      </c>
      <c r="E299" t="s">
        <v>46</v>
      </c>
      <c r="F299">
        <v>3</v>
      </c>
      <c r="G299">
        <v>2</v>
      </c>
      <c r="H299">
        <v>1</v>
      </c>
      <c r="I299">
        <v>1</v>
      </c>
      <c r="J299" s="4" t="s">
        <v>53</v>
      </c>
      <c r="K299" t="str">
        <f t="shared" si="17"/>
        <v>2+1</v>
      </c>
      <c r="L299">
        <f>VLOOKUP(A299,'ZONE 1 PREMIUM'!$A$4:$N$16,14,0)</f>
        <v>7</v>
      </c>
      <c r="M299">
        <f>VLOOKUP(D299,DROPDOWN!B:C,2,0)</f>
        <v>4</v>
      </c>
      <c r="N299" t="str">
        <f t="shared" si="18"/>
        <v>BR98:CJ109</v>
      </c>
      <c r="O299" s="4">
        <f t="shared" ca="1" si="19"/>
        <v>52572.3</v>
      </c>
    </row>
    <row r="300" spans="1:15">
      <c r="A300" s="2" t="s">
        <v>17</v>
      </c>
      <c r="B300" t="s">
        <v>37</v>
      </c>
      <c r="C300" t="s">
        <v>38</v>
      </c>
      <c r="D300">
        <v>5</v>
      </c>
      <c r="E300" t="s">
        <v>46</v>
      </c>
      <c r="F300">
        <v>3</v>
      </c>
      <c r="G300">
        <v>2</v>
      </c>
      <c r="H300">
        <v>1</v>
      </c>
      <c r="I300">
        <v>1</v>
      </c>
      <c r="J300" s="4" t="s">
        <v>53</v>
      </c>
      <c r="K300" t="str">
        <f t="shared" si="17"/>
        <v>2+1</v>
      </c>
      <c r="L300">
        <f>VLOOKUP(A300,'ZONE 1 PREMIUM'!$A$4:$N$16,14,0)</f>
        <v>8</v>
      </c>
      <c r="M300">
        <f>VLOOKUP(D300,DROPDOWN!B:C,2,0)</f>
        <v>4</v>
      </c>
      <c r="N300" t="str">
        <f t="shared" si="18"/>
        <v>BR98:CJ109</v>
      </c>
      <c r="O300" s="4">
        <f t="shared" ca="1" si="19"/>
        <v>71370.200000000012</v>
      </c>
    </row>
    <row r="301" spans="1:15">
      <c r="A301" s="2" t="s">
        <v>18</v>
      </c>
      <c r="B301" t="s">
        <v>39</v>
      </c>
      <c r="C301" t="s">
        <v>40</v>
      </c>
      <c r="D301">
        <v>5</v>
      </c>
      <c r="E301" t="s">
        <v>46</v>
      </c>
      <c r="F301">
        <v>3</v>
      </c>
      <c r="G301">
        <v>2</v>
      </c>
      <c r="H301">
        <v>1</v>
      </c>
      <c r="I301">
        <v>1</v>
      </c>
      <c r="J301" s="4" t="s">
        <v>53</v>
      </c>
      <c r="K301" t="str">
        <f t="shared" si="17"/>
        <v>2+1</v>
      </c>
      <c r="L301">
        <f>VLOOKUP(A301,'ZONE 1 PREMIUM'!$A$4:$N$16,14,0)</f>
        <v>9</v>
      </c>
      <c r="M301">
        <f>VLOOKUP(D301,DROPDOWN!B:C,2,0)</f>
        <v>4</v>
      </c>
      <c r="N301" t="str">
        <f t="shared" si="18"/>
        <v>BR98:CJ109</v>
      </c>
      <c r="O301" s="4">
        <f t="shared" ca="1" si="19"/>
        <v>96675.700000000012</v>
      </c>
    </row>
    <row r="302" spans="1:15">
      <c r="A302" s="2" t="s">
        <v>19</v>
      </c>
      <c r="B302" t="s">
        <v>41</v>
      </c>
      <c r="C302" t="s">
        <v>42</v>
      </c>
      <c r="D302">
        <v>5</v>
      </c>
      <c r="E302" t="s">
        <v>46</v>
      </c>
      <c r="F302">
        <v>3</v>
      </c>
      <c r="G302">
        <v>2</v>
      </c>
      <c r="H302">
        <v>1</v>
      </c>
      <c r="I302">
        <v>1</v>
      </c>
      <c r="J302" s="4" t="s">
        <v>53</v>
      </c>
      <c r="K302" t="str">
        <f t="shared" si="17"/>
        <v>2+1</v>
      </c>
      <c r="L302">
        <f>VLOOKUP(A302,'ZONE 1 PREMIUM'!$A$4:$N$16,14,0)</f>
        <v>10</v>
      </c>
      <c r="M302">
        <f>VLOOKUP(D302,DROPDOWN!B:C,2,0)</f>
        <v>4</v>
      </c>
      <c r="N302" t="str">
        <f t="shared" si="18"/>
        <v>BR98:CJ109</v>
      </c>
      <c r="O302" s="4">
        <f t="shared" ca="1" si="19"/>
        <v>130480.90000000001</v>
      </c>
    </row>
    <row r="303" spans="1:15">
      <c r="A303" s="2" t="s">
        <v>20</v>
      </c>
      <c r="B303" t="s">
        <v>43</v>
      </c>
      <c r="C303" t="s">
        <v>44</v>
      </c>
      <c r="D303">
        <v>5</v>
      </c>
      <c r="E303" t="s">
        <v>46</v>
      </c>
      <c r="F303">
        <v>3</v>
      </c>
      <c r="G303">
        <v>2</v>
      </c>
      <c r="H303">
        <v>1</v>
      </c>
      <c r="I303">
        <v>1</v>
      </c>
      <c r="J303" s="4" t="s">
        <v>53</v>
      </c>
      <c r="K303" t="str">
        <f t="shared" si="17"/>
        <v>2+1</v>
      </c>
      <c r="L303">
        <f>VLOOKUP(A303,'ZONE 1 PREMIUM'!$A$4:$N$16,14,0)</f>
        <v>11</v>
      </c>
      <c r="M303">
        <f>VLOOKUP(D303,DROPDOWN!B:C,2,0)</f>
        <v>4</v>
      </c>
      <c r="N303" t="str">
        <f t="shared" si="18"/>
        <v>BR98:CJ109</v>
      </c>
      <c r="O303" s="4">
        <f t="shared" ca="1" si="19"/>
        <v>160209.5</v>
      </c>
    </row>
    <row r="304" spans="1:15">
      <c r="A304" s="2" t="s">
        <v>21</v>
      </c>
      <c r="B304" t="s">
        <v>22</v>
      </c>
      <c r="D304">
        <v>5</v>
      </c>
      <c r="E304" t="s">
        <v>46</v>
      </c>
      <c r="F304">
        <v>3</v>
      </c>
      <c r="G304">
        <v>2</v>
      </c>
      <c r="H304">
        <v>1</v>
      </c>
      <c r="I304">
        <v>1</v>
      </c>
      <c r="J304" s="4" t="s">
        <v>53</v>
      </c>
      <c r="K304" t="str">
        <f t="shared" si="17"/>
        <v>2+1</v>
      </c>
      <c r="L304">
        <f>VLOOKUP(A304,'ZONE 1 PREMIUM'!$A$4:$N$16,14,0)</f>
        <v>12</v>
      </c>
      <c r="M304">
        <f>VLOOKUP(D304,DROPDOWN!B:C,2,0)</f>
        <v>4</v>
      </c>
      <c r="N304" t="str">
        <f t="shared" si="18"/>
        <v>BR98:CJ109</v>
      </c>
      <c r="O304" s="4">
        <f t="shared" ca="1" si="19"/>
        <v>203097.40000000002</v>
      </c>
    </row>
    <row r="305" spans="1:15">
      <c r="A305" s="2" t="s">
        <v>11</v>
      </c>
      <c r="B305" t="s">
        <v>45</v>
      </c>
      <c r="C305" t="s">
        <v>25</v>
      </c>
      <c r="D305">
        <v>5</v>
      </c>
      <c r="E305" t="s">
        <v>46</v>
      </c>
      <c r="F305">
        <v>4</v>
      </c>
      <c r="G305">
        <v>2</v>
      </c>
      <c r="H305">
        <v>2</v>
      </c>
      <c r="I305">
        <v>1</v>
      </c>
      <c r="J305" s="4" t="s">
        <v>53</v>
      </c>
      <c r="K305" t="str">
        <f t="shared" si="17"/>
        <v>2+2</v>
      </c>
      <c r="L305">
        <f>VLOOKUP(A305,'ZONE 1 PREMIUM'!$A$4:$N$16,14,0)</f>
        <v>2</v>
      </c>
      <c r="M305">
        <f>VLOOKUP(D305,DROPDOWN!B:C,2,0)</f>
        <v>4</v>
      </c>
      <c r="N305" t="str">
        <f t="shared" si="18"/>
        <v>BR113:CJ124</v>
      </c>
      <c r="O305" s="4">
        <f t="shared" ca="1" si="19"/>
        <v>26775.100000000002</v>
      </c>
    </row>
    <row r="306" spans="1:15">
      <c r="A306" s="2" t="s">
        <v>12</v>
      </c>
      <c r="B306" t="s">
        <v>27</v>
      </c>
      <c r="C306" t="s">
        <v>28</v>
      </c>
      <c r="D306">
        <v>5</v>
      </c>
      <c r="E306" t="s">
        <v>46</v>
      </c>
      <c r="F306">
        <v>4</v>
      </c>
      <c r="G306">
        <v>2</v>
      </c>
      <c r="H306">
        <v>2</v>
      </c>
      <c r="I306">
        <v>1</v>
      </c>
      <c r="J306" s="4" t="s">
        <v>53</v>
      </c>
      <c r="K306" t="str">
        <f t="shared" si="17"/>
        <v>2+2</v>
      </c>
      <c r="L306">
        <f>VLOOKUP(A306,'ZONE 1 PREMIUM'!$A$4:$N$16,14,0)</f>
        <v>3</v>
      </c>
      <c r="M306">
        <f>VLOOKUP(D306,DROPDOWN!B:C,2,0)</f>
        <v>4</v>
      </c>
      <c r="N306" t="str">
        <f t="shared" si="18"/>
        <v>BR113:CJ124</v>
      </c>
      <c r="O306" s="4">
        <f t="shared" ca="1" si="19"/>
        <v>29308.400000000001</v>
      </c>
    </row>
    <row r="307" spans="1:15">
      <c r="A307" s="2" t="s">
        <v>13</v>
      </c>
      <c r="B307" t="s">
        <v>29</v>
      </c>
      <c r="C307" t="s">
        <v>30</v>
      </c>
      <c r="D307">
        <v>5</v>
      </c>
      <c r="E307" t="s">
        <v>46</v>
      </c>
      <c r="F307">
        <v>4</v>
      </c>
      <c r="G307">
        <v>2</v>
      </c>
      <c r="H307">
        <v>2</v>
      </c>
      <c r="I307">
        <v>1</v>
      </c>
      <c r="J307" s="4" t="s">
        <v>53</v>
      </c>
      <c r="K307" t="str">
        <f t="shared" si="17"/>
        <v>2+2</v>
      </c>
      <c r="L307">
        <f>VLOOKUP(A307,'ZONE 1 PREMIUM'!$A$4:$N$16,14,0)</f>
        <v>4</v>
      </c>
      <c r="M307">
        <f>VLOOKUP(D307,DROPDOWN!B:C,2,0)</f>
        <v>4</v>
      </c>
      <c r="N307" t="str">
        <f t="shared" si="18"/>
        <v>BR113:CJ124</v>
      </c>
      <c r="O307" s="4">
        <f t="shared" ca="1" si="19"/>
        <v>32883.4</v>
      </c>
    </row>
    <row r="308" spans="1:15">
      <c r="A308" s="2" t="s">
        <v>14</v>
      </c>
      <c r="B308" t="s">
        <v>31</v>
      </c>
      <c r="C308" t="s">
        <v>32</v>
      </c>
      <c r="D308">
        <v>5</v>
      </c>
      <c r="E308" t="s">
        <v>46</v>
      </c>
      <c r="F308">
        <v>4</v>
      </c>
      <c r="G308">
        <v>2</v>
      </c>
      <c r="H308">
        <v>2</v>
      </c>
      <c r="I308">
        <v>1</v>
      </c>
      <c r="J308" s="4" t="s">
        <v>53</v>
      </c>
      <c r="K308" t="str">
        <f t="shared" si="17"/>
        <v>2+2</v>
      </c>
      <c r="L308">
        <f>VLOOKUP(A308,'ZONE 1 PREMIUM'!$A$4:$N$16,14,0)</f>
        <v>5</v>
      </c>
      <c r="M308">
        <f>VLOOKUP(D308,DROPDOWN!B:C,2,0)</f>
        <v>4</v>
      </c>
      <c r="N308" t="str">
        <f t="shared" si="18"/>
        <v>BR113:CJ124</v>
      </c>
      <c r="O308" s="4">
        <f t="shared" ca="1" si="19"/>
        <v>37202</v>
      </c>
    </row>
    <row r="309" spans="1:15">
      <c r="A309" s="2" t="s">
        <v>15</v>
      </c>
      <c r="B309" t="s">
        <v>33</v>
      </c>
      <c r="C309" t="s">
        <v>34</v>
      </c>
      <c r="D309">
        <v>5</v>
      </c>
      <c r="E309" t="s">
        <v>46</v>
      </c>
      <c r="F309">
        <v>4</v>
      </c>
      <c r="G309">
        <v>2</v>
      </c>
      <c r="H309">
        <v>2</v>
      </c>
      <c r="I309">
        <v>1</v>
      </c>
      <c r="J309" s="4" t="s">
        <v>53</v>
      </c>
      <c r="K309" t="str">
        <f t="shared" si="17"/>
        <v>2+2</v>
      </c>
      <c r="L309">
        <f>VLOOKUP(A309,'ZONE 1 PREMIUM'!$A$4:$N$16,14,0)</f>
        <v>6</v>
      </c>
      <c r="M309">
        <f>VLOOKUP(D309,DROPDOWN!B:C,2,0)</f>
        <v>4</v>
      </c>
      <c r="N309" t="str">
        <f t="shared" si="18"/>
        <v>BR113:CJ124</v>
      </c>
      <c r="O309" s="4">
        <f t="shared" ca="1" si="19"/>
        <v>45685.200000000004</v>
      </c>
    </row>
    <row r="310" spans="1:15">
      <c r="A310" s="2" t="s">
        <v>16</v>
      </c>
      <c r="B310" t="s">
        <v>35</v>
      </c>
      <c r="C310" t="s">
        <v>36</v>
      </c>
      <c r="D310">
        <v>5</v>
      </c>
      <c r="E310" t="s">
        <v>46</v>
      </c>
      <c r="F310">
        <v>4</v>
      </c>
      <c r="G310">
        <v>2</v>
      </c>
      <c r="H310">
        <v>2</v>
      </c>
      <c r="I310">
        <v>1</v>
      </c>
      <c r="J310" s="4" t="s">
        <v>53</v>
      </c>
      <c r="K310" t="str">
        <f t="shared" si="17"/>
        <v>2+2</v>
      </c>
      <c r="L310">
        <f>VLOOKUP(A310,'ZONE 1 PREMIUM'!$A$4:$N$16,14,0)</f>
        <v>7</v>
      </c>
      <c r="M310">
        <f>VLOOKUP(D310,DROPDOWN!B:C,2,0)</f>
        <v>4</v>
      </c>
      <c r="N310" t="str">
        <f t="shared" si="18"/>
        <v>BR113:CJ124</v>
      </c>
      <c r="O310" s="4">
        <f t="shared" ca="1" si="19"/>
        <v>59107.4</v>
      </c>
    </row>
    <row r="311" spans="1:15">
      <c r="A311" s="2" t="s">
        <v>17</v>
      </c>
      <c r="B311" t="s">
        <v>37</v>
      </c>
      <c r="C311" t="s">
        <v>38</v>
      </c>
      <c r="D311">
        <v>5</v>
      </c>
      <c r="E311" t="s">
        <v>46</v>
      </c>
      <c r="F311">
        <v>4</v>
      </c>
      <c r="G311">
        <v>2</v>
      </c>
      <c r="H311">
        <v>2</v>
      </c>
      <c r="I311">
        <v>1</v>
      </c>
      <c r="J311" s="4" t="s">
        <v>53</v>
      </c>
      <c r="K311" t="str">
        <f t="shared" si="17"/>
        <v>2+2</v>
      </c>
      <c r="L311">
        <f>VLOOKUP(A311,'ZONE 1 PREMIUM'!$A$4:$N$16,14,0)</f>
        <v>8</v>
      </c>
      <c r="M311">
        <f>VLOOKUP(D311,DROPDOWN!B:C,2,0)</f>
        <v>4</v>
      </c>
      <c r="N311" t="str">
        <f t="shared" si="18"/>
        <v>BR113:CJ124</v>
      </c>
      <c r="O311" s="4">
        <f t="shared" ca="1" si="19"/>
        <v>77509.3</v>
      </c>
    </row>
    <row r="312" spans="1:15">
      <c r="A312" s="2" t="s">
        <v>18</v>
      </c>
      <c r="B312" t="s">
        <v>39</v>
      </c>
      <c r="C312" t="s">
        <v>40</v>
      </c>
      <c r="D312">
        <v>5</v>
      </c>
      <c r="E312" t="s">
        <v>46</v>
      </c>
      <c r="F312">
        <v>4</v>
      </c>
      <c r="G312">
        <v>2</v>
      </c>
      <c r="H312">
        <v>2</v>
      </c>
      <c r="I312">
        <v>1</v>
      </c>
      <c r="J312" s="4" t="s">
        <v>53</v>
      </c>
      <c r="K312" t="str">
        <f t="shared" si="17"/>
        <v>2+2</v>
      </c>
      <c r="L312">
        <f>VLOOKUP(A312,'ZONE 1 PREMIUM'!$A$4:$N$16,14,0)</f>
        <v>9</v>
      </c>
      <c r="M312">
        <f>VLOOKUP(D312,DROPDOWN!B:C,2,0)</f>
        <v>4</v>
      </c>
      <c r="N312" t="str">
        <f t="shared" si="18"/>
        <v>BR113:CJ124</v>
      </c>
      <c r="O312" s="4">
        <f t="shared" ca="1" si="19"/>
        <v>101610.3</v>
      </c>
    </row>
    <row r="313" spans="1:15">
      <c r="A313" s="2" t="s">
        <v>19</v>
      </c>
      <c r="B313" t="s">
        <v>41</v>
      </c>
      <c r="C313" t="s">
        <v>42</v>
      </c>
      <c r="D313">
        <v>5</v>
      </c>
      <c r="E313" t="s">
        <v>46</v>
      </c>
      <c r="F313">
        <v>4</v>
      </c>
      <c r="G313">
        <v>2</v>
      </c>
      <c r="H313">
        <v>2</v>
      </c>
      <c r="I313">
        <v>1</v>
      </c>
      <c r="J313" s="4" t="s">
        <v>53</v>
      </c>
      <c r="K313" t="str">
        <f t="shared" si="17"/>
        <v>2+2</v>
      </c>
      <c r="L313">
        <f>VLOOKUP(A313,'ZONE 1 PREMIUM'!$A$4:$N$16,14,0)</f>
        <v>10</v>
      </c>
      <c r="M313">
        <f>VLOOKUP(D313,DROPDOWN!B:C,2,0)</f>
        <v>4</v>
      </c>
      <c r="N313" t="str">
        <f t="shared" si="18"/>
        <v>BR113:CJ124</v>
      </c>
      <c r="O313" s="4">
        <f t="shared" ca="1" si="19"/>
        <v>132655.6</v>
      </c>
    </row>
    <row r="314" spans="1:15">
      <c r="A314" s="2" t="s">
        <v>20</v>
      </c>
      <c r="B314" t="s">
        <v>43</v>
      </c>
      <c r="C314" t="s">
        <v>44</v>
      </c>
      <c r="D314">
        <v>5</v>
      </c>
      <c r="E314" t="s">
        <v>46</v>
      </c>
      <c r="F314">
        <v>4</v>
      </c>
      <c r="G314">
        <v>2</v>
      </c>
      <c r="H314">
        <v>2</v>
      </c>
      <c r="I314">
        <v>1</v>
      </c>
      <c r="J314" s="4" t="s">
        <v>53</v>
      </c>
      <c r="K314" t="str">
        <f t="shared" si="17"/>
        <v>2+2</v>
      </c>
      <c r="L314">
        <f>VLOOKUP(A314,'ZONE 1 PREMIUM'!$A$4:$N$16,14,0)</f>
        <v>11</v>
      </c>
      <c r="M314">
        <f>VLOOKUP(D314,DROPDOWN!B:C,2,0)</f>
        <v>4</v>
      </c>
      <c r="N314" t="str">
        <f t="shared" si="18"/>
        <v>BR113:CJ124</v>
      </c>
      <c r="O314" s="4">
        <f t="shared" ca="1" si="19"/>
        <v>162616.30000000002</v>
      </c>
    </row>
    <row r="315" spans="1:15">
      <c r="A315" s="2" t="s">
        <v>21</v>
      </c>
      <c r="B315" t="s">
        <v>22</v>
      </c>
      <c r="D315">
        <v>5</v>
      </c>
      <c r="E315" t="s">
        <v>46</v>
      </c>
      <c r="F315">
        <v>4</v>
      </c>
      <c r="G315">
        <v>2</v>
      </c>
      <c r="H315">
        <v>2</v>
      </c>
      <c r="I315">
        <v>1</v>
      </c>
      <c r="J315" s="4" t="s">
        <v>53</v>
      </c>
      <c r="K315" t="str">
        <f t="shared" si="17"/>
        <v>2+2</v>
      </c>
      <c r="L315">
        <f>VLOOKUP(A315,'ZONE 1 PREMIUM'!$A$4:$N$16,14,0)</f>
        <v>12</v>
      </c>
      <c r="M315">
        <f>VLOOKUP(D315,DROPDOWN!B:C,2,0)</f>
        <v>4</v>
      </c>
      <c r="N315" t="str">
        <f t="shared" si="18"/>
        <v>BR113:CJ124</v>
      </c>
      <c r="O315" s="4">
        <f t="shared" ca="1" si="19"/>
        <v>205654.90000000002</v>
      </c>
    </row>
    <row r="316" spans="1:15">
      <c r="A316" s="2" t="s">
        <v>11</v>
      </c>
      <c r="B316" t="s">
        <v>45</v>
      </c>
      <c r="C316" t="s">
        <v>25</v>
      </c>
      <c r="D316">
        <v>5</v>
      </c>
      <c r="E316" t="s">
        <v>46</v>
      </c>
      <c r="F316">
        <v>5</v>
      </c>
      <c r="G316">
        <v>2</v>
      </c>
      <c r="H316">
        <v>3</v>
      </c>
      <c r="I316">
        <v>1</v>
      </c>
      <c r="J316" s="4" t="s">
        <v>53</v>
      </c>
      <c r="K316" t="str">
        <f t="shared" si="17"/>
        <v>2+3</v>
      </c>
      <c r="L316">
        <f>VLOOKUP(A316,'ZONE 1 PREMIUM'!$A$4:$N$16,14,0)</f>
        <v>2</v>
      </c>
      <c r="M316">
        <f>VLOOKUP(D316,DROPDOWN!B:C,2,0)</f>
        <v>4</v>
      </c>
      <c r="N316" t="str">
        <f t="shared" si="18"/>
        <v>BR128:CJ139</v>
      </c>
      <c r="O316" s="4">
        <f t="shared" ca="1" si="19"/>
        <v>30665.800000000003</v>
      </c>
    </row>
    <row r="317" spans="1:15">
      <c r="A317" s="2" t="s">
        <v>12</v>
      </c>
      <c r="B317" t="s">
        <v>27</v>
      </c>
      <c r="C317" t="s">
        <v>28</v>
      </c>
      <c r="D317">
        <v>5</v>
      </c>
      <c r="E317" t="s">
        <v>46</v>
      </c>
      <c r="F317">
        <v>5</v>
      </c>
      <c r="G317">
        <v>2</v>
      </c>
      <c r="H317">
        <v>3</v>
      </c>
      <c r="I317">
        <v>1</v>
      </c>
      <c r="J317" s="4" t="s">
        <v>53</v>
      </c>
      <c r="K317" t="str">
        <f t="shared" si="17"/>
        <v>2+3</v>
      </c>
      <c r="L317">
        <f>VLOOKUP(A317,'ZONE 1 PREMIUM'!$A$4:$N$16,14,0)</f>
        <v>3</v>
      </c>
      <c r="M317">
        <f>VLOOKUP(D317,DROPDOWN!B:C,2,0)</f>
        <v>4</v>
      </c>
      <c r="N317" t="str">
        <f t="shared" si="18"/>
        <v>BR128:CJ139</v>
      </c>
      <c r="O317" s="4">
        <f t="shared" ca="1" si="19"/>
        <v>33128.700000000004</v>
      </c>
    </row>
    <row r="318" spans="1:15">
      <c r="A318" s="2" t="s">
        <v>13</v>
      </c>
      <c r="B318" t="s">
        <v>29</v>
      </c>
      <c r="C318" t="s">
        <v>30</v>
      </c>
      <c r="D318">
        <v>5</v>
      </c>
      <c r="E318" t="s">
        <v>46</v>
      </c>
      <c r="F318">
        <v>5</v>
      </c>
      <c r="G318">
        <v>2</v>
      </c>
      <c r="H318">
        <v>3</v>
      </c>
      <c r="I318">
        <v>1</v>
      </c>
      <c r="J318" s="4" t="s">
        <v>53</v>
      </c>
      <c r="K318" t="str">
        <f t="shared" si="17"/>
        <v>2+3</v>
      </c>
      <c r="L318">
        <f>VLOOKUP(A318,'ZONE 1 PREMIUM'!$A$4:$N$16,14,0)</f>
        <v>4</v>
      </c>
      <c r="M318">
        <f>VLOOKUP(D318,DROPDOWN!B:C,2,0)</f>
        <v>4</v>
      </c>
      <c r="N318" t="str">
        <f t="shared" si="18"/>
        <v>BR128:CJ139</v>
      </c>
      <c r="O318" s="4">
        <f t="shared" ca="1" si="19"/>
        <v>37306.5</v>
      </c>
    </row>
    <row r="319" spans="1:15">
      <c r="A319" s="2" t="s">
        <v>14</v>
      </c>
      <c r="B319" t="s">
        <v>31</v>
      </c>
      <c r="C319" t="s">
        <v>32</v>
      </c>
      <c r="D319">
        <v>5</v>
      </c>
      <c r="E319" t="s">
        <v>46</v>
      </c>
      <c r="F319">
        <v>5</v>
      </c>
      <c r="G319">
        <v>2</v>
      </c>
      <c r="H319">
        <v>3</v>
      </c>
      <c r="I319">
        <v>1</v>
      </c>
      <c r="J319" s="4" t="s">
        <v>53</v>
      </c>
      <c r="K319" t="str">
        <f t="shared" si="17"/>
        <v>2+3</v>
      </c>
      <c r="L319">
        <f>VLOOKUP(A319,'ZONE 1 PREMIUM'!$A$4:$N$16,14,0)</f>
        <v>5</v>
      </c>
      <c r="M319">
        <f>VLOOKUP(D319,DROPDOWN!B:C,2,0)</f>
        <v>4</v>
      </c>
      <c r="N319" t="str">
        <f t="shared" si="18"/>
        <v>BR128:CJ139</v>
      </c>
      <c r="O319" s="4">
        <f t="shared" ca="1" si="19"/>
        <v>41904.5</v>
      </c>
    </row>
    <row r="320" spans="1:15">
      <c r="A320" s="2" t="s">
        <v>15</v>
      </c>
      <c r="B320" t="s">
        <v>33</v>
      </c>
      <c r="C320" t="s">
        <v>34</v>
      </c>
      <c r="D320">
        <v>5</v>
      </c>
      <c r="E320" t="s">
        <v>46</v>
      </c>
      <c r="F320">
        <v>5</v>
      </c>
      <c r="G320">
        <v>2</v>
      </c>
      <c r="H320">
        <v>3</v>
      </c>
      <c r="I320">
        <v>1</v>
      </c>
      <c r="J320" s="4" t="s">
        <v>53</v>
      </c>
      <c r="K320" t="str">
        <f t="shared" si="17"/>
        <v>2+3</v>
      </c>
      <c r="L320">
        <f>VLOOKUP(A320,'ZONE 1 PREMIUM'!$A$4:$N$16,14,0)</f>
        <v>6</v>
      </c>
      <c r="M320">
        <f>VLOOKUP(D320,DROPDOWN!B:C,2,0)</f>
        <v>4</v>
      </c>
      <c r="N320" t="str">
        <f t="shared" si="18"/>
        <v>BR128:CJ139</v>
      </c>
      <c r="O320" s="4">
        <f t="shared" ca="1" si="19"/>
        <v>50957.500000000007</v>
      </c>
    </row>
    <row r="321" spans="1:15">
      <c r="A321" s="2" t="s">
        <v>16</v>
      </c>
      <c r="B321" t="s">
        <v>35</v>
      </c>
      <c r="C321" t="s">
        <v>36</v>
      </c>
      <c r="D321">
        <v>5</v>
      </c>
      <c r="E321" t="s">
        <v>46</v>
      </c>
      <c r="F321">
        <v>5</v>
      </c>
      <c r="G321">
        <v>2</v>
      </c>
      <c r="H321">
        <v>3</v>
      </c>
      <c r="I321">
        <v>1</v>
      </c>
      <c r="J321" s="4" t="s">
        <v>53</v>
      </c>
      <c r="K321" t="str">
        <f t="shared" si="17"/>
        <v>2+3</v>
      </c>
      <c r="L321">
        <f>VLOOKUP(A321,'ZONE 1 PREMIUM'!$A$4:$N$16,14,0)</f>
        <v>7</v>
      </c>
      <c r="M321">
        <f>VLOOKUP(D321,DROPDOWN!B:C,2,0)</f>
        <v>4</v>
      </c>
      <c r="N321" t="str">
        <f t="shared" si="18"/>
        <v>BR128:CJ139</v>
      </c>
      <c r="O321" s="4">
        <f t="shared" ca="1" si="19"/>
        <v>64461.100000000006</v>
      </c>
    </row>
    <row r="322" spans="1:15">
      <c r="A322" s="2" t="s">
        <v>17</v>
      </c>
      <c r="B322" t="s">
        <v>37</v>
      </c>
      <c r="C322" t="s">
        <v>38</v>
      </c>
      <c r="D322">
        <v>5</v>
      </c>
      <c r="E322" t="s">
        <v>46</v>
      </c>
      <c r="F322">
        <v>5</v>
      </c>
      <c r="G322">
        <v>2</v>
      </c>
      <c r="H322">
        <v>3</v>
      </c>
      <c r="I322">
        <v>1</v>
      </c>
      <c r="J322" s="4" t="s">
        <v>53</v>
      </c>
      <c r="K322" t="str">
        <f t="shared" si="17"/>
        <v>2+3</v>
      </c>
      <c r="L322">
        <f>VLOOKUP(A322,'ZONE 1 PREMIUM'!$A$4:$N$16,14,0)</f>
        <v>8</v>
      </c>
      <c r="M322">
        <f>VLOOKUP(D322,DROPDOWN!B:C,2,0)</f>
        <v>4</v>
      </c>
      <c r="N322" t="str">
        <f t="shared" si="18"/>
        <v>BR128:CJ139</v>
      </c>
      <c r="O322" s="4">
        <f t="shared" ca="1" si="19"/>
        <v>82375.700000000012</v>
      </c>
    </row>
    <row r="323" spans="1:15">
      <c r="A323" s="2" t="s">
        <v>18</v>
      </c>
      <c r="B323" t="s">
        <v>39</v>
      </c>
      <c r="C323" t="s">
        <v>40</v>
      </c>
      <c r="D323">
        <v>5</v>
      </c>
      <c r="E323" t="s">
        <v>46</v>
      </c>
      <c r="F323">
        <v>5</v>
      </c>
      <c r="G323">
        <v>2</v>
      </c>
      <c r="H323">
        <v>3</v>
      </c>
      <c r="I323">
        <v>1</v>
      </c>
      <c r="J323" s="4" t="s">
        <v>53</v>
      </c>
      <c r="K323" t="str">
        <f t="shared" si="17"/>
        <v>2+3</v>
      </c>
      <c r="L323">
        <f>VLOOKUP(A323,'ZONE 1 PREMIUM'!$A$4:$N$16,14,0)</f>
        <v>9</v>
      </c>
      <c r="M323">
        <f>VLOOKUP(D323,DROPDOWN!B:C,2,0)</f>
        <v>4</v>
      </c>
      <c r="N323" t="str">
        <f t="shared" si="18"/>
        <v>BR128:CJ139</v>
      </c>
      <c r="O323" s="4">
        <f t="shared" ca="1" si="19"/>
        <v>106459.1</v>
      </c>
    </row>
    <row r="324" spans="1:15">
      <c r="A324" s="2" t="s">
        <v>19</v>
      </c>
      <c r="B324" t="s">
        <v>41</v>
      </c>
      <c r="C324" t="s">
        <v>42</v>
      </c>
      <c r="D324">
        <v>5</v>
      </c>
      <c r="E324" t="s">
        <v>46</v>
      </c>
      <c r="F324">
        <v>5</v>
      </c>
      <c r="G324">
        <v>2</v>
      </c>
      <c r="H324">
        <v>3</v>
      </c>
      <c r="I324">
        <v>1</v>
      </c>
      <c r="J324" s="4" t="s">
        <v>53</v>
      </c>
      <c r="K324" t="str">
        <f t="shared" ref="K324:K387" si="20">G324&amp;"+"&amp;H324</f>
        <v>2+3</v>
      </c>
      <c r="L324">
        <f>VLOOKUP(A324,'ZONE 1 PREMIUM'!$A$4:$N$16,14,0)</f>
        <v>10</v>
      </c>
      <c r="M324">
        <f>VLOOKUP(D324,DROPDOWN!B:C,2,0)</f>
        <v>4</v>
      </c>
      <c r="N324" t="str">
        <f t="shared" si="18"/>
        <v>BR128:CJ139</v>
      </c>
      <c r="O324" s="4">
        <f t="shared" ca="1" si="19"/>
        <v>137237.1</v>
      </c>
    </row>
    <row r="325" spans="1:15">
      <c r="A325" s="2" t="s">
        <v>20</v>
      </c>
      <c r="B325" t="s">
        <v>43</v>
      </c>
      <c r="C325" t="s">
        <v>44</v>
      </c>
      <c r="D325">
        <v>5</v>
      </c>
      <c r="E325" t="s">
        <v>46</v>
      </c>
      <c r="F325">
        <v>5</v>
      </c>
      <c r="G325">
        <v>2</v>
      </c>
      <c r="H325">
        <v>3</v>
      </c>
      <c r="I325">
        <v>1</v>
      </c>
      <c r="J325" s="4" t="s">
        <v>53</v>
      </c>
      <c r="K325" t="str">
        <f t="shared" si="20"/>
        <v>2+3</v>
      </c>
      <c r="L325">
        <f>VLOOKUP(A325,'ZONE 1 PREMIUM'!$A$4:$N$16,14,0)</f>
        <v>11</v>
      </c>
      <c r="M325">
        <f>VLOOKUP(D325,DROPDOWN!B:C,2,0)</f>
        <v>4</v>
      </c>
      <c r="N325" t="str">
        <f t="shared" si="18"/>
        <v>BR128:CJ139</v>
      </c>
      <c r="O325" s="4">
        <f t="shared" ca="1" si="19"/>
        <v>167712.6</v>
      </c>
    </row>
    <row r="326" spans="1:15">
      <c r="A326" s="2" t="s">
        <v>21</v>
      </c>
      <c r="B326" t="s">
        <v>22</v>
      </c>
      <c r="D326">
        <v>5</v>
      </c>
      <c r="E326" t="s">
        <v>46</v>
      </c>
      <c r="F326">
        <v>5</v>
      </c>
      <c r="G326">
        <v>2</v>
      </c>
      <c r="H326">
        <v>3</v>
      </c>
      <c r="I326">
        <v>1</v>
      </c>
      <c r="J326" s="4" t="s">
        <v>53</v>
      </c>
      <c r="K326" t="str">
        <f t="shared" si="20"/>
        <v>2+3</v>
      </c>
      <c r="L326">
        <f>VLOOKUP(A326,'ZONE 1 PREMIUM'!$A$4:$N$16,14,0)</f>
        <v>12</v>
      </c>
      <c r="M326">
        <f>VLOOKUP(D326,DROPDOWN!B:C,2,0)</f>
        <v>4</v>
      </c>
      <c r="N326" t="str">
        <f t="shared" si="18"/>
        <v>BR128:CJ139</v>
      </c>
      <c r="O326" s="4">
        <f t="shared" ca="1" si="19"/>
        <v>211083.40000000002</v>
      </c>
    </row>
    <row r="327" spans="1:15">
      <c r="A327" s="2" t="s">
        <v>11</v>
      </c>
      <c r="B327" t="s">
        <v>45</v>
      </c>
      <c r="C327" t="s">
        <v>25</v>
      </c>
      <c r="D327">
        <v>5</v>
      </c>
      <c r="E327" t="s">
        <v>46</v>
      </c>
      <c r="F327">
        <v>6</v>
      </c>
      <c r="G327">
        <v>2</v>
      </c>
      <c r="H327">
        <v>4</v>
      </c>
      <c r="I327">
        <v>1</v>
      </c>
      <c r="J327" s="4" t="s">
        <v>53</v>
      </c>
      <c r="K327" t="str">
        <f t="shared" si="20"/>
        <v>2+4</v>
      </c>
      <c r="L327">
        <f>VLOOKUP(A327,'ZONE 1 PREMIUM'!$A$4:$N$16,14,0)</f>
        <v>2</v>
      </c>
      <c r="M327">
        <f>VLOOKUP(D327,DROPDOWN!B:C,2,0)</f>
        <v>4</v>
      </c>
      <c r="N327" t="str">
        <f t="shared" si="18"/>
        <v>BR143:CJ154</v>
      </c>
      <c r="O327" s="4">
        <f t="shared" ca="1" si="19"/>
        <v>34557.600000000006</v>
      </c>
    </row>
    <row r="328" spans="1:15">
      <c r="A328" s="2" t="s">
        <v>12</v>
      </c>
      <c r="B328" t="s">
        <v>27</v>
      </c>
      <c r="C328" t="s">
        <v>28</v>
      </c>
      <c r="D328">
        <v>5</v>
      </c>
      <c r="E328" t="s">
        <v>46</v>
      </c>
      <c r="F328">
        <v>6</v>
      </c>
      <c r="G328">
        <v>2</v>
      </c>
      <c r="H328">
        <v>4</v>
      </c>
      <c r="I328">
        <v>1</v>
      </c>
      <c r="J328" s="4" t="s">
        <v>53</v>
      </c>
      <c r="K328" t="str">
        <f t="shared" si="20"/>
        <v>2+4</v>
      </c>
      <c r="L328">
        <f>VLOOKUP(A328,'ZONE 1 PREMIUM'!$A$4:$N$16,14,0)</f>
        <v>3</v>
      </c>
      <c r="M328">
        <f>VLOOKUP(D328,DROPDOWN!B:C,2,0)</f>
        <v>4</v>
      </c>
      <c r="N328" t="str">
        <f t="shared" si="18"/>
        <v>BR143:CJ154</v>
      </c>
      <c r="O328" s="4">
        <f t="shared" ca="1" si="19"/>
        <v>36950.100000000006</v>
      </c>
    </row>
    <row r="329" spans="1:15">
      <c r="A329" s="2" t="s">
        <v>13</v>
      </c>
      <c r="B329" t="s">
        <v>29</v>
      </c>
      <c r="C329" t="s">
        <v>30</v>
      </c>
      <c r="D329">
        <v>5</v>
      </c>
      <c r="E329" t="s">
        <v>46</v>
      </c>
      <c r="F329">
        <v>6</v>
      </c>
      <c r="G329">
        <v>2</v>
      </c>
      <c r="H329">
        <v>4</v>
      </c>
      <c r="I329">
        <v>1</v>
      </c>
      <c r="J329" s="4" t="s">
        <v>53</v>
      </c>
      <c r="K329" t="str">
        <f t="shared" si="20"/>
        <v>2+4</v>
      </c>
      <c r="L329">
        <f>VLOOKUP(A329,'ZONE 1 PREMIUM'!$A$4:$N$16,14,0)</f>
        <v>4</v>
      </c>
      <c r="M329">
        <f>VLOOKUP(D329,DROPDOWN!B:C,2,0)</f>
        <v>4</v>
      </c>
      <c r="N329" t="str">
        <f t="shared" si="18"/>
        <v>BR143:CJ154</v>
      </c>
      <c r="O329" s="4">
        <f t="shared" ca="1" si="19"/>
        <v>41729.600000000006</v>
      </c>
    </row>
    <row r="330" spans="1:15">
      <c r="A330" s="2" t="s">
        <v>14</v>
      </c>
      <c r="B330" t="s">
        <v>31</v>
      </c>
      <c r="C330" t="s">
        <v>32</v>
      </c>
      <c r="D330">
        <v>5</v>
      </c>
      <c r="E330" t="s">
        <v>46</v>
      </c>
      <c r="F330">
        <v>6</v>
      </c>
      <c r="G330">
        <v>2</v>
      </c>
      <c r="H330">
        <v>4</v>
      </c>
      <c r="I330">
        <v>1</v>
      </c>
      <c r="J330" s="4" t="s">
        <v>53</v>
      </c>
      <c r="K330" t="str">
        <f t="shared" si="20"/>
        <v>2+4</v>
      </c>
      <c r="L330">
        <f>VLOOKUP(A330,'ZONE 1 PREMIUM'!$A$4:$N$16,14,0)</f>
        <v>5</v>
      </c>
      <c r="M330">
        <f>VLOOKUP(D330,DROPDOWN!B:C,2,0)</f>
        <v>4</v>
      </c>
      <c r="N330" t="str">
        <f t="shared" si="18"/>
        <v>BR143:CJ154</v>
      </c>
      <c r="O330" s="4">
        <f t="shared" ca="1" si="19"/>
        <v>46607.000000000007</v>
      </c>
    </row>
    <row r="331" spans="1:15">
      <c r="A331" s="2" t="s">
        <v>15</v>
      </c>
      <c r="B331" t="s">
        <v>33</v>
      </c>
      <c r="C331" t="s">
        <v>34</v>
      </c>
      <c r="D331">
        <v>5</v>
      </c>
      <c r="E331" t="s">
        <v>46</v>
      </c>
      <c r="F331">
        <v>6</v>
      </c>
      <c r="G331">
        <v>2</v>
      </c>
      <c r="H331">
        <v>4</v>
      </c>
      <c r="I331">
        <v>1</v>
      </c>
      <c r="J331" s="4" t="s">
        <v>53</v>
      </c>
      <c r="K331" t="str">
        <f t="shared" si="20"/>
        <v>2+4</v>
      </c>
      <c r="L331">
        <f>VLOOKUP(A331,'ZONE 1 PREMIUM'!$A$4:$N$16,14,0)</f>
        <v>6</v>
      </c>
      <c r="M331">
        <f>VLOOKUP(D331,DROPDOWN!B:C,2,0)</f>
        <v>4</v>
      </c>
      <c r="N331" t="str">
        <f t="shared" si="18"/>
        <v>BR143:CJ154</v>
      </c>
      <c r="O331" s="4">
        <f t="shared" ca="1" si="19"/>
        <v>56230.9</v>
      </c>
    </row>
    <row r="332" spans="1:15">
      <c r="A332" s="2" t="s">
        <v>16</v>
      </c>
      <c r="B332" t="s">
        <v>35</v>
      </c>
      <c r="C332" t="s">
        <v>36</v>
      </c>
      <c r="D332">
        <v>5</v>
      </c>
      <c r="E332" t="s">
        <v>46</v>
      </c>
      <c r="F332">
        <v>6</v>
      </c>
      <c r="G332">
        <v>2</v>
      </c>
      <c r="H332">
        <v>4</v>
      </c>
      <c r="I332">
        <v>1</v>
      </c>
      <c r="J332" s="4" t="s">
        <v>53</v>
      </c>
      <c r="K332" t="str">
        <f t="shared" si="20"/>
        <v>2+4</v>
      </c>
      <c r="L332">
        <f>VLOOKUP(A332,'ZONE 1 PREMIUM'!$A$4:$N$16,14,0)</f>
        <v>7</v>
      </c>
      <c r="M332">
        <f>VLOOKUP(D332,DROPDOWN!B:C,2,0)</f>
        <v>4</v>
      </c>
      <c r="N332" t="str">
        <f t="shared" si="18"/>
        <v>BR143:CJ154</v>
      </c>
      <c r="O332" s="4">
        <f t="shared" ca="1" si="19"/>
        <v>69291.200000000012</v>
      </c>
    </row>
    <row r="333" spans="1:15">
      <c r="A333" s="2" t="s">
        <v>17</v>
      </c>
      <c r="B333" t="s">
        <v>37</v>
      </c>
      <c r="C333" t="s">
        <v>38</v>
      </c>
      <c r="D333">
        <v>5</v>
      </c>
      <c r="E333" t="s">
        <v>46</v>
      </c>
      <c r="F333">
        <v>6</v>
      </c>
      <c r="G333">
        <v>2</v>
      </c>
      <c r="H333">
        <v>4</v>
      </c>
      <c r="I333">
        <v>1</v>
      </c>
      <c r="J333" s="4" t="s">
        <v>53</v>
      </c>
      <c r="K333" t="str">
        <f t="shared" si="20"/>
        <v>2+4</v>
      </c>
      <c r="L333">
        <f>VLOOKUP(A333,'ZONE 1 PREMIUM'!$A$4:$N$16,14,0)</f>
        <v>8</v>
      </c>
      <c r="M333">
        <f>VLOOKUP(D333,DROPDOWN!B:C,2,0)</f>
        <v>4</v>
      </c>
      <c r="N333" t="str">
        <f t="shared" si="18"/>
        <v>BR143:CJ154</v>
      </c>
      <c r="O333" s="4">
        <f t="shared" ca="1" si="19"/>
        <v>87173.900000000009</v>
      </c>
    </row>
    <row r="334" spans="1:15">
      <c r="A334" s="2" t="s">
        <v>18</v>
      </c>
      <c r="B334" t="s">
        <v>39</v>
      </c>
      <c r="C334" t="s">
        <v>40</v>
      </c>
      <c r="D334">
        <v>5</v>
      </c>
      <c r="E334" t="s">
        <v>46</v>
      </c>
      <c r="F334">
        <v>6</v>
      </c>
      <c r="G334">
        <v>2</v>
      </c>
      <c r="H334">
        <v>4</v>
      </c>
      <c r="I334">
        <v>1</v>
      </c>
      <c r="J334" s="4" t="s">
        <v>53</v>
      </c>
      <c r="K334" t="str">
        <f t="shared" si="20"/>
        <v>2+4</v>
      </c>
      <c r="L334">
        <f>VLOOKUP(A334,'ZONE 1 PREMIUM'!$A$4:$N$16,14,0)</f>
        <v>9</v>
      </c>
      <c r="M334">
        <f>VLOOKUP(D334,DROPDOWN!B:C,2,0)</f>
        <v>4</v>
      </c>
      <c r="N334" t="str">
        <f t="shared" si="18"/>
        <v>BR143:CJ154</v>
      </c>
      <c r="O334" s="4">
        <f t="shared" ca="1" si="19"/>
        <v>111086.8</v>
      </c>
    </row>
    <row r="335" spans="1:15">
      <c r="A335" s="2" t="s">
        <v>19</v>
      </c>
      <c r="B335" t="s">
        <v>41</v>
      </c>
      <c r="C335" t="s">
        <v>42</v>
      </c>
      <c r="D335">
        <v>5</v>
      </c>
      <c r="E335" t="s">
        <v>46</v>
      </c>
      <c r="F335">
        <v>6</v>
      </c>
      <c r="G335">
        <v>2</v>
      </c>
      <c r="H335">
        <v>4</v>
      </c>
      <c r="I335">
        <v>1</v>
      </c>
      <c r="J335" s="4" t="s">
        <v>53</v>
      </c>
      <c r="K335" t="str">
        <f t="shared" si="20"/>
        <v>2+4</v>
      </c>
      <c r="L335">
        <f>VLOOKUP(A335,'ZONE 1 PREMIUM'!$A$4:$N$16,14,0)</f>
        <v>10</v>
      </c>
      <c r="M335">
        <f>VLOOKUP(D335,DROPDOWN!B:C,2,0)</f>
        <v>4</v>
      </c>
      <c r="N335" t="str">
        <f t="shared" si="18"/>
        <v>BR143:CJ154</v>
      </c>
      <c r="O335" s="4">
        <f t="shared" ca="1" si="19"/>
        <v>142335.6</v>
      </c>
    </row>
    <row r="336" spans="1:15">
      <c r="A336" s="2" t="s">
        <v>20</v>
      </c>
      <c r="B336" t="s">
        <v>43</v>
      </c>
      <c r="C336" t="s">
        <v>44</v>
      </c>
      <c r="D336">
        <v>5</v>
      </c>
      <c r="E336" t="s">
        <v>46</v>
      </c>
      <c r="F336">
        <v>6</v>
      </c>
      <c r="G336">
        <v>2</v>
      </c>
      <c r="H336">
        <v>4</v>
      </c>
      <c r="I336">
        <v>1</v>
      </c>
      <c r="J336" s="4" t="s">
        <v>53</v>
      </c>
      <c r="K336" t="str">
        <f t="shared" si="20"/>
        <v>2+4</v>
      </c>
      <c r="L336">
        <f>VLOOKUP(A336,'ZONE 1 PREMIUM'!$A$4:$N$16,14,0)</f>
        <v>11</v>
      </c>
      <c r="M336">
        <f>VLOOKUP(D336,DROPDOWN!B:C,2,0)</f>
        <v>4</v>
      </c>
      <c r="N336" t="str">
        <f t="shared" si="18"/>
        <v>BR143:CJ154</v>
      </c>
      <c r="O336" s="4">
        <f t="shared" ca="1" si="19"/>
        <v>172425</v>
      </c>
    </row>
    <row r="337" spans="1:15">
      <c r="A337" s="2" t="s">
        <v>21</v>
      </c>
      <c r="B337" t="s">
        <v>22</v>
      </c>
      <c r="D337">
        <v>5</v>
      </c>
      <c r="E337" t="s">
        <v>46</v>
      </c>
      <c r="F337">
        <v>6</v>
      </c>
      <c r="G337">
        <v>2</v>
      </c>
      <c r="H337">
        <v>4</v>
      </c>
      <c r="I337">
        <v>1</v>
      </c>
      <c r="J337" s="4" t="s">
        <v>53</v>
      </c>
      <c r="K337" t="str">
        <f t="shared" si="20"/>
        <v>2+4</v>
      </c>
      <c r="L337">
        <f>VLOOKUP(A337,'ZONE 1 PREMIUM'!$A$4:$N$16,14,0)</f>
        <v>12</v>
      </c>
      <c r="M337">
        <f>VLOOKUP(D337,DROPDOWN!B:C,2,0)</f>
        <v>4</v>
      </c>
      <c r="N337" t="str">
        <f t="shared" si="18"/>
        <v>BR143:CJ154</v>
      </c>
      <c r="O337" s="4">
        <f ca="1">INDEX(INDIRECT(N337),L337,M337)</f>
        <v>214986.2</v>
      </c>
    </row>
    <row r="338" spans="1:15">
      <c r="A338" s="2" t="s">
        <v>9</v>
      </c>
      <c r="B338" t="s">
        <v>47</v>
      </c>
      <c r="C338" t="s">
        <v>48</v>
      </c>
      <c r="D338">
        <v>5</v>
      </c>
      <c r="E338" t="s">
        <v>26</v>
      </c>
      <c r="F338">
        <v>1</v>
      </c>
      <c r="H338">
        <v>1</v>
      </c>
      <c r="I338">
        <v>1</v>
      </c>
      <c r="J338" s="4" t="s">
        <v>54</v>
      </c>
      <c r="K338" t="str">
        <f t="shared" si="20"/>
        <v>+1</v>
      </c>
      <c r="O338" s="13">
        <v>2760.5003718891367</v>
      </c>
    </row>
    <row r="339" spans="1:15">
      <c r="A339" s="2" t="s">
        <v>10</v>
      </c>
      <c r="B339" t="s">
        <v>49</v>
      </c>
      <c r="C339" t="s">
        <v>50</v>
      </c>
      <c r="D339">
        <v>5</v>
      </c>
      <c r="E339" t="s">
        <v>26</v>
      </c>
      <c r="F339">
        <v>1</v>
      </c>
      <c r="G339">
        <v>1</v>
      </c>
      <c r="H339">
        <v>0</v>
      </c>
      <c r="I339">
        <v>1</v>
      </c>
      <c r="J339" s="4" t="s">
        <v>54</v>
      </c>
      <c r="K339" t="str">
        <f t="shared" si="20"/>
        <v>1+0</v>
      </c>
      <c r="L339">
        <f>VLOOKUP(A339,'ZONE 1 PREMIUM'!$A$3:$M$16,13,0)</f>
        <v>3</v>
      </c>
      <c r="M339">
        <f>VLOOKUP(D339,DROPDOWN!B:C,2,0)</f>
        <v>4</v>
      </c>
      <c r="N339" t="str">
        <f>VLOOKUP(K339,$DH$4:$DI$13,2,0)</f>
        <v>CO3:DG16</v>
      </c>
      <c r="O339" s="4">
        <f ca="1">INDEX(INDIRECT(N339),L339,M339)</f>
        <v>4389.43</v>
      </c>
    </row>
    <row r="340" spans="1:15">
      <c r="A340" s="2" t="s">
        <v>11</v>
      </c>
      <c r="B340" t="s">
        <v>45</v>
      </c>
      <c r="C340" t="s">
        <v>25</v>
      </c>
      <c r="D340">
        <v>5</v>
      </c>
      <c r="E340" t="s">
        <v>26</v>
      </c>
      <c r="F340">
        <v>1</v>
      </c>
      <c r="G340">
        <v>1</v>
      </c>
      <c r="H340">
        <v>0</v>
      </c>
      <c r="I340">
        <v>1</v>
      </c>
      <c r="J340" s="4" t="s">
        <v>54</v>
      </c>
      <c r="K340" t="str">
        <f t="shared" si="20"/>
        <v>1+0</v>
      </c>
      <c r="L340">
        <f>VLOOKUP(A340,'ZONE 1 PREMIUM'!$A$3:$M$16,13,0)</f>
        <v>4</v>
      </c>
      <c r="M340">
        <f>VLOOKUP(D340,DROPDOWN!B:C,2,0)</f>
        <v>4</v>
      </c>
      <c r="N340" t="str">
        <f t="shared" ref="N340:N403" si="21">VLOOKUP(K340,$DH$4:$DI$13,2,0)</f>
        <v>CO3:DG16</v>
      </c>
      <c r="O340" s="4">
        <f t="shared" ref="O340:O403" ca="1" si="22">INDEX(INDIRECT(N340),L340,M340)</f>
        <v>11755.650000000001</v>
      </c>
    </row>
    <row r="341" spans="1:15">
      <c r="A341" s="2" t="s">
        <v>12</v>
      </c>
      <c r="B341" t="s">
        <v>27</v>
      </c>
      <c r="C341" t="s">
        <v>28</v>
      </c>
      <c r="D341">
        <v>5</v>
      </c>
      <c r="E341" t="s">
        <v>26</v>
      </c>
      <c r="F341">
        <v>1</v>
      </c>
      <c r="G341">
        <v>1</v>
      </c>
      <c r="H341">
        <v>0</v>
      </c>
      <c r="I341">
        <v>1</v>
      </c>
      <c r="J341" s="4" t="s">
        <v>54</v>
      </c>
      <c r="K341" t="str">
        <f t="shared" si="20"/>
        <v>1+0</v>
      </c>
      <c r="L341">
        <f>VLOOKUP(A341,'ZONE 1 PREMIUM'!$A$3:$M$16,13,0)</f>
        <v>5</v>
      </c>
      <c r="M341">
        <f>VLOOKUP(D341,DROPDOWN!B:C,2,0)</f>
        <v>4</v>
      </c>
      <c r="N341" t="str">
        <f t="shared" si="21"/>
        <v>CO3:DG16</v>
      </c>
      <c r="O341" s="4">
        <f t="shared" ca="1" si="22"/>
        <v>13531.26</v>
      </c>
    </row>
    <row r="342" spans="1:15">
      <c r="A342" s="2" t="s">
        <v>13</v>
      </c>
      <c r="B342" t="s">
        <v>29</v>
      </c>
      <c r="C342" t="s">
        <v>30</v>
      </c>
      <c r="D342">
        <v>5</v>
      </c>
      <c r="E342" t="s">
        <v>26</v>
      </c>
      <c r="F342">
        <v>1</v>
      </c>
      <c r="G342">
        <v>1</v>
      </c>
      <c r="H342">
        <v>0</v>
      </c>
      <c r="I342">
        <v>1</v>
      </c>
      <c r="J342" s="4" t="s">
        <v>54</v>
      </c>
      <c r="K342" t="str">
        <f t="shared" si="20"/>
        <v>1+0</v>
      </c>
      <c r="L342">
        <f>VLOOKUP(A342,'ZONE 1 PREMIUM'!$A$3:$M$16,13,0)</f>
        <v>6</v>
      </c>
      <c r="M342">
        <f>VLOOKUP(D342,DROPDOWN!B:C,2,0)</f>
        <v>4</v>
      </c>
      <c r="N342" t="str">
        <f t="shared" si="21"/>
        <v>CO3:DG16</v>
      </c>
      <c r="O342" s="4">
        <f t="shared" ca="1" si="22"/>
        <v>15579.37</v>
      </c>
    </row>
    <row r="343" spans="1:15">
      <c r="A343" s="2" t="s">
        <v>14</v>
      </c>
      <c r="B343" t="s">
        <v>31</v>
      </c>
      <c r="C343" t="s">
        <v>32</v>
      </c>
      <c r="D343">
        <v>5</v>
      </c>
      <c r="E343" t="s">
        <v>26</v>
      </c>
      <c r="F343">
        <v>1</v>
      </c>
      <c r="G343">
        <v>1</v>
      </c>
      <c r="H343">
        <v>0</v>
      </c>
      <c r="I343">
        <v>1</v>
      </c>
      <c r="J343" s="4" t="s">
        <v>54</v>
      </c>
      <c r="K343" t="str">
        <f t="shared" si="20"/>
        <v>1+0</v>
      </c>
      <c r="L343">
        <f>VLOOKUP(A343,'ZONE 1 PREMIUM'!$A$3:$M$16,13,0)</f>
        <v>7</v>
      </c>
      <c r="M343">
        <f>VLOOKUP(D343,DROPDOWN!B:C,2,0)</f>
        <v>4</v>
      </c>
      <c r="N343" t="str">
        <f t="shared" si="21"/>
        <v>CO3:DG16</v>
      </c>
      <c r="O343" s="4">
        <f t="shared" ca="1" si="22"/>
        <v>18091.82</v>
      </c>
    </row>
    <row r="344" spans="1:15">
      <c r="A344" s="2" t="s">
        <v>15</v>
      </c>
      <c r="B344" t="s">
        <v>33</v>
      </c>
      <c r="C344" t="s">
        <v>34</v>
      </c>
      <c r="D344">
        <v>5</v>
      </c>
      <c r="E344" t="s">
        <v>26</v>
      </c>
      <c r="F344">
        <v>1</v>
      </c>
      <c r="G344">
        <v>1</v>
      </c>
      <c r="H344">
        <v>0</v>
      </c>
      <c r="I344">
        <v>1</v>
      </c>
      <c r="J344" s="4" t="s">
        <v>54</v>
      </c>
      <c r="K344" t="str">
        <f t="shared" si="20"/>
        <v>1+0</v>
      </c>
      <c r="L344">
        <f>VLOOKUP(A344,'ZONE 1 PREMIUM'!$A$3:$M$16,13,0)</f>
        <v>8</v>
      </c>
      <c r="M344">
        <f>VLOOKUP(D344,DROPDOWN!B:C,2,0)</f>
        <v>4</v>
      </c>
      <c r="N344" t="str">
        <f t="shared" si="21"/>
        <v>CO3:DG16</v>
      </c>
      <c r="O344" s="4">
        <f t="shared" ca="1" si="22"/>
        <v>22433.29</v>
      </c>
    </row>
    <row r="345" spans="1:15">
      <c r="A345" s="2" t="s">
        <v>16</v>
      </c>
      <c r="B345" t="s">
        <v>35</v>
      </c>
      <c r="C345" t="s">
        <v>36</v>
      </c>
      <c r="D345">
        <v>5</v>
      </c>
      <c r="E345" t="s">
        <v>26</v>
      </c>
      <c r="F345">
        <v>1</v>
      </c>
      <c r="G345">
        <v>1</v>
      </c>
      <c r="H345">
        <v>0</v>
      </c>
      <c r="I345">
        <v>1</v>
      </c>
      <c r="J345" s="4" t="s">
        <v>54</v>
      </c>
      <c r="K345" t="str">
        <f t="shared" si="20"/>
        <v>1+0</v>
      </c>
      <c r="L345">
        <f>VLOOKUP(A345,'ZONE 1 PREMIUM'!$A$3:$M$16,13,0)</f>
        <v>9</v>
      </c>
      <c r="M345">
        <f>VLOOKUP(D345,DROPDOWN!B:C,2,0)</f>
        <v>4</v>
      </c>
      <c r="N345" t="str">
        <f t="shared" si="21"/>
        <v>CO3:DG16</v>
      </c>
      <c r="O345" s="4">
        <f t="shared" ca="1" si="22"/>
        <v>29421.280000000002</v>
      </c>
    </row>
    <row r="346" spans="1:15">
      <c r="A346" s="2" t="s">
        <v>17</v>
      </c>
      <c r="B346" t="s">
        <v>37</v>
      </c>
      <c r="C346" t="s">
        <v>38</v>
      </c>
      <c r="D346">
        <v>5</v>
      </c>
      <c r="E346" t="s">
        <v>26</v>
      </c>
      <c r="F346">
        <v>1</v>
      </c>
      <c r="G346">
        <v>1</v>
      </c>
      <c r="H346">
        <v>0</v>
      </c>
      <c r="I346">
        <v>1</v>
      </c>
      <c r="J346" s="4" t="s">
        <v>54</v>
      </c>
      <c r="K346" t="str">
        <f t="shared" si="20"/>
        <v>1+0</v>
      </c>
      <c r="L346">
        <f>VLOOKUP(A346,'ZONE 1 PREMIUM'!$A$3:$M$16,13,0)</f>
        <v>10</v>
      </c>
      <c r="M346">
        <f>VLOOKUP(D346,DROPDOWN!B:C,2,0)</f>
        <v>4</v>
      </c>
      <c r="N346" t="str">
        <f t="shared" si="21"/>
        <v>CO3:DG16</v>
      </c>
      <c r="O346" s="4">
        <f t="shared" ca="1" si="22"/>
        <v>39774.100000000006</v>
      </c>
    </row>
    <row r="347" spans="1:15">
      <c r="A347" s="2" t="s">
        <v>18</v>
      </c>
      <c r="B347" t="s">
        <v>39</v>
      </c>
      <c r="C347" t="s">
        <v>40</v>
      </c>
      <c r="D347">
        <v>5</v>
      </c>
      <c r="E347" t="s">
        <v>26</v>
      </c>
      <c r="F347">
        <v>1</v>
      </c>
      <c r="G347">
        <v>1</v>
      </c>
      <c r="H347">
        <v>0</v>
      </c>
      <c r="I347">
        <v>1</v>
      </c>
      <c r="J347" s="4" t="s">
        <v>54</v>
      </c>
      <c r="K347" t="str">
        <f t="shared" si="20"/>
        <v>1+0</v>
      </c>
      <c r="L347">
        <f>VLOOKUP(A347,'ZONE 1 PREMIUM'!$A$3:$M$16,13,0)</f>
        <v>11</v>
      </c>
      <c r="M347">
        <f>VLOOKUP(D347,DROPDOWN!B:C,2,0)</f>
        <v>4</v>
      </c>
      <c r="N347" t="str">
        <f t="shared" si="21"/>
        <v>CO3:DG16</v>
      </c>
      <c r="O347" s="4">
        <f t="shared" ca="1" si="22"/>
        <v>54825.91</v>
      </c>
    </row>
    <row r="348" spans="1:15">
      <c r="A348" s="2" t="s">
        <v>19</v>
      </c>
      <c r="B348" t="s">
        <v>41</v>
      </c>
      <c r="C348" t="s">
        <v>42</v>
      </c>
      <c r="D348">
        <v>5</v>
      </c>
      <c r="E348" t="s">
        <v>26</v>
      </c>
      <c r="F348">
        <v>1</v>
      </c>
      <c r="G348">
        <v>1</v>
      </c>
      <c r="H348">
        <v>0</v>
      </c>
      <c r="I348">
        <v>1</v>
      </c>
      <c r="J348" s="4" t="s">
        <v>54</v>
      </c>
      <c r="K348" t="str">
        <f t="shared" si="20"/>
        <v>1+0</v>
      </c>
      <c r="L348">
        <f>VLOOKUP(A348,'ZONE 1 PREMIUM'!$A$3:$M$16,13,0)</f>
        <v>12</v>
      </c>
      <c r="M348">
        <f>VLOOKUP(D348,DROPDOWN!B:C,2,0)</f>
        <v>4</v>
      </c>
      <c r="N348" t="str">
        <f t="shared" si="21"/>
        <v>CO3:DG16</v>
      </c>
      <c r="O348" s="4">
        <f t="shared" ca="1" si="22"/>
        <v>69816.680000000008</v>
      </c>
    </row>
    <row r="349" spans="1:15">
      <c r="A349" s="2" t="s">
        <v>20</v>
      </c>
      <c r="B349" t="s">
        <v>43</v>
      </c>
      <c r="C349" t="s">
        <v>44</v>
      </c>
      <c r="D349">
        <v>5</v>
      </c>
      <c r="E349" t="s">
        <v>26</v>
      </c>
      <c r="F349">
        <v>1</v>
      </c>
      <c r="G349">
        <v>1</v>
      </c>
      <c r="H349">
        <v>0</v>
      </c>
      <c r="I349">
        <v>1</v>
      </c>
      <c r="J349" s="4" t="s">
        <v>54</v>
      </c>
      <c r="K349" t="str">
        <f t="shared" si="20"/>
        <v>1+0</v>
      </c>
      <c r="L349">
        <f>VLOOKUP(A349,'ZONE 1 PREMIUM'!$A$3:$M$16,13,0)</f>
        <v>13</v>
      </c>
      <c r="M349">
        <f>VLOOKUP(D349,DROPDOWN!B:C,2,0)</f>
        <v>4</v>
      </c>
      <c r="N349" t="str">
        <f t="shared" si="21"/>
        <v>CO3:DG16</v>
      </c>
      <c r="O349" s="4">
        <f t="shared" ca="1" si="22"/>
        <v>83608.450000000012</v>
      </c>
    </row>
    <row r="350" spans="1:15">
      <c r="A350" s="2" t="s">
        <v>21</v>
      </c>
      <c r="B350" t="s">
        <v>22</v>
      </c>
      <c r="D350">
        <v>5</v>
      </c>
      <c r="E350" t="s">
        <v>26</v>
      </c>
      <c r="F350">
        <v>1</v>
      </c>
      <c r="G350">
        <v>1</v>
      </c>
      <c r="H350">
        <v>0</v>
      </c>
      <c r="I350">
        <v>1</v>
      </c>
      <c r="J350" s="4" t="s">
        <v>54</v>
      </c>
      <c r="K350" t="str">
        <f t="shared" si="20"/>
        <v>1+0</v>
      </c>
      <c r="L350">
        <f>VLOOKUP(A350,'ZONE 1 PREMIUM'!$A$3:$M$16,13,0)</f>
        <v>14</v>
      </c>
      <c r="M350">
        <f>VLOOKUP(D350,DROPDOWN!B:C,2,0)</f>
        <v>4</v>
      </c>
      <c r="N350" t="str">
        <f t="shared" si="21"/>
        <v>CO3:DG16</v>
      </c>
      <c r="O350" s="4">
        <f t="shared" ca="1" si="22"/>
        <v>111889.59000000001</v>
      </c>
    </row>
    <row r="351" spans="1:15">
      <c r="A351" s="2" t="s">
        <v>11</v>
      </c>
      <c r="B351" t="s">
        <v>45</v>
      </c>
      <c r="C351" t="s">
        <v>25</v>
      </c>
      <c r="D351">
        <v>5</v>
      </c>
      <c r="E351" t="s">
        <v>46</v>
      </c>
      <c r="F351">
        <v>2</v>
      </c>
      <c r="G351">
        <v>1</v>
      </c>
      <c r="H351">
        <v>1</v>
      </c>
      <c r="I351">
        <v>1</v>
      </c>
      <c r="J351" s="4" t="s">
        <v>54</v>
      </c>
      <c r="K351" t="str">
        <f t="shared" si="20"/>
        <v>1+1</v>
      </c>
      <c r="L351">
        <f>VLOOKUP(A351,'ZONE 1 PREMIUM'!$A$4:$N$16,14,0)</f>
        <v>2</v>
      </c>
      <c r="M351">
        <f>VLOOKUP(D351,DROPDOWN!B:C,2,0)</f>
        <v>4</v>
      </c>
      <c r="N351" t="str">
        <f t="shared" si="21"/>
        <v>CO20:DG31</v>
      </c>
      <c r="O351" s="4">
        <f t="shared" ca="1" si="22"/>
        <v>12807.500000000002</v>
      </c>
    </row>
    <row r="352" spans="1:15">
      <c r="A352" s="2" t="s">
        <v>12</v>
      </c>
      <c r="B352" t="s">
        <v>27</v>
      </c>
      <c r="C352" t="s">
        <v>28</v>
      </c>
      <c r="D352">
        <v>5</v>
      </c>
      <c r="E352" t="s">
        <v>46</v>
      </c>
      <c r="F352">
        <v>2</v>
      </c>
      <c r="G352">
        <v>1</v>
      </c>
      <c r="H352">
        <v>1</v>
      </c>
      <c r="I352">
        <v>1</v>
      </c>
      <c r="J352" s="4" t="s">
        <v>54</v>
      </c>
      <c r="K352" t="str">
        <f t="shared" si="20"/>
        <v>1+1</v>
      </c>
      <c r="L352">
        <f>VLOOKUP(A352,'ZONE 1 PREMIUM'!$A$4:$N$16,14,0)</f>
        <v>3</v>
      </c>
      <c r="M352">
        <f>VLOOKUP(D352,DROPDOWN!B:C,2,0)</f>
        <v>4</v>
      </c>
      <c r="N352" t="str">
        <f t="shared" si="21"/>
        <v>CO20:DG31</v>
      </c>
      <c r="O352" s="4">
        <f t="shared" ca="1" si="22"/>
        <v>14190.710000000001</v>
      </c>
    </row>
    <row r="353" spans="1:15">
      <c r="A353" s="2" t="s">
        <v>13</v>
      </c>
      <c r="B353" t="s">
        <v>29</v>
      </c>
      <c r="C353" t="s">
        <v>30</v>
      </c>
      <c r="D353">
        <v>5</v>
      </c>
      <c r="E353" t="s">
        <v>46</v>
      </c>
      <c r="F353">
        <v>2</v>
      </c>
      <c r="G353">
        <v>1</v>
      </c>
      <c r="H353">
        <v>1</v>
      </c>
      <c r="I353">
        <v>1</v>
      </c>
      <c r="J353" s="4" t="s">
        <v>54</v>
      </c>
      <c r="K353" t="str">
        <f t="shared" si="20"/>
        <v>1+1</v>
      </c>
      <c r="L353">
        <f>VLOOKUP(A353,'ZONE 1 PREMIUM'!$A$4:$N$16,14,0)</f>
        <v>4</v>
      </c>
      <c r="M353">
        <f>VLOOKUP(D353,DROPDOWN!B:C,2,0)</f>
        <v>4</v>
      </c>
      <c r="N353" t="str">
        <f t="shared" si="21"/>
        <v>CO20:DG31</v>
      </c>
      <c r="O353" s="4">
        <f t="shared" ca="1" si="22"/>
        <v>16356.54</v>
      </c>
    </row>
    <row r="354" spans="1:15">
      <c r="A354" s="2" t="s">
        <v>14</v>
      </c>
      <c r="B354" t="s">
        <v>31</v>
      </c>
      <c r="C354" t="s">
        <v>32</v>
      </c>
      <c r="D354">
        <v>5</v>
      </c>
      <c r="E354" t="s">
        <v>46</v>
      </c>
      <c r="F354">
        <v>2</v>
      </c>
      <c r="G354">
        <v>1</v>
      </c>
      <c r="H354">
        <v>1</v>
      </c>
      <c r="I354">
        <v>1</v>
      </c>
      <c r="J354" s="4" t="s">
        <v>54</v>
      </c>
      <c r="K354" t="str">
        <f t="shared" si="20"/>
        <v>1+1</v>
      </c>
      <c r="L354">
        <f>VLOOKUP(A354,'ZONE 1 PREMIUM'!$A$4:$N$16,14,0)</f>
        <v>5</v>
      </c>
      <c r="M354">
        <f>VLOOKUP(D354,DROPDOWN!B:C,2,0)</f>
        <v>4</v>
      </c>
      <c r="N354" t="str">
        <f t="shared" si="21"/>
        <v>CO20:DG31</v>
      </c>
      <c r="O354" s="4">
        <f t="shared" ca="1" si="22"/>
        <v>19201.440000000002</v>
      </c>
    </row>
    <row r="355" spans="1:15">
      <c r="A355" s="2" t="s">
        <v>15</v>
      </c>
      <c r="B355" t="s">
        <v>33</v>
      </c>
      <c r="C355" t="s">
        <v>34</v>
      </c>
      <c r="D355">
        <v>5</v>
      </c>
      <c r="E355" t="s">
        <v>46</v>
      </c>
      <c r="F355">
        <v>2</v>
      </c>
      <c r="G355">
        <v>1</v>
      </c>
      <c r="H355">
        <v>1</v>
      </c>
      <c r="I355">
        <v>1</v>
      </c>
      <c r="J355" s="4" t="s">
        <v>54</v>
      </c>
      <c r="K355" t="str">
        <f t="shared" si="20"/>
        <v>1+1</v>
      </c>
      <c r="L355">
        <f>VLOOKUP(A355,'ZONE 1 PREMIUM'!$A$4:$N$16,14,0)</f>
        <v>6</v>
      </c>
      <c r="M355">
        <f>VLOOKUP(D355,DROPDOWN!B:C,2,0)</f>
        <v>4</v>
      </c>
      <c r="N355" t="str">
        <f t="shared" si="21"/>
        <v>CO20:DG31</v>
      </c>
      <c r="O355" s="4">
        <f t="shared" ca="1" si="22"/>
        <v>23363.06</v>
      </c>
    </row>
    <row r="356" spans="1:15">
      <c r="A356" s="2" t="s">
        <v>16</v>
      </c>
      <c r="B356" t="s">
        <v>35</v>
      </c>
      <c r="C356" t="s">
        <v>36</v>
      </c>
      <c r="D356">
        <v>5</v>
      </c>
      <c r="E356" t="s">
        <v>46</v>
      </c>
      <c r="F356">
        <v>2</v>
      </c>
      <c r="G356">
        <v>1</v>
      </c>
      <c r="H356">
        <v>1</v>
      </c>
      <c r="I356">
        <v>1</v>
      </c>
      <c r="J356" s="4" t="s">
        <v>54</v>
      </c>
      <c r="K356" t="str">
        <f t="shared" si="20"/>
        <v>1+1</v>
      </c>
      <c r="L356">
        <f>VLOOKUP(A356,'ZONE 1 PREMIUM'!$A$4:$N$16,14,0)</f>
        <v>7</v>
      </c>
      <c r="M356">
        <f>VLOOKUP(D356,DROPDOWN!B:C,2,0)</f>
        <v>4</v>
      </c>
      <c r="N356" t="str">
        <f t="shared" si="21"/>
        <v>CO20:DG31</v>
      </c>
      <c r="O356" s="4">
        <f t="shared" ca="1" si="22"/>
        <v>30210.440000000002</v>
      </c>
    </row>
    <row r="357" spans="1:15">
      <c r="A357" s="2" t="s">
        <v>17</v>
      </c>
      <c r="B357" t="s">
        <v>37</v>
      </c>
      <c r="C357" t="s">
        <v>38</v>
      </c>
      <c r="D357">
        <v>5</v>
      </c>
      <c r="E357" t="s">
        <v>46</v>
      </c>
      <c r="F357">
        <v>2</v>
      </c>
      <c r="G357">
        <v>1</v>
      </c>
      <c r="H357">
        <v>1</v>
      </c>
      <c r="I357">
        <v>1</v>
      </c>
      <c r="J357" s="4" t="s">
        <v>54</v>
      </c>
      <c r="K357" t="str">
        <f t="shared" si="20"/>
        <v>1+1</v>
      </c>
      <c r="L357">
        <f>VLOOKUP(A357,'ZONE 1 PREMIUM'!$A$4:$N$16,14,0)</f>
        <v>8</v>
      </c>
      <c r="M357">
        <f>VLOOKUP(D357,DROPDOWN!B:C,2,0)</f>
        <v>4</v>
      </c>
      <c r="N357" t="str">
        <f t="shared" si="21"/>
        <v>CO20:DG31</v>
      </c>
      <c r="O357" s="4">
        <f t="shared" ca="1" si="22"/>
        <v>41055.94</v>
      </c>
    </row>
    <row r="358" spans="1:15">
      <c r="A358" s="2" t="s">
        <v>18</v>
      </c>
      <c r="B358" t="s">
        <v>39</v>
      </c>
      <c r="C358" t="s">
        <v>40</v>
      </c>
      <c r="D358">
        <v>5</v>
      </c>
      <c r="E358" t="s">
        <v>46</v>
      </c>
      <c r="F358">
        <v>2</v>
      </c>
      <c r="G358">
        <v>1</v>
      </c>
      <c r="H358">
        <v>1</v>
      </c>
      <c r="I358">
        <v>1</v>
      </c>
      <c r="J358" s="4" t="s">
        <v>54</v>
      </c>
      <c r="K358" t="str">
        <f t="shared" si="20"/>
        <v>1+1</v>
      </c>
      <c r="L358">
        <f>VLOOKUP(A358,'ZONE 1 PREMIUM'!$A$4:$N$16,14,0)</f>
        <v>9</v>
      </c>
      <c r="M358">
        <f>VLOOKUP(D358,DROPDOWN!B:C,2,0)</f>
        <v>4</v>
      </c>
      <c r="N358" t="str">
        <f t="shared" si="21"/>
        <v>CO20:DG31</v>
      </c>
      <c r="O358" s="4">
        <f t="shared" ca="1" si="22"/>
        <v>55352.380000000005</v>
      </c>
    </row>
    <row r="359" spans="1:15">
      <c r="A359" s="2" t="s">
        <v>19</v>
      </c>
      <c r="B359" t="s">
        <v>41</v>
      </c>
      <c r="C359" t="s">
        <v>42</v>
      </c>
      <c r="D359">
        <v>5</v>
      </c>
      <c r="E359" t="s">
        <v>46</v>
      </c>
      <c r="F359">
        <v>2</v>
      </c>
      <c r="G359">
        <v>1</v>
      </c>
      <c r="H359">
        <v>1</v>
      </c>
      <c r="I359">
        <v>1</v>
      </c>
      <c r="J359" s="4" t="s">
        <v>54</v>
      </c>
      <c r="K359" t="str">
        <f t="shared" si="20"/>
        <v>1+1</v>
      </c>
      <c r="L359">
        <f>VLOOKUP(A359,'ZONE 1 PREMIUM'!$A$4:$N$16,14,0)</f>
        <v>10</v>
      </c>
      <c r="M359">
        <f>VLOOKUP(D359,DROPDOWN!B:C,2,0)</f>
        <v>4</v>
      </c>
      <c r="N359" t="str">
        <f t="shared" si="21"/>
        <v>CO20:DG31</v>
      </c>
      <c r="O359" s="4">
        <f t="shared" ca="1" si="22"/>
        <v>72163.450000000012</v>
      </c>
    </row>
    <row r="360" spans="1:15">
      <c r="A360" s="2" t="s">
        <v>20</v>
      </c>
      <c r="B360" t="s">
        <v>43</v>
      </c>
      <c r="C360" t="s">
        <v>44</v>
      </c>
      <c r="D360">
        <v>5</v>
      </c>
      <c r="E360" t="s">
        <v>46</v>
      </c>
      <c r="F360">
        <v>2</v>
      </c>
      <c r="G360">
        <v>1</v>
      </c>
      <c r="H360">
        <v>1</v>
      </c>
      <c r="I360">
        <v>1</v>
      </c>
      <c r="J360" s="4" t="s">
        <v>54</v>
      </c>
      <c r="K360" t="str">
        <f t="shared" si="20"/>
        <v>1+1</v>
      </c>
      <c r="L360">
        <f>VLOOKUP(A360,'ZONE 1 PREMIUM'!$A$4:$N$16,14,0)</f>
        <v>11</v>
      </c>
      <c r="M360">
        <f>VLOOKUP(D360,DROPDOWN!B:C,2,0)</f>
        <v>4</v>
      </c>
      <c r="N360" t="str">
        <f t="shared" si="21"/>
        <v>CO20:DG31</v>
      </c>
      <c r="O360" s="4">
        <f t="shared" ca="1" si="22"/>
        <v>84842.33</v>
      </c>
    </row>
    <row r="361" spans="1:15">
      <c r="A361" s="2" t="s">
        <v>21</v>
      </c>
      <c r="B361" t="s">
        <v>22</v>
      </c>
      <c r="D361">
        <v>5</v>
      </c>
      <c r="E361" t="s">
        <v>46</v>
      </c>
      <c r="F361">
        <v>2</v>
      </c>
      <c r="G361">
        <v>1</v>
      </c>
      <c r="H361">
        <v>1</v>
      </c>
      <c r="I361">
        <v>1</v>
      </c>
      <c r="J361" s="4" t="s">
        <v>54</v>
      </c>
      <c r="K361" t="str">
        <f t="shared" si="20"/>
        <v>1+1</v>
      </c>
      <c r="L361">
        <f>VLOOKUP(A361,'ZONE 1 PREMIUM'!$A$4:$N$16,14,0)</f>
        <v>12</v>
      </c>
      <c r="M361">
        <f>VLOOKUP(D361,DROPDOWN!B:C,2,0)</f>
        <v>4</v>
      </c>
      <c r="N361" t="str">
        <f t="shared" si="21"/>
        <v>CO20:DG31</v>
      </c>
      <c r="O361" s="4">
        <f t="shared" ca="1" si="22"/>
        <v>114701.79000000001</v>
      </c>
    </row>
    <row r="362" spans="1:15">
      <c r="A362" s="2" t="s">
        <v>11</v>
      </c>
      <c r="B362" t="s">
        <v>45</v>
      </c>
      <c r="C362" t="s">
        <v>25</v>
      </c>
      <c r="D362">
        <v>5</v>
      </c>
      <c r="E362" t="s">
        <v>46</v>
      </c>
      <c r="F362">
        <v>3</v>
      </c>
      <c r="G362">
        <v>1</v>
      </c>
      <c r="H362">
        <v>2</v>
      </c>
      <c r="I362">
        <v>1</v>
      </c>
      <c r="J362" s="4" t="s">
        <v>54</v>
      </c>
      <c r="K362" t="str">
        <f t="shared" si="20"/>
        <v>1+2</v>
      </c>
      <c r="L362">
        <f>VLOOKUP(A362,'ZONE 1 PREMIUM'!$A$4:$N$16,14,0)</f>
        <v>2</v>
      </c>
      <c r="M362">
        <f>VLOOKUP(D362,DROPDOWN!B:C,2,0)</f>
        <v>4</v>
      </c>
      <c r="N362" t="str">
        <f t="shared" si="21"/>
        <v>CO35:DG46</v>
      </c>
      <c r="O362" s="4">
        <f t="shared" ca="1" si="22"/>
        <v>15982.670000000002</v>
      </c>
    </row>
    <row r="363" spans="1:15">
      <c r="A363" s="2" t="s">
        <v>12</v>
      </c>
      <c r="B363" t="s">
        <v>27</v>
      </c>
      <c r="C363" t="s">
        <v>28</v>
      </c>
      <c r="D363">
        <v>5</v>
      </c>
      <c r="E363" t="s">
        <v>46</v>
      </c>
      <c r="F363">
        <v>3</v>
      </c>
      <c r="G363">
        <v>1</v>
      </c>
      <c r="H363">
        <v>2</v>
      </c>
      <c r="I363">
        <v>1</v>
      </c>
      <c r="J363" s="4" t="s">
        <v>54</v>
      </c>
      <c r="K363" t="str">
        <f t="shared" si="20"/>
        <v>1+2</v>
      </c>
      <c r="L363">
        <f>VLOOKUP(A363,'ZONE 1 PREMIUM'!$A$4:$N$16,14,0)</f>
        <v>3</v>
      </c>
      <c r="M363">
        <f>VLOOKUP(D363,DROPDOWN!B:C,2,0)</f>
        <v>4</v>
      </c>
      <c r="N363" t="str">
        <f t="shared" si="21"/>
        <v>CO35:DG46</v>
      </c>
      <c r="O363" s="4">
        <f t="shared" ca="1" si="22"/>
        <v>17189.300000000003</v>
      </c>
    </row>
    <row r="364" spans="1:15">
      <c r="A364" s="2" t="s">
        <v>13</v>
      </c>
      <c r="B364" t="s">
        <v>29</v>
      </c>
      <c r="C364" t="s">
        <v>30</v>
      </c>
      <c r="D364">
        <v>5</v>
      </c>
      <c r="E364" t="s">
        <v>46</v>
      </c>
      <c r="F364">
        <v>3</v>
      </c>
      <c r="G364">
        <v>1</v>
      </c>
      <c r="H364">
        <v>2</v>
      </c>
      <c r="I364">
        <v>1</v>
      </c>
      <c r="J364" s="4" t="s">
        <v>54</v>
      </c>
      <c r="K364" t="str">
        <f t="shared" si="20"/>
        <v>1+2</v>
      </c>
      <c r="L364">
        <f>VLOOKUP(A364,'ZONE 1 PREMIUM'!$A$4:$N$16,14,0)</f>
        <v>4</v>
      </c>
      <c r="M364">
        <f>VLOOKUP(D364,DROPDOWN!B:C,2,0)</f>
        <v>4</v>
      </c>
      <c r="N364" t="str">
        <f t="shared" si="21"/>
        <v>CO35:DG46</v>
      </c>
      <c r="O364" s="4">
        <f t="shared" ca="1" si="22"/>
        <v>19830.370000000003</v>
      </c>
    </row>
    <row r="365" spans="1:15">
      <c r="A365" s="2" t="s">
        <v>14</v>
      </c>
      <c r="B365" t="s">
        <v>31</v>
      </c>
      <c r="C365" t="s">
        <v>32</v>
      </c>
      <c r="D365">
        <v>5</v>
      </c>
      <c r="E365" t="s">
        <v>46</v>
      </c>
      <c r="F365">
        <v>3</v>
      </c>
      <c r="G365">
        <v>1</v>
      </c>
      <c r="H365">
        <v>2</v>
      </c>
      <c r="I365">
        <v>1</v>
      </c>
      <c r="J365" s="4" t="s">
        <v>54</v>
      </c>
      <c r="K365" t="str">
        <f t="shared" si="20"/>
        <v>1+2</v>
      </c>
      <c r="L365">
        <f>VLOOKUP(A365,'ZONE 1 PREMIUM'!$A$4:$N$16,14,0)</f>
        <v>5</v>
      </c>
      <c r="M365">
        <f>VLOOKUP(D365,DROPDOWN!B:C,2,0)</f>
        <v>4</v>
      </c>
      <c r="N365" t="str">
        <f t="shared" si="21"/>
        <v>CO35:DG46</v>
      </c>
      <c r="O365" s="4">
        <f t="shared" ca="1" si="22"/>
        <v>22205.480000000003</v>
      </c>
    </row>
    <row r="366" spans="1:15">
      <c r="A366" s="2" t="s">
        <v>15</v>
      </c>
      <c r="B366" t="s">
        <v>33</v>
      </c>
      <c r="C366" t="s">
        <v>34</v>
      </c>
      <c r="D366">
        <v>5</v>
      </c>
      <c r="E366" t="s">
        <v>46</v>
      </c>
      <c r="F366">
        <v>3</v>
      </c>
      <c r="G366">
        <v>1</v>
      </c>
      <c r="H366">
        <v>2</v>
      </c>
      <c r="I366">
        <v>1</v>
      </c>
      <c r="J366" s="4" t="s">
        <v>54</v>
      </c>
      <c r="K366" t="str">
        <f t="shared" si="20"/>
        <v>1+2</v>
      </c>
      <c r="L366">
        <f>VLOOKUP(A366,'ZONE 1 PREMIUM'!$A$4:$N$16,14,0)</f>
        <v>6</v>
      </c>
      <c r="M366">
        <f>VLOOKUP(D366,DROPDOWN!B:C,2,0)</f>
        <v>4</v>
      </c>
      <c r="N366" t="str">
        <f t="shared" si="21"/>
        <v>CO35:DG46</v>
      </c>
      <c r="O366" s="4">
        <f t="shared" ca="1" si="22"/>
        <v>27476.720000000001</v>
      </c>
    </row>
    <row r="367" spans="1:15">
      <c r="A367" s="2" t="s">
        <v>16</v>
      </c>
      <c r="B367" t="s">
        <v>35</v>
      </c>
      <c r="C367" t="s">
        <v>36</v>
      </c>
      <c r="D367">
        <v>5</v>
      </c>
      <c r="E367" t="s">
        <v>46</v>
      </c>
      <c r="F367">
        <v>3</v>
      </c>
      <c r="G367">
        <v>1</v>
      </c>
      <c r="H367">
        <v>2</v>
      </c>
      <c r="I367">
        <v>1</v>
      </c>
      <c r="J367" s="4" t="s">
        <v>54</v>
      </c>
      <c r="K367" t="str">
        <f t="shared" si="20"/>
        <v>1+2</v>
      </c>
      <c r="L367">
        <f>VLOOKUP(A367,'ZONE 1 PREMIUM'!$A$4:$N$16,14,0)</f>
        <v>7</v>
      </c>
      <c r="M367">
        <f>VLOOKUP(D367,DROPDOWN!B:C,2,0)</f>
        <v>4</v>
      </c>
      <c r="N367" t="str">
        <f t="shared" si="21"/>
        <v>CO35:DG46</v>
      </c>
      <c r="O367" s="4">
        <f t="shared" ca="1" si="22"/>
        <v>35269.130000000005</v>
      </c>
    </row>
    <row r="368" spans="1:15">
      <c r="A368" s="2" t="s">
        <v>17</v>
      </c>
      <c r="B368" t="s">
        <v>37</v>
      </c>
      <c r="C368" t="s">
        <v>38</v>
      </c>
      <c r="D368">
        <v>5</v>
      </c>
      <c r="E368" t="s">
        <v>46</v>
      </c>
      <c r="F368">
        <v>3</v>
      </c>
      <c r="G368">
        <v>1</v>
      </c>
      <c r="H368">
        <v>2</v>
      </c>
      <c r="I368">
        <v>1</v>
      </c>
      <c r="J368" s="4" t="s">
        <v>54</v>
      </c>
      <c r="K368" t="str">
        <f t="shared" si="20"/>
        <v>1+2</v>
      </c>
      <c r="L368">
        <f>VLOOKUP(A368,'ZONE 1 PREMIUM'!$A$4:$N$16,14,0)</f>
        <v>8</v>
      </c>
      <c r="M368">
        <f>VLOOKUP(D368,DROPDOWN!B:C,2,0)</f>
        <v>4</v>
      </c>
      <c r="N368" t="str">
        <f t="shared" si="21"/>
        <v>CO35:DG46</v>
      </c>
      <c r="O368" s="4">
        <f t="shared" ca="1" si="22"/>
        <v>46237.8</v>
      </c>
    </row>
    <row r="369" spans="1:15">
      <c r="A369" s="2" t="s">
        <v>18</v>
      </c>
      <c r="B369" t="s">
        <v>39</v>
      </c>
      <c r="C369" t="s">
        <v>40</v>
      </c>
      <c r="D369">
        <v>5</v>
      </c>
      <c r="E369" t="s">
        <v>46</v>
      </c>
      <c r="F369">
        <v>3</v>
      </c>
      <c r="G369">
        <v>1</v>
      </c>
      <c r="H369">
        <v>2</v>
      </c>
      <c r="I369">
        <v>1</v>
      </c>
      <c r="J369" s="4" t="s">
        <v>54</v>
      </c>
      <c r="K369" t="str">
        <f t="shared" si="20"/>
        <v>1+2</v>
      </c>
      <c r="L369">
        <f>VLOOKUP(A369,'ZONE 1 PREMIUM'!$A$4:$N$16,14,0)</f>
        <v>9</v>
      </c>
      <c r="M369">
        <f>VLOOKUP(D369,DROPDOWN!B:C,2,0)</f>
        <v>4</v>
      </c>
      <c r="N369" t="str">
        <f t="shared" si="21"/>
        <v>CO35:DG46</v>
      </c>
      <c r="O369" s="4">
        <f t="shared" ca="1" si="22"/>
        <v>58892.700000000004</v>
      </c>
    </row>
    <row r="370" spans="1:15">
      <c r="A370" s="2" t="s">
        <v>19</v>
      </c>
      <c r="B370" t="s">
        <v>41</v>
      </c>
      <c r="C370" t="s">
        <v>42</v>
      </c>
      <c r="D370">
        <v>5</v>
      </c>
      <c r="E370" t="s">
        <v>46</v>
      </c>
      <c r="F370">
        <v>3</v>
      </c>
      <c r="G370">
        <v>1</v>
      </c>
      <c r="H370">
        <v>2</v>
      </c>
      <c r="I370">
        <v>1</v>
      </c>
      <c r="J370" s="4" t="s">
        <v>54</v>
      </c>
      <c r="K370" t="str">
        <f t="shared" si="20"/>
        <v>1+2</v>
      </c>
      <c r="L370">
        <f>VLOOKUP(A370,'ZONE 1 PREMIUM'!$A$4:$N$16,14,0)</f>
        <v>10</v>
      </c>
      <c r="M370">
        <f>VLOOKUP(D370,DROPDOWN!B:C,2,0)</f>
        <v>4</v>
      </c>
      <c r="N370" t="str">
        <f t="shared" si="21"/>
        <v>CO35:DG46</v>
      </c>
      <c r="O370" s="4">
        <f t="shared" ca="1" si="22"/>
        <v>76339.240000000005</v>
      </c>
    </row>
    <row r="371" spans="1:15">
      <c r="A371" s="2" t="s">
        <v>20</v>
      </c>
      <c r="B371" t="s">
        <v>43</v>
      </c>
      <c r="C371" t="s">
        <v>44</v>
      </c>
      <c r="D371">
        <v>5</v>
      </c>
      <c r="E371" t="s">
        <v>46</v>
      </c>
      <c r="F371">
        <v>3</v>
      </c>
      <c r="G371">
        <v>1</v>
      </c>
      <c r="H371">
        <v>2</v>
      </c>
      <c r="I371">
        <v>1</v>
      </c>
      <c r="J371" s="4" t="s">
        <v>54</v>
      </c>
      <c r="K371" t="str">
        <f t="shared" si="20"/>
        <v>1+2</v>
      </c>
      <c r="L371">
        <f>VLOOKUP(A371,'ZONE 1 PREMIUM'!$A$4:$N$16,14,0)</f>
        <v>11</v>
      </c>
      <c r="M371">
        <f>VLOOKUP(D371,DROPDOWN!B:C,2,0)</f>
        <v>4</v>
      </c>
      <c r="N371" t="str">
        <f t="shared" si="21"/>
        <v>CO35:DG46</v>
      </c>
      <c r="O371" s="4">
        <f t="shared" ca="1" si="22"/>
        <v>89799.650000000009</v>
      </c>
    </row>
    <row r="372" spans="1:15">
      <c r="A372" s="2" t="s">
        <v>21</v>
      </c>
      <c r="B372" t="s">
        <v>22</v>
      </c>
      <c r="D372">
        <v>5</v>
      </c>
      <c r="E372" t="s">
        <v>46</v>
      </c>
      <c r="F372">
        <v>3</v>
      </c>
      <c r="G372">
        <v>1</v>
      </c>
      <c r="H372">
        <v>2</v>
      </c>
      <c r="I372">
        <v>1</v>
      </c>
      <c r="J372" s="4" t="s">
        <v>54</v>
      </c>
      <c r="K372" t="str">
        <f t="shared" si="20"/>
        <v>1+2</v>
      </c>
      <c r="L372">
        <f>VLOOKUP(A372,'ZONE 1 PREMIUM'!$A$4:$N$16,14,0)</f>
        <v>12</v>
      </c>
      <c r="M372">
        <f>VLOOKUP(D372,DROPDOWN!B:C,2,0)</f>
        <v>4</v>
      </c>
      <c r="N372" t="str">
        <f t="shared" si="21"/>
        <v>CO35:DG46</v>
      </c>
      <c r="O372" s="4">
        <f t="shared" ca="1" si="22"/>
        <v>116783.69</v>
      </c>
    </row>
    <row r="373" spans="1:15">
      <c r="A373" s="2" t="s">
        <v>11</v>
      </c>
      <c r="B373" t="s">
        <v>45</v>
      </c>
      <c r="C373" t="s">
        <v>25</v>
      </c>
      <c r="D373">
        <v>5</v>
      </c>
      <c r="E373" t="s">
        <v>46</v>
      </c>
      <c r="F373">
        <v>4</v>
      </c>
      <c r="G373">
        <v>1</v>
      </c>
      <c r="H373">
        <v>3</v>
      </c>
      <c r="I373">
        <v>1</v>
      </c>
      <c r="J373" s="4" t="s">
        <v>54</v>
      </c>
      <c r="K373" t="str">
        <f t="shared" si="20"/>
        <v>1+3</v>
      </c>
      <c r="L373">
        <f>VLOOKUP(A373,'ZONE 1 PREMIUM'!$A$4:$N$16,14,0)</f>
        <v>2</v>
      </c>
      <c r="M373">
        <f>VLOOKUP(D373,DROPDOWN!B:C,2,0)</f>
        <v>4</v>
      </c>
      <c r="N373" t="str">
        <f t="shared" si="21"/>
        <v>CO50:DG61</v>
      </c>
      <c r="O373" s="4">
        <f t="shared" ca="1" si="22"/>
        <v>19560.050000000003</v>
      </c>
    </row>
    <row r="374" spans="1:15">
      <c r="A374" s="2" t="s">
        <v>12</v>
      </c>
      <c r="B374" t="s">
        <v>27</v>
      </c>
      <c r="C374" t="s">
        <v>28</v>
      </c>
      <c r="D374">
        <v>5</v>
      </c>
      <c r="E374" t="s">
        <v>46</v>
      </c>
      <c r="F374">
        <v>4</v>
      </c>
      <c r="G374">
        <v>1</v>
      </c>
      <c r="H374">
        <v>3</v>
      </c>
      <c r="I374">
        <v>1</v>
      </c>
      <c r="J374" s="4" t="s">
        <v>54</v>
      </c>
      <c r="K374" t="str">
        <f t="shared" si="20"/>
        <v>1+3</v>
      </c>
      <c r="L374">
        <f>VLOOKUP(A374,'ZONE 1 PREMIUM'!$A$4:$N$16,14,0)</f>
        <v>3</v>
      </c>
      <c r="M374">
        <f>VLOOKUP(D374,DROPDOWN!B:C,2,0)</f>
        <v>4</v>
      </c>
      <c r="N374" t="str">
        <f t="shared" si="21"/>
        <v>CO50:DG61</v>
      </c>
      <c r="O374" s="4">
        <f t="shared" ca="1" si="22"/>
        <v>20702.370000000003</v>
      </c>
    </row>
    <row r="375" spans="1:15">
      <c r="A375" s="2" t="s">
        <v>13</v>
      </c>
      <c r="B375" t="s">
        <v>29</v>
      </c>
      <c r="C375" t="s">
        <v>30</v>
      </c>
      <c r="D375">
        <v>5</v>
      </c>
      <c r="E375" t="s">
        <v>46</v>
      </c>
      <c r="F375">
        <v>4</v>
      </c>
      <c r="G375">
        <v>1</v>
      </c>
      <c r="H375">
        <v>3</v>
      </c>
      <c r="I375">
        <v>1</v>
      </c>
      <c r="J375" s="4" t="s">
        <v>54</v>
      </c>
      <c r="K375" t="str">
        <f t="shared" si="20"/>
        <v>1+3</v>
      </c>
      <c r="L375">
        <f>VLOOKUP(A375,'ZONE 1 PREMIUM'!$A$4:$N$16,14,0)</f>
        <v>4</v>
      </c>
      <c r="M375">
        <f>VLOOKUP(D375,DROPDOWN!B:C,2,0)</f>
        <v>4</v>
      </c>
      <c r="N375" t="str">
        <f t="shared" si="21"/>
        <v>CO50:DG61</v>
      </c>
      <c r="O375" s="4">
        <f t="shared" ca="1" si="22"/>
        <v>23897.160000000003</v>
      </c>
    </row>
    <row r="376" spans="1:15">
      <c r="A376" s="2" t="s">
        <v>14</v>
      </c>
      <c r="B376" t="s">
        <v>31</v>
      </c>
      <c r="C376" t="s">
        <v>32</v>
      </c>
      <c r="D376">
        <v>5</v>
      </c>
      <c r="E376" t="s">
        <v>46</v>
      </c>
      <c r="F376">
        <v>4</v>
      </c>
      <c r="G376">
        <v>1</v>
      </c>
      <c r="H376">
        <v>3</v>
      </c>
      <c r="I376">
        <v>1</v>
      </c>
      <c r="J376" s="4" t="s">
        <v>54</v>
      </c>
      <c r="K376" t="str">
        <f t="shared" si="20"/>
        <v>1+3</v>
      </c>
      <c r="L376">
        <f>VLOOKUP(A376,'ZONE 1 PREMIUM'!$A$4:$N$16,14,0)</f>
        <v>5</v>
      </c>
      <c r="M376">
        <f>VLOOKUP(D376,DROPDOWN!B:C,2,0)</f>
        <v>4</v>
      </c>
      <c r="N376" t="str">
        <f t="shared" si="21"/>
        <v>CO50:DG61</v>
      </c>
      <c r="O376" s="4">
        <f t="shared" ca="1" si="22"/>
        <v>26529.510000000002</v>
      </c>
    </row>
    <row r="377" spans="1:15">
      <c r="A377" s="2" t="s">
        <v>15</v>
      </c>
      <c r="B377" t="s">
        <v>33</v>
      </c>
      <c r="C377" t="s">
        <v>34</v>
      </c>
      <c r="D377">
        <v>5</v>
      </c>
      <c r="E377" t="s">
        <v>46</v>
      </c>
      <c r="F377">
        <v>4</v>
      </c>
      <c r="G377">
        <v>1</v>
      </c>
      <c r="H377">
        <v>3</v>
      </c>
      <c r="I377">
        <v>1</v>
      </c>
      <c r="J377" s="4" t="s">
        <v>54</v>
      </c>
      <c r="K377" t="str">
        <f t="shared" si="20"/>
        <v>1+3</v>
      </c>
      <c r="L377">
        <f>VLOOKUP(A377,'ZONE 1 PREMIUM'!$A$4:$N$16,14,0)</f>
        <v>6</v>
      </c>
      <c r="M377">
        <f>VLOOKUP(D377,DROPDOWN!B:C,2,0)</f>
        <v>4</v>
      </c>
      <c r="N377" t="str">
        <f t="shared" si="21"/>
        <v>CO50:DG61</v>
      </c>
      <c r="O377" s="4">
        <f t="shared" ca="1" si="22"/>
        <v>32325.040000000001</v>
      </c>
    </row>
    <row r="378" spans="1:15">
      <c r="A378" s="2" t="s">
        <v>16</v>
      </c>
      <c r="B378" t="s">
        <v>35</v>
      </c>
      <c r="C378" t="s">
        <v>36</v>
      </c>
      <c r="D378">
        <v>5</v>
      </c>
      <c r="E378" t="s">
        <v>46</v>
      </c>
      <c r="F378">
        <v>4</v>
      </c>
      <c r="G378">
        <v>1</v>
      </c>
      <c r="H378">
        <v>3</v>
      </c>
      <c r="I378">
        <v>1</v>
      </c>
      <c r="J378" s="4" t="s">
        <v>54</v>
      </c>
      <c r="K378" t="str">
        <f t="shared" si="20"/>
        <v>1+3</v>
      </c>
      <c r="L378">
        <f>VLOOKUP(A378,'ZONE 1 PREMIUM'!$A$4:$N$16,14,0)</f>
        <v>7</v>
      </c>
      <c r="M378">
        <f>VLOOKUP(D378,DROPDOWN!B:C,2,0)</f>
        <v>4</v>
      </c>
      <c r="N378" t="str">
        <f t="shared" si="21"/>
        <v>CO50:DG61</v>
      </c>
      <c r="O378" s="4">
        <f t="shared" ca="1" si="22"/>
        <v>40659.18</v>
      </c>
    </row>
    <row r="379" spans="1:15">
      <c r="A379" s="2" t="s">
        <v>17</v>
      </c>
      <c r="B379" t="s">
        <v>37</v>
      </c>
      <c r="C379" t="s">
        <v>38</v>
      </c>
      <c r="D379">
        <v>5</v>
      </c>
      <c r="E379" t="s">
        <v>46</v>
      </c>
      <c r="F379">
        <v>4</v>
      </c>
      <c r="G379">
        <v>1</v>
      </c>
      <c r="H379">
        <v>3</v>
      </c>
      <c r="I379">
        <v>1</v>
      </c>
      <c r="J379" s="4" t="s">
        <v>54</v>
      </c>
      <c r="K379" t="str">
        <f t="shared" si="20"/>
        <v>1+3</v>
      </c>
      <c r="L379">
        <f>VLOOKUP(A379,'ZONE 1 PREMIUM'!$A$4:$N$16,14,0)</f>
        <v>8</v>
      </c>
      <c r="M379">
        <f>VLOOKUP(D379,DROPDOWN!B:C,2,0)</f>
        <v>4</v>
      </c>
      <c r="N379" t="str">
        <f t="shared" si="21"/>
        <v>CO50:DG61</v>
      </c>
      <c r="O379" s="4">
        <f t="shared" ca="1" si="22"/>
        <v>50998.920000000006</v>
      </c>
    </row>
    <row r="380" spans="1:15">
      <c r="A380" s="2" t="s">
        <v>18</v>
      </c>
      <c r="B380" t="s">
        <v>39</v>
      </c>
      <c r="C380" t="s">
        <v>40</v>
      </c>
      <c r="D380">
        <v>5</v>
      </c>
      <c r="E380" t="s">
        <v>46</v>
      </c>
      <c r="F380">
        <v>4</v>
      </c>
      <c r="G380">
        <v>1</v>
      </c>
      <c r="H380">
        <v>3</v>
      </c>
      <c r="I380">
        <v>1</v>
      </c>
      <c r="J380" s="4" t="s">
        <v>54</v>
      </c>
      <c r="K380" t="str">
        <f t="shared" si="20"/>
        <v>1+3</v>
      </c>
      <c r="L380">
        <f>VLOOKUP(A380,'ZONE 1 PREMIUM'!$A$4:$N$16,14,0)</f>
        <v>9</v>
      </c>
      <c r="M380">
        <f>VLOOKUP(D380,DROPDOWN!B:C,2,0)</f>
        <v>4</v>
      </c>
      <c r="N380" t="str">
        <f t="shared" si="21"/>
        <v>CO50:DG61</v>
      </c>
      <c r="O380" s="4">
        <f t="shared" ca="1" si="22"/>
        <v>64173.750000000007</v>
      </c>
    </row>
    <row r="381" spans="1:15">
      <c r="A381" s="2" t="s">
        <v>19</v>
      </c>
      <c r="B381" t="s">
        <v>41</v>
      </c>
      <c r="C381" t="s">
        <v>42</v>
      </c>
      <c r="D381">
        <v>5</v>
      </c>
      <c r="E381" t="s">
        <v>46</v>
      </c>
      <c r="F381">
        <v>4</v>
      </c>
      <c r="G381">
        <v>1</v>
      </c>
      <c r="H381">
        <v>3</v>
      </c>
      <c r="I381">
        <v>1</v>
      </c>
      <c r="J381" s="4" t="s">
        <v>54</v>
      </c>
      <c r="K381" t="str">
        <f t="shared" si="20"/>
        <v>1+3</v>
      </c>
      <c r="L381">
        <f>VLOOKUP(A381,'ZONE 1 PREMIUM'!$A$4:$N$16,14,0)</f>
        <v>10</v>
      </c>
      <c r="M381">
        <f>VLOOKUP(D381,DROPDOWN!B:C,2,0)</f>
        <v>4</v>
      </c>
      <c r="N381" t="str">
        <f t="shared" si="21"/>
        <v>CO50:DG61</v>
      </c>
      <c r="O381" s="4">
        <f t="shared" ca="1" si="22"/>
        <v>80561.900000000009</v>
      </c>
    </row>
    <row r="382" spans="1:15">
      <c r="A382" s="2" t="s">
        <v>20</v>
      </c>
      <c r="B382" t="s">
        <v>43</v>
      </c>
      <c r="C382" t="s">
        <v>44</v>
      </c>
      <c r="D382">
        <v>5</v>
      </c>
      <c r="E382" t="s">
        <v>46</v>
      </c>
      <c r="F382">
        <v>4</v>
      </c>
      <c r="G382">
        <v>1</v>
      </c>
      <c r="H382">
        <v>3</v>
      </c>
      <c r="I382">
        <v>1</v>
      </c>
      <c r="J382" s="4" t="s">
        <v>54</v>
      </c>
      <c r="K382" t="str">
        <f t="shared" si="20"/>
        <v>1+3</v>
      </c>
      <c r="L382">
        <f>VLOOKUP(A382,'ZONE 1 PREMIUM'!$A$4:$N$16,14,0)</f>
        <v>11</v>
      </c>
      <c r="M382">
        <f>VLOOKUP(D382,DROPDOWN!B:C,2,0)</f>
        <v>4</v>
      </c>
      <c r="N382" t="str">
        <f t="shared" si="21"/>
        <v>CO50:DG61</v>
      </c>
      <c r="O382" s="4">
        <f t="shared" ca="1" si="22"/>
        <v>93813.030000000013</v>
      </c>
    </row>
    <row r="383" spans="1:15">
      <c r="A383" s="2" t="s">
        <v>21</v>
      </c>
      <c r="B383" t="s">
        <v>22</v>
      </c>
      <c r="D383">
        <v>5</v>
      </c>
      <c r="E383" t="s">
        <v>46</v>
      </c>
      <c r="F383">
        <v>4</v>
      </c>
      <c r="G383">
        <v>1</v>
      </c>
      <c r="H383">
        <v>3</v>
      </c>
      <c r="I383">
        <v>1</v>
      </c>
      <c r="J383" s="4" t="s">
        <v>54</v>
      </c>
      <c r="K383" t="str">
        <f t="shared" si="20"/>
        <v>1+3</v>
      </c>
      <c r="L383">
        <f>VLOOKUP(A383,'ZONE 1 PREMIUM'!$A$4:$N$16,14,0)</f>
        <v>12</v>
      </c>
      <c r="M383">
        <f>VLOOKUP(D383,DROPDOWN!B:C,2,0)</f>
        <v>4</v>
      </c>
      <c r="N383" t="str">
        <f t="shared" si="21"/>
        <v>CO50:DG61</v>
      </c>
      <c r="O383" s="4">
        <f t="shared" ca="1" si="22"/>
        <v>121043.41</v>
      </c>
    </row>
    <row r="384" spans="1:15">
      <c r="A384" s="2" t="s">
        <v>11</v>
      </c>
      <c r="B384" t="s">
        <v>45</v>
      </c>
      <c r="C384" t="s">
        <v>25</v>
      </c>
      <c r="D384">
        <v>5</v>
      </c>
      <c r="E384" t="s">
        <v>46</v>
      </c>
      <c r="F384">
        <v>5</v>
      </c>
      <c r="G384">
        <v>1</v>
      </c>
      <c r="H384">
        <v>4</v>
      </c>
      <c r="I384">
        <v>1</v>
      </c>
      <c r="J384" s="4" t="s">
        <v>54</v>
      </c>
      <c r="K384" t="str">
        <f t="shared" si="20"/>
        <v>1+4</v>
      </c>
      <c r="L384">
        <f>VLOOKUP(A384,'ZONE 1 PREMIUM'!$A$4:$N$16,14,0)</f>
        <v>2</v>
      </c>
      <c r="M384">
        <f>VLOOKUP(D384,DROPDOWN!B:C,2,0)</f>
        <v>4</v>
      </c>
      <c r="N384" t="str">
        <f t="shared" si="21"/>
        <v>CO65:DG76</v>
      </c>
      <c r="O384" s="4">
        <f t="shared" ca="1" si="22"/>
        <v>23137.43</v>
      </c>
    </row>
    <row r="385" spans="1:15">
      <c r="A385" s="2" t="s">
        <v>12</v>
      </c>
      <c r="B385" t="s">
        <v>27</v>
      </c>
      <c r="C385" t="s">
        <v>28</v>
      </c>
      <c r="D385">
        <v>5</v>
      </c>
      <c r="E385" t="s">
        <v>46</v>
      </c>
      <c r="F385">
        <v>5</v>
      </c>
      <c r="G385">
        <v>1</v>
      </c>
      <c r="H385">
        <v>4</v>
      </c>
      <c r="I385">
        <v>1</v>
      </c>
      <c r="J385" s="4" t="s">
        <v>54</v>
      </c>
      <c r="K385" t="str">
        <f t="shared" si="20"/>
        <v>1+4</v>
      </c>
      <c r="L385">
        <f>VLOOKUP(A385,'ZONE 1 PREMIUM'!$A$4:$N$16,14,0)</f>
        <v>3</v>
      </c>
      <c r="M385">
        <f>VLOOKUP(D385,DROPDOWN!B:C,2,0)</f>
        <v>4</v>
      </c>
      <c r="N385" t="str">
        <f t="shared" si="21"/>
        <v>CO65:DG76</v>
      </c>
      <c r="O385" s="4">
        <f t="shared" ca="1" si="22"/>
        <v>24215.440000000002</v>
      </c>
    </row>
    <row r="386" spans="1:15">
      <c r="A386" s="2" t="s">
        <v>13</v>
      </c>
      <c r="B386" t="s">
        <v>29</v>
      </c>
      <c r="C386" t="s">
        <v>30</v>
      </c>
      <c r="D386">
        <v>5</v>
      </c>
      <c r="E386" t="s">
        <v>46</v>
      </c>
      <c r="F386">
        <v>5</v>
      </c>
      <c r="G386">
        <v>1</v>
      </c>
      <c r="H386">
        <v>4</v>
      </c>
      <c r="I386">
        <v>1</v>
      </c>
      <c r="J386" s="4" t="s">
        <v>54</v>
      </c>
      <c r="K386" t="str">
        <f t="shared" si="20"/>
        <v>1+4</v>
      </c>
      <c r="L386">
        <f>VLOOKUP(A386,'ZONE 1 PREMIUM'!$A$4:$N$16,14,0)</f>
        <v>4</v>
      </c>
      <c r="M386">
        <f>VLOOKUP(D386,DROPDOWN!B:C,2,0)</f>
        <v>4</v>
      </c>
      <c r="N386" t="str">
        <f t="shared" si="21"/>
        <v>CO65:DG76</v>
      </c>
      <c r="O386" s="4">
        <f t="shared" ca="1" si="22"/>
        <v>27963.95</v>
      </c>
    </row>
    <row r="387" spans="1:15">
      <c r="A387" s="2" t="s">
        <v>14</v>
      </c>
      <c r="B387" t="s">
        <v>31</v>
      </c>
      <c r="C387" t="s">
        <v>32</v>
      </c>
      <c r="D387">
        <v>5</v>
      </c>
      <c r="E387" t="s">
        <v>46</v>
      </c>
      <c r="F387">
        <v>5</v>
      </c>
      <c r="G387">
        <v>1</v>
      </c>
      <c r="H387">
        <v>4</v>
      </c>
      <c r="I387">
        <v>1</v>
      </c>
      <c r="J387" s="4" t="s">
        <v>54</v>
      </c>
      <c r="K387" t="str">
        <f t="shared" si="20"/>
        <v>1+4</v>
      </c>
      <c r="L387">
        <f>VLOOKUP(A387,'ZONE 1 PREMIUM'!$A$4:$N$16,14,0)</f>
        <v>5</v>
      </c>
      <c r="M387">
        <f>VLOOKUP(D387,DROPDOWN!B:C,2,0)</f>
        <v>4</v>
      </c>
      <c r="N387" t="str">
        <f t="shared" si="21"/>
        <v>CO65:DG76</v>
      </c>
      <c r="O387" s="4">
        <f t="shared" ca="1" si="22"/>
        <v>30854.63</v>
      </c>
    </row>
    <row r="388" spans="1:15">
      <c r="A388" s="2" t="s">
        <v>15</v>
      </c>
      <c r="B388" t="s">
        <v>33</v>
      </c>
      <c r="C388" t="s">
        <v>34</v>
      </c>
      <c r="D388">
        <v>5</v>
      </c>
      <c r="E388" t="s">
        <v>46</v>
      </c>
      <c r="F388">
        <v>5</v>
      </c>
      <c r="G388">
        <v>1</v>
      </c>
      <c r="H388">
        <v>4</v>
      </c>
      <c r="I388">
        <v>1</v>
      </c>
      <c r="J388" s="4" t="s">
        <v>54</v>
      </c>
      <c r="K388" t="str">
        <f t="shared" ref="K388:K451" si="23">G388&amp;"+"&amp;H388</f>
        <v>1+4</v>
      </c>
      <c r="L388">
        <f>VLOOKUP(A388,'ZONE 1 PREMIUM'!$A$4:$N$16,14,0)</f>
        <v>6</v>
      </c>
      <c r="M388">
        <f>VLOOKUP(D388,DROPDOWN!B:C,2,0)</f>
        <v>4</v>
      </c>
      <c r="N388" t="str">
        <f t="shared" si="21"/>
        <v>CO65:DG76</v>
      </c>
      <c r="O388" s="4">
        <f t="shared" ca="1" si="22"/>
        <v>37173.360000000001</v>
      </c>
    </row>
    <row r="389" spans="1:15">
      <c r="A389" s="2" t="s">
        <v>16</v>
      </c>
      <c r="B389" t="s">
        <v>35</v>
      </c>
      <c r="C389" t="s">
        <v>36</v>
      </c>
      <c r="D389">
        <v>5</v>
      </c>
      <c r="E389" t="s">
        <v>46</v>
      </c>
      <c r="F389">
        <v>5</v>
      </c>
      <c r="G389">
        <v>1</v>
      </c>
      <c r="H389">
        <v>4</v>
      </c>
      <c r="I389">
        <v>1</v>
      </c>
      <c r="J389" s="4" t="s">
        <v>54</v>
      </c>
      <c r="K389" t="str">
        <f t="shared" si="23"/>
        <v>1+4</v>
      </c>
      <c r="L389">
        <f>VLOOKUP(A389,'ZONE 1 PREMIUM'!$A$4:$N$16,14,0)</f>
        <v>7</v>
      </c>
      <c r="M389">
        <f>VLOOKUP(D389,DROPDOWN!B:C,2,0)</f>
        <v>4</v>
      </c>
      <c r="N389" t="str">
        <f t="shared" si="21"/>
        <v>CO65:DG76</v>
      </c>
      <c r="O389" s="4">
        <f t="shared" ca="1" si="22"/>
        <v>45159.79</v>
      </c>
    </row>
    <row r="390" spans="1:15">
      <c r="A390" s="2" t="s">
        <v>17</v>
      </c>
      <c r="B390" t="s">
        <v>37</v>
      </c>
      <c r="C390" t="s">
        <v>38</v>
      </c>
      <c r="D390">
        <v>5</v>
      </c>
      <c r="E390" t="s">
        <v>46</v>
      </c>
      <c r="F390">
        <v>5</v>
      </c>
      <c r="G390">
        <v>1</v>
      </c>
      <c r="H390">
        <v>4</v>
      </c>
      <c r="I390">
        <v>1</v>
      </c>
      <c r="J390" s="4" t="s">
        <v>54</v>
      </c>
      <c r="K390" t="str">
        <f t="shared" si="23"/>
        <v>1+4</v>
      </c>
      <c r="L390">
        <f>VLOOKUP(A390,'ZONE 1 PREMIUM'!$A$4:$N$16,14,0)</f>
        <v>8</v>
      </c>
      <c r="M390">
        <f>VLOOKUP(D390,DROPDOWN!B:C,2,0)</f>
        <v>4</v>
      </c>
      <c r="N390" t="str">
        <f t="shared" si="21"/>
        <v>CO65:DG76</v>
      </c>
      <c r="O390" s="4">
        <f t="shared" ca="1" si="22"/>
        <v>55339.3</v>
      </c>
    </row>
    <row r="391" spans="1:15">
      <c r="A391" s="2" t="s">
        <v>18</v>
      </c>
      <c r="B391" t="s">
        <v>39</v>
      </c>
      <c r="C391" t="s">
        <v>40</v>
      </c>
      <c r="D391">
        <v>5</v>
      </c>
      <c r="E391" t="s">
        <v>46</v>
      </c>
      <c r="F391">
        <v>5</v>
      </c>
      <c r="G391">
        <v>1</v>
      </c>
      <c r="H391">
        <v>4</v>
      </c>
      <c r="I391">
        <v>1</v>
      </c>
      <c r="J391" s="4" t="s">
        <v>54</v>
      </c>
      <c r="K391" t="str">
        <f t="shared" si="23"/>
        <v>1+4</v>
      </c>
      <c r="L391">
        <f>VLOOKUP(A391,'ZONE 1 PREMIUM'!$A$4:$N$16,14,0)</f>
        <v>9</v>
      </c>
      <c r="M391">
        <f>VLOOKUP(D391,DROPDOWN!B:C,2,0)</f>
        <v>4</v>
      </c>
      <c r="N391" t="str">
        <f t="shared" si="21"/>
        <v>CO65:DG76</v>
      </c>
      <c r="O391" s="4">
        <f t="shared" ca="1" si="22"/>
        <v>68650.38</v>
      </c>
    </row>
    <row r="392" spans="1:15">
      <c r="A392" s="2" t="s">
        <v>19</v>
      </c>
      <c r="B392" t="s">
        <v>41</v>
      </c>
      <c r="C392" t="s">
        <v>42</v>
      </c>
      <c r="D392">
        <v>5</v>
      </c>
      <c r="E392" t="s">
        <v>46</v>
      </c>
      <c r="F392">
        <v>5</v>
      </c>
      <c r="G392">
        <v>1</v>
      </c>
      <c r="H392">
        <v>4</v>
      </c>
      <c r="I392">
        <v>1</v>
      </c>
      <c r="J392" s="4" t="s">
        <v>54</v>
      </c>
      <c r="K392" t="str">
        <f t="shared" si="23"/>
        <v>1+4</v>
      </c>
      <c r="L392">
        <f>VLOOKUP(A392,'ZONE 1 PREMIUM'!$A$4:$N$16,14,0)</f>
        <v>10</v>
      </c>
      <c r="M392">
        <f>VLOOKUP(D392,DROPDOWN!B:C,2,0)</f>
        <v>4</v>
      </c>
      <c r="N392" t="str">
        <f t="shared" si="21"/>
        <v>CO65:DG76</v>
      </c>
      <c r="O392" s="4">
        <f t="shared" ca="1" si="22"/>
        <v>84920.810000000012</v>
      </c>
    </row>
    <row r="393" spans="1:15">
      <c r="A393" s="2" t="s">
        <v>20</v>
      </c>
      <c r="B393" t="s">
        <v>43</v>
      </c>
      <c r="C393" t="s">
        <v>44</v>
      </c>
      <c r="D393">
        <v>5</v>
      </c>
      <c r="E393" t="s">
        <v>46</v>
      </c>
      <c r="F393">
        <v>5</v>
      </c>
      <c r="G393">
        <v>1</v>
      </c>
      <c r="H393">
        <v>4</v>
      </c>
      <c r="I393">
        <v>1</v>
      </c>
      <c r="J393" s="4" t="s">
        <v>54</v>
      </c>
      <c r="K393" t="str">
        <f t="shared" si="23"/>
        <v>1+4</v>
      </c>
      <c r="L393">
        <f>VLOOKUP(A393,'ZONE 1 PREMIUM'!$A$4:$N$16,14,0)</f>
        <v>11</v>
      </c>
      <c r="M393">
        <f>VLOOKUP(D393,DROPDOWN!B:C,2,0)</f>
        <v>4</v>
      </c>
      <c r="N393" t="str">
        <f t="shared" si="21"/>
        <v>CO65:DG76</v>
      </c>
      <c r="O393" s="4">
        <f t="shared" ca="1" si="22"/>
        <v>98194.83</v>
      </c>
    </row>
    <row r="394" spans="1:15">
      <c r="A394" s="2" t="s">
        <v>21</v>
      </c>
      <c r="B394" t="s">
        <v>22</v>
      </c>
      <c r="D394">
        <v>5</v>
      </c>
      <c r="E394" t="s">
        <v>46</v>
      </c>
      <c r="F394">
        <v>5</v>
      </c>
      <c r="G394">
        <v>1</v>
      </c>
      <c r="H394">
        <v>4</v>
      </c>
      <c r="I394">
        <v>1</v>
      </c>
      <c r="J394" s="4" t="s">
        <v>54</v>
      </c>
      <c r="K394" t="str">
        <f t="shared" si="23"/>
        <v>1+4</v>
      </c>
      <c r="L394">
        <f>VLOOKUP(A394,'ZONE 1 PREMIUM'!$A$4:$N$16,14,0)</f>
        <v>12</v>
      </c>
      <c r="M394">
        <f>VLOOKUP(D394,DROPDOWN!B:C,2,0)</f>
        <v>4</v>
      </c>
      <c r="N394" t="str">
        <f t="shared" si="21"/>
        <v>CO65:DG76</v>
      </c>
      <c r="O394" s="4">
        <f t="shared" ca="1" si="22"/>
        <v>125575.63</v>
      </c>
    </row>
    <row r="395" spans="1:15">
      <c r="A395" s="2" t="s">
        <v>11</v>
      </c>
      <c r="B395" t="s">
        <v>45</v>
      </c>
      <c r="C395" t="s">
        <v>25</v>
      </c>
      <c r="D395">
        <v>5</v>
      </c>
      <c r="E395" t="s">
        <v>46</v>
      </c>
      <c r="F395">
        <v>2</v>
      </c>
      <c r="G395">
        <v>2</v>
      </c>
      <c r="H395">
        <v>0</v>
      </c>
      <c r="I395">
        <v>1</v>
      </c>
      <c r="J395" s="4" t="s">
        <v>54</v>
      </c>
      <c r="K395" t="str">
        <f t="shared" si="23"/>
        <v>2+0</v>
      </c>
      <c r="L395">
        <f>VLOOKUP(A395,'ZONE 1 PREMIUM'!$A$4:$N$16,14,0)</f>
        <v>2</v>
      </c>
      <c r="M395">
        <f>VLOOKUP(D395,DROPDOWN!B:C,2,0)</f>
        <v>4</v>
      </c>
      <c r="N395" t="str">
        <f t="shared" si="21"/>
        <v>CO81:DG92</v>
      </c>
      <c r="O395" s="4">
        <f t="shared" ca="1" si="22"/>
        <v>17360.43</v>
      </c>
    </row>
    <row r="396" spans="1:15">
      <c r="A396" s="2" t="s">
        <v>12</v>
      </c>
      <c r="B396" t="s">
        <v>27</v>
      </c>
      <c r="C396" t="s">
        <v>28</v>
      </c>
      <c r="D396">
        <v>5</v>
      </c>
      <c r="E396" t="s">
        <v>46</v>
      </c>
      <c r="F396">
        <v>2</v>
      </c>
      <c r="G396">
        <v>2</v>
      </c>
      <c r="H396">
        <v>0</v>
      </c>
      <c r="I396">
        <v>1</v>
      </c>
      <c r="J396" s="4" t="s">
        <v>54</v>
      </c>
      <c r="K396" t="str">
        <f t="shared" si="23"/>
        <v>2+0</v>
      </c>
      <c r="L396">
        <f>VLOOKUP(A396,'ZONE 1 PREMIUM'!$A$4:$N$16,14,0)</f>
        <v>3</v>
      </c>
      <c r="M396">
        <f>VLOOKUP(D396,DROPDOWN!B:C,2,0)</f>
        <v>4</v>
      </c>
      <c r="N396" t="str">
        <f t="shared" si="21"/>
        <v>CO81:DG92</v>
      </c>
      <c r="O396" s="4">
        <f t="shared" ca="1" si="22"/>
        <v>19832.550000000003</v>
      </c>
    </row>
    <row r="397" spans="1:15">
      <c r="A397" s="2" t="s">
        <v>13</v>
      </c>
      <c r="B397" t="s">
        <v>29</v>
      </c>
      <c r="C397" t="s">
        <v>30</v>
      </c>
      <c r="D397">
        <v>5</v>
      </c>
      <c r="E397" t="s">
        <v>46</v>
      </c>
      <c r="F397">
        <v>2</v>
      </c>
      <c r="G397">
        <v>2</v>
      </c>
      <c r="H397">
        <v>0</v>
      </c>
      <c r="I397">
        <v>1</v>
      </c>
      <c r="J397" s="4" t="s">
        <v>54</v>
      </c>
      <c r="K397" t="str">
        <f t="shared" si="23"/>
        <v>2+0</v>
      </c>
      <c r="L397">
        <f>VLOOKUP(A397,'ZONE 1 PREMIUM'!$A$4:$N$16,14,0)</f>
        <v>4</v>
      </c>
      <c r="M397">
        <f>VLOOKUP(D397,DROPDOWN!B:C,2,0)</f>
        <v>4</v>
      </c>
      <c r="N397" t="str">
        <f t="shared" si="21"/>
        <v>CO81:DG92</v>
      </c>
      <c r="O397" s="4">
        <f t="shared" ca="1" si="22"/>
        <v>21975.49</v>
      </c>
    </row>
    <row r="398" spans="1:15">
      <c r="A398" s="2" t="s">
        <v>14</v>
      </c>
      <c r="B398" t="s">
        <v>31</v>
      </c>
      <c r="C398" t="s">
        <v>32</v>
      </c>
      <c r="D398">
        <v>5</v>
      </c>
      <c r="E398" t="s">
        <v>46</v>
      </c>
      <c r="F398">
        <v>2</v>
      </c>
      <c r="G398">
        <v>2</v>
      </c>
      <c r="H398">
        <v>0</v>
      </c>
      <c r="I398">
        <v>1</v>
      </c>
      <c r="J398" s="4" t="s">
        <v>54</v>
      </c>
      <c r="K398" t="str">
        <f t="shared" si="23"/>
        <v>2+0</v>
      </c>
      <c r="L398">
        <f>VLOOKUP(A398,'ZONE 1 PREMIUM'!$A$4:$N$16,14,0)</f>
        <v>5</v>
      </c>
      <c r="M398">
        <f>VLOOKUP(D398,DROPDOWN!B:C,2,0)</f>
        <v>4</v>
      </c>
      <c r="N398" t="str">
        <f t="shared" si="21"/>
        <v>CO81:DG92</v>
      </c>
      <c r="O398" s="4">
        <f t="shared" ca="1" si="22"/>
        <v>25406.81</v>
      </c>
    </row>
    <row r="399" spans="1:15">
      <c r="A399" s="2" t="s">
        <v>15</v>
      </c>
      <c r="B399" t="s">
        <v>33</v>
      </c>
      <c r="C399" t="s">
        <v>34</v>
      </c>
      <c r="D399">
        <v>5</v>
      </c>
      <c r="E399" t="s">
        <v>46</v>
      </c>
      <c r="F399">
        <v>2</v>
      </c>
      <c r="G399">
        <v>2</v>
      </c>
      <c r="H399">
        <v>0</v>
      </c>
      <c r="I399">
        <v>1</v>
      </c>
      <c r="J399" s="4" t="s">
        <v>54</v>
      </c>
      <c r="K399" t="str">
        <f t="shared" si="23"/>
        <v>2+0</v>
      </c>
      <c r="L399">
        <f>VLOOKUP(A399,'ZONE 1 PREMIUM'!$A$4:$N$16,14,0)</f>
        <v>6</v>
      </c>
      <c r="M399">
        <f>VLOOKUP(D399,DROPDOWN!B:C,2,0)</f>
        <v>4</v>
      </c>
      <c r="N399" t="str">
        <f t="shared" si="21"/>
        <v>CO81:DG92</v>
      </c>
      <c r="O399" s="4">
        <f t="shared" ca="1" si="22"/>
        <v>32136.47</v>
      </c>
    </row>
    <row r="400" spans="1:15">
      <c r="A400" s="2" t="s">
        <v>16</v>
      </c>
      <c r="B400" t="s">
        <v>35</v>
      </c>
      <c r="C400" t="s">
        <v>36</v>
      </c>
      <c r="D400">
        <v>5</v>
      </c>
      <c r="E400" t="s">
        <v>46</v>
      </c>
      <c r="F400">
        <v>2</v>
      </c>
      <c r="G400">
        <v>2</v>
      </c>
      <c r="H400">
        <v>0</v>
      </c>
      <c r="I400">
        <v>1</v>
      </c>
      <c r="J400" s="4" t="s">
        <v>54</v>
      </c>
      <c r="K400" t="str">
        <f t="shared" si="23"/>
        <v>2+0</v>
      </c>
      <c r="L400">
        <f>VLOOKUP(A400,'ZONE 1 PREMIUM'!$A$4:$N$16,14,0)</f>
        <v>7</v>
      </c>
      <c r="M400">
        <f>VLOOKUP(D400,DROPDOWN!B:C,2,0)</f>
        <v>4</v>
      </c>
      <c r="N400" t="str">
        <f t="shared" si="21"/>
        <v>CO81:DG92</v>
      </c>
      <c r="O400" s="4">
        <f t="shared" ca="1" si="22"/>
        <v>42108.880000000005</v>
      </c>
    </row>
    <row r="401" spans="1:15">
      <c r="A401" s="2" t="s">
        <v>17</v>
      </c>
      <c r="B401" t="s">
        <v>37</v>
      </c>
      <c r="C401" t="s">
        <v>38</v>
      </c>
      <c r="D401">
        <v>5</v>
      </c>
      <c r="E401" t="s">
        <v>46</v>
      </c>
      <c r="F401">
        <v>2</v>
      </c>
      <c r="G401">
        <v>2</v>
      </c>
      <c r="H401">
        <v>0</v>
      </c>
      <c r="I401">
        <v>1</v>
      </c>
      <c r="J401" s="4" t="s">
        <v>54</v>
      </c>
      <c r="K401" t="str">
        <f t="shared" si="23"/>
        <v>2+0</v>
      </c>
      <c r="L401">
        <f>VLOOKUP(A401,'ZONE 1 PREMIUM'!$A$4:$N$16,14,0)</f>
        <v>8</v>
      </c>
      <c r="M401">
        <f>VLOOKUP(D401,DROPDOWN!B:C,2,0)</f>
        <v>4</v>
      </c>
      <c r="N401" t="str">
        <f t="shared" si="21"/>
        <v>CO81:DG92</v>
      </c>
      <c r="O401" s="4">
        <f t="shared" ca="1" si="22"/>
        <v>58922.130000000005</v>
      </c>
    </row>
    <row r="402" spans="1:15">
      <c r="A402" s="2" t="s">
        <v>18</v>
      </c>
      <c r="B402" t="s">
        <v>39</v>
      </c>
      <c r="C402" t="s">
        <v>40</v>
      </c>
      <c r="D402">
        <v>5</v>
      </c>
      <c r="E402" t="s">
        <v>46</v>
      </c>
      <c r="F402">
        <v>2</v>
      </c>
      <c r="G402">
        <v>2</v>
      </c>
      <c r="H402">
        <v>0</v>
      </c>
      <c r="I402">
        <v>1</v>
      </c>
      <c r="J402" s="4" t="s">
        <v>54</v>
      </c>
      <c r="K402" t="str">
        <f t="shared" si="23"/>
        <v>2+0</v>
      </c>
      <c r="L402">
        <f>VLOOKUP(A402,'ZONE 1 PREMIUM'!$A$4:$N$16,14,0)</f>
        <v>9</v>
      </c>
      <c r="M402">
        <f>VLOOKUP(D402,DROPDOWN!B:C,2,0)</f>
        <v>4</v>
      </c>
      <c r="N402" t="str">
        <f t="shared" si="21"/>
        <v>CO81:DG92</v>
      </c>
      <c r="O402" s="4">
        <f t="shared" ca="1" si="22"/>
        <v>82078.090000000011</v>
      </c>
    </row>
    <row r="403" spans="1:15">
      <c r="A403" s="2" t="s">
        <v>19</v>
      </c>
      <c r="B403" t="s">
        <v>41</v>
      </c>
      <c r="C403" t="s">
        <v>42</v>
      </c>
      <c r="D403">
        <v>5</v>
      </c>
      <c r="E403" t="s">
        <v>46</v>
      </c>
      <c r="F403">
        <v>2</v>
      </c>
      <c r="G403">
        <v>2</v>
      </c>
      <c r="H403">
        <v>0</v>
      </c>
      <c r="I403">
        <v>1</v>
      </c>
      <c r="J403" s="4" t="s">
        <v>54</v>
      </c>
      <c r="K403" t="str">
        <f t="shared" si="23"/>
        <v>2+0</v>
      </c>
      <c r="L403">
        <f>VLOOKUP(A403,'ZONE 1 PREMIUM'!$A$4:$N$16,14,0)</f>
        <v>10</v>
      </c>
      <c r="M403">
        <f>VLOOKUP(D403,DROPDOWN!B:C,2,0)</f>
        <v>4</v>
      </c>
      <c r="N403" t="str">
        <f t="shared" si="21"/>
        <v>CO81:DG92</v>
      </c>
      <c r="O403" s="4">
        <f t="shared" ca="1" si="22"/>
        <v>115754.73000000001</v>
      </c>
    </row>
    <row r="404" spans="1:15">
      <c r="A404" s="2" t="s">
        <v>20</v>
      </c>
      <c r="B404" t="s">
        <v>43</v>
      </c>
      <c r="C404" t="s">
        <v>44</v>
      </c>
      <c r="D404">
        <v>5</v>
      </c>
      <c r="E404" t="s">
        <v>46</v>
      </c>
      <c r="F404">
        <v>2</v>
      </c>
      <c r="G404">
        <v>2</v>
      </c>
      <c r="H404">
        <v>0</v>
      </c>
      <c r="I404">
        <v>1</v>
      </c>
      <c r="J404" s="4" t="s">
        <v>54</v>
      </c>
      <c r="K404" t="str">
        <f t="shared" si="23"/>
        <v>2+0</v>
      </c>
      <c r="L404">
        <f>VLOOKUP(A404,'ZONE 1 PREMIUM'!$A$4:$N$16,14,0)</f>
        <v>11</v>
      </c>
      <c r="M404">
        <f>VLOOKUP(D404,DROPDOWN!B:C,2,0)</f>
        <v>4</v>
      </c>
      <c r="N404" t="str">
        <f t="shared" ref="N404:N449" si="24">VLOOKUP(K404,$DH$4:$DI$13,2,0)</f>
        <v>CO81:DG92</v>
      </c>
      <c r="O404" s="4">
        <f t="shared" ref="O404:O449" ca="1" si="25">INDEX(INDIRECT(N404),L404,M404)</f>
        <v>144057.67000000001</v>
      </c>
    </row>
    <row r="405" spans="1:15">
      <c r="A405" s="2" t="s">
        <v>21</v>
      </c>
      <c r="B405" t="s">
        <v>22</v>
      </c>
      <c r="D405">
        <v>5</v>
      </c>
      <c r="E405" t="s">
        <v>46</v>
      </c>
      <c r="F405">
        <v>2</v>
      </c>
      <c r="G405">
        <v>2</v>
      </c>
      <c r="H405">
        <v>0</v>
      </c>
      <c r="I405">
        <v>1</v>
      </c>
      <c r="J405" s="4" t="s">
        <v>54</v>
      </c>
      <c r="K405" t="str">
        <f t="shared" si="23"/>
        <v>2+0</v>
      </c>
      <c r="L405">
        <f>VLOOKUP(A405,'ZONE 1 PREMIUM'!$A$4:$N$16,14,0)</f>
        <v>12</v>
      </c>
      <c r="M405">
        <f>VLOOKUP(D405,DROPDOWN!B:C,2,0)</f>
        <v>4</v>
      </c>
      <c r="N405" t="str">
        <f t="shared" si="24"/>
        <v>CO81:DG92</v>
      </c>
      <c r="O405" s="4">
        <f t="shared" ca="1" si="25"/>
        <v>183626.85</v>
      </c>
    </row>
    <row r="406" spans="1:15">
      <c r="A406" s="2" t="s">
        <v>11</v>
      </c>
      <c r="B406" t="s">
        <v>45</v>
      </c>
      <c r="C406" t="s">
        <v>25</v>
      </c>
      <c r="D406">
        <v>5</v>
      </c>
      <c r="E406" t="s">
        <v>46</v>
      </c>
      <c r="F406">
        <v>3</v>
      </c>
      <c r="G406">
        <v>2</v>
      </c>
      <c r="H406">
        <v>1</v>
      </c>
      <c r="I406">
        <v>1</v>
      </c>
      <c r="J406" s="4" t="s">
        <v>54</v>
      </c>
      <c r="K406" t="str">
        <f t="shared" si="23"/>
        <v>2+1</v>
      </c>
      <c r="L406">
        <f>VLOOKUP(A406,'ZONE 1 PREMIUM'!$A$4:$N$16,14,0)</f>
        <v>2</v>
      </c>
      <c r="M406">
        <f>VLOOKUP(D406,DROPDOWN!B:C,2,0)</f>
        <v>4</v>
      </c>
      <c r="N406" t="str">
        <f t="shared" si="24"/>
        <v>CO98:DG109</v>
      </c>
      <c r="O406" s="4">
        <f t="shared" ca="1" si="25"/>
        <v>21084.960000000003</v>
      </c>
    </row>
    <row r="407" spans="1:15">
      <c r="A407" s="2" t="s">
        <v>12</v>
      </c>
      <c r="B407" t="s">
        <v>27</v>
      </c>
      <c r="C407" t="s">
        <v>28</v>
      </c>
      <c r="D407">
        <v>5</v>
      </c>
      <c r="E407" t="s">
        <v>46</v>
      </c>
      <c r="F407">
        <v>3</v>
      </c>
      <c r="G407">
        <v>2</v>
      </c>
      <c r="H407">
        <v>1</v>
      </c>
      <c r="I407">
        <v>1</v>
      </c>
      <c r="J407" s="4" t="s">
        <v>54</v>
      </c>
      <c r="K407" t="str">
        <f t="shared" si="23"/>
        <v>2+1</v>
      </c>
      <c r="L407">
        <f>VLOOKUP(A407,'ZONE 1 PREMIUM'!$A$4:$N$16,14,0)</f>
        <v>3</v>
      </c>
      <c r="M407">
        <f>VLOOKUP(D407,DROPDOWN!B:C,2,0)</f>
        <v>4</v>
      </c>
      <c r="N407" t="str">
        <f t="shared" si="24"/>
        <v>CO98:DG109</v>
      </c>
      <c r="O407" s="4">
        <f t="shared" ca="1" si="25"/>
        <v>23491.68</v>
      </c>
    </row>
    <row r="408" spans="1:15">
      <c r="A408" s="2" t="s">
        <v>13</v>
      </c>
      <c r="B408" t="s">
        <v>29</v>
      </c>
      <c r="C408" t="s">
        <v>30</v>
      </c>
      <c r="D408">
        <v>5</v>
      </c>
      <c r="E408" t="s">
        <v>46</v>
      </c>
      <c r="F408">
        <v>3</v>
      </c>
      <c r="G408">
        <v>2</v>
      </c>
      <c r="H408">
        <v>1</v>
      </c>
      <c r="I408">
        <v>1</v>
      </c>
      <c r="J408" s="4" t="s">
        <v>54</v>
      </c>
      <c r="K408" t="str">
        <f t="shared" si="23"/>
        <v>2+1</v>
      </c>
      <c r="L408">
        <f>VLOOKUP(A408,'ZONE 1 PREMIUM'!$A$4:$N$16,14,0)</f>
        <v>4</v>
      </c>
      <c r="M408">
        <f>VLOOKUP(D408,DROPDOWN!B:C,2,0)</f>
        <v>4</v>
      </c>
      <c r="N408" t="str">
        <f t="shared" si="24"/>
        <v>CO98:DG109</v>
      </c>
      <c r="O408" s="4">
        <f t="shared" ca="1" si="25"/>
        <v>26227.58</v>
      </c>
    </row>
    <row r="409" spans="1:15">
      <c r="A409" s="2" t="s">
        <v>14</v>
      </c>
      <c r="B409" t="s">
        <v>31</v>
      </c>
      <c r="C409" t="s">
        <v>32</v>
      </c>
      <c r="D409">
        <v>5</v>
      </c>
      <c r="E409" t="s">
        <v>46</v>
      </c>
      <c r="F409">
        <v>3</v>
      </c>
      <c r="G409">
        <v>2</v>
      </c>
      <c r="H409">
        <v>1</v>
      </c>
      <c r="I409">
        <v>1</v>
      </c>
      <c r="J409" s="4" t="s">
        <v>54</v>
      </c>
      <c r="K409" t="str">
        <f t="shared" si="23"/>
        <v>2+1</v>
      </c>
      <c r="L409">
        <f>VLOOKUP(A409,'ZONE 1 PREMIUM'!$A$4:$N$16,14,0)</f>
        <v>5</v>
      </c>
      <c r="M409">
        <f>VLOOKUP(D409,DROPDOWN!B:C,2,0)</f>
        <v>4</v>
      </c>
      <c r="N409" t="str">
        <f t="shared" si="24"/>
        <v>CO98:DG109</v>
      </c>
      <c r="O409" s="4">
        <f t="shared" ca="1" si="25"/>
        <v>29943.390000000003</v>
      </c>
    </row>
    <row r="410" spans="1:15">
      <c r="A410" s="2" t="s">
        <v>15</v>
      </c>
      <c r="B410" t="s">
        <v>33</v>
      </c>
      <c r="C410" t="s">
        <v>34</v>
      </c>
      <c r="D410">
        <v>5</v>
      </c>
      <c r="E410" t="s">
        <v>46</v>
      </c>
      <c r="F410">
        <v>3</v>
      </c>
      <c r="G410">
        <v>2</v>
      </c>
      <c r="H410">
        <v>1</v>
      </c>
      <c r="I410">
        <v>1</v>
      </c>
      <c r="J410" s="4" t="s">
        <v>54</v>
      </c>
      <c r="K410" t="str">
        <f t="shared" si="23"/>
        <v>2+1</v>
      </c>
      <c r="L410">
        <f>VLOOKUP(A410,'ZONE 1 PREMIUM'!$A$4:$N$16,14,0)</f>
        <v>6</v>
      </c>
      <c r="M410">
        <f>VLOOKUP(D410,DROPDOWN!B:C,2,0)</f>
        <v>4</v>
      </c>
      <c r="N410" t="str">
        <f t="shared" si="24"/>
        <v>CO98:DG109</v>
      </c>
      <c r="O410" s="4">
        <f t="shared" ca="1" si="25"/>
        <v>37230.04</v>
      </c>
    </row>
    <row r="411" spans="1:15">
      <c r="A411" s="2" t="s">
        <v>16</v>
      </c>
      <c r="B411" t="s">
        <v>35</v>
      </c>
      <c r="C411" t="s">
        <v>36</v>
      </c>
      <c r="D411">
        <v>5</v>
      </c>
      <c r="E411" t="s">
        <v>46</v>
      </c>
      <c r="F411">
        <v>3</v>
      </c>
      <c r="G411">
        <v>2</v>
      </c>
      <c r="H411">
        <v>1</v>
      </c>
      <c r="I411">
        <v>1</v>
      </c>
      <c r="J411" s="4" t="s">
        <v>54</v>
      </c>
      <c r="K411" t="str">
        <f t="shared" si="23"/>
        <v>2+1</v>
      </c>
      <c r="L411">
        <f>VLOOKUP(A411,'ZONE 1 PREMIUM'!$A$4:$N$16,14,0)</f>
        <v>7</v>
      </c>
      <c r="M411">
        <f>VLOOKUP(D411,DROPDOWN!B:C,2,0)</f>
        <v>4</v>
      </c>
      <c r="N411" t="str">
        <f t="shared" si="24"/>
        <v>CO98:DG109</v>
      </c>
      <c r="O411" s="4">
        <f t="shared" ca="1" si="25"/>
        <v>48418.890000000007</v>
      </c>
    </row>
    <row r="412" spans="1:15">
      <c r="A412" s="2" t="s">
        <v>17</v>
      </c>
      <c r="B412" t="s">
        <v>37</v>
      </c>
      <c r="C412" t="s">
        <v>38</v>
      </c>
      <c r="D412">
        <v>5</v>
      </c>
      <c r="E412" t="s">
        <v>46</v>
      </c>
      <c r="F412">
        <v>3</v>
      </c>
      <c r="G412">
        <v>2</v>
      </c>
      <c r="H412">
        <v>1</v>
      </c>
      <c r="I412">
        <v>1</v>
      </c>
      <c r="J412" s="4" t="s">
        <v>54</v>
      </c>
      <c r="K412" t="str">
        <f t="shared" si="23"/>
        <v>2+1</v>
      </c>
      <c r="L412">
        <f>VLOOKUP(A412,'ZONE 1 PREMIUM'!$A$4:$N$16,14,0)</f>
        <v>8</v>
      </c>
      <c r="M412">
        <f>VLOOKUP(D412,DROPDOWN!B:C,2,0)</f>
        <v>4</v>
      </c>
      <c r="N412" t="str">
        <f t="shared" si="24"/>
        <v>CO98:DG109</v>
      </c>
      <c r="O412" s="4">
        <f t="shared" ca="1" si="25"/>
        <v>65718.28</v>
      </c>
    </row>
    <row r="413" spans="1:15">
      <c r="A413" s="2" t="s">
        <v>18</v>
      </c>
      <c r="B413" t="s">
        <v>39</v>
      </c>
      <c r="C413" t="s">
        <v>40</v>
      </c>
      <c r="D413">
        <v>5</v>
      </c>
      <c r="E413" t="s">
        <v>46</v>
      </c>
      <c r="F413">
        <v>3</v>
      </c>
      <c r="G413">
        <v>2</v>
      </c>
      <c r="H413">
        <v>1</v>
      </c>
      <c r="I413">
        <v>1</v>
      </c>
      <c r="J413" s="4" t="s">
        <v>54</v>
      </c>
      <c r="K413" t="str">
        <f t="shared" si="23"/>
        <v>2+1</v>
      </c>
      <c r="L413">
        <f>VLOOKUP(A413,'ZONE 1 PREMIUM'!$A$4:$N$16,14,0)</f>
        <v>9</v>
      </c>
      <c r="M413">
        <f>VLOOKUP(D413,DROPDOWN!B:C,2,0)</f>
        <v>4</v>
      </c>
      <c r="N413" t="str">
        <f t="shared" si="24"/>
        <v>CO98:DG109</v>
      </c>
      <c r="O413" s="4">
        <f t="shared" ca="1" si="25"/>
        <v>88995.23000000001</v>
      </c>
    </row>
    <row r="414" spans="1:15">
      <c r="A414" s="2" t="s">
        <v>19</v>
      </c>
      <c r="B414" t="s">
        <v>41</v>
      </c>
      <c r="C414" t="s">
        <v>42</v>
      </c>
      <c r="D414">
        <v>5</v>
      </c>
      <c r="E414" t="s">
        <v>46</v>
      </c>
      <c r="F414">
        <v>3</v>
      </c>
      <c r="G414">
        <v>2</v>
      </c>
      <c r="H414">
        <v>1</v>
      </c>
      <c r="I414">
        <v>1</v>
      </c>
      <c r="J414" s="4" t="s">
        <v>54</v>
      </c>
      <c r="K414" t="str">
        <f t="shared" si="23"/>
        <v>2+1</v>
      </c>
      <c r="L414">
        <f>VLOOKUP(A414,'ZONE 1 PREMIUM'!$A$4:$N$16,14,0)</f>
        <v>10</v>
      </c>
      <c r="M414">
        <f>VLOOKUP(D414,DROPDOWN!B:C,2,0)</f>
        <v>4</v>
      </c>
      <c r="N414" t="str">
        <f t="shared" si="24"/>
        <v>CO98:DG109</v>
      </c>
      <c r="O414" s="4">
        <f t="shared" ca="1" si="25"/>
        <v>120079.85</v>
      </c>
    </row>
    <row r="415" spans="1:15">
      <c r="A415" s="2" t="s">
        <v>20</v>
      </c>
      <c r="B415" t="s">
        <v>43</v>
      </c>
      <c r="C415" t="s">
        <v>44</v>
      </c>
      <c r="D415">
        <v>5</v>
      </c>
      <c r="E415" t="s">
        <v>46</v>
      </c>
      <c r="F415">
        <v>3</v>
      </c>
      <c r="G415">
        <v>2</v>
      </c>
      <c r="H415">
        <v>1</v>
      </c>
      <c r="I415">
        <v>1</v>
      </c>
      <c r="J415" s="4" t="s">
        <v>54</v>
      </c>
      <c r="K415" t="str">
        <f t="shared" si="23"/>
        <v>2+1</v>
      </c>
      <c r="L415">
        <f>VLOOKUP(A415,'ZONE 1 PREMIUM'!$A$4:$N$16,14,0)</f>
        <v>11</v>
      </c>
      <c r="M415">
        <f>VLOOKUP(D415,DROPDOWN!B:C,2,0)</f>
        <v>4</v>
      </c>
      <c r="N415" t="str">
        <f t="shared" si="24"/>
        <v>CO98:DG109</v>
      </c>
      <c r="O415" s="4">
        <f t="shared" ca="1" si="25"/>
        <v>147414.87000000002</v>
      </c>
    </row>
    <row r="416" spans="1:15">
      <c r="A416" s="2" t="s">
        <v>21</v>
      </c>
      <c r="B416" t="s">
        <v>22</v>
      </c>
      <c r="D416">
        <v>5</v>
      </c>
      <c r="E416" t="s">
        <v>46</v>
      </c>
      <c r="F416">
        <v>3</v>
      </c>
      <c r="G416">
        <v>2</v>
      </c>
      <c r="H416">
        <v>1</v>
      </c>
      <c r="I416">
        <v>1</v>
      </c>
      <c r="J416" s="4" t="s">
        <v>54</v>
      </c>
      <c r="K416" t="str">
        <f t="shared" si="23"/>
        <v>2+1</v>
      </c>
      <c r="L416">
        <f>VLOOKUP(A416,'ZONE 1 PREMIUM'!$A$4:$N$16,14,0)</f>
        <v>12</v>
      </c>
      <c r="M416">
        <f>VLOOKUP(D416,DROPDOWN!B:C,2,0)</f>
        <v>4</v>
      </c>
      <c r="N416" t="str">
        <f t="shared" si="24"/>
        <v>CO98:DG109</v>
      </c>
      <c r="O416" s="4">
        <f t="shared" ca="1" si="25"/>
        <v>186852.16</v>
      </c>
    </row>
    <row r="417" spans="1:15">
      <c r="A417" s="2" t="s">
        <v>11</v>
      </c>
      <c r="B417" t="s">
        <v>45</v>
      </c>
      <c r="C417" t="s">
        <v>25</v>
      </c>
      <c r="D417">
        <v>5</v>
      </c>
      <c r="E417" t="s">
        <v>46</v>
      </c>
      <c r="F417">
        <v>4</v>
      </c>
      <c r="G417">
        <v>2</v>
      </c>
      <c r="H417">
        <v>2</v>
      </c>
      <c r="I417">
        <v>1</v>
      </c>
      <c r="J417" s="4" t="s">
        <v>54</v>
      </c>
      <c r="K417" t="str">
        <f t="shared" si="23"/>
        <v>2+2</v>
      </c>
      <c r="L417">
        <f>VLOOKUP(A417,'ZONE 1 PREMIUM'!$A$4:$N$16,14,0)</f>
        <v>2</v>
      </c>
      <c r="M417">
        <f>VLOOKUP(D417,DROPDOWN!B:C,2,0)</f>
        <v>4</v>
      </c>
      <c r="N417" t="str">
        <f t="shared" si="24"/>
        <v>CO113:DG124</v>
      </c>
      <c r="O417" s="4">
        <f t="shared" ca="1" si="25"/>
        <v>24662.34</v>
      </c>
    </row>
    <row r="418" spans="1:15">
      <c r="A418" s="2" t="s">
        <v>12</v>
      </c>
      <c r="B418" t="s">
        <v>27</v>
      </c>
      <c r="C418" t="s">
        <v>28</v>
      </c>
      <c r="D418">
        <v>5</v>
      </c>
      <c r="E418" t="s">
        <v>46</v>
      </c>
      <c r="F418">
        <v>4</v>
      </c>
      <c r="G418">
        <v>2</v>
      </c>
      <c r="H418">
        <v>2</v>
      </c>
      <c r="I418">
        <v>1</v>
      </c>
      <c r="J418" s="4" t="s">
        <v>54</v>
      </c>
      <c r="K418" t="str">
        <f t="shared" si="23"/>
        <v>2+2</v>
      </c>
      <c r="L418">
        <f>VLOOKUP(A418,'ZONE 1 PREMIUM'!$A$4:$N$16,14,0)</f>
        <v>3</v>
      </c>
      <c r="M418">
        <f>VLOOKUP(D418,DROPDOWN!B:C,2,0)</f>
        <v>4</v>
      </c>
      <c r="N418" t="str">
        <f t="shared" si="24"/>
        <v>CO113:DG124</v>
      </c>
      <c r="O418" s="4">
        <f t="shared" ca="1" si="25"/>
        <v>27004.750000000004</v>
      </c>
    </row>
    <row r="419" spans="1:15">
      <c r="A419" s="2" t="s">
        <v>13</v>
      </c>
      <c r="B419" t="s">
        <v>29</v>
      </c>
      <c r="C419" t="s">
        <v>30</v>
      </c>
      <c r="D419">
        <v>5</v>
      </c>
      <c r="E419" t="s">
        <v>46</v>
      </c>
      <c r="F419">
        <v>4</v>
      </c>
      <c r="G419">
        <v>2</v>
      </c>
      <c r="H419">
        <v>2</v>
      </c>
      <c r="I419">
        <v>1</v>
      </c>
      <c r="J419" s="4" t="s">
        <v>54</v>
      </c>
      <c r="K419" t="str">
        <f t="shared" si="23"/>
        <v>2+2</v>
      </c>
      <c r="L419">
        <f>VLOOKUP(A419,'ZONE 1 PREMIUM'!$A$4:$N$16,14,0)</f>
        <v>4</v>
      </c>
      <c r="M419">
        <f>VLOOKUP(D419,DROPDOWN!B:C,2,0)</f>
        <v>4</v>
      </c>
      <c r="N419" t="str">
        <f t="shared" si="24"/>
        <v>CO113:DG124</v>
      </c>
      <c r="O419" s="4">
        <f t="shared" ca="1" si="25"/>
        <v>30295.460000000003</v>
      </c>
    </row>
    <row r="420" spans="1:15">
      <c r="A420" s="2" t="s">
        <v>14</v>
      </c>
      <c r="B420" t="s">
        <v>31</v>
      </c>
      <c r="C420" t="s">
        <v>32</v>
      </c>
      <c r="D420">
        <v>5</v>
      </c>
      <c r="E420" t="s">
        <v>46</v>
      </c>
      <c r="F420">
        <v>4</v>
      </c>
      <c r="G420">
        <v>2</v>
      </c>
      <c r="H420">
        <v>2</v>
      </c>
      <c r="I420">
        <v>1</v>
      </c>
      <c r="J420" s="4" t="s">
        <v>54</v>
      </c>
      <c r="K420" t="str">
        <f t="shared" si="23"/>
        <v>2+2</v>
      </c>
      <c r="L420">
        <f>VLOOKUP(A420,'ZONE 1 PREMIUM'!$A$4:$N$16,14,0)</f>
        <v>5</v>
      </c>
      <c r="M420">
        <f>VLOOKUP(D420,DROPDOWN!B:C,2,0)</f>
        <v>4</v>
      </c>
      <c r="N420" t="str">
        <f t="shared" si="24"/>
        <v>CO113:DG124</v>
      </c>
      <c r="O420" s="4">
        <f t="shared" ca="1" si="25"/>
        <v>34267.420000000006</v>
      </c>
    </row>
    <row r="421" spans="1:15">
      <c r="A421" s="2" t="s">
        <v>15</v>
      </c>
      <c r="B421" t="s">
        <v>33</v>
      </c>
      <c r="C421" t="s">
        <v>34</v>
      </c>
      <c r="D421">
        <v>5</v>
      </c>
      <c r="E421" t="s">
        <v>46</v>
      </c>
      <c r="F421">
        <v>4</v>
      </c>
      <c r="G421">
        <v>2</v>
      </c>
      <c r="H421">
        <v>2</v>
      </c>
      <c r="I421">
        <v>1</v>
      </c>
      <c r="J421" s="4" t="s">
        <v>54</v>
      </c>
      <c r="K421" t="str">
        <f t="shared" si="23"/>
        <v>2+2</v>
      </c>
      <c r="L421">
        <f>VLOOKUP(A421,'ZONE 1 PREMIUM'!$A$4:$N$16,14,0)</f>
        <v>6</v>
      </c>
      <c r="M421">
        <f>VLOOKUP(D421,DROPDOWN!B:C,2,0)</f>
        <v>4</v>
      </c>
      <c r="N421" t="str">
        <f t="shared" si="24"/>
        <v>CO113:DG124</v>
      </c>
      <c r="O421" s="4">
        <f t="shared" ca="1" si="25"/>
        <v>42078.36</v>
      </c>
    </row>
    <row r="422" spans="1:15">
      <c r="A422" s="2" t="s">
        <v>16</v>
      </c>
      <c r="B422" t="s">
        <v>35</v>
      </c>
      <c r="C422" t="s">
        <v>36</v>
      </c>
      <c r="D422">
        <v>5</v>
      </c>
      <c r="E422" t="s">
        <v>46</v>
      </c>
      <c r="F422">
        <v>4</v>
      </c>
      <c r="G422">
        <v>2</v>
      </c>
      <c r="H422">
        <v>2</v>
      </c>
      <c r="I422">
        <v>1</v>
      </c>
      <c r="J422" s="4" t="s">
        <v>54</v>
      </c>
      <c r="K422" t="str">
        <f t="shared" si="23"/>
        <v>2+2</v>
      </c>
      <c r="L422">
        <f>VLOOKUP(A422,'ZONE 1 PREMIUM'!$A$4:$N$16,14,0)</f>
        <v>7</v>
      </c>
      <c r="M422">
        <f>VLOOKUP(D422,DROPDOWN!B:C,2,0)</f>
        <v>4</v>
      </c>
      <c r="N422" t="str">
        <f t="shared" si="24"/>
        <v>CO113:DG124</v>
      </c>
      <c r="O422" s="4">
        <f t="shared" ca="1" si="25"/>
        <v>54428.060000000005</v>
      </c>
    </row>
    <row r="423" spans="1:15">
      <c r="A423" s="2" t="s">
        <v>17</v>
      </c>
      <c r="B423" t="s">
        <v>37</v>
      </c>
      <c r="C423" t="s">
        <v>38</v>
      </c>
      <c r="D423">
        <v>5</v>
      </c>
      <c r="E423" t="s">
        <v>46</v>
      </c>
      <c r="F423">
        <v>4</v>
      </c>
      <c r="G423">
        <v>2</v>
      </c>
      <c r="H423">
        <v>2</v>
      </c>
      <c r="I423">
        <v>1</v>
      </c>
      <c r="J423" s="4" t="s">
        <v>54</v>
      </c>
      <c r="K423" t="str">
        <f t="shared" si="23"/>
        <v>2+2</v>
      </c>
      <c r="L423">
        <f>VLOOKUP(A423,'ZONE 1 PREMIUM'!$A$4:$N$16,14,0)</f>
        <v>8</v>
      </c>
      <c r="M423">
        <f>VLOOKUP(D423,DROPDOWN!B:C,2,0)</f>
        <v>4</v>
      </c>
      <c r="N423" t="str">
        <f t="shared" si="24"/>
        <v>CO113:DG124</v>
      </c>
      <c r="O423" s="4">
        <f t="shared" ca="1" si="25"/>
        <v>71362.3</v>
      </c>
    </row>
    <row r="424" spans="1:15">
      <c r="A424" s="2" t="s">
        <v>18</v>
      </c>
      <c r="B424" t="s">
        <v>39</v>
      </c>
      <c r="C424" t="s">
        <v>40</v>
      </c>
      <c r="D424">
        <v>5</v>
      </c>
      <c r="E424" t="s">
        <v>46</v>
      </c>
      <c r="F424">
        <v>4</v>
      </c>
      <c r="G424">
        <v>2</v>
      </c>
      <c r="H424">
        <v>2</v>
      </c>
      <c r="I424">
        <v>1</v>
      </c>
      <c r="J424" s="4" t="s">
        <v>54</v>
      </c>
      <c r="K424" t="str">
        <f t="shared" si="23"/>
        <v>2+2</v>
      </c>
      <c r="L424">
        <f>VLOOKUP(A424,'ZONE 1 PREMIUM'!$A$4:$N$16,14,0)</f>
        <v>9</v>
      </c>
      <c r="M424">
        <f>VLOOKUP(D424,DROPDOWN!B:C,2,0)</f>
        <v>4</v>
      </c>
      <c r="N424" t="str">
        <f t="shared" si="24"/>
        <v>CO113:DG124</v>
      </c>
      <c r="O424" s="4">
        <f t="shared" ca="1" si="25"/>
        <v>93530.72</v>
      </c>
    </row>
    <row r="425" spans="1:15">
      <c r="A425" s="2" t="s">
        <v>19</v>
      </c>
      <c r="B425" t="s">
        <v>41</v>
      </c>
      <c r="C425" t="s">
        <v>42</v>
      </c>
      <c r="D425">
        <v>5</v>
      </c>
      <c r="E425" t="s">
        <v>46</v>
      </c>
      <c r="F425">
        <v>4</v>
      </c>
      <c r="G425">
        <v>2</v>
      </c>
      <c r="H425">
        <v>2</v>
      </c>
      <c r="I425">
        <v>1</v>
      </c>
      <c r="J425" s="4" t="s">
        <v>54</v>
      </c>
      <c r="K425" t="str">
        <f t="shared" si="23"/>
        <v>2+2</v>
      </c>
      <c r="L425">
        <f>VLOOKUP(A425,'ZONE 1 PREMIUM'!$A$4:$N$16,14,0)</f>
        <v>10</v>
      </c>
      <c r="M425">
        <f>VLOOKUP(D425,DROPDOWN!B:C,2,0)</f>
        <v>4</v>
      </c>
      <c r="N425" t="str">
        <f t="shared" si="24"/>
        <v>CO113:DG124</v>
      </c>
      <c r="O425" s="4">
        <f t="shared" ca="1" si="25"/>
        <v>122075.64000000001</v>
      </c>
    </row>
    <row r="426" spans="1:15">
      <c r="A426" s="2" t="s">
        <v>20</v>
      </c>
      <c r="B426" t="s">
        <v>43</v>
      </c>
      <c r="C426" t="s">
        <v>44</v>
      </c>
      <c r="D426">
        <v>5</v>
      </c>
      <c r="E426" t="s">
        <v>46</v>
      </c>
      <c r="F426">
        <v>4</v>
      </c>
      <c r="G426">
        <v>2</v>
      </c>
      <c r="H426">
        <v>2</v>
      </c>
      <c r="I426">
        <v>1</v>
      </c>
      <c r="J426" s="4" t="s">
        <v>54</v>
      </c>
      <c r="K426" t="str">
        <f t="shared" si="23"/>
        <v>2+2</v>
      </c>
      <c r="L426">
        <f>VLOOKUP(A426,'ZONE 1 PREMIUM'!$A$4:$N$16,14,0)</f>
        <v>11</v>
      </c>
      <c r="M426">
        <f>VLOOKUP(D426,DROPDOWN!B:C,2,0)</f>
        <v>4</v>
      </c>
      <c r="N426" t="str">
        <f t="shared" si="24"/>
        <v>CO113:DG124</v>
      </c>
      <c r="O426" s="4">
        <f t="shared" ca="1" si="25"/>
        <v>149626.48000000001</v>
      </c>
    </row>
    <row r="427" spans="1:15">
      <c r="A427" s="2" t="s">
        <v>21</v>
      </c>
      <c r="B427" t="s">
        <v>22</v>
      </c>
      <c r="D427">
        <v>5</v>
      </c>
      <c r="E427" t="s">
        <v>46</v>
      </c>
      <c r="F427">
        <v>4</v>
      </c>
      <c r="G427">
        <v>2</v>
      </c>
      <c r="H427">
        <v>2</v>
      </c>
      <c r="I427">
        <v>1</v>
      </c>
      <c r="J427" s="4" t="s">
        <v>54</v>
      </c>
      <c r="K427" t="str">
        <f t="shared" si="23"/>
        <v>2+2</v>
      </c>
      <c r="L427">
        <f>VLOOKUP(A427,'ZONE 1 PREMIUM'!$A$4:$N$16,14,0)</f>
        <v>12</v>
      </c>
      <c r="M427">
        <f>VLOOKUP(D427,DROPDOWN!B:C,2,0)</f>
        <v>4</v>
      </c>
      <c r="N427" t="str">
        <f t="shared" si="24"/>
        <v>CO113:DG124</v>
      </c>
      <c r="O427" s="4">
        <f t="shared" ca="1" si="25"/>
        <v>189201.11000000002</v>
      </c>
    </row>
    <row r="428" spans="1:15">
      <c r="A428" s="2" t="s">
        <v>11</v>
      </c>
      <c r="B428" t="s">
        <v>45</v>
      </c>
      <c r="C428" t="s">
        <v>25</v>
      </c>
      <c r="D428">
        <v>5</v>
      </c>
      <c r="E428" t="s">
        <v>46</v>
      </c>
      <c r="F428">
        <v>5</v>
      </c>
      <c r="G428">
        <v>2</v>
      </c>
      <c r="H428">
        <v>3</v>
      </c>
      <c r="I428">
        <v>1</v>
      </c>
      <c r="J428" s="4" t="s">
        <v>54</v>
      </c>
      <c r="K428" t="str">
        <f t="shared" si="23"/>
        <v>2+3</v>
      </c>
      <c r="L428">
        <f>VLOOKUP(A428,'ZONE 1 PREMIUM'!$A$4:$N$16,14,0)</f>
        <v>2</v>
      </c>
      <c r="M428">
        <f>VLOOKUP(D428,DROPDOWN!B:C,2,0)</f>
        <v>4</v>
      </c>
      <c r="N428" t="str">
        <f t="shared" si="24"/>
        <v>CO128:DG139</v>
      </c>
      <c r="O428" s="4">
        <f t="shared" ca="1" si="25"/>
        <v>28240.81</v>
      </c>
    </row>
    <row r="429" spans="1:15">
      <c r="A429" s="2" t="s">
        <v>12</v>
      </c>
      <c r="B429" t="s">
        <v>27</v>
      </c>
      <c r="C429" t="s">
        <v>28</v>
      </c>
      <c r="D429">
        <v>5</v>
      </c>
      <c r="E429" t="s">
        <v>46</v>
      </c>
      <c r="F429">
        <v>5</v>
      </c>
      <c r="G429">
        <v>2</v>
      </c>
      <c r="H429">
        <v>3</v>
      </c>
      <c r="I429">
        <v>1</v>
      </c>
      <c r="J429" s="4" t="s">
        <v>54</v>
      </c>
      <c r="K429" t="str">
        <f t="shared" si="23"/>
        <v>2+3</v>
      </c>
      <c r="L429">
        <f>VLOOKUP(A429,'ZONE 1 PREMIUM'!$A$4:$N$16,14,0)</f>
        <v>3</v>
      </c>
      <c r="M429">
        <f>VLOOKUP(D429,DROPDOWN!B:C,2,0)</f>
        <v>4</v>
      </c>
      <c r="N429" t="str">
        <f t="shared" si="24"/>
        <v>CO128:DG139</v>
      </c>
      <c r="O429" s="4">
        <f t="shared" ca="1" si="25"/>
        <v>30517.820000000003</v>
      </c>
    </row>
    <row r="430" spans="1:15">
      <c r="A430" s="2" t="s">
        <v>13</v>
      </c>
      <c r="B430" t="s">
        <v>29</v>
      </c>
      <c r="C430" t="s">
        <v>30</v>
      </c>
      <c r="D430">
        <v>5</v>
      </c>
      <c r="E430" t="s">
        <v>46</v>
      </c>
      <c r="F430">
        <v>5</v>
      </c>
      <c r="G430">
        <v>2</v>
      </c>
      <c r="H430">
        <v>3</v>
      </c>
      <c r="I430">
        <v>1</v>
      </c>
      <c r="J430" s="4" t="s">
        <v>54</v>
      </c>
      <c r="K430" t="str">
        <f t="shared" si="23"/>
        <v>2+3</v>
      </c>
      <c r="L430">
        <f>VLOOKUP(A430,'ZONE 1 PREMIUM'!$A$4:$N$16,14,0)</f>
        <v>4</v>
      </c>
      <c r="M430">
        <f>VLOOKUP(D430,DROPDOWN!B:C,2,0)</f>
        <v>4</v>
      </c>
      <c r="N430" t="str">
        <f t="shared" si="24"/>
        <v>CO128:DG139</v>
      </c>
      <c r="O430" s="4">
        <f t="shared" ca="1" si="25"/>
        <v>34362.25</v>
      </c>
    </row>
    <row r="431" spans="1:15">
      <c r="A431" s="2" t="s">
        <v>14</v>
      </c>
      <c r="B431" t="s">
        <v>31</v>
      </c>
      <c r="C431" t="s">
        <v>32</v>
      </c>
      <c r="D431">
        <v>5</v>
      </c>
      <c r="E431" t="s">
        <v>46</v>
      </c>
      <c r="F431">
        <v>5</v>
      </c>
      <c r="G431">
        <v>2</v>
      </c>
      <c r="H431">
        <v>3</v>
      </c>
      <c r="I431">
        <v>1</v>
      </c>
      <c r="J431" s="4" t="s">
        <v>54</v>
      </c>
      <c r="K431" t="str">
        <f t="shared" si="23"/>
        <v>2+3</v>
      </c>
      <c r="L431">
        <f>VLOOKUP(A431,'ZONE 1 PREMIUM'!$A$4:$N$16,14,0)</f>
        <v>5</v>
      </c>
      <c r="M431">
        <f>VLOOKUP(D431,DROPDOWN!B:C,2,0)</f>
        <v>4</v>
      </c>
      <c r="N431" t="str">
        <f t="shared" si="24"/>
        <v>CO128:DG139</v>
      </c>
      <c r="O431" s="4">
        <f t="shared" ca="1" si="25"/>
        <v>38591.450000000004</v>
      </c>
    </row>
    <row r="432" spans="1:15">
      <c r="A432" s="2" t="s">
        <v>15</v>
      </c>
      <c r="B432" t="s">
        <v>33</v>
      </c>
      <c r="C432" t="s">
        <v>34</v>
      </c>
      <c r="D432">
        <v>5</v>
      </c>
      <c r="E432" t="s">
        <v>46</v>
      </c>
      <c r="F432">
        <v>5</v>
      </c>
      <c r="G432">
        <v>2</v>
      </c>
      <c r="H432">
        <v>3</v>
      </c>
      <c r="I432">
        <v>1</v>
      </c>
      <c r="J432" s="4" t="s">
        <v>54</v>
      </c>
      <c r="K432" t="str">
        <f t="shared" si="23"/>
        <v>2+3</v>
      </c>
      <c r="L432">
        <f>VLOOKUP(A432,'ZONE 1 PREMIUM'!$A$4:$N$16,14,0)</f>
        <v>6</v>
      </c>
      <c r="M432">
        <f>VLOOKUP(D432,DROPDOWN!B:C,2,0)</f>
        <v>4</v>
      </c>
      <c r="N432" t="str">
        <f t="shared" si="24"/>
        <v>CO128:DG139</v>
      </c>
      <c r="O432" s="4">
        <f t="shared" ca="1" si="25"/>
        <v>46926.68</v>
      </c>
    </row>
    <row r="433" spans="1:15">
      <c r="A433" s="2" t="s">
        <v>16</v>
      </c>
      <c r="B433" t="s">
        <v>35</v>
      </c>
      <c r="C433" t="s">
        <v>36</v>
      </c>
      <c r="D433">
        <v>5</v>
      </c>
      <c r="E433" t="s">
        <v>46</v>
      </c>
      <c r="F433">
        <v>5</v>
      </c>
      <c r="G433">
        <v>2</v>
      </c>
      <c r="H433">
        <v>3</v>
      </c>
      <c r="I433">
        <v>1</v>
      </c>
      <c r="J433" s="4" t="s">
        <v>54</v>
      </c>
      <c r="K433" t="str">
        <f t="shared" si="23"/>
        <v>2+3</v>
      </c>
      <c r="L433">
        <f>VLOOKUP(A433,'ZONE 1 PREMIUM'!$A$4:$N$16,14,0)</f>
        <v>7</v>
      </c>
      <c r="M433">
        <f>VLOOKUP(D433,DROPDOWN!B:C,2,0)</f>
        <v>4</v>
      </c>
      <c r="N433" t="str">
        <f t="shared" si="24"/>
        <v>CO128:DG139</v>
      </c>
      <c r="O433" s="4">
        <f t="shared" ca="1" si="25"/>
        <v>59349.41</v>
      </c>
    </row>
    <row r="434" spans="1:15">
      <c r="A434" s="2" t="s">
        <v>17</v>
      </c>
      <c r="B434" t="s">
        <v>37</v>
      </c>
      <c r="C434" t="s">
        <v>38</v>
      </c>
      <c r="D434">
        <v>5</v>
      </c>
      <c r="E434" t="s">
        <v>46</v>
      </c>
      <c r="F434">
        <v>5</v>
      </c>
      <c r="G434">
        <v>2</v>
      </c>
      <c r="H434">
        <v>3</v>
      </c>
      <c r="I434">
        <v>1</v>
      </c>
      <c r="J434" s="4" t="s">
        <v>54</v>
      </c>
      <c r="K434" t="str">
        <f t="shared" si="23"/>
        <v>2+3</v>
      </c>
      <c r="L434">
        <f>VLOOKUP(A434,'ZONE 1 PREMIUM'!$A$4:$N$16,14,0)</f>
        <v>8</v>
      </c>
      <c r="M434">
        <f>VLOOKUP(D434,DROPDOWN!B:C,2,0)</f>
        <v>4</v>
      </c>
      <c r="N434" t="str">
        <f t="shared" si="24"/>
        <v>CO128:DG139</v>
      </c>
      <c r="O434" s="4">
        <f t="shared" ca="1" si="25"/>
        <v>75834.570000000007</v>
      </c>
    </row>
    <row r="435" spans="1:15">
      <c r="A435" s="2" t="s">
        <v>18</v>
      </c>
      <c r="B435" t="s">
        <v>39</v>
      </c>
      <c r="C435" t="s">
        <v>40</v>
      </c>
      <c r="D435">
        <v>5</v>
      </c>
      <c r="E435" t="s">
        <v>46</v>
      </c>
      <c r="F435">
        <v>5</v>
      </c>
      <c r="G435">
        <v>2</v>
      </c>
      <c r="H435">
        <v>3</v>
      </c>
      <c r="I435">
        <v>1</v>
      </c>
      <c r="J435" s="4" t="s">
        <v>54</v>
      </c>
      <c r="K435" t="str">
        <f t="shared" si="23"/>
        <v>2+3</v>
      </c>
      <c r="L435">
        <f>VLOOKUP(A435,'ZONE 1 PREMIUM'!$A$4:$N$16,14,0)</f>
        <v>9</v>
      </c>
      <c r="M435">
        <f>VLOOKUP(D435,DROPDOWN!B:C,2,0)</f>
        <v>4</v>
      </c>
      <c r="N435" t="str">
        <f t="shared" si="24"/>
        <v>CO128:DG139</v>
      </c>
      <c r="O435" s="4">
        <f t="shared" ca="1" si="25"/>
        <v>97986.640000000014</v>
      </c>
    </row>
    <row r="436" spans="1:15">
      <c r="A436" s="2" t="s">
        <v>19</v>
      </c>
      <c r="B436" t="s">
        <v>41</v>
      </c>
      <c r="C436" t="s">
        <v>42</v>
      </c>
      <c r="D436">
        <v>5</v>
      </c>
      <c r="E436" t="s">
        <v>46</v>
      </c>
      <c r="F436">
        <v>5</v>
      </c>
      <c r="G436">
        <v>2</v>
      </c>
      <c r="H436">
        <v>3</v>
      </c>
      <c r="I436">
        <v>1</v>
      </c>
      <c r="J436" s="4" t="s">
        <v>54</v>
      </c>
      <c r="K436" t="str">
        <f t="shared" si="23"/>
        <v>2+3</v>
      </c>
      <c r="L436">
        <f>VLOOKUP(A436,'ZONE 1 PREMIUM'!$A$4:$N$16,14,0)</f>
        <v>10</v>
      </c>
      <c r="M436">
        <f>VLOOKUP(D436,DROPDOWN!B:C,2,0)</f>
        <v>4</v>
      </c>
      <c r="N436" t="str">
        <f t="shared" si="24"/>
        <v>CO128:DG139</v>
      </c>
      <c r="O436" s="4">
        <f t="shared" ca="1" si="25"/>
        <v>126287.40000000001</v>
      </c>
    </row>
    <row r="437" spans="1:15">
      <c r="A437" s="2" t="s">
        <v>20</v>
      </c>
      <c r="B437" t="s">
        <v>43</v>
      </c>
      <c r="C437" t="s">
        <v>44</v>
      </c>
      <c r="D437">
        <v>5</v>
      </c>
      <c r="E437" t="s">
        <v>46</v>
      </c>
      <c r="F437">
        <v>5</v>
      </c>
      <c r="G437">
        <v>2</v>
      </c>
      <c r="H437">
        <v>3</v>
      </c>
      <c r="I437">
        <v>1</v>
      </c>
      <c r="J437" s="4" t="s">
        <v>54</v>
      </c>
      <c r="K437" t="str">
        <f t="shared" si="23"/>
        <v>2+3</v>
      </c>
      <c r="L437">
        <f>VLOOKUP(A437,'ZONE 1 PREMIUM'!$A$4:$N$16,14,0)</f>
        <v>11</v>
      </c>
      <c r="M437">
        <f>VLOOKUP(D437,DROPDOWN!B:C,2,0)</f>
        <v>4</v>
      </c>
      <c r="N437" t="str">
        <f t="shared" si="24"/>
        <v>CO128:DG139</v>
      </c>
      <c r="O437" s="4">
        <f t="shared" ca="1" si="25"/>
        <v>154311.30000000002</v>
      </c>
    </row>
    <row r="438" spans="1:15">
      <c r="A438" s="2" t="s">
        <v>21</v>
      </c>
      <c r="B438" t="s">
        <v>22</v>
      </c>
      <c r="D438">
        <v>5</v>
      </c>
      <c r="E438" t="s">
        <v>46</v>
      </c>
      <c r="F438">
        <v>5</v>
      </c>
      <c r="G438">
        <v>2</v>
      </c>
      <c r="H438">
        <v>3</v>
      </c>
      <c r="I438">
        <v>1</v>
      </c>
      <c r="J438" s="4" t="s">
        <v>54</v>
      </c>
      <c r="K438" t="str">
        <f t="shared" si="23"/>
        <v>2+3</v>
      </c>
      <c r="L438">
        <f>VLOOKUP(A438,'ZONE 1 PREMIUM'!$A$4:$N$16,14,0)</f>
        <v>12</v>
      </c>
      <c r="M438">
        <f>VLOOKUP(D438,DROPDOWN!B:C,2,0)</f>
        <v>4</v>
      </c>
      <c r="N438" t="str">
        <f t="shared" si="24"/>
        <v>CO128:DG139</v>
      </c>
      <c r="O438" s="4">
        <f t="shared" ca="1" si="25"/>
        <v>194192.22</v>
      </c>
    </row>
    <row r="439" spans="1:15">
      <c r="A439" s="2" t="s">
        <v>11</v>
      </c>
      <c r="B439" t="s">
        <v>45</v>
      </c>
      <c r="C439" t="s">
        <v>25</v>
      </c>
      <c r="D439">
        <v>5</v>
      </c>
      <c r="E439" t="s">
        <v>46</v>
      </c>
      <c r="F439">
        <v>6</v>
      </c>
      <c r="G439">
        <v>2</v>
      </c>
      <c r="H439">
        <v>4</v>
      </c>
      <c r="I439">
        <v>1</v>
      </c>
      <c r="J439" s="4" t="s">
        <v>54</v>
      </c>
      <c r="K439" t="str">
        <f t="shared" si="23"/>
        <v>2+4</v>
      </c>
      <c r="L439">
        <f>VLOOKUP(A439,'ZONE 1 PREMIUM'!$A$4:$N$16,14,0)</f>
        <v>2</v>
      </c>
      <c r="M439">
        <f>VLOOKUP(D439,DROPDOWN!B:C,2,0)</f>
        <v>4</v>
      </c>
      <c r="N439" t="str">
        <f t="shared" si="24"/>
        <v>CO143:DG154</v>
      </c>
      <c r="O439" s="4">
        <f t="shared" ca="1" si="25"/>
        <v>31818.190000000002</v>
      </c>
    </row>
    <row r="440" spans="1:15">
      <c r="A440" s="2" t="s">
        <v>12</v>
      </c>
      <c r="B440" t="s">
        <v>27</v>
      </c>
      <c r="C440" t="s">
        <v>28</v>
      </c>
      <c r="D440">
        <v>5</v>
      </c>
      <c r="E440" t="s">
        <v>46</v>
      </c>
      <c r="F440">
        <v>6</v>
      </c>
      <c r="G440">
        <v>2</v>
      </c>
      <c r="H440">
        <v>4</v>
      </c>
      <c r="I440">
        <v>1</v>
      </c>
      <c r="J440" s="4" t="s">
        <v>54</v>
      </c>
      <c r="K440" t="str">
        <f t="shared" si="23"/>
        <v>2+4</v>
      </c>
      <c r="L440">
        <f>VLOOKUP(A440,'ZONE 1 PREMIUM'!$A$4:$N$16,14,0)</f>
        <v>3</v>
      </c>
      <c r="M440">
        <f>VLOOKUP(D440,DROPDOWN!B:C,2,0)</f>
        <v>4</v>
      </c>
      <c r="N440" t="str">
        <f t="shared" si="24"/>
        <v>CO143:DG154</v>
      </c>
      <c r="O440" s="4">
        <f t="shared" ca="1" si="25"/>
        <v>34030.89</v>
      </c>
    </row>
    <row r="441" spans="1:15">
      <c r="A441" s="2" t="s">
        <v>13</v>
      </c>
      <c r="B441" t="s">
        <v>29</v>
      </c>
      <c r="C441" t="s">
        <v>30</v>
      </c>
      <c r="D441">
        <v>5</v>
      </c>
      <c r="E441" t="s">
        <v>46</v>
      </c>
      <c r="F441">
        <v>6</v>
      </c>
      <c r="G441">
        <v>2</v>
      </c>
      <c r="H441">
        <v>4</v>
      </c>
      <c r="I441">
        <v>1</v>
      </c>
      <c r="J441" s="4" t="s">
        <v>54</v>
      </c>
      <c r="K441" t="str">
        <f t="shared" si="23"/>
        <v>2+4</v>
      </c>
      <c r="L441">
        <f>VLOOKUP(A441,'ZONE 1 PREMIUM'!$A$4:$N$16,14,0)</f>
        <v>4</v>
      </c>
      <c r="M441">
        <f>VLOOKUP(D441,DROPDOWN!B:C,2,0)</f>
        <v>4</v>
      </c>
      <c r="N441" t="str">
        <f t="shared" si="24"/>
        <v>CO143:DG154</v>
      </c>
      <c r="O441" s="4">
        <f t="shared" ca="1" si="25"/>
        <v>38429.040000000001</v>
      </c>
    </row>
    <row r="442" spans="1:15">
      <c r="A442" s="2" t="s">
        <v>14</v>
      </c>
      <c r="B442" t="s">
        <v>31</v>
      </c>
      <c r="C442" t="s">
        <v>32</v>
      </c>
      <c r="D442">
        <v>5</v>
      </c>
      <c r="E442" t="s">
        <v>46</v>
      </c>
      <c r="F442">
        <v>6</v>
      </c>
      <c r="G442">
        <v>2</v>
      </c>
      <c r="H442">
        <v>4</v>
      </c>
      <c r="I442">
        <v>1</v>
      </c>
      <c r="J442" s="4" t="s">
        <v>54</v>
      </c>
      <c r="K442" t="str">
        <f t="shared" si="23"/>
        <v>2+4</v>
      </c>
      <c r="L442">
        <f>VLOOKUP(A442,'ZONE 1 PREMIUM'!$A$4:$N$16,14,0)</f>
        <v>5</v>
      </c>
      <c r="M442">
        <f>VLOOKUP(D442,DROPDOWN!B:C,2,0)</f>
        <v>4</v>
      </c>
      <c r="N442" t="str">
        <f t="shared" si="24"/>
        <v>CO143:DG154</v>
      </c>
      <c r="O442" s="4">
        <f t="shared" ca="1" si="25"/>
        <v>42915.48</v>
      </c>
    </row>
    <row r="443" spans="1:15">
      <c r="A443" s="2" t="s">
        <v>15</v>
      </c>
      <c r="B443" t="s">
        <v>33</v>
      </c>
      <c r="C443" t="s">
        <v>34</v>
      </c>
      <c r="D443">
        <v>5</v>
      </c>
      <c r="E443" t="s">
        <v>46</v>
      </c>
      <c r="F443">
        <v>6</v>
      </c>
      <c r="G443">
        <v>2</v>
      </c>
      <c r="H443">
        <v>4</v>
      </c>
      <c r="I443">
        <v>1</v>
      </c>
      <c r="J443" s="4" t="s">
        <v>54</v>
      </c>
      <c r="K443" t="str">
        <f t="shared" si="23"/>
        <v>2+4</v>
      </c>
      <c r="L443">
        <f>VLOOKUP(A443,'ZONE 1 PREMIUM'!$A$4:$N$16,14,0)</f>
        <v>6</v>
      </c>
      <c r="M443">
        <f>VLOOKUP(D443,DROPDOWN!B:C,2,0)</f>
        <v>4</v>
      </c>
      <c r="N443" t="str">
        <f t="shared" si="24"/>
        <v>CO143:DG154</v>
      </c>
      <c r="O443" s="4">
        <f t="shared" ca="1" si="25"/>
        <v>51775.000000000007</v>
      </c>
    </row>
    <row r="444" spans="1:15">
      <c r="A444" s="2" t="s">
        <v>16</v>
      </c>
      <c r="B444" t="s">
        <v>35</v>
      </c>
      <c r="C444" t="s">
        <v>36</v>
      </c>
      <c r="D444">
        <v>5</v>
      </c>
      <c r="E444" t="s">
        <v>46</v>
      </c>
      <c r="F444">
        <v>6</v>
      </c>
      <c r="G444">
        <v>2</v>
      </c>
      <c r="H444">
        <v>4</v>
      </c>
      <c r="I444">
        <v>1</v>
      </c>
      <c r="J444" s="4" t="s">
        <v>54</v>
      </c>
      <c r="K444" t="str">
        <f t="shared" si="23"/>
        <v>2+4</v>
      </c>
      <c r="L444">
        <f>VLOOKUP(A444,'ZONE 1 PREMIUM'!$A$4:$N$16,14,0)</f>
        <v>7</v>
      </c>
      <c r="M444">
        <f>VLOOKUP(D444,DROPDOWN!B:C,2,0)</f>
        <v>4</v>
      </c>
      <c r="N444" t="str">
        <f t="shared" si="24"/>
        <v>CO143:DG154</v>
      </c>
      <c r="O444" s="4">
        <f t="shared" ca="1" si="25"/>
        <v>63788.98</v>
      </c>
    </row>
    <row r="445" spans="1:15">
      <c r="A445" s="2" t="s">
        <v>17</v>
      </c>
      <c r="B445" t="s">
        <v>37</v>
      </c>
      <c r="C445" t="s">
        <v>38</v>
      </c>
      <c r="D445">
        <v>5</v>
      </c>
      <c r="E445" t="s">
        <v>46</v>
      </c>
      <c r="F445">
        <v>6</v>
      </c>
      <c r="G445">
        <v>2</v>
      </c>
      <c r="H445">
        <v>4</v>
      </c>
      <c r="I445">
        <v>1</v>
      </c>
      <c r="J445" s="4" t="s">
        <v>54</v>
      </c>
      <c r="K445" t="str">
        <f t="shared" si="23"/>
        <v>2+4</v>
      </c>
      <c r="L445">
        <f>VLOOKUP(A445,'ZONE 1 PREMIUM'!$A$4:$N$16,14,0)</f>
        <v>8</v>
      </c>
      <c r="M445">
        <f>VLOOKUP(D445,DROPDOWN!B:C,2,0)</f>
        <v>4</v>
      </c>
      <c r="N445" t="str">
        <f t="shared" si="24"/>
        <v>CO143:DG154</v>
      </c>
      <c r="O445" s="4">
        <f t="shared" ca="1" si="25"/>
        <v>80245.8</v>
      </c>
    </row>
    <row r="446" spans="1:15">
      <c r="A446" s="2" t="s">
        <v>18</v>
      </c>
      <c r="B446" t="s">
        <v>39</v>
      </c>
      <c r="C446" t="s">
        <v>40</v>
      </c>
      <c r="D446">
        <v>5</v>
      </c>
      <c r="E446" t="s">
        <v>46</v>
      </c>
      <c r="F446">
        <v>6</v>
      </c>
      <c r="G446">
        <v>2</v>
      </c>
      <c r="H446">
        <v>4</v>
      </c>
      <c r="I446">
        <v>1</v>
      </c>
      <c r="J446" s="4" t="s">
        <v>54</v>
      </c>
      <c r="K446" t="str">
        <f t="shared" si="23"/>
        <v>2+4</v>
      </c>
      <c r="L446">
        <f>VLOOKUP(A446,'ZONE 1 PREMIUM'!$A$4:$N$16,14,0)</f>
        <v>9</v>
      </c>
      <c r="M446">
        <f>VLOOKUP(D446,DROPDOWN!B:C,2,0)</f>
        <v>4</v>
      </c>
      <c r="N446" t="str">
        <f t="shared" si="24"/>
        <v>CO143:DG154</v>
      </c>
      <c r="O446" s="4">
        <f t="shared" ca="1" si="25"/>
        <v>102239.82</v>
      </c>
    </row>
    <row r="447" spans="1:15">
      <c r="A447" s="2" t="s">
        <v>19</v>
      </c>
      <c r="B447" t="s">
        <v>41</v>
      </c>
      <c r="C447" t="s">
        <v>42</v>
      </c>
      <c r="D447">
        <v>5</v>
      </c>
      <c r="E447" t="s">
        <v>46</v>
      </c>
      <c r="F447">
        <v>6</v>
      </c>
      <c r="G447">
        <v>2</v>
      </c>
      <c r="H447">
        <v>4</v>
      </c>
      <c r="I447">
        <v>1</v>
      </c>
      <c r="J447" s="4" t="s">
        <v>54</v>
      </c>
      <c r="K447" t="str">
        <f t="shared" si="23"/>
        <v>2+4</v>
      </c>
      <c r="L447">
        <f>VLOOKUP(A447,'ZONE 1 PREMIUM'!$A$4:$N$16,14,0)</f>
        <v>10</v>
      </c>
      <c r="M447">
        <f>VLOOKUP(D447,DROPDOWN!B:C,2,0)</f>
        <v>4</v>
      </c>
      <c r="N447" t="str">
        <f t="shared" si="24"/>
        <v>CO143:DG154</v>
      </c>
      <c r="O447" s="4">
        <f t="shared" ca="1" si="25"/>
        <v>130973.31000000001</v>
      </c>
    </row>
    <row r="448" spans="1:15">
      <c r="A448" s="2" t="s">
        <v>20</v>
      </c>
      <c r="B448" t="s">
        <v>43</v>
      </c>
      <c r="C448" t="s">
        <v>44</v>
      </c>
      <c r="D448">
        <v>5</v>
      </c>
      <c r="E448" t="s">
        <v>46</v>
      </c>
      <c r="F448">
        <v>6</v>
      </c>
      <c r="G448">
        <v>2</v>
      </c>
      <c r="H448">
        <v>4</v>
      </c>
      <c r="I448">
        <v>1</v>
      </c>
      <c r="J448" s="4" t="s">
        <v>54</v>
      </c>
      <c r="K448" t="str">
        <f t="shared" si="23"/>
        <v>2+4</v>
      </c>
      <c r="L448">
        <f>VLOOKUP(A448,'ZONE 1 PREMIUM'!$A$4:$N$16,14,0)</f>
        <v>11</v>
      </c>
      <c r="M448">
        <f>VLOOKUP(D448,DROPDOWN!B:C,2,0)</f>
        <v>4</v>
      </c>
      <c r="N448" t="str">
        <f t="shared" si="24"/>
        <v>CO143:DG154</v>
      </c>
      <c r="O448" s="4">
        <f t="shared" ca="1" si="25"/>
        <v>158642.96000000002</v>
      </c>
    </row>
    <row r="449" spans="1:15">
      <c r="A449" s="2" t="s">
        <v>21</v>
      </c>
      <c r="B449" t="s">
        <v>22</v>
      </c>
      <c r="D449">
        <v>5</v>
      </c>
      <c r="E449" t="s">
        <v>46</v>
      </c>
      <c r="F449">
        <v>6</v>
      </c>
      <c r="G449">
        <v>2</v>
      </c>
      <c r="H449">
        <v>4</v>
      </c>
      <c r="I449">
        <v>1</v>
      </c>
      <c r="J449" s="4" t="s">
        <v>54</v>
      </c>
      <c r="K449" t="str">
        <f t="shared" si="23"/>
        <v>2+4</v>
      </c>
      <c r="L449">
        <f>VLOOKUP(A449,'ZONE 1 PREMIUM'!$A$4:$N$16,14,0)</f>
        <v>12</v>
      </c>
      <c r="M449">
        <f>VLOOKUP(D449,DROPDOWN!B:C,2,0)</f>
        <v>4</v>
      </c>
      <c r="N449" t="str">
        <f t="shared" si="24"/>
        <v>CO143:DG154</v>
      </c>
      <c r="O449" s="4">
        <f t="shared" ca="1" si="25"/>
        <v>197778.32</v>
      </c>
    </row>
    <row r="450" spans="1:15">
      <c r="A450" s="2" t="s">
        <v>9</v>
      </c>
      <c r="B450" t="s">
        <v>47</v>
      </c>
      <c r="C450" t="s">
        <v>48</v>
      </c>
      <c r="D450">
        <v>7</v>
      </c>
      <c r="E450" t="s">
        <v>26</v>
      </c>
      <c r="F450">
        <v>1</v>
      </c>
      <c r="H450">
        <v>1</v>
      </c>
      <c r="I450">
        <v>1</v>
      </c>
      <c r="J450" s="4" t="s">
        <v>52</v>
      </c>
      <c r="K450" t="str">
        <f t="shared" si="23"/>
        <v>+1</v>
      </c>
      <c r="L450">
        <f>VLOOKUP(A450,'ZONE 1 PREMIUM'!$A$3:$M$16,13,0)</f>
        <v>2</v>
      </c>
      <c r="M450">
        <f>VLOOKUP(D450,DROPDOWN!B:C,2,0)</f>
        <v>5</v>
      </c>
      <c r="N450" t="e">
        <f t="shared" ref="N450:N513" si="26">VLOOKUP(K450,$AQ$3:$AR$12,2,0)</f>
        <v>#N/A</v>
      </c>
      <c r="O450" s="13">
        <v>3596.2461352458467</v>
      </c>
    </row>
    <row r="451" spans="1:15">
      <c r="A451" s="2" t="s">
        <v>10</v>
      </c>
      <c r="B451" t="s">
        <v>49</v>
      </c>
      <c r="C451" t="s">
        <v>50</v>
      </c>
      <c r="D451">
        <v>7</v>
      </c>
      <c r="E451" t="s">
        <v>26</v>
      </c>
      <c r="F451">
        <v>1</v>
      </c>
      <c r="G451">
        <v>1</v>
      </c>
      <c r="H451">
        <v>0</v>
      </c>
      <c r="I451">
        <v>1</v>
      </c>
      <c r="J451" s="4" t="s">
        <v>52</v>
      </c>
      <c r="K451" t="str">
        <f t="shared" si="23"/>
        <v>1+0</v>
      </c>
      <c r="L451">
        <f>VLOOKUP(A451,'ZONE 1 PREMIUM'!$A$3:$M$16,13,0)</f>
        <v>3</v>
      </c>
      <c r="M451">
        <f>VLOOKUP(D451,DROPDOWN!B:C,2,0)</f>
        <v>5</v>
      </c>
      <c r="N451" t="str">
        <f t="shared" si="26"/>
        <v>X3:AP16</v>
      </c>
      <c r="O451" s="4">
        <f t="shared" ref="O451:O513" ca="1" si="27">INDEX(INDIRECT(N451),L451,M451)</f>
        <v>6346.8499999999995</v>
      </c>
    </row>
    <row r="452" spans="1:15">
      <c r="A452" s="2" t="s">
        <v>11</v>
      </c>
      <c r="B452" t="s">
        <v>45</v>
      </c>
      <c r="C452" t="s">
        <v>25</v>
      </c>
      <c r="D452">
        <v>7</v>
      </c>
      <c r="E452" t="s">
        <v>26</v>
      </c>
      <c r="F452">
        <v>1</v>
      </c>
      <c r="G452">
        <v>1</v>
      </c>
      <c r="H452">
        <v>0</v>
      </c>
      <c r="I452">
        <v>1</v>
      </c>
      <c r="J452" s="4" t="s">
        <v>52</v>
      </c>
      <c r="K452" t="str">
        <f t="shared" ref="K452:K515" si="28">G452&amp;"+"&amp;H452</f>
        <v>1+0</v>
      </c>
      <c r="L452">
        <f>VLOOKUP(A452,'ZONE 1 PREMIUM'!$A$3:$M$16,13,0)</f>
        <v>4</v>
      </c>
      <c r="M452">
        <f>VLOOKUP(D452,DROPDOWN!B:C,2,0)</f>
        <v>5</v>
      </c>
      <c r="N452" t="str">
        <f t="shared" si="26"/>
        <v>X3:AP16</v>
      </c>
      <c r="O452" s="4">
        <f t="shared" ca="1" si="27"/>
        <v>17001.599999999999</v>
      </c>
    </row>
    <row r="453" spans="1:15">
      <c r="A453" s="2" t="s">
        <v>12</v>
      </c>
      <c r="B453" t="s">
        <v>27</v>
      </c>
      <c r="C453" t="s">
        <v>28</v>
      </c>
      <c r="D453">
        <v>7</v>
      </c>
      <c r="E453" t="s">
        <v>26</v>
      </c>
      <c r="F453">
        <v>1</v>
      </c>
      <c r="G453">
        <v>1</v>
      </c>
      <c r="H453">
        <v>0</v>
      </c>
      <c r="I453">
        <v>1</v>
      </c>
      <c r="J453" s="4" t="s">
        <v>52</v>
      </c>
      <c r="K453" t="str">
        <f t="shared" si="28"/>
        <v>1+0</v>
      </c>
      <c r="L453">
        <f>VLOOKUP(A453,'ZONE 1 PREMIUM'!$A$3:$M$16,13,0)</f>
        <v>5</v>
      </c>
      <c r="M453">
        <f>VLOOKUP(D453,DROPDOWN!B:C,2,0)</f>
        <v>5</v>
      </c>
      <c r="N453" t="str">
        <f t="shared" si="26"/>
        <v>X3:AP16</v>
      </c>
      <c r="O453" s="4">
        <f t="shared" ca="1" si="27"/>
        <v>19554.599999999999</v>
      </c>
    </row>
    <row r="454" spans="1:15">
      <c r="A454" s="2" t="s">
        <v>13</v>
      </c>
      <c r="B454" t="s">
        <v>29</v>
      </c>
      <c r="C454" t="s">
        <v>30</v>
      </c>
      <c r="D454">
        <v>7</v>
      </c>
      <c r="E454" t="s">
        <v>26</v>
      </c>
      <c r="F454">
        <v>1</v>
      </c>
      <c r="G454">
        <v>1</v>
      </c>
      <c r="H454">
        <v>0</v>
      </c>
      <c r="I454">
        <v>1</v>
      </c>
      <c r="J454" s="4" t="s">
        <v>52</v>
      </c>
      <c r="K454" t="str">
        <f t="shared" si="28"/>
        <v>1+0</v>
      </c>
      <c r="L454">
        <f>VLOOKUP(A454,'ZONE 1 PREMIUM'!$A$3:$M$16,13,0)</f>
        <v>6</v>
      </c>
      <c r="M454">
        <f>VLOOKUP(D454,DROPDOWN!B:C,2,0)</f>
        <v>5</v>
      </c>
      <c r="N454" t="str">
        <f t="shared" si="26"/>
        <v>X3:AP16</v>
      </c>
      <c r="O454" s="4">
        <f t="shared" ca="1" si="27"/>
        <v>22563</v>
      </c>
    </row>
    <row r="455" spans="1:15">
      <c r="A455" s="2" t="s">
        <v>14</v>
      </c>
      <c r="B455" t="s">
        <v>31</v>
      </c>
      <c r="C455" t="s">
        <v>32</v>
      </c>
      <c r="D455">
        <v>7</v>
      </c>
      <c r="E455" t="s">
        <v>26</v>
      </c>
      <c r="F455">
        <v>1</v>
      </c>
      <c r="G455">
        <v>1</v>
      </c>
      <c r="H455">
        <v>0</v>
      </c>
      <c r="I455">
        <v>1</v>
      </c>
      <c r="J455" s="4" t="s">
        <v>52</v>
      </c>
      <c r="K455" t="str">
        <f t="shared" si="28"/>
        <v>1+0</v>
      </c>
      <c r="L455">
        <f>VLOOKUP(A455,'ZONE 1 PREMIUM'!$A$3:$M$16,13,0)</f>
        <v>7</v>
      </c>
      <c r="M455">
        <f>VLOOKUP(D455,DROPDOWN!B:C,2,0)</f>
        <v>5</v>
      </c>
      <c r="N455" t="str">
        <f t="shared" si="26"/>
        <v>X3:AP16</v>
      </c>
      <c r="O455" s="4">
        <f t="shared" ca="1" si="27"/>
        <v>26256.799999999999</v>
      </c>
    </row>
    <row r="456" spans="1:15">
      <c r="A456" s="2" t="s">
        <v>15</v>
      </c>
      <c r="B456" t="s">
        <v>33</v>
      </c>
      <c r="C456" t="s">
        <v>34</v>
      </c>
      <c r="D456">
        <v>7</v>
      </c>
      <c r="E456" t="s">
        <v>26</v>
      </c>
      <c r="F456">
        <v>1</v>
      </c>
      <c r="G456">
        <v>1</v>
      </c>
      <c r="H456">
        <v>0</v>
      </c>
      <c r="I456">
        <v>1</v>
      </c>
      <c r="J456" s="4" t="s">
        <v>52</v>
      </c>
      <c r="K456" t="str">
        <f t="shared" si="28"/>
        <v>1+0</v>
      </c>
      <c r="L456">
        <f>VLOOKUP(A456,'ZONE 1 PREMIUM'!$A$3:$M$16,13,0)</f>
        <v>8</v>
      </c>
      <c r="M456">
        <f>VLOOKUP(D456,DROPDOWN!B:C,2,0)</f>
        <v>5</v>
      </c>
      <c r="N456" t="str">
        <f t="shared" si="26"/>
        <v>X3:AP16</v>
      </c>
      <c r="O456" s="4">
        <f t="shared" ca="1" si="27"/>
        <v>32584.1</v>
      </c>
    </row>
    <row r="457" spans="1:15">
      <c r="A457" s="2" t="s">
        <v>16</v>
      </c>
      <c r="B457" t="s">
        <v>35</v>
      </c>
      <c r="C457" t="s">
        <v>36</v>
      </c>
      <c r="D457">
        <v>7</v>
      </c>
      <c r="E457" t="s">
        <v>26</v>
      </c>
      <c r="F457">
        <v>1</v>
      </c>
      <c r="G457">
        <v>1</v>
      </c>
      <c r="H457">
        <v>0</v>
      </c>
      <c r="I457">
        <v>1</v>
      </c>
      <c r="J457" s="4" t="s">
        <v>52</v>
      </c>
      <c r="K457" t="str">
        <f t="shared" si="28"/>
        <v>1+0</v>
      </c>
      <c r="L457">
        <f>VLOOKUP(A457,'ZONE 1 PREMIUM'!$A$3:$M$16,13,0)</f>
        <v>9</v>
      </c>
      <c r="M457">
        <f>VLOOKUP(D457,DROPDOWN!B:C,2,0)</f>
        <v>5</v>
      </c>
      <c r="N457" t="str">
        <f t="shared" si="26"/>
        <v>X3:AP16</v>
      </c>
      <c r="O457" s="4">
        <f t="shared" ca="1" si="27"/>
        <v>42850.149999999994</v>
      </c>
    </row>
    <row r="458" spans="1:15">
      <c r="A458" s="2" t="s">
        <v>17</v>
      </c>
      <c r="B458" t="s">
        <v>37</v>
      </c>
      <c r="C458" t="s">
        <v>38</v>
      </c>
      <c r="D458">
        <v>7</v>
      </c>
      <c r="E458" t="s">
        <v>26</v>
      </c>
      <c r="F458">
        <v>1</v>
      </c>
      <c r="G458">
        <v>1</v>
      </c>
      <c r="H458">
        <v>0</v>
      </c>
      <c r="I458">
        <v>1</v>
      </c>
      <c r="J458" s="4" t="s">
        <v>52</v>
      </c>
      <c r="K458" t="str">
        <f t="shared" si="28"/>
        <v>1+0</v>
      </c>
      <c r="L458">
        <f>VLOOKUP(A458,'ZONE 1 PREMIUM'!$A$3:$M$16,13,0)</f>
        <v>10</v>
      </c>
      <c r="M458">
        <f>VLOOKUP(D458,DROPDOWN!B:C,2,0)</f>
        <v>5</v>
      </c>
      <c r="N458" t="str">
        <f t="shared" si="26"/>
        <v>X3:AP16</v>
      </c>
      <c r="O458" s="4">
        <f t="shared" ca="1" si="27"/>
        <v>57992.2</v>
      </c>
    </row>
    <row r="459" spans="1:15">
      <c r="A459" s="2" t="s">
        <v>18</v>
      </c>
      <c r="B459" t="s">
        <v>39</v>
      </c>
      <c r="C459" t="s">
        <v>40</v>
      </c>
      <c r="D459">
        <v>7</v>
      </c>
      <c r="E459" t="s">
        <v>26</v>
      </c>
      <c r="F459">
        <v>1</v>
      </c>
      <c r="G459">
        <v>1</v>
      </c>
      <c r="H459">
        <v>0</v>
      </c>
      <c r="I459">
        <v>1</v>
      </c>
      <c r="J459" s="4" t="s">
        <v>52</v>
      </c>
      <c r="K459" t="str">
        <f t="shared" si="28"/>
        <v>1+0</v>
      </c>
      <c r="L459">
        <f>VLOOKUP(A459,'ZONE 1 PREMIUM'!$A$3:$M$16,13,0)</f>
        <v>11</v>
      </c>
      <c r="M459">
        <f>VLOOKUP(D459,DROPDOWN!B:C,2,0)</f>
        <v>5</v>
      </c>
      <c r="N459" t="str">
        <f t="shared" si="26"/>
        <v>X3:AP16</v>
      </c>
      <c r="O459" s="4">
        <f t="shared" ca="1" si="27"/>
        <v>80142.349999999991</v>
      </c>
    </row>
    <row r="460" spans="1:15">
      <c r="A460" s="2" t="s">
        <v>19</v>
      </c>
      <c r="B460" t="s">
        <v>41</v>
      </c>
      <c r="C460" t="s">
        <v>42</v>
      </c>
      <c r="D460">
        <v>7</v>
      </c>
      <c r="E460" t="s">
        <v>26</v>
      </c>
      <c r="F460">
        <v>1</v>
      </c>
      <c r="G460">
        <v>1</v>
      </c>
      <c r="H460">
        <v>0</v>
      </c>
      <c r="I460">
        <v>1</v>
      </c>
      <c r="J460" s="4" t="s">
        <v>52</v>
      </c>
      <c r="K460" t="str">
        <f t="shared" si="28"/>
        <v>1+0</v>
      </c>
      <c r="L460">
        <f>VLOOKUP(A460,'ZONE 1 PREMIUM'!$A$3:$M$16,13,0)</f>
        <v>12</v>
      </c>
      <c r="M460">
        <f>VLOOKUP(D460,DROPDOWN!B:C,2,0)</f>
        <v>5</v>
      </c>
      <c r="N460" t="str">
        <f t="shared" si="26"/>
        <v>X3:AP16</v>
      </c>
      <c r="O460" s="4">
        <f t="shared" ca="1" si="27"/>
        <v>102241.9</v>
      </c>
    </row>
    <row r="461" spans="1:15">
      <c r="A461" s="2" t="s">
        <v>20</v>
      </c>
      <c r="B461" t="s">
        <v>43</v>
      </c>
      <c r="C461" t="s">
        <v>44</v>
      </c>
      <c r="D461">
        <v>7</v>
      </c>
      <c r="E461" t="s">
        <v>26</v>
      </c>
      <c r="F461">
        <v>1</v>
      </c>
      <c r="G461">
        <v>1</v>
      </c>
      <c r="H461">
        <v>0</v>
      </c>
      <c r="I461">
        <v>1</v>
      </c>
      <c r="J461" s="4" t="s">
        <v>52</v>
      </c>
      <c r="K461" t="str">
        <f t="shared" si="28"/>
        <v>1+0</v>
      </c>
      <c r="L461">
        <f>VLOOKUP(A461,'ZONE 1 PREMIUM'!$A$3:$M$16,13,0)</f>
        <v>13</v>
      </c>
      <c r="M461">
        <f>VLOOKUP(D461,DROPDOWN!B:C,2,0)</f>
        <v>5</v>
      </c>
      <c r="N461" t="str">
        <f t="shared" si="26"/>
        <v>X3:AP16</v>
      </c>
      <c r="O461" s="4">
        <f t="shared" ca="1" si="27"/>
        <v>122635.99999999999</v>
      </c>
    </row>
    <row r="462" spans="1:15">
      <c r="A462" s="2" t="s">
        <v>21</v>
      </c>
      <c r="B462" t="s">
        <v>22</v>
      </c>
      <c r="D462">
        <v>7</v>
      </c>
      <c r="E462" t="s">
        <v>26</v>
      </c>
      <c r="F462">
        <v>1</v>
      </c>
      <c r="G462">
        <v>1</v>
      </c>
      <c r="H462">
        <v>0</v>
      </c>
      <c r="I462">
        <v>1</v>
      </c>
      <c r="J462" s="4" t="s">
        <v>52</v>
      </c>
      <c r="K462" t="str">
        <f t="shared" si="28"/>
        <v>1+0</v>
      </c>
      <c r="L462">
        <f>VLOOKUP(A462,'ZONE 1 PREMIUM'!$A$3:$M$16,13,0)</f>
        <v>14</v>
      </c>
      <c r="M462">
        <f>VLOOKUP(D462,DROPDOWN!B:C,2,0)</f>
        <v>5</v>
      </c>
      <c r="N462" t="str">
        <f t="shared" si="26"/>
        <v>X3:AP16</v>
      </c>
      <c r="O462" s="4">
        <f t="shared" ca="1" si="27"/>
        <v>164409.75</v>
      </c>
    </row>
    <row r="463" spans="1:15">
      <c r="A463" s="2" t="s">
        <v>11</v>
      </c>
      <c r="B463" t="s">
        <v>45</v>
      </c>
      <c r="C463" t="s">
        <v>25</v>
      </c>
      <c r="D463">
        <v>7</v>
      </c>
      <c r="E463" t="s">
        <v>46</v>
      </c>
      <c r="F463">
        <v>2</v>
      </c>
      <c r="G463">
        <v>1</v>
      </c>
      <c r="H463">
        <v>1</v>
      </c>
      <c r="I463">
        <v>1</v>
      </c>
      <c r="J463" s="4" t="s">
        <v>52</v>
      </c>
      <c r="K463" t="str">
        <f t="shared" si="28"/>
        <v>1+1</v>
      </c>
      <c r="L463">
        <f>VLOOKUP(A463,'ZONE 1 PREMIUM'!$A$4:$N$16,14,0)</f>
        <v>2</v>
      </c>
      <c r="M463">
        <f>VLOOKUP(D463,DROPDOWN!B:C,2,0)</f>
        <v>5</v>
      </c>
      <c r="N463" t="str">
        <f t="shared" si="26"/>
        <v>X20:AP31</v>
      </c>
      <c r="O463" s="4">
        <f t="shared" ca="1" si="27"/>
        <v>17891.699999999997</v>
      </c>
    </row>
    <row r="464" spans="1:15">
      <c r="A464" s="2" t="s">
        <v>12</v>
      </c>
      <c r="B464" t="s">
        <v>27</v>
      </c>
      <c r="C464" t="s">
        <v>28</v>
      </c>
      <c r="D464">
        <v>7</v>
      </c>
      <c r="E464" t="s">
        <v>46</v>
      </c>
      <c r="F464">
        <v>2</v>
      </c>
      <c r="G464">
        <v>1</v>
      </c>
      <c r="H464">
        <v>1</v>
      </c>
      <c r="I464">
        <v>1</v>
      </c>
      <c r="J464" s="4" t="s">
        <v>52</v>
      </c>
      <c r="K464" t="str">
        <f t="shared" si="28"/>
        <v>1+1</v>
      </c>
      <c r="L464">
        <f>VLOOKUP(A464,'ZONE 1 PREMIUM'!$A$4:$N$16,14,0)</f>
        <v>3</v>
      </c>
      <c r="M464">
        <f>VLOOKUP(D464,DROPDOWN!B:C,2,0)</f>
        <v>5</v>
      </c>
      <c r="N464" t="str">
        <f t="shared" si="26"/>
        <v>X20:AP31</v>
      </c>
      <c r="O464" s="4">
        <f t="shared" ca="1" si="27"/>
        <v>19804.149999999998</v>
      </c>
    </row>
    <row r="465" spans="1:15">
      <c r="A465" s="2" t="s">
        <v>13</v>
      </c>
      <c r="B465" t="s">
        <v>29</v>
      </c>
      <c r="C465" t="s">
        <v>30</v>
      </c>
      <c r="D465">
        <v>7</v>
      </c>
      <c r="E465" t="s">
        <v>46</v>
      </c>
      <c r="F465">
        <v>2</v>
      </c>
      <c r="G465">
        <v>1</v>
      </c>
      <c r="H465">
        <v>1</v>
      </c>
      <c r="I465">
        <v>1</v>
      </c>
      <c r="J465" s="4" t="s">
        <v>52</v>
      </c>
      <c r="K465" t="str">
        <f t="shared" si="28"/>
        <v>1+1</v>
      </c>
      <c r="L465">
        <f>VLOOKUP(A465,'ZONE 1 PREMIUM'!$A$4:$N$16,14,0)</f>
        <v>4</v>
      </c>
      <c r="M465">
        <f>VLOOKUP(D465,DROPDOWN!B:C,2,0)</f>
        <v>5</v>
      </c>
      <c r="N465" t="str">
        <f t="shared" si="26"/>
        <v>X20:AP31</v>
      </c>
      <c r="O465" s="4">
        <f t="shared" ca="1" si="27"/>
        <v>22866.6</v>
      </c>
    </row>
    <row r="466" spans="1:15">
      <c r="A466" s="2" t="s">
        <v>14</v>
      </c>
      <c r="B466" t="s">
        <v>31</v>
      </c>
      <c r="C466" t="s">
        <v>32</v>
      </c>
      <c r="D466">
        <v>7</v>
      </c>
      <c r="E466" t="s">
        <v>46</v>
      </c>
      <c r="F466">
        <v>2</v>
      </c>
      <c r="G466">
        <v>1</v>
      </c>
      <c r="H466">
        <v>1</v>
      </c>
      <c r="I466">
        <v>1</v>
      </c>
      <c r="J466" s="4" t="s">
        <v>52</v>
      </c>
      <c r="K466" t="str">
        <f t="shared" si="28"/>
        <v>1+1</v>
      </c>
      <c r="L466">
        <f>VLOOKUP(A466,'ZONE 1 PREMIUM'!$A$4:$N$16,14,0)</f>
        <v>5</v>
      </c>
      <c r="M466">
        <f>VLOOKUP(D466,DROPDOWN!B:C,2,0)</f>
        <v>5</v>
      </c>
      <c r="N466" t="str">
        <f t="shared" si="26"/>
        <v>X20:AP31</v>
      </c>
      <c r="O466" s="4">
        <f t="shared" ca="1" si="27"/>
        <v>26891.599999999999</v>
      </c>
    </row>
    <row r="467" spans="1:15">
      <c r="A467" s="2" t="s">
        <v>15</v>
      </c>
      <c r="B467" t="s">
        <v>33</v>
      </c>
      <c r="C467" t="s">
        <v>34</v>
      </c>
      <c r="D467">
        <v>7</v>
      </c>
      <c r="E467" t="s">
        <v>46</v>
      </c>
      <c r="F467">
        <v>2</v>
      </c>
      <c r="G467">
        <v>1</v>
      </c>
      <c r="H467">
        <v>1</v>
      </c>
      <c r="I467">
        <v>1</v>
      </c>
      <c r="J467" s="4" t="s">
        <v>52</v>
      </c>
      <c r="K467" t="str">
        <f t="shared" si="28"/>
        <v>1+1</v>
      </c>
      <c r="L467">
        <f>VLOOKUP(A467,'ZONE 1 PREMIUM'!$A$4:$N$16,14,0)</f>
        <v>6</v>
      </c>
      <c r="M467">
        <f>VLOOKUP(D467,DROPDOWN!B:C,2,0)</f>
        <v>5</v>
      </c>
      <c r="N467" t="str">
        <f t="shared" si="26"/>
        <v>X20:AP31</v>
      </c>
      <c r="O467" s="4">
        <f t="shared" ca="1" si="27"/>
        <v>34506.899999999994</v>
      </c>
    </row>
    <row r="468" spans="1:15">
      <c r="A468" s="2" t="s">
        <v>16</v>
      </c>
      <c r="B468" t="s">
        <v>35</v>
      </c>
      <c r="C468" t="s">
        <v>36</v>
      </c>
      <c r="D468">
        <v>7</v>
      </c>
      <c r="E468" t="s">
        <v>46</v>
      </c>
      <c r="F468">
        <v>2</v>
      </c>
      <c r="G468">
        <v>1</v>
      </c>
      <c r="H468">
        <v>1</v>
      </c>
      <c r="I468">
        <v>1</v>
      </c>
      <c r="J468" s="4" t="s">
        <v>52</v>
      </c>
      <c r="K468" t="str">
        <f t="shared" si="28"/>
        <v>1+1</v>
      </c>
      <c r="L468">
        <f>VLOOKUP(A468,'ZONE 1 PREMIUM'!$A$4:$N$16,14,0)</f>
        <v>7</v>
      </c>
      <c r="M468">
        <f>VLOOKUP(D468,DROPDOWN!B:C,2,0)</f>
        <v>5</v>
      </c>
      <c r="N468" t="str">
        <f t="shared" si="26"/>
        <v>X20:AP31</v>
      </c>
      <c r="O468" s="4">
        <f t="shared" ca="1" si="27"/>
        <v>44779.85</v>
      </c>
    </row>
    <row r="469" spans="1:15">
      <c r="A469" s="2" t="s">
        <v>17</v>
      </c>
      <c r="B469" t="s">
        <v>37</v>
      </c>
      <c r="C469" t="s">
        <v>38</v>
      </c>
      <c r="D469">
        <v>7</v>
      </c>
      <c r="E469" t="s">
        <v>46</v>
      </c>
      <c r="F469">
        <v>2</v>
      </c>
      <c r="G469">
        <v>1</v>
      </c>
      <c r="H469">
        <v>1</v>
      </c>
      <c r="I469">
        <v>1</v>
      </c>
      <c r="J469" s="4" t="s">
        <v>52</v>
      </c>
      <c r="K469" t="str">
        <f t="shared" si="28"/>
        <v>1+1</v>
      </c>
      <c r="L469">
        <f>VLOOKUP(A469,'ZONE 1 PREMIUM'!$A$4:$N$16,14,0)</f>
        <v>8</v>
      </c>
      <c r="M469">
        <f>VLOOKUP(D469,DROPDOWN!B:C,2,0)</f>
        <v>5</v>
      </c>
      <c r="N469" t="str">
        <f t="shared" si="26"/>
        <v>X20:AP31</v>
      </c>
      <c r="O469" s="4">
        <f t="shared" ca="1" si="27"/>
        <v>59231.899999999994</v>
      </c>
    </row>
    <row r="470" spans="1:15">
      <c r="A470" s="2" t="s">
        <v>18</v>
      </c>
      <c r="B470" t="s">
        <v>39</v>
      </c>
      <c r="C470" t="s">
        <v>40</v>
      </c>
      <c r="D470">
        <v>7</v>
      </c>
      <c r="E470" t="s">
        <v>46</v>
      </c>
      <c r="F470">
        <v>2</v>
      </c>
      <c r="G470">
        <v>1</v>
      </c>
      <c r="H470">
        <v>1</v>
      </c>
      <c r="I470">
        <v>1</v>
      </c>
      <c r="J470" s="4" t="s">
        <v>52</v>
      </c>
      <c r="K470" t="str">
        <f t="shared" si="28"/>
        <v>1+1</v>
      </c>
      <c r="L470">
        <f>VLOOKUP(A470,'ZONE 1 PREMIUM'!$A$4:$N$16,14,0)</f>
        <v>9</v>
      </c>
      <c r="M470">
        <f>VLOOKUP(D470,DROPDOWN!B:C,2,0)</f>
        <v>5</v>
      </c>
      <c r="N470" t="str">
        <f t="shared" si="26"/>
        <v>X20:AP31</v>
      </c>
      <c r="O470" s="4">
        <f t="shared" ca="1" si="27"/>
        <v>82624.049999999988</v>
      </c>
    </row>
    <row r="471" spans="1:15">
      <c r="A471" s="2" t="s">
        <v>19</v>
      </c>
      <c r="B471" t="s">
        <v>41</v>
      </c>
      <c r="C471" t="s">
        <v>42</v>
      </c>
      <c r="D471">
        <v>7</v>
      </c>
      <c r="E471" t="s">
        <v>46</v>
      </c>
      <c r="F471">
        <v>2</v>
      </c>
      <c r="G471">
        <v>1</v>
      </c>
      <c r="H471">
        <v>1</v>
      </c>
      <c r="I471">
        <v>1</v>
      </c>
      <c r="J471" s="4" t="s">
        <v>52</v>
      </c>
      <c r="K471" t="str">
        <f t="shared" si="28"/>
        <v>1+1</v>
      </c>
      <c r="L471">
        <f>VLOOKUP(A471,'ZONE 1 PREMIUM'!$A$4:$N$16,14,0)</f>
        <v>10</v>
      </c>
      <c r="M471">
        <f>VLOOKUP(D471,DROPDOWN!B:C,2,0)</f>
        <v>5</v>
      </c>
      <c r="N471" t="str">
        <f t="shared" si="26"/>
        <v>X20:AP31</v>
      </c>
      <c r="O471" s="4">
        <f t="shared" ca="1" si="27"/>
        <v>104613.2</v>
      </c>
    </row>
    <row r="472" spans="1:15">
      <c r="A472" s="2" t="s">
        <v>20</v>
      </c>
      <c r="B472" t="s">
        <v>43</v>
      </c>
      <c r="C472" t="s">
        <v>44</v>
      </c>
      <c r="D472">
        <v>7</v>
      </c>
      <c r="E472" t="s">
        <v>46</v>
      </c>
      <c r="F472">
        <v>2</v>
      </c>
      <c r="G472">
        <v>1</v>
      </c>
      <c r="H472">
        <v>1</v>
      </c>
      <c r="I472">
        <v>1</v>
      </c>
      <c r="J472" s="4" t="s">
        <v>52</v>
      </c>
      <c r="K472" t="str">
        <f t="shared" si="28"/>
        <v>1+1</v>
      </c>
      <c r="L472">
        <f>VLOOKUP(A472,'ZONE 1 PREMIUM'!$A$4:$N$16,14,0)</f>
        <v>11</v>
      </c>
      <c r="M472">
        <f>VLOOKUP(D472,DROPDOWN!B:C,2,0)</f>
        <v>5</v>
      </c>
      <c r="N472" t="str">
        <f t="shared" si="26"/>
        <v>X20:AP31</v>
      </c>
      <c r="O472" s="4">
        <f t="shared" ca="1" si="27"/>
        <v>123256.99999999999</v>
      </c>
    </row>
    <row r="473" spans="1:15">
      <c r="A473" s="2" t="s">
        <v>21</v>
      </c>
      <c r="B473" t="s">
        <v>22</v>
      </c>
      <c r="D473">
        <v>7</v>
      </c>
      <c r="E473" t="s">
        <v>46</v>
      </c>
      <c r="F473">
        <v>2</v>
      </c>
      <c r="G473">
        <v>1</v>
      </c>
      <c r="H473">
        <v>1</v>
      </c>
      <c r="I473">
        <v>1</v>
      </c>
      <c r="J473" s="4" t="s">
        <v>52</v>
      </c>
      <c r="K473" t="str">
        <f t="shared" si="28"/>
        <v>1+1</v>
      </c>
      <c r="L473">
        <f>VLOOKUP(A473,'ZONE 1 PREMIUM'!$A$4:$N$16,14,0)</f>
        <v>12</v>
      </c>
      <c r="M473">
        <f>VLOOKUP(D473,DROPDOWN!B:C,2,0)</f>
        <v>5</v>
      </c>
      <c r="N473" t="str">
        <f t="shared" si="26"/>
        <v>X20:AP31</v>
      </c>
      <c r="O473" s="4">
        <f t="shared" ca="1" si="27"/>
        <v>167082.34999999998</v>
      </c>
    </row>
    <row r="474" spans="1:15">
      <c r="A474" s="2" t="s">
        <v>11</v>
      </c>
      <c r="B474" t="s">
        <v>45</v>
      </c>
      <c r="C474" t="s">
        <v>25</v>
      </c>
      <c r="D474">
        <v>7</v>
      </c>
      <c r="E474" t="s">
        <v>46</v>
      </c>
      <c r="F474">
        <v>3</v>
      </c>
      <c r="G474">
        <v>1</v>
      </c>
      <c r="H474">
        <v>2</v>
      </c>
      <c r="I474">
        <v>1</v>
      </c>
      <c r="J474" s="4" t="s">
        <v>52</v>
      </c>
      <c r="K474" t="str">
        <f t="shared" si="28"/>
        <v>1+2</v>
      </c>
      <c r="L474">
        <f>VLOOKUP(A474,'ZONE 1 PREMIUM'!$A$4:$N$16,14,0)</f>
        <v>2</v>
      </c>
      <c r="M474">
        <f>VLOOKUP(D474,DROPDOWN!B:C,2,0)</f>
        <v>5</v>
      </c>
      <c r="N474" t="str">
        <f t="shared" si="26"/>
        <v>X35:AP46</v>
      </c>
      <c r="O474" s="4">
        <f t="shared" ca="1" si="27"/>
        <v>23100.05</v>
      </c>
    </row>
    <row r="475" spans="1:15">
      <c r="A475" s="2" t="s">
        <v>12</v>
      </c>
      <c r="B475" t="s">
        <v>27</v>
      </c>
      <c r="C475" t="s">
        <v>28</v>
      </c>
      <c r="D475">
        <v>7</v>
      </c>
      <c r="E475" t="s">
        <v>46</v>
      </c>
      <c r="F475">
        <v>3</v>
      </c>
      <c r="G475">
        <v>1</v>
      </c>
      <c r="H475">
        <v>2</v>
      </c>
      <c r="I475">
        <v>1</v>
      </c>
      <c r="J475" s="4" t="s">
        <v>52</v>
      </c>
      <c r="K475" t="str">
        <f t="shared" si="28"/>
        <v>1+2</v>
      </c>
      <c r="L475">
        <f>VLOOKUP(A475,'ZONE 1 PREMIUM'!$A$4:$N$16,14,0)</f>
        <v>3</v>
      </c>
      <c r="M475">
        <f>VLOOKUP(D475,DROPDOWN!B:C,2,0)</f>
        <v>5</v>
      </c>
      <c r="N475" t="str">
        <f t="shared" si="26"/>
        <v>X35:AP46</v>
      </c>
      <c r="O475" s="4">
        <f t="shared" ca="1" si="27"/>
        <v>24820.449999999997</v>
      </c>
    </row>
    <row r="476" spans="1:15">
      <c r="A476" s="2" t="s">
        <v>13</v>
      </c>
      <c r="B476" t="s">
        <v>29</v>
      </c>
      <c r="C476" t="s">
        <v>30</v>
      </c>
      <c r="D476">
        <v>7</v>
      </c>
      <c r="E476" t="s">
        <v>46</v>
      </c>
      <c r="F476">
        <v>3</v>
      </c>
      <c r="G476">
        <v>1</v>
      </c>
      <c r="H476">
        <v>2</v>
      </c>
      <c r="I476">
        <v>1</v>
      </c>
      <c r="J476" s="4" t="s">
        <v>52</v>
      </c>
      <c r="K476" t="str">
        <f t="shared" si="28"/>
        <v>1+2</v>
      </c>
      <c r="L476">
        <f>VLOOKUP(A476,'ZONE 1 PREMIUM'!$A$4:$N$16,14,0)</f>
        <v>4</v>
      </c>
      <c r="M476">
        <f>VLOOKUP(D476,DROPDOWN!B:C,2,0)</f>
        <v>5</v>
      </c>
      <c r="N476" t="str">
        <f t="shared" si="26"/>
        <v>X35:AP46</v>
      </c>
      <c r="O476" s="4">
        <f t="shared" ca="1" si="27"/>
        <v>28676.399999999998</v>
      </c>
    </row>
    <row r="477" spans="1:15">
      <c r="A477" s="2" t="s">
        <v>14</v>
      </c>
      <c r="B477" t="s">
        <v>31</v>
      </c>
      <c r="C477" t="s">
        <v>32</v>
      </c>
      <c r="D477">
        <v>7</v>
      </c>
      <c r="E477" t="s">
        <v>46</v>
      </c>
      <c r="F477">
        <v>3</v>
      </c>
      <c r="G477">
        <v>1</v>
      </c>
      <c r="H477">
        <v>2</v>
      </c>
      <c r="I477">
        <v>1</v>
      </c>
      <c r="J477" s="4" t="s">
        <v>52</v>
      </c>
      <c r="K477" t="str">
        <f t="shared" si="28"/>
        <v>1+2</v>
      </c>
      <c r="L477">
        <f>VLOOKUP(A477,'ZONE 1 PREMIUM'!$A$4:$N$16,14,0)</f>
        <v>5</v>
      </c>
      <c r="M477">
        <f>VLOOKUP(D477,DROPDOWN!B:C,2,0)</f>
        <v>5</v>
      </c>
      <c r="N477" t="str">
        <f t="shared" si="26"/>
        <v>X35:AP46</v>
      </c>
      <c r="O477" s="4">
        <f t="shared" ca="1" si="27"/>
        <v>32157.449999999997</v>
      </c>
    </row>
    <row r="478" spans="1:15">
      <c r="A478" s="2" t="s">
        <v>15</v>
      </c>
      <c r="B478" t="s">
        <v>33</v>
      </c>
      <c r="C478" t="s">
        <v>34</v>
      </c>
      <c r="D478">
        <v>7</v>
      </c>
      <c r="E478" t="s">
        <v>46</v>
      </c>
      <c r="F478">
        <v>3</v>
      </c>
      <c r="G478">
        <v>1</v>
      </c>
      <c r="H478">
        <v>2</v>
      </c>
      <c r="I478">
        <v>1</v>
      </c>
      <c r="J478" s="4" t="s">
        <v>52</v>
      </c>
      <c r="K478" t="str">
        <f t="shared" si="28"/>
        <v>1+2</v>
      </c>
      <c r="L478">
        <f>VLOOKUP(A478,'ZONE 1 PREMIUM'!$A$4:$N$16,14,0)</f>
        <v>6</v>
      </c>
      <c r="M478">
        <f>VLOOKUP(D478,DROPDOWN!B:C,2,0)</f>
        <v>5</v>
      </c>
      <c r="N478" t="str">
        <f t="shared" si="26"/>
        <v>X35:AP46</v>
      </c>
      <c r="O478" s="4">
        <f t="shared" ca="1" si="27"/>
        <v>41571.35</v>
      </c>
    </row>
    <row r="479" spans="1:15">
      <c r="A479" s="2" t="s">
        <v>16</v>
      </c>
      <c r="B479" t="s">
        <v>35</v>
      </c>
      <c r="C479" t="s">
        <v>36</v>
      </c>
      <c r="D479">
        <v>7</v>
      </c>
      <c r="E479" t="s">
        <v>46</v>
      </c>
      <c r="F479">
        <v>3</v>
      </c>
      <c r="G479">
        <v>1</v>
      </c>
      <c r="H479">
        <v>2</v>
      </c>
      <c r="I479">
        <v>1</v>
      </c>
      <c r="J479" s="4" t="s">
        <v>52</v>
      </c>
      <c r="K479" t="str">
        <f t="shared" si="28"/>
        <v>1+2</v>
      </c>
      <c r="L479">
        <f>VLOOKUP(A479,'ZONE 1 PREMIUM'!$A$4:$N$16,14,0)</f>
        <v>7</v>
      </c>
      <c r="M479">
        <f>VLOOKUP(D479,DROPDOWN!B:C,2,0)</f>
        <v>5</v>
      </c>
      <c r="N479" t="str">
        <f t="shared" si="26"/>
        <v>X35:AP46</v>
      </c>
      <c r="O479" s="4">
        <f t="shared" ca="1" si="27"/>
        <v>53535.95</v>
      </c>
    </row>
    <row r="480" spans="1:15">
      <c r="A480" s="2" t="s">
        <v>17</v>
      </c>
      <c r="B480" t="s">
        <v>37</v>
      </c>
      <c r="C480" t="s">
        <v>38</v>
      </c>
      <c r="D480">
        <v>7</v>
      </c>
      <c r="E480" t="s">
        <v>46</v>
      </c>
      <c r="F480">
        <v>3</v>
      </c>
      <c r="G480">
        <v>1</v>
      </c>
      <c r="H480">
        <v>2</v>
      </c>
      <c r="I480">
        <v>1</v>
      </c>
      <c r="J480" s="4" t="s">
        <v>52</v>
      </c>
      <c r="K480" t="str">
        <f t="shared" si="28"/>
        <v>1+2</v>
      </c>
      <c r="L480">
        <f>VLOOKUP(A480,'ZONE 1 PREMIUM'!$A$4:$N$16,14,0)</f>
        <v>8</v>
      </c>
      <c r="M480">
        <f>VLOOKUP(D480,DROPDOWN!B:C,2,0)</f>
        <v>5</v>
      </c>
      <c r="N480" t="str">
        <f t="shared" si="26"/>
        <v>X35:AP46</v>
      </c>
      <c r="O480" s="4">
        <f t="shared" ca="1" si="27"/>
        <v>68665.349999999991</v>
      </c>
    </row>
    <row r="481" spans="1:15">
      <c r="A481" s="2" t="s">
        <v>18</v>
      </c>
      <c r="B481" t="s">
        <v>39</v>
      </c>
      <c r="C481" t="s">
        <v>40</v>
      </c>
      <c r="D481">
        <v>7</v>
      </c>
      <c r="E481" t="s">
        <v>46</v>
      </c>
      <c r="F481">
        <v>3</v>
      </c>
      <c r="G481">
        <v>1</v>
      </c>
      <c r="H481">
        <v>2</v>
      </c>
      <c r="I481">
        <v>1</v>
      </c>
      <c r="J481" s="4" t="s">
        <v>52</v>
      </c>
      <c r="K481" t="str">
        <f t="shared" si="28"/>
        <v>1+2</v>
      </c>
      <c r="L481">
        <f>VLOOKUP(A481,'ZONE 1 PREMIUM'!$A$4:$N$16,14,0)</f>
        <v>9</v>
      </c>
      <c r="M481">
        <f>VLOOKUP(D481,DROPDOWN!B:C,2,0)</f>
        <v>5</v>
      </c>
      <c r="N481" t="str">
        <f t="shared" si="26"/>
        <v>X35:AP46</v>
      </c>
      <c r="O481" s="4">
        <f t="shared" ca="1" si="27"/>
        <v>90211.75</v>
      </c>
    </row>
    <row r="482" spans="1:15">
      <c r="A482" s="2" t="s">
        <v>19</v>
      </c>
      <c r="B482" t="s">
        <v>41</v>
      </c>
      <c r="C482" t="s">
        <v>42</v>
      </c>
      <c r="D482">
        <v>7</v>
      </c>
      <c r="E482" t="s">
        <v>46</v>
      </c>
      <c r="F482">
        <v>3</v>
      </c>
      <c r="G482">
        <v>1</v>
      </c>
      <c r="H482">
        <v>2</v>
      </c>
      <c r="I482">
        <v>1</v>
      </c>
      <c r="J482" s="4" t="s">
        <v>52</v>
      </c>
      <c r="K482" t="str">
        <f t="shared" si="28"/>
        <v>1+2</v>
      </c>
      <c r="L482">
        <f>VLOOKUP(A482,'ZONE 1 PREMIUM'!$A$4:$N$16,14,0)</f>
        <v>10</v>
      </c>
      <c r="M482">
        <f>VLOOKUP(D482,DROPDOWN!B:C,2,0)</f>
        <v>5</v>
      </c>
      <c r="N482" t="str">
        <f t="shared" si="26"/>
        <v>X35:AP46</v>
      </c>
      <c r="O482" s="4">
        <f t="shared" ca="1" si="27"/>
        <v>113992.59999999999</v>
      </c>
    </row>
    <row r="483" spans="1:15">
      <c r="A483" s="2" t="s">
        <v>20</v>
      </c>
      <c r="B483" t="s">
        <v>43</v>
      </c>
      <c r="C483" t="s">
        <v>44</v>
      </c>
      <c r="D483">
        <v>7</v>
      </c>
      <c r="E483" t="s">
        <v>46</v>
      </c>
      <c r="F483">
        <v>3</v>
      </c>
      <c r="G483">
        <v>1</v>
      </c>
      <c r="H483">
        <v>2</v>
      </c>
      <c r="I483">
        <v>1</v>
      </c>
      <c r="J483" s="4" t="s">
        <v>52</v>
      </c>
      <c r="K483" t="str">
        <f t="shared" si="28"/>
        <v>1+2</v>
      </c>
      <c r="L483">
        <f>VLOOKUP(A483,'ZONE 1 PREMIUM'!$A$4:$N$16,14,0)</f>
        <v>11</v>
      </c>
      <c r="M483">
        <f>VLOOKUP(D483,DROPDOWN!B:C,2,0)</f>
        <v>5</v>
      </c>
      <c r="N483" t="str">
        <f t="shared" si="26"/>
        <v>X35:AP46</v>
      </c>
      <c r="O483" s="4">
        <f t="shared" ca="1" si="27"/>
        <v>134400.5</v>
      </c>
    </row>
    <row r="484" spans="1:15">
      <c r="A484" s="2" t="s">
        <v>21</v>
      </c>
      <c r="B484" t="s">
        <v>22</v>
      </c>
      <c r="D484">
        <v>7</v>
      </c>
      <c r="E484" t="s">
        <v>46</v>
      </c>
      <c r="F484">
        <v>3</v>
      </c>
      <c r="G484">
        <v>1</v>
      </c>
      <c r="H484">
        <v>2</v>
      </c>
      <c r="I484">
        <v>1</v>
      </c>
      <c r="J484" s="4" t="s">
        <v>52</v>
      </c>
      <c r="K484" t="str">
        <f t="shared" si="28"/>
        <v>1+2</v>
      </c>
      <c r="L484">
        <f>VLOOKUP(A484,'ZONE 1 PREMIUM'!$A$4:$N$16,14,0)</f>
        <v>12</v>
      </c>
      <c r="M484">
        <f>VLOOKUP(D484,DROPDOWN!B:C,2,0)</f>
        <v>5</v>
      </c>
      <c r="N484" t="str">
        <f t="shared" si="26"/>
        <v>X35:AP46</v>
      </c>
      <c r="O484" s="4">
        <f t="shared" ca="1" si="27"/>
        <v>175311.75</v>
      </c>
    </row>
    <row r="485" spans="1:15">
      <c r="A485" s="2" t="s">
        <v>11</v>
      </c>
      <c r="B485" t="s">
        <v>45</v>
      </c>
      <c r="C485" t="s">
        <v>25</v>
      </c>
      <c r="D485">
        <v>7</v>
      </c>
      <c r="E485" t="s">
        <v>46</v>
      </c>
      <c r="F485">
        <v>4</v>
      </c>
      <c r="G485">
        <v>1</v>
      </c>
      <c r="H485">
        <v>3</v>
      </c>
      <c r="I485">
        <v>1</v>
      </c>
      <c r="J485" s="4" t="s">
        <v>52</v>
      </c>
      <c r="K485" t="str">
        <f t="shared" si="28"/>
        <v>1+3</v>
      </c>
      <c r="L485">
        <f>VLOOKUP(A485,'ZONE 1 PREMIUM'!$A$4:$N$16,14,0)</f>
        <v>2</v>
      </c>
      <c r="M485">
        <f>VLOOKUP(D485,DROPDOWN!B:C,2,0)</f>
        <v>5</v>
      </c>
      <c r="N485" t="str">
        <f t="shared" si="26"/>
        <v>X50:AP61</v>
      </c>
      <c r="O485" s="4">
        <f t="shared" ca="1" si="27"/>
        <v>28308.399999999998</v>
      </c>
    </row>
    <row r="486" spans="1:15">
      <c r="A486" s="2" t="s">
        <v>12</v>
      </c>
      <c r="B486" t="s">
        <v>27</v>
      </c>
      <c r="C486" t="s">
        <v>28</v>
      </c>
      <c r="D486">
        <v>7</v>
      </c>
      <c r="E486" t="s">
        <v>46</v>
      </c>
      <c r="F486">
        <v>4</v>
      </c>
      <c r="G486">
        <v>1</v>
      </c>
      <c r="H486">
        <v>3</v>
      </c>
      <c r="I486">
        <v>1</v>
      </c>
      <c r="J486" s="4" t="s">
        <v>52</v>
      </c>
      <c r="K486" t="str">
        <f t="shared" si="28"/>
        <v>1+3</v>
      </c>
      <c r="L486">
        <f>VLOOKUP(A486,'ZONE 1 PREMIUM'!$A$4:$N$16,14,0)</f>
        <v>3</v>
      </c>
      <c r="M486">
        <f>VLOOKUP(D486,DROPDOWN!B:C,2,0)</f>
        <v>5</v>
      </c>
      <c r="N486" t="str">
        <f t="shared" si="26"/>
        <v>X50:AP61</v>
      </c>
      <c r="O486" s="4">
        <f t="shared" ca="1" si="27"/>
        <v>29934.499999999996</v>
      </c>
    </row>
    <row r="487" spans="1:15">
      <c r="A487" s="2" t="s">
        <v>13</v>
      </c>
      <c r="B487" t="s">
        <v>29</v>
      </c>
      <c r="C487" t="s">
        <v>30</v>
      </c>
      <c r="D487">
        <v>7</v>
      </c>
      <c r="E487" t="s">
        <v>46</v>
      </c>
      <c r="F487">
        <v>4</v>
      </c>
      <c r="G487">
        <v>1</v>
      </c>
      <c r="H487">
        <v>3</v>
      </c>
      <c r="I487">
        <v>1</v>
      </c>
      <c r="J487" s="4" t="s">
        <v>52</v>
      </c>
      <c r="K487" t="str">
        <f t="shared" si="28"/>
        <v>1+3</v>
      </c>
      <c r="L487">
        <f>VLOOKUP(A487,'ZONE 1 PREMIUM'!$A$4:$N$16,14,0)</f>
        <v>4</v>
      </c>
      <c r="M487">
        <f>VLOOKUP(D487,DROPDOWN!B:C,2,0)</f>
        <v>5</v>
      </c>
      <c r="N487" t="str">
        <f t="shared" si="26"/>
        <v>X50:AP61</v>
      </c>
      <c r="O487" s="4">
        <f t="shared" ca="1" si="27"/>
        <v>34600.049999999996</v>
      </c>
    </row>
    <row r="488" spans="1:15">
      <c r="A488" s="2" t="s">
        <v>14</v>
      </c>
      <c r="B488" t="s">
        <v>31</v>
      </c>
      <c r="C488" t="s">
        <v>32</v>
      </c>
      <c r="D488">
        <v>7</v>
      </c>
      <c r="E488" t="s">
        <v>46</v>
      </c>
      <c r="F488">
        <v>4</v>
      </c>
      <c r="G488">
        <v>1</v>
      </c>
      <c r="H488">
        <v>3</v>
      </c>
      <c r="I488">
        <v>1</v>
      </c>
      <c r="J488" s="4" t="s">
        <v>52</v>
      </c>
      <c r="K488" t="str">
        <f t="shared" si="28"/>
        <v>1+3</v>
      </c>
      <c r="L488">
        <f>VLOOKUP(A488,'ZONE 1 PREMIUM'!$A$4:$N$16,14,0)</f>
        <v>5</v>
      </c>
      <c r="M488">
        <f>VLOOKUP(D488,DROPDOWN!B:C,2,0)</f>
        <v>5</v>
      </c>
      <c r="N488" t="str">
        <f t="shared" si="26"/>
        <v>X50:AP61</v>
      </c>
      <c r="O488" s="4">
        <f t="shared" ca="1" si="27"/>
        <v>38457.149999999994</v>
      </c>
    </row>
    <row r="489" spans="1:15">
      <c r="A489" s="2" t="s">
        <v>15</v>
      </c>
      <c r="B489" t="s">
        <v>33</v>
      </c>
      <c r="C489" t="s">
        <v>34</v>
      </c>
      <c r="D489">
        <v>7</v>
      </c>
      <c r="E489" t="s">
        <v>46</v>
      </c>
      <c r="F489">
        <v>4</v>
      </c>
      <c r="G489">
        <v>1</v>
      </c>
      <c r="H489">
        <v>3</v>
      </c>
      <c r="I489">
        <v>1</v>
      </c>
      <c r="J489" s="4" t="s">
        <v>52</v>
      </c>
      <c r="K489" t="str">
        <f t="shared" si="28"/>
        <v>1+3</v>
      </c>
      <c r="L489">
        <f>VLOOKUP(A489,'ZONE 1 PREMIUM'!$A$4:$N$16,14,0)</f>
        <v>6</v>
      </c>
      <c r="M489">
        <f>VLOOKUP(D489,DROPDOWN!B:C,2,0)</f>
        <v>5</v>
      </c>
      <c r="N489" t="str">
        <f t="shared" si="26"/>
        <v>X50:AP61</v>
      </c>
      <c r="O489" s="4">
        <f t="shared" ca="1" si="27"/>
        <v>48635.799999999996</v>
      </c>
    </row>
    <row r="490" spans="1:15">
      <c r="A490" s="2" t="s">
        <v>16</v>
      </c>
      <c r="B490" t="s">
        <v>35</v>
      </c>
      <c r="C490" t="s">
        <v>36</v>
      </c>
      <c r="D490">
        <v>7</v>
      </c>
      <c r="E490" t="s">
        <v>46</v>
      </c>
      <c r="F490">
        <v>4</v>
      </c>
      <c r="G490">
        <v>1</v>
      </c>
      <c r="H490">
        <v>3</v>
      </c>
      <c r="I490">
        <v>1</v>
      </c>
      <c r="J490" s="4" t="s">
        <v>52</v>
      </c>
      <c r="K490" t="str">
        <f t="shared" si="28"/>
        <v>1+3</v>
      </c>
      <c r="L490">
        <f>VLOOKUP(A490,'ZONE 1 PREMIUM'!$A$4:$N$16,14,0)</f>
        <v>7</v>
      </c>
      <c r="M490">
        <f>VLOOKUP(D490,DROPDOWN!B:C,2,0)</f>
        <v>5</v>
      </c>
      <c r="N490" t="str">
        <f t="shared" si="26"/>
        <v>X50:AP61</v>
      </c>
      <c r="O490" s="4">
        <f t="shared" ca="1" si="27"/>
        <v>61358.249999999993</v>
      </c>
    </row>
    <row r="491" spans="1:15">
      <c r="A491" s="2" t="s">
        <v>17</v>
      </c>
      <c r="B491" t="s">
        <v>37</v>
      </c>
      <c r="C491" t="s">
        <v>38</v>
      </c>
      <c r="D491">
        <v>7</v>
      </c>
      <c r="E491" t="s">
        <v>46</v>
      </c>
      <c r="F491">
        <v>4</v>
      </c>
      <c r="G491">
        <v>1</v>
      </c>
      <c r="H491">
        <v>3</v>
      </c>
      <c r="I491">
        <v>1</v>
      </c>
      <c r="J491" s="4" t="s">
        <v>52</v>
      </c>
      <c r="K491" t="str">
        <f t="shared" si="28"/>
        <v>1+3</v>
      </c>
      <c r="L491">
        <f>VLOOKUP(A491,'ZONE 1 PREMIUM'!$A$4:$N$16,14,0)</f>
        <v>8</v>
      </c>
      <c r="M491">
        <f>VLOOKUP(D491,DROPDOWN!B:C,2,0)</f>
        <v>5</v>
      </c>
      <c r="N491" t="str">
        <f t="shared" si="26"/>
        <v>X50:AP61</v>
      </c>
      <c r="O491" s="4">
        <f t="shared" ca="1" si="27"/>
        <v>75559.599999999991</v>
      </c>
    </row>
    <row r="492" spans="1:15">
      <c r="A492" s="2" t="s">
        <v>18</v>
      </c>
      <c r="B492" t="s">
        <v>39</v>
      </c>
      <c r="C492" t="s">
        <v>40</v>
      </c>
      <c r="D492">
        <v>7</v>
      </c>
      <c r="E492" t="s">
        <v>46</v>
      </c>
      <c r="F492">
        <v>4</v>
      </c>
      <c r="G492">
        <v>1</v>
      </c>
      <c r="H492">
        <v>3</v>
      </c>
      <c r="I492">
        <v>1</v>
      </c>
      <c r="J492" s="4" t="s">
        <v>52</v>
      </c>
      <c r="K492" t="str">
        <f t="shared" si="28"/>
        <v>1+3</v>
      </c>
      <c r="L492">
        <f>VLOOKUP(A492,'ZONE 1 PREMIUM'!$A$4:$N$16,14,0)</f>
        <v>9</v>
      </c>
      <c r="M492">
        <f>VLOOKUP(D492,DROPDOWN!B:C,2,0)</f>
        <v>5</v>
      </c>
      <c r="N492" t="str">
        <f t="shared" si="26"/>
        <v>X50:AP61</v>
      </c>
      <c r="O492" s="4">
        <f t="shared" ca="1" si="27"/>
        <v>97817.849999999991</v>
      </c>
    </row>
    <row r="493" spans="1:15">
      <c r="A493" s="2" t="s">
        <v>19</v>
      </c>
      <c r="B493" t="s">
        <v>41</v>
      </c>
      <c r="C493" t="s">
        <v>42</v>
      </c>
      <c r="D493">
        <v>7</v>
      </c>
      <c r="E493" t="s">
        <v>46</v>
      </c>
      <c r="F493">
        <v>4</v>
      </c>
      <c r="G493">
        <v>1</v>
      </c>
      <c r="H493">
        <v>3</v>
      </c>
      <c r="I493">
        <v>1</v>
      </c>
      <c r="J493" s="4" t="s">
        <v>52</v>
      </c>
      <c r="K493" t="str">
        <f t="shared" si="28"/>
        <v>1+3</v>
      </c>
      <c r="L493">
        <f>VLOOKUP(A493,'ZONE 1 PREMIUM'!$A$4:$N$16,14,0)</f>
        <v>10</v>
      </c>
      <c r="M493">
        <f>VLOOKUP(D493,DROPDOWN!B:C,2,0)</f>
        <v>5</v>
      </c>
      <c r="N493" t="str">
        <f t="shared" si="26"/>
        <v>X50:AP61</v>
      </c>
      <c r="O493" s="4">
        <f t="shared" ca="1" si="27"/>
        <v>120059.99999999999</v>
      </c>
    </row>
    <row r="494" spans="1:15">
      <c r="A494" s="2" t="s">
        <v>20</v>
      </c>
      <c r="B494" t="s">
        <v>43</v>
      </c>
      <c r="C494" t="s">
        <v>44</v>
      </c>
      <c r="D494">
        <v>7</v>
      </c>
      <c r="E494" t="s">
        <v>46</v>
      </c>
      <c r="F494">
        <v>4</v>
      </c>
      <c r="G494">
        <v>1</v>
      </c>
      <c r="H494">
        <v>3</v>
      </c>
      <c r="I494">
        <v>1</v>
      </c>
      <c r="J494" s="4" t="s">
        <v>52</v>
      </c>
      <c r="K494" t="str">
        <f t="shared" si="28"/>
        <v>1+3</v>
      </c>
      <c r="L494">
        <f>VLOOKUP(A494,'ZONE 1 PREMIUM'!$A$4:$N$16,14,0)</f>
        <v>11</v>
      </c>
      <c r="M494">
        <f>VLOOKUP(D494,DROPDOWN!B:C,2,0)</f>
        <v>5</v>
      </c>
      <c r="N494" t="str">
        <f t="shared" si="26"/>
        <v>X50:AP61</v>
      </c>
      <c r="O494" s="4">
        <f t="shared" ca="1" si="27"/>
        <v>140139</v>
      </c>
    </row>
    <row r="495" spans="1:15">
      <c r="A495" s="2" t="s">
        <v>21</v>
      </c>
      <c r="B495" t="s">
        <v>22</v>
      </c>
      <c r="D495">
        <v>7</v>
      </c>
      <c r="E495" t="s">
        <v>46</v>
      </c>
      <c r="F495">
        <v>4</v>
      </c>
      <c r="G495">
        <v>1</v>
      </c>
      <c r="H495">
        <v>3</v>
      </c>
      <c r="I495">
        <v>1</v>
      </c>
      <c r="J495" s="4" t="s">
        <v>52</v>
      </c>
      <c r="K495" t="str">
        <f t="shared" si="28"/>
        <v>1+3</v>
      </c>
      <c r="L495">
        <f>VLOOKUP(A495,'ZONE 1 PREMIUM'!$A$4:$N$16,14,0)</f>
        <v>12</v>
      </c>
      <c r="M495">
        <f>VLOOKUP(D495,DROPDOWN!B:C,2,0)</f>
        <v>5</v>
      </c>
      <c r="N495" t="str">
        <f t="shared" si="26"/>
        <v>X50:AP61</v>
      </c>
      <c r="O495" s="4">
        <f t="shared" ca="1" si="27"/>
        <v>181401</v>
      </c>
    </row>
    <row r="496" spans="1:15">
      <c r="A496" s="2" t="s">
        <v>11</v>
      </c>
      <c r="B496" t="s">
        <v>45</v>
      </c>
      <c r="C496" t="s">
        <v>25</v>
      </c>
      <c r="D496">
        <v>7</v>
      </c>
      <c r="E496" t="s">
        <v>46</v>
      </c>
      <c r="F496">
        <v>5</v>
      </c>
      <c r="G496">
        <v>1</v>
      </c>
      <c r="H496">
        <v>4</v>
      </c>
      <c r="I496">
        <v>1</v>
      </c>
      <c r="J496" s="4" t="s">
        <v>52</v>
      </c>
      <c r="K496" t="str">
        <f t="shared" si="28"/>
        <v>1+4</v>
      </c>
      <c r="L496">
        <f>VLOOKUP(A496,'ZONE 1 PREMIUM'!$A$4:$N$16,14,0)</f>
        <v>2</v>
      </c>
      <c r="M496">
        <f>VLOOKUP(D496,DROPDOWN!B:C,2,0)</f>
        <v>5</v>
      </c>
      <c r="N496" t="str">
        <f t="shared" si="26"/>
        <v>X65:AP76</v>
      </c>
      <c r="O496" s="4">
        <f t="shared" ca="1" si="27"/>
        <v>33516.75</v>
      </c>
    </row>
    <row r="497" spans="1:15">
      <c r="A497" s="2" t="s">
        <v>12</v>
      </c>
      <c r="B497" t="s">
        <v>27</v>
      </c>
      <c r="C497" t="s">
        <v>28</v>
      </c>
      <c r="D497">
        <v>7</v>
      </c>
      <c r="E497" t="s">
        <v>46</v>
      </c>
      <c r="F497">
        <v>5</v>
      </c>
      <c r="G497">
        <v>1</v>
      </c>
      <c r="H497">
        <v>4</v>
      </c>
      <c r="I497">
        <v>1</v>
      </c>
      <c r="J497" s="4" t="s">
        <v>52</v>
      </c>
      <c r="K497" t="str">
        <f t="shared" si="28"/>
        <v>1+4</v>
      </c>
      <c r="L497">
        <f>VLOOKUP(A497,'ZONE 1 PREMIUM'!$A$4:$N$16,14,0)</f>
        <v>3</v>
      </c>
      <c r="M497">
        <f>VLOOKUP(D497,DROPDOWN!B:C,2,0)</f>
        <v>5</v>
      </c>
      <c r="N497" t="str">
        <f t="shared" si="26"/>
        <v>X65:AP76</v>
      </c>
      <c r="O497" s="4">
        <f t="shared" ca="1" si="27"/>
        <v>35048.549999999996</v>
      </c>
    </row>
    <row r="498" spans="1:15">
      <c r="A498" s="2" t="s">
        <v>13</v>
      </c>
      <c r="B498" t="s">
        <v>29</v>
      </c>
      <c r="C498" t="s">
        <v>30</v>
      </c>
      <c r="D498">
        <v>7</v>
      </c>
      <c r="E498" t="s">
        <v>46</v>
      </c>
      <c r="F498">
        <v>5</v>
      </c>
      <c r="G498">
        <v>1</v>
      </c>
      <c r="H498">
        <v>4</v>
      </c>
      <c r="I498">
        <v>1</v>
      </c>
      <c r="J498" s="4" t="s">
        <v>52</v>
      </c>
      <c r="K498" t="str">
        <f t="shared" si="28"/>
        <v>1+4</v>
      </c>
      <c r="L498">
        <f>VLOOKUP(A498,'ZONE 1 PREMIUM'!$A$4:$N$16,14,0)</f>
        <v>4</v>
      </c>
      <c r="M498">
        <f>VLOOKUP(D498,DROPDOWN!B:C,2,0)</f>
        <v>5</v>
      </c>
      <c r="N498" t="str">
        <f t="shared" si="26"/>
        <v>X65:AP76</v>
      </c>
      <c r="O498" s="4">
        <f t="shared" ca="1" si="27"/>
        <v>40522.549999999996</v>
      </c>
    </row>
    <row r="499" spans="1:15">
      <c r="A499" s="2" t="s">
        <v>14</v>
      </c>
      <c r="B499" t="s">
        <v>31</v>
      </c>
      <c r="C499" t="s">
        <v>32</v>
      </c>
      <c r="D499">
        <v>7</v>
      </c>
      <c r="E499" t="s">
        <v>46</v>
      </c>
      <c r="F499">
        <v>5</v>
      </c>
      <c r="G499">
        <v>1</v>
      </c>
      <c r="H499">
        <v>4</v>
      </c>
      <c r="I499">
        <v>1</v>
      </c>
      <c r="J499" s="4" t="s">
        <v>52</v>
      </c>
      <c r="K499" t="str">
        <f t="shared" si="28"/>
        <v>1+4</v>
      </c>
      <c r="L499">
        <f>VLOOKUP(A499,'ZONE 1 PREMIUM'!$A$4:$N$16,14,0)</f>
        <v>5</v>
      </c>
      <c r="M499">
        <f>VLOOKUP(D499,DROPDOWN!B:C,2,0)</f>
        <v>5</v>
      </c>
      <c r="N499" t="str">
        <f t="shared" si="26"/>
        <v>X65:AP76</v>
      </c>
      <c r="O499" s="4">
        <f t="shared" ca="1" si="27"/>
        <v>44756.85</v>
      </c>
    </row>
    <row r="500" spans="1:15">
      <c r="A500" s="2" t="s">
        <v>15</v>
      </c>
      <c r="B500" t="s">
        <v>33</v>
      </c>
      <c r="C500" t="s">
        <v>34</v>
      </c>
      <c r="D500">
        <v>7</v>
      </c>
      <c r="E500" t="s">
        <v>46</v>
      </c>
      <c r="F500">
        <v>5</v>
      </c>
      <c r="G500">
        <v>1</v>
      </c>
      <c r="H500">
        <v>4</v>
      </c>
      <c r="I500">
        <v>1</v>
      </c>
      <c r="J500" s="4" t="s">
        <v>52</v>
      </c>
      <c r="K500" t="str">
        <f t="shared" si="28"/>
        <v>1+4</v>
      </c>
      <c r="L500">
        <f>VLOOKUP(A500,'ZONE 1 PREMIUM'!$A$4:$N$16,14,0)</f>
        <v>6</v>
      </c>
      <c r="M500">
        <f>VLOOKUP(D500,DROPDOWN!B:C,2,0)</f>
        <v>5</v>
      </c>
      <c r="N500" t="str">
        <f t="shared" si="26"/>
        <v>X65:AP76</v>
      </c>
      <c r="O500" s="4">
        <f t="shared" ca="1" si="27"/>
        <v>55701.399999999994</v>
      </c>
    </row>
    <row r="501" spans="1:15">
      <c r="A501" s="2" t="s">
        <v>16</v>
      </c>
      <c r="B501" t="s">
        <v>35</v>
      </c>
      <c r="C501" t="s">
        <v>36</v>
      </c>
      <c r="D501">
        <v>7</v>
      </c>
      <c r="E501" t="s">
        <v>46</v>
      </c>
      <c r="F501">
        <v>5</v>
      </c>
      <c r="G501">
        <v>1</v>
      </c>
      <c r="H501">
        <v>4</v>
      </c>
      <c r="I501">
        <v>1</v>
      </c>
      <c r="J501" s="4" t="s">
        <v>52</v>
      </c>
      <c r="K501" t="str">
        <f t="shared" si="28"/>
        <v>1+4</v>
      </c>
      <c r="L501">
        <f>VLOOKUP(A501,'ZONE 1 PREMIUM'!$A$4:$N$16,14,0)</f>
        <v>7</v>
      </c>
      <c r="M501">
        <f>VLOOKUP(D501,DROPDOWN!B:C,2,0)</f>
        <v>5</v>
      </c>
      <c r="N501" t="str">
        <f t="shared" si="26"/>
        <v>X65:AP76</v>
      </c>
      <c r="O501" s="4">
        <f t="shared" ca="1" si="27"/>
        <v>67852.299999999988</v>
      </c>
    </row>
    <row r="502" spans="1:15">
      <c r="A502" s="2" t="s">
        <v>17</v>
      </c>
      <c r="B502" t="s">
        <v>37</v>
      </c>
      <c r="C502" t="s">
        <v>38</v>
      </c>
      <c r="D502">
        <v>7</v>
      </c>
      <c r="E502" t="s">
        <v>46</v>
      </c>
      <c r="F502">
        <v>5</v>
      </c>
      <c r="G502">
        <v>1</v>
      </c>
      <c r="H502">
        <v>4</v>
      </c>
      <c r="I502">
        <v>1</v>
      </c>
      <c r="J502" s="4" t="s">
        <v>52</v>
      </c>
      <c r="K502" t="str">
        <f t="shared" si="28"/>
        <v>1+4</v>
      </c>
      <c r="L502">
        <f>VLOOKUP(A502,'ZONE 1 PREMIUM'!$A$4:$N$16,14,0)</f>
        <v>8</v>
      </c>
      <c r="M502">
        <f>VLOOKUP(D502,DROPDOWN!B:C,2,0)</f>
        <v>5</v>
      </c>
      <c r="N502" t="str">
        <f t="shared" si="26"/>
        <v>X65:AP76</v>
      </c>
      <c r="O502" s="4">
        <f t="shared" ca="1" si="27"/>
        <v>81842.049999999988</v>
      </c>
    </row>
    <row r="503" spans="1:15">
      <c r="A503" s="2" t="s">
        <v>18</v>
      </c>
      <c r="B503" t="s">
        <v>39</v>
      </c>
      <c r="C503" t="s">
        <v>40</v>
      </c>
      <c r="D503">
        <v>7</v>
      </c>
      <c r="E503" t="s">
        <v>46</v>
      </c>
      <c r="F503">
        <v>5</v>
      </c>
      <c r="G503">
        <v>1</v>
      </c>
      <c r="H503">
        <v>4</v>
      </c>
      <c r="I503">
        <v>1</v>
      </c>
      <c r="J503" s="4" t="s">
        <v>52</v>
      </c>
      <c r="K503" t="str">
        <f t="shared" si="28"/>
        <v>1+4</v>
      </c>
      <c r="L503">
        <f>VLOOKUP(A503,'ZONE 1 PREMIUM'!$A$4:$N$16,14,0)</f>
        <v>9</v>
      </c>
      <c r="M503">
        <f>VLOOKUP(D503,DROPDOWN!B:C,2,0)</f>
        <v>5</v>
      </c>
      <c r="N503" t="str">
        <f t="shared" si="26"/>
        <v>X65:AP76</v>
      </c>
      <c r="O503" s="4">
        <f t="shared" ca="1" si="27"/>
        <v>104218.74999999999</v>
      </c>
    </row>
    <row r="504" spans="1:15">
      <c r="A504" s="2" t="s">
        <v>19</v>
      </c>
      <c r="B504" t="s">
        <v>41</v>
      </c>
      <c r="C504" t="s">
        <v>42</v>
      </c>
      <c r="D504">
        <v>7</v>
      </c>
      <c r="E504" t="s">
        <v>46</v>
      </c>
      <c r="F504">
        <v>5</v>
      </c>
      <c r="G504">
        <v>1</v>
      </c>
      <c r="H504">
        <v>4</v>
      </c>
      <c r="I504">
        <v>1</v>
      </c>
      <c r="J504" s="4" t="s">
        <v>52</v>
      </c>
      <c r="K504" t="str">
        <f t="shared" si="28"/>
        <v>1+4</v>
      </c>
      <c r="L504">
        <f>VLOOKUP(A504,'ZONE 1 PREMIUM'!$A$4:$N$16,14,0)</f>
        <v>10</v>
      </c>
      <c r="M504">
        <f>VLOOKUP(D504,DROPDOWN!B:C,2,0)</f>
        <v>5</v>
      </c>
      <c r="N504" t="str">
        <f t="shared" si="26"/>
        <v>X65:AP76</v>
      </c>
      <c r="O504" s="4">
        <f t="shared" ca="1" si="27"/>
        <v>126343.59999999999</v>
      </c>
    </row>
    <row r="505" spans="1:15">
      <c r="A505" s="2" t="s">
        <v>20</v>
      </c>
      <c r="B505" t="s">
        <v>43</v>
      </c>
      <c r="C505" t="s">
        <v>44</v>
      </c>
      <c r="D505">
        <v>7</v>
      </c>
      <c r="E505" t="s">
        <v>46</v>
      </c>
      <c r="F505">
        <v>5</v>
      </c>
      <c r="G505">
        <v>1</v>
      </c>
      <c r="H505">
        <v>4</v>
      </c>
      <c r="I505">
        <v>1</v>
      </c>
      <c r="J505" s="4" t="s">
        <v>52</v>
      </c>
      <c r="K505" t="str">
        <f t="shared" si="28"/>
        <v>1+4</v>
      </c>
      <c r="L505">
        <f>VLOOKUP(A505,'ZONE 1 PREMIUM'!$A$4:$N$16,14,0)</f>
        <v>11</v>
      </c>
      <c r="M505">
        <f>VLOOKUP(D505,DROPDOWN!B:C,2,0)</f>
        <v>5</v>
      </c>
      <c r="N505" t="str">
        <f t="shared" si="26"/>
        <v>X65:AP76</v>
      </c>
      <c r="O505" s="4">
        <f t="shared" ca="1" si="27"/>
        <v>146441</v>
      </c>
    </row>
    <row r="506" spans="1:15">
      <c r="A506" s="2" t="s">
        <v>21</v>
      </c>
      <c r="B506" t="s">
        <v>22</v>
      </c>
      <c r="D506">
        <v>7</v>
      </c>
      <c r="E506" t="s">
        <v>46</v>
      </c>
      <c r="F506">
        <v>5</v>
      </c>
      <c r="G506">
        <v>1</v>
      </c>
      <c r="H506">
        <v>4</v>
      </c>
      <c r="I506">
        <v>1</v>
      </c>
      <c r="J506" s="4" t="s">
        <v>52</v>
      </c>
      <c r="K506" t="str">
        <f t="shared" si="28"/>
        <v>1+4</v>
      </c>
      <c r="L506">
        <f>VLOOKUP(A506,'ZONE 1 PREMIUM'!$A$4:$N$16,14,0)</f>
        <v>12</v>
      </c>
      <c r="M506">
        <f>VLOOKUP(D506,DROPDOWN!B:C,2,0)</f>
        <v>5</v>
      </c>
      <c r="N506" t="str">
        <f t="shared" si="26"/>
        <v>X65:AP76</v>
      </c>
      <c r="O506" s="4">
        <f t="shared" ca="1" si="27"/>
        <v>187911.15</v>
      </c>
    </row>
    <row r="507" spans="1:15">
      <c r="A507" s="2" t="s">
        <v>11</v>
      </c>
      <c r="B507" t="s">
        <v>45</v>
      </c>
      <c r="C507" t="s">
        <v>25</v>
      </c>
      <c r="D507">
        <v>7</v>
      </c>
      <c r="E507" t="s">
        <v>46</v>
      </c>
      <c r="F507">
        <v>2</v>
      </c>
      <c r="G507">
        <v>2</v>
      </c>
      <c r="H507">
        <v>0</v>
      </c>
      <c r="I507">
        <v>1</v>
      </c>
      <c r="J507" s="4" t="s">
        <v>52</v>
      </c>
      <c r="K507" t="str">
        <f t="shared" si="28"/>
        <v>2+0</v>
      </c>
      <c r="L507">
        <f>VLOOKUP(A507,'ZONE 1 PREMIUM'!$A$4:$N$16,14,0)</f>
        <v>2</v>
      </c>
      <c r="M507">
        <f>VLOOKUP(D507,DROPDOWN!B:C,2,0)</f>
        <v>5</v>
      </c>
      <c r="N507" t="str">
        <f t="shared" si="26"/>
        <v>X81:AP92</v>
      </c>
      <c r="O507" s="4">
        <f t="shared" ca="1" si="27"/>
        <v>25042.399999999998</v>
      </c>
    </row>
    <row r="508" spans="1:15">
      <c r="A508" s="2" t="s">
        <v>12</v>
      </c>
      <c r="B508" t="s">
        <v>27</v>
      </c>
      <c r="C508" t="s">
        <v>28</v>
      </c>
      <c r="D508">
        <v>7</v>
      </c>
      <c r="E508" t="s">
        <v>46</v>
      </c>
      <c r="F508">
        <v>2</v>
      </c>
      <c r="G508">
        <v>2</v>
      </c>
      <c r="H508">
        <v>0</v>
      </c>
      <c r="I508">
        <v>1</v>
      </c>
      <c r="J508" s="4" t="s">
        <v>52</v>
      </c>
      <c r="K508" t="str">
        <f t="shared" si="28"/>
        <v>2+0</v>
      </c>
      <c r="L508">
        <f>VLOOKUP(A508,'ZONE 1 PREMIUM'!$A$4:$N$16,14,0)</f>
        <v>3</v>
      </c>
      <c r="M508">
        <f>VLOOKUP(D508,DROPDOWN!B:C,2,0)</f>
        <v>5</v>
      </c>
      <c r="N508" t="str">
        <f t="shared" si="26"/>
        <v>X81:AP92</v>
      </c>
      <c r="O508" s="4">
        <f t="shared" ca="1" si="27"/>
        <v>28571.749999999996</v>
      </c>
    </row>
    <row r="509" spans="1:15">
      <c r="A509" s="2" t="s">
        <v>13</v>
      </c>
      <c r="B509" t="s">
        <v>29</v>
      </c>
      <c r="C509" t="s">
        <v>30</v>
      </c>
      <c r="D509">
        <v>7</v>
      </c>
      <c r="E509" t="s">
        <v>46</v>
      </c>
      <c r="F509">
        <v>2</v>
      </c>
      <c r="G509">
        <v>2</v>
      </c>
      <c r="H509">
        <v>0</v>
      </c>
      <c r="I509">
        <v>1</v>
      </c>
      <c r="J509" s="4" t="s">
        <v>52</v>
      </c>
      <c r="K509" t="str">
        <f t="shared" si="28"/>
        <v>2+0</v>
      </c>
      <c r="L509">
        <f>VLOOKUP(A509,'ZONE 1 PREMIUM'!$A$4:$N$16,14,0)</f>
        <v>4</v>
      </c>
      <c r="M509">
        <f>VLOOKUP(D509,DROPDOWN!B:C,2,0)</f>
        <v>5</v>
      </c>
      <c r="N509" t="str">
        <f t="shared" si="26"/>
        <v>X81:AP92</v>
      </c>
      <c r="O509" s="4">
        <f t="shared" ca="1" si="27"/>
        <v>31712.399999999998</v>
      </c>
    </row>
    <row r="510" spans="1:15">
      <c r="A510" s="2" t="s">
        <v>14</v>
      </c>
      <c r="B510" t="s">
        <v>31</v>
      </c>
      <c r="C510" t="s">
        <v>32</v>
      </c>
      <c r="D510">
        <v>7</v>
      </c>
      <c r="E510" t="s">
        <v>46</v>
      </c>
      <c r="F510">
        <v>2</v>
      </c>
      <c r="G510">
        <v>2</v>
      </c>
      <c r="H510">
        <v>0</v>
      </c>
      <c r="I510">
        <v>1</v>
      </c>
      <c r="J510" s="4" t="s">
        <v>52</v>
      </c>
      <c r="K510" t="str">
        <f t="shared" si="28"/>
        <v>2+0</v>
      </c>
      <c r="L510">
        <f>VLOOKUP(A510,'ZONE 1 PREMIUM'!$A$4:$N$16,14,0)</f>
        <v>5</v>
      </c>
      <c r="M510">
        <f>VLOOKUP(D510,DROPDOWN!B:C,2,0)</f>
        <v>5</v>
      </c>
      <c r="N510" t="str">
        <f t="shared" si="26"/>
        <v>X81:AP92</v>
      </c>
      <c r="O510" s="4">
        <f t="shared" ca="1" si="27"/>
        <v>36755.149999999994</v>
      </c>
    </row>
    <row r="511" spans="1:15">
      <c r="A511" s="2" t="s">
        <v>15</v>
      </c>
      <c r="B511" t="s">
        <v>33</v>
      </c>
      <c r="C511" t="s">
        <v>34</v>
      </c>
      <c r="D511">
        <v>7</v>
      </c>
      <c r="E511" t="s">
        <v>46</v>
      </c>
      <c r="F511">
        <v>2</v>
      </c>
      <c r="G511">
        <v>2</v>
      </c>
      <c r="H511">
        <v>0</v>
      </c>
      <c r="I511">
        <v>1</v>
      </c>
      <c r="J511" s="4" t="s">
        <v>52</v>
      </c>
      <c r="K511" t="str">
        <f t="shared" si="28"/>
        <v>2+0</v>
      </c>
      <c r="L511">
        <f>VLOOKUP(A511,'ZONE 1 PREMIUM'!$A$4:$N$16,14,0)</f>
        <v>6</v>
      </c>
      <c r="M511">
        <f>VLOOKUP(D511,DROPDOWN!B:C,2,0)</f>
        <v>5</v>
      </c>
      <c r="N511" t="str">
        <f t="shared" si="26"/>
        <v>X81:AP92</v>
      </c>
      <c r="O511" s="4">
        <f t="shared" ca="1" si="27"/>
        <v>48845.1</v>
      </c>
    </row>
    <row r="512" spans="1:15">
      <c r="A512" s="2" t="s">
        <v>16</v>
      </c>
      <c r="B512" t="s">
        <v>35</v>
      </c>
      <c r="C512" t="s">
        <v>36</v>
      </c>
      <c r="D512">
        <v>7</v>
      </c>
      <c r="E512" t="s">
        <v>46</v>
      </c>
      <c r="F512">
        <v>2</v>
      </c>
      <c r="G512">
        <v>2</v>
      </c>
      <c r="H512">
        <v>0</v>
      </c>
      <c r="I512">
        <v>1</v>
      </c>
      <c r="J512" s="4" t="s">
        <v>52</v>
      </c>
      <c r="K512" t="str">
        <f t="shared" si="28"/>
        <v>2+0</v>
      </c>
      <c r="L512">
        <f>VLOOKUP(A512,'ZONE 1 PREMIUM'!$A$4:$N$16,14,0)</f>
        <v>7</v>
      </c>
      <c r="M512">
        <f>VLOOKUP(D512,DROPDOWN!B:C,2,0)</f>
        <v>5</v>
      </c>
      <c r="N512" t="str">
        <f t="shared" si="26"/>
        <v>X81:AP92</v>
      </c>
      <c r="O512" s="4">
        <f t="shared" ca="1" si="27"/>
        <v>65415.45</v>
      </c>
    </row>
    <row r="513" spans="1:15">
      <c r="A513" s="2" t="s">
        <v>17</v>
      </c>
      <c r="B513" t="s">
        <v>37</v>
      </c>
      <c r="C513" t="s">
        <v>38</v>
      </c>
      <c r="D513">
        <v>7</v>
      </c>
      <c r="E513" t="s">
        <v>46</v>
      </c>
      <c r="F513">
        <v>2</v>
      </c>
      <c r="G513">
        <v>2</v>
      </c>
      <c r="H513">
        <v>0</v>
      </c>
      <c r="I513">
        <v>1</v>
      </c>
      <c r="J513" s="4" t="s">
        <v>52</v>
      </c>
      <c r="K513" t="str">
        <f t="shared" si="28"/>
        <v>2+0</v>
      </c>
      <c r="L513">
        <f>VLOOKUP(A513,'ZONE 1 PREMIUM'!$A$4:$N$16,14,0)</f>
        <v>8</v>
      </c>
      <c r="M513">
        <f>VLOOKUP(D513,DROPDOWN!B:C,2,0)</f>
        <v>5</v>
      </c>
      <c r="N513" t="str">
        <f t="shared" si="26"/>
        <v>X81:AP92</v>
      </c>
      <c r="O513" s="4">
        <f t="shared" ca="1" si="27"/>
        <v>89254.95</v>
      </c>
    </row>
    <row r="514" spans="1:15">
      <c r="A514" s="2" t="s">
        <v>18</v>
      </c>
      <c r="B514" t="s">
        <v>39</v>
      </c>
      <c r="C514" t="s">
        <v>40</v>
      </c>
      <c r="D514">
        <v>7</v>
      </c>
      <c r="E514" t="s">
        <v>46</v>
      </c>
      <c r="F514">
        <v>2</v>
      </c>
      <c r="G514">
        <v>2</v>
      </c>
      <c r="H514">
        <v>0</v>
      </c>
      <c r="I514">
        <v>1</v>
      </c>
      <c r="J514" s="4" t="s">
        <v>52</v>
      </c>
      <c r="K514" t="str">
        <f t="shared" si="28"/>
        <v>2+0</v>
      </c>
      <c r="L514">
        <f>VLOOKUP(A514,'ZONE 1 PREMIUM'!$A$4:$N$16,14,0)</f>
        <v>9</v>
      </c>
      <c r="M514">
        <f>VLOOKUP(D514,DROPDOWN!B:C,2,0)</f>
        <v>5</v>
      </c>
      <c r="N514" t="str">
        <f t="shared" ref="N514:N561" si="29">VLOOKUP(K514,$AQ$3:$AR$12,2,0)</f>
        <v>X81:AP92</v>
      </c>
      <c r="O514" s="4">
        <f t="shared" ref="O514:O577" ca="1" si="30">INDEX(INDIRECT(N514),L514,M514)</f>
        <v>126442.49999999999</v>
      </c>
    </row>
    <row r="515" spans="1:15">
      <c r="A515" s="2" t="s">
        <v>19</v>
      </c>
      <c r="B515" t="s">
        <v>41</v>
      </c>
      <c r="C515" t="s">
        <v>42</v>
      </c>
      <c r="D515">
        <v>7</v>
      </c>
      <c r="E515" t="s">
        <v>46</v>
      </c>
      <c r="F515">
        <v>2</v>
      </c>
      <c r="G515">
        <v>2</v>
      </c>
      <c r="H515">
        <v>0</v>
      </c>
      <c r="I515">
        <v>1</v>
      </c>
      <c r="J515" s="4" t="s">
        <v>52</v>
      </c>
      <c r="K515" t="str">
        <f t="shared" si="28"/>
        <v>2+0</v>
      </c>
      <c r="L515">
        <f>VLOOKUP(A515,'ZONE 1 PREMIUM'!$A$4:$N$16,14,0)</f>
        <v>10</v>
      </c>
      <c r="M515">
        <f>VLOOKUP(D515,DROPDOWN!B:C,2,0)</f>
        <v>5</v>
      </c>
      <c r="N515" t="str">
        <f t="shared" si="29"/>
        <v>X81:AP92</v>
      </c>
      <c r="O515" s="4">
        <f t="shared" ca="1" si="30"/>
        <v>175695.84999999998</v>
      </c>
    </row>
    <row r="516" spans="1:15">
      <c r="A516" s="2" t="s">
        <v>20</v>
      </c>
      <c r="B516" t="s">
        <v>43</v>
      </c>
      <c r="C516" t="s">
        <v>44</v>
      </c>
      <c r="D516">
        <v>7</v>
      </c>
      <c r="E516" t="s">
        <v>46</v>
      </c>
      <c r="F516">
        <v>2</v>
      </c>
      <c r="G516">
        <v>2</v>
      </c>
      <c r="H516">
        <v>0</v>
      </c>
      <c r="I516">
        <v>1</v>
      </c>
      <c r="J516" s="4" t="s">
        <v>52</v>
      </c>
      <c r="K516" t="str">
        <f t="shared" ref="K516:K579" si="31">G516&amp;"+"&amp;H516</f>
        <v>2+0</v>
      </c>
      <c r="L516">
        <f>VLOOKUP(A516,'ZONE 1 PREMIUM'!$A$4:$N$16,14,0)</f>
        <v>11</v>
      </c>
      <c r="M516">
        <f>VLOOKUP(D516,DROPDOWN!B:C,2,0)</f>
        <v>5</v>
      </c>
      <c r="N516" t="str">
        <f t="shared" si="29"/>
        <v>X81:AP92</v>
      </c>
      <c r="O516" s="4">
        <f t="shared" ca="1" si="30"/>
        <v>216802.59999999998</v>
      </c>
    </row>
    <row r="517" spans="1:15">
      <c r="A517" s="2" t="s">
        <v>21</v>
      </c>
      <c r="B517" t="s">
        <v>22</v>
      </c>
      <c r="D517">
        <v>7</v>
      </c>
      <c r="E517" t="s">
        <v>46</v>
      </c>
      <c r="F517">
        <v>2</v>
      </c>
      <c r="G517">
        <v>2</v>
      </c>
      <c r="H517">
        <v>0</v>
      </c>
      <c r="I517">
        <v>1</v>
      </c>
      <c r="J517" s="4" t="s">
        <v>52</v>
      </c>
      <c r="K517" t="str">
        <f t="shared" si="31"/>
        <v>2+0</v>
      </c>
      <c r="L517">
        <f>VLOOKUP(A517,'ZONE 1 PREMIUM'!$A$4:$N$16,14,0)</f>
        <v>12</v>
      </c>
      <c r="M517">
        <f>VLOOKUP(D517,DROPDOWN!B:C,2,0)</f>
        <v>5</v>
      </c>
      <c r="N517" t="str">
        <f t="shared" si="29"/>
        <v>X81:AP92</v>
      </c>
      <c r="O517" s="4">
        <f t="shared" ca="1" si="30"/>
        <v>276870.55</v>
      </c>
    </row>
    <row r="518" spans="1:15">
      <c r="A518" s="2" t="s">
        <v>11</v>
      </c>
      <c r="B518" t="s">
        <v>45</v>
      </c>
      <c r="C518" t="s">
        <v>25</v>
      </c>
      <c r="D518">
        <v>7</v>
      </c>
      <c r="E518" t="s">
        <v>46</v>
      </c>
      <c r="F518">
        <v>3</v>
      </c>
      <c r="G518">
        <v>2</v>
      </c>
      <c r="H518">
        <v>1</v>
      </c>
      <c r="I518">
        <v>1</v>
      </c>
      <c r="J518" s="4" t="s">
        <v>52</v>
      </c>
      <c r="K518" t="str">
        <f t="shared" si="31"/>
        <v>2+1</v>
      </c>
      <c r="L518">
        <f>VLOOKUP(A518,'ZONE 1 PREMIUM'!$A$4:$N$16,14,0)</f>
        <v>2</v>
      </c>
      <c r="M518">
        <f>VLOOKUP(D518,DROPDOWN!B:C,2,0)</f>
        <v>5</v>
      </c>
      <c r="N518" t="str">
        <f t="shared" si="29"/>
        <v>X98:AP109</v>
      </c>
      <c r="O518" s="4">
        <f t="shared" ca="1" si="30"/>
        <v>30412.899999999998</v>
      </c>
    </row>
    <row r="519" spans="1:15">
      <c r="A519" s="2" t="s">
        <v>12</v>
      </c>
      <c r="B519" t="s">
        <v>27</v>
      </c>
      <c r="C519" t="s">
        <v>28</v>
      </c>
      <c r="D519">
        <v>7</v>
      </c>
      <c r="E519" t="s">
        <v>46</v>
      </c>
      <c r="F519">
        <v>3</v>
      </c>
      <c r="G519">
        <v>2</v>
      </c>
      <c r="H519">
        <v>1</v>
      </c>
      <c r="I519">
        <v>1</v>
      </c>
      <c r="J519" s="4" t="s">
        <v>52</v>
      </c>
      <c r="K519" t="str">
        <f t="shared" si="31"/>
        <v>2+1</v>
      </c>
      <c r="L519">
        <f>VLOOKUP(A519,'ZONE 1 PREMIUM'!$A$4:$N$16,14,0)</f>
        <v>3</v>
      </c>
      <c r="M519">
        <f>VLOOKUP(D519,DROPDOWN!B:C,2,0)</f>
        <v>5</v>
      </c>
      <c r="N519" t="str">
        <f t="shared" si="29"/>
        <v>X98:AP109</v>
      </c>
      <c r="O519" s="4">
        <f t="shared" ca="1" si="30"/>
        <v>33847.949999999997</v>
      </c>
    </row>
    <row r="520" spans="1:15">
      <c r="A520" s="2" t="s">
        <v>13</v>
      </c>
      <c r="B520" t="s">
        <v>29</v>
      </c>
      <c r="C520" t="s">
        <v>30</v>
      </c>
      <c r="D520">
        <v>7</v>
      </c>
      <c r="E520" t="s">
        <v>46</v>
      </c>
      <c r="F520">
        <v>3</v>
      </c>
      <c r="G520">
        <v>2</v>
      </c>
      <c r="H520">
        <v>1</v>
      </c>
      <c r="I520">
        <v>1</v>
      </c>
      <c r="J520" s="4" t="s">
        <v>52</v>
      </c>
      <c r="K520" t="str">
        <f t="shared" si="31"/>
        <v>2+1</v>
      </c>
      <c r="L520">
        <f>VLOOKUP(A520,'ZONE 1 PREMIUM'!$A$4:$N$16,14,0)</f>
        <v>4</v>
      </c>
      <c r="M520">
        <f>VLOOKUP(D520,DROPDOWN!B:C,2,0)</f>
        <v>5</v>
      </c>
      <c r="N520" t="str">
        <f t="shared" si="29"/>
        <v>X98:AP109</v>
      </c>
      <c r="O520" s="4">
        <f t="shared" ca="1" si="30"/>
        <v>37840.75</v>
      </c>
    </row>
    <row r="521" spans="1:15">
      <c r="A521" s="2" t="s">
        <v>14</v>
      </c>
      <c r="B521" t="s">
        <v>31</v>
      </c>
      <c r="C521" t="s">
        <v>32</v>
      </c>
      <c r="D521">
        <v>7</v>
      </c>
      <c r="E521" t="s">
        <v>46</v>
      </c>
      <c r="F521">
        <v>3</v>
      </c>
      <c r="G521">
        <v>2</v>
      </c>
      <c r="H521">
        <v>1</v>
      </c>
      <c r="I521">
        <v>1</v>
      </c>
      <c r="J521" s="4" t="s">
        <v>52</v>
      </c>
      <c r="K521" t="str">
        <f t="shared" si="31"/>
        <v>2+1</v>
      </c>
      <c r="L521">
        <f>VLOOKUP(A521,'ZONE 1 PREMIUM'!$A$4:$N$16,14,0)</f>
        <v>5</v>
      </c>
      <c r="M521">
        <f>VLOOKUP(D521,DROPDOWN!B:C,2,0)</f>
        <v>5</v>
      </c>
      <c r="N521" t="str">
        <f t="shared" si="29"/>
        <v>X98:AP109</v>
      </c>
      <c r="O521" s="4">
        <f t="shared" ca="1" si="30"/>
        <v>43290.6</v>
      </c>
    </row>
    <row r="522" spans="1:15">
      <c r="A522" s="2" t="s">
        <v>15</v>
      </c>
      <c r="B522" t="s">
        <v>33</v>
      </c>
      <c r="C522" t="s">
        <v>34</v>
      </c>
      <c r="D522">
        <v>7</v>
      </c>
      <c r="E522" t="s">
        <v>46</v>
      </c>
      <c r="F522">
        <v>3</v>
      </c>
      <c r="G522">
        <v>2</v>
      </c>
      <c r="H522">
        <v>1</v>
      </c>
      <c r="I522">
        <v>1</v>
      </c>
      <c r="J522" s="4" t="s">
        <v>52</v>
      </c>
      <c r="K522" t="str">
        <f t="shared" si="31"/>
        <v>2+1</v>
      </c>
      <c r="L522">
        <f>VLOOKUP(A522,'ZONE 1 PREMIUM'!$A$4:$N$16,14,0)</f>
        <v>6</v>
      </c>
      <c r="M522">
        <f>VLOOKUP(D522,DROPDOWN!B:C,2,0)</f>
        <v>5</v>
      </c>
      <c r="N522" t="str">
        <f t="shared" si="29"/>
        <v>X98:AP109</v>
      </c>
      <c r="O522" s="4">
        <f t="shared" ca="1" si="30"/>
        <v>56182.1</v>
      </c>
    </row>
    <row r="523" spans="1:15">
      <c r="A523" s="2" t="s">
        <v>16</v>
      </c>
      <c r="B523" t="s">
        <v>35</v>
      </c>
      <c r="C523" t="s">
        <v>36</v>
      </c>
      <c r="D523">
        <v>7</v>
      </c>
      <c r="E523" t="s">
        <v>46</v>
      </c>
      <c r="F523">
        <v>3</v>
      </c>
      <c r="G523">
        <v>2</v>
      </c>
      <c r="H523">
        <v>1</v>
      </c>
      <c r="I523">
        <v>1</v>
      </c>
      <c r="J523" s="4" t="s">
        <v>52</v>
      </c>
      <c r="K523" t="str">
        <f t="shared" si="31"/>
        <v>2+1</v>
      </c>
      <c r="L523">
        <f>VLOOKUP(A523,'ZONE 1 PREMIUM'!$A$4:$N$16,14,0)</f>
        <v>7</v>
      </c>
      <c r="M523">
        <f>VLOOKUP(D523,DROPDOWN!B:C,2,0)</f>
        <v>5</v>
      </c>
      <c r="N523" t="str">
        <f t="shared" si="29"/>
        <v>X98:AP109</v>
      </c>
      <c r="O523" s="4">
        <f t="shared" ca="1" si="30"/>
        <v>74505.049999999988</v>
      </c>
    </row>
    <row r="524" spans="1:15">
      <c r="A524" s="2" t="s">
        <v>17</v>
      </c>
      <c r="B524" t="s">
        <v>37</v>
      </c>
      <c r="C524" t="s">
        <v>38</v>
      </c>
      <c r="D524">
        <v>7</v>
      </c>
      <c r="E524" t="s">
        <v>46</v>
      </c>
      <c r="F524">
        <v>3</v>
      </c>
      <c r="G524">
        <v>2</v>
      </c>
      <c r="H524">
        <v>1</v>
      </c>
      <c r="I524">
        <v>1</v>
      </c>
      <c r="J524" s="4" t="s">
        <v>52</v>
      </c>
      <c r="K524" t="str">
        <f t="shared" si="31"/>
        <v>2+1</v>
      </c>
      <c r="L524">
        <f>VLOOKUP(A524,'ZONE 1 PREMIUM'!$A$4:$N$16,14,0)</f>
        <v>8</v>
      </c>
      <c r="M524">
        <f>VLOOKUP(D524,DROPDOWN!B:C,2,0)</f>
        <v>5</v>
      </c>
      <c r="N524" t="str">
        <f t="shared" si="29"/>
        <v>X98:AP109</v>
      </c>
      <c r="O524" s="4">
        <f t="shared" ca="1" si="30"/>
        <v>99046.049999999988</v>
      </c>
    </row>
    <row r="525" spans="1:15">
      <c r="A525" s="2" t="s">
        <v>18</v>
      </c>
      <c r="B525" t="s">
        <v>39</v>
      </c>
      <c r="C525" t="s">
        <v>40</v>
      </c>
      <c r="D525">
        <v>7</v>
      </c>
      <c r="E525" t="s">
        <v>46</v>
      </c>
      <c r="F525">
        <v>3</v>
      </c>
      <c r="G525">
        <v>2</v>
      </c>
      <c r="H525">
        <v>1</v>
      </c>
      <c r="I525">
        <v>1</v>
      </c>
      <c r="J525" s="4" t="s">
        <v>52</v>
      </c>
      <c r="K525" t="str">
        <f t="shared" si="31"/>
        <v>2+1</v>
      </c>
      <c r="L525">
        <f>VLOOKUP(A525,'ZONE 1 PREMIUM'!$A$4:$N$16,14,0)</f>
        <v>9</v>
      </c>
      <c r="M525">
        <f>VLOOKUP(D525,DROPDOWN!B:C,2,0)</f>
        <v>5</v>
      </c>
      <c r="N525" t="str">
        <f t="shared" si="29"/>
        <v>X98:AP109</v>
      </c>
      <c r="O525" s="4">
        <f t="shared" ca="1" si="30"/>
        <v>136409.54999999999</v>
      </c>
    </row>
    <row r="526" spans="1:15">
      <c r="A526" s="2" t="s">
        <v>19</v>
      </c>
      <c r="B526" t="s">
        <v>41</v>
      </c>
      <c r="C526" t="s">
        <v>42</v>
      </c>
      <c r="D526">
        <v>7</v>
      </c>
      <c r="E526" t="s">
        <v>46</v>
      </c>
      <c r="F526">
        <v>3</v>
      </c>
      <c r="G526">
        <v>2</v>
      </c>
      <c r="H526">
        <v>1</v>
      </c>
      <c r="I526">
        <v>1</v>
      </c>
      <c r="J526" s="4" t="s">
        <v>52</v>
      </c>
      <c r="K526" t="str">
        <f t="shared" si="31"/>
        <v>2+1</v>
      </c>
      <c r="L526">
        <f>VLOOKUP(A526,'ZONE 1 PREMIUM'!$A$4:$N$16,14,0)</f>
        <v>10</v>
      </c>
      <c r="M526">
        <f>VLOOKUP(D526,DROPDOWN!B:C,2,0)</f>
        <v>5</v>
      </c>
      <c r="N526" t="str">
        <f t="shared" si="29"/>
        <v>X98:AP109</v>
      </c>
      <c r="O526" s="4">
        <f t="shared" ca="1" si="30"/>
        <v>181704.59999999998</v>
      </c>
    </row>
    <row r="527" spans="1:15">
      <c r="A527" s="2" t="s">
        <v>20</v>
      </c>
      <c r="B527" t="s">
        <v>43</v>
      </c>
      <c r="C527" t="s">
        <v>44</v>
      </c>
      <c r="D527">
        <v>7</v>
      </c>
      <c r="E527" t="s">
        <v>46</v>
      </c>
      <c r="F527">
        <v>3</v>
      </c>
      <c r="G527">
        <v>2</v>
      </c>
      <c r="H527">
        <v>1</v>
      </c>
      <c r="I527">
        <v>1</v>
      </c>
      <c r="J527" s="4" t="s">
        <v>52</v>
      </c>
      <c r="K527" t="str">
        <f t="shared" si="31"/>
        <v>2+1</v>
      </c>
      <c r="L527">
        <f>VLOOKUP(A527,'ZONE 1 PREMIUM'!$A$4:$N$16,14,0)</f>
        <v>11</v>
      </c>
      <c r="M527">
        <f>VLOOKUP(D527,DROPDOWN!B:C,2,0)</f>
        <v>5</v>
      </c>
      <c r="N527" t="str">
        <f t="shared" si="29"/>
        <v>X98:AP109</v>
      </c>
      <c r="O527" s="4">
        <f t="shared" ca="1" si="30"/>
        <v>221385.34999999998</v>
      </c>
    </row>
    <row r="528" spans="1:15">
      <c r="A528" s="2" t="s">
        <v>21</v>
      </c>
      <c r="B528" t="s">
        <v>22</v>
      </c>
      <c r="D528">
        <v>7</v>
      </c>
      <c r="E528" t="s">
        <v>46</v>
      </c>
      <c r="F528">
        <v>3</v>
      </c>
      <c r="G528">
        <v>2</v>
      </c>
      <c r="H528">
        <v>1</v>
      </c>
      <c r="I528">
        <v>1</v>
      </c>
      <c r="J528" s="4" t="s">
        <v>52</v>
      </c>
      <c r="K528" t="str">
        <f t="shared" si="31"/>
        <v>2+1</v>
      </c>
      <c r="L528">
        <f>VLOOKUP(A528,'ZONE 1 PREMIUM'!$A$4:$N$16,14,0)</f>
        <v>12</v>
      </c>
      <c r="M528">
        <f>VLOOKUP(D528,DROPDOWN!B:C,2,0)</f>
        <v>5</v>
      </c>
      <c r="N528" t="str">
        <f t="shared" si="29"/>
        <v>X98:AP109</v>
      </c>
      <c r="O528" s="4">
        <f t="shared" ca="1" si="30"/>
        <v>281240.55</v>
      </c>
    </row>
    <row r="529" spans="1:15">
      <c r="A529" s="2" t="s">
        <v>11</v>
      </c>
      <c r="B529" t="s">
        <v>45</v>
      </c>
      <c r="C529" t="s">
        <v>25</v>
      </c>
      <c r="D529">
        <v>7</v>
      </c>
      <c r="E529" t="s">
        <v>46</v>
      </c>
      <c r="F529">
        <v>4</v>
      </c>
      <c r="G529">
        <v>2</v>
      </c>
      <c r="H529">
        <v>2</v>
      </c>
      <c r="I529">
        <v>1</v>
      </c>
      <c r="J529" s="4" t="s">
        <v>52</v>
      </c>
      <c r="K529" t="str">
        <f t="shared" si="31"/>
        <v>2+2</v>
      </c>
      <c r="L529">
        <f>VLOOKUP(A529,'ZONE 1 PREMIUM'!$A$4:$N$16,14,0)</f>
        <v>2</v>
      </c>
      <c r="M529">
        <f>VLOOKUP(D529,DROPDOWN!B:C,2,0)</f>
        <v>5</v>
      </c>
      <c r="N529" t="str">
        <f t="shared" si="29"/>
        <v>X113:AP124</v>
      </c>
      <c r="O529" s="4">
        <f t="shared" ca="1" si="30"/>
        <v>35621.25</v>
      </c>
    </row>
    <row r="530" spans="1:15">
      <c r="A530" s="2" t="s">
        <v>12</v>
      </c>
      <c r="B530" t="s">
        <v>27</v>
      </c>
      <c r="C530" t="s">
        <v>28</v>
      </c>
      <c r="D530">
        <v>7</v>
      </c>
      <c r="E530" t="s">
        <v>46</v>
      </c>
      <c r="F530">
        <v>4</v>
      </c>
      <c r="G530">
        <v>2</v>
      </c>
      <c r="H530">
        <v>2</v>
      </c>
      <c r="I530">
        <v>1</v>
      </c>
      <c r="J530" s="4" t="s">
        <v>52</v>
      </c>
      <c r="K530" t="str">
        <f t="shared" si="31"/>
        <v>2+2</v>
      </c>
      <c r="L530">
        <f>VLOOKUP(A530,'ZONE 1 PREMIUM'!$A$4:$N$16,14,0)</f>
        <v>3</v>
      </c>
      <c r="M530">
        <f>VLOOKUP(D530,DROPDOWN!B:C,2,0)</f>
        <v>5</v>
      </c>
      <c r="N530" t="str">
        <f t="shared" si="29"/>
        <v>X113:AP124</v>
      </c>
      <c r="O530" s="4">
        <f t="shared" ca="1" si="30"/>
        <v>38963.149999999994</v>
      </c>
    </row>
    <row r="531" spans="1:15">
      <c r="A531" s="2" t="s">
        <v>13</v>
      </c>
      <c r="B531" t="s">
        <v>29</v>
      </c>
      <c r="C531" t="s">
        <v>30</v>
      </c>
      <c r="D531">
        <v>7</v>
      </c>
      <c r="E531" t="s">
        <v>46</v>
      </c>
      <c r="F531">
        <v>4</v>
      </c>
      <c r="G531">
        <v>2</v>
      </c>
      <c r="H531">
        <v>2</v>
      </c>
      <c r="I531">
        <v>1</v>
      </c>
      <c r="J531" s="4" t="s">
        <v>52</v>
      </c>
      <c r="K531" t="str">
        <f t="shared" si="31"/>
        <v>2+2</v>
      </c>
      <c r="L531">
        <f>VLOOKUP(A531,'ZONE 1 PREMIUM'!$A$4:$N$16,14,0)</f>
        <v>4</v>
      </c>
      <c r="M531">
        <f>VLOOKUP(D531,DROPDOWN!B:C,2,0)</f>
        <v>5</v>
      </c>
      <c r="N531" t="str">
        <f t="shared" si="29"/>
        <v>X113:AP124</v>
      </c>
      <c r="O531" s="4">
        <f t="shared" ca="1" si="30"/>
        <v>43764.399999999994</v>
      </c>
    </row>
    <row r="532" spans="1:15">
      <c r="A532" s="2" t="s">
        <v>14</v>
      </c>
      <c r="B532" t="s">
        <v>31</v>
      </c>
      <c r="C532" t="s">
        <v>32</v>
      </c>
      <c r="D532">
        <v>7</v>
      </c>
      <c r="E532" t="s">
        <v>46</v>
      </c>
      <c r="F532">
        <v>4</v>
      </c>
      <c r="G532">
        <v>2</v>
      </c>
      <c r="H532">
        <v>2</v>
      </c>
      <c r="I532">
        <v>1</v>
      </c>
      <c r="J532" s="4" t="s">
        <v>52</v>
      </c>
      <c r="K532" t="str">
        <f t="shared" si="31"/>
        <v>2+2</v>
      </c>
      <c r="L532">
        <f>VLOOKUP(A532,'ZONE 1 PREMIUM'!$A$4:$N$16,14,0)</f>
        <v>5</v>
      </c>
      <c r="M532">
        <f>VLOOKUP(D532,DROPDOWN!B:C,2,0)</f>
        <v>5</v>
      </c>
      <c r="N532" t="str">
        <f t="shared" si="29"/>
        <v>X113:AP124</v>
      </c>
      <c r="O532" s="4">
        <f t="shared" ca="1" si="30"/>
        <v>49590.299999999996</v>
      </c>
    </row>
    <row r="533" spans="1:15">
      <c r="A533" s="2" t="s">
        <v>15</v>
      </c>
      <c r="B533" t="s">
        <v>33</v>
      </c>
      <c r="C533" t="s">
        <v>34</v>
      </c>
      <c r="D533">
        <v>7</v>
      </c>
      <c r="E533" t="s">
        <v>46</v>
      </c>
      <c r="F533">
        <v>4</v>
      </c>
      <c r="G533">
        <v>2</v>
      </c>
      <c r="H533">
        <v>2</v>
      </c>
      <c r="I533">
        <v>1</v>
      </c>
      <c r="J533" s="4" t="s">
        <v>52</v>
      </c>
      <c r="K533" t="str">
        <f t="shared" si="31"/>
        <v>2+2</v>
      </c>
      <c r="L533">
        <f>VLOOKUP(A533,'ZONE 1 PREMIUM'!$A$4:$N$16,14,0)</f>
        <v>6</v>
      </c>
      <c r="M533">
        <f>VLOOKUP(D533,DROPDOWN!B:C,2,0)</f>
        <v>5</v>
      </c>
      <c r="N533" t="str">
        <f t="shared" si="29"/>
        <v>X113:AP124</v>
      </c>
      <c r="O533" s="4">
        <f t="shared" ca="1" si="30"/>
        <v>63246.549999999996</v>
      </c>
    </row>
    <row r="534" spans="1:15">
      <c r="A534" s="2" t="s">
        <v>16</v>
      </c>
      <c r="B534" t="s">
        <v>35</v>
      </c>
      <c r="C534" t="s">
        <v>36</v>
      </c>
      <c r="D534">
        <v>7</v>
      </c>
      <c r="E534" t="s">
        <v>46</v>
      </c>
      <c r="F534">
        <v>4</v>
      </c>
      <c r="G534">
        <v>2</v>
      </c>
      <c r="H534">
        <v>2</v>
      </c>
      <c r="I534">
        <v>1</v>
      </c>
      <c r="J534" s="4" t="s">
        <v>52</v>
      </c>
      <c r="K534" t="str">
        <f t="shared" si="31"/>
        <v>2+2</v>
      </c>
      <c r="L534">
        <f>VLOOKUP(A534,'ZONE 1 PREMIUM'!$A$4:$N$16,14,0)</f>
        <v>7</v>
      </c>
      <c r="M534">
        <f>VLOOKUP(D534,DROPDOWN!B:C,2,0)</f>
        <v>5</v>
      </c>
      <c r="N534" t="str">
        <f t="shared" si="29"/>
        <v>X113:AP124</v>
      </c>
      <c r="O534" s="4">
        <f t="shared" ca="1" si="30"/>
        <v>83261.149999999994</v>
      </c>
    </row>
    <row r="535" spans="1:15">
      <c r="A535" s="2" t="s">
        <v>17</v>
      </c>
      <c r="B535" t="s">
        <v>37</v>
      </c>
      <c r="C535" t="s">
        <v>38</v>
      </c>
      <c r="D535">
        <v>7</v>
      </c>
      <c r="E535" t="s">
        <v>46</v>
      </c>
      <c r="F535">
        <v>4</v>
      </c>
      <c r="G535">
        <v>2</v>
      </c>
      <c r="H535">
        <v>2</v>
      </c>
      <c r="I535">
        <v>1</v>
      </c>
      <c r="J535" s="4" t="s">
        <v>52</v>
      </c>
      <c r="K535" t="str">
        <f t="shared" si="31"/>
        <v>2+2</v>
      </c>
      <c r="L535">
        <f>VLOOKUP(A535,'ZONE 1 PREMIUM'!$A$4:$N$16,14,0)</f>
        <v>8</v>
      </c>
      <c r="M535">
        <f>VLOOKUP(D535,DROPDOWN!B:C,2,0)</f>
        <v>5</v>
      </c>
      <c r="N535" t="str">
        <f t="shared" si="29"/>
        <v>X113:AP124</v>
      </c>
      <c r="O535" s="4">
        <f t="shared" ca="1" si="30"/>
        <v>107231.74999999999</v>
      </c>
    </row>
    <row r="536" spans="1:15">
      <c r="A536" s="2" t="s">
        <v>18</v>
      </c>
      <c r="B536" t="s">
        <v>39</v>
      </c>
      <c r="C536" t="s">
        <v>40</v>
      </c>
      <c r="D536">
        <v>7</v>
      </c>
      <c r="E536" t="s">
        <v>46</v>
      </c>
      <c r="F536">
        <v>4</v>
      </c>
      <c r="G536">
        <v>2</v>
      </c>
      <c r="H536">
        <v>2</v>
      </c>
      <c r="I536">
        <v>1</v>
      </c>
      <c r="J536" s="4" t="s">
        <v>52</v>
      </c>
      <c r="K536" t="str">
        <f t="shared" si="31"/>
        <v>2+2</v>
      </c>
      <c r="L536">
        <f>VLOOKUP(A536,'ZONE 1 PREMIUM'!$A$4:$N$16,14,0)</f>
        <v>9</v>
      </c>
      <c r="M536">
        <f>VLOOKUP(D536,DROPDOWN!B:C,2,0)</f>
        <v>5</v>
      </c>
      <c r="N536" t="str">
        <f t="shared" si="29"/>
        <v>X113:AP124</v>
      </c>
      <c r="O536" s="4">
        <f t="shared" ca="1" si="30"/>
        <v>142872.54999999999</v>
      </c>
    </row>
    <row r="537" spans="1:15">
      <c r="A537" s="2" t="s">
        <v>19</v>
      </c>
      <c r="B537" t="s">
        <v>41</v>
      </c>
      <c r="C537" t="s">
        <v>42</v>
      </c>
      <c r="D537">
        <v>7</v>
      </c>
      <c r="E537" t="s">
        <v>46</v>
      </c>
      <c r="F537">
        <v>4</v>
      </c>
      <c r="G537">
        <v>2</v>
      </c>
      <c r="H537">
        <v>2</v>
      </c>
      <c r="I537">
        <v>1</v>
      </c>
      <c r="J537" s="4" t="s">
        <v>52</v>
      </c>
      <c r="K537" t="str">
        <f t="shared" si="31"/>
        <v>2+2</v>
      </c>
      <c r="L537">
        <f>VLOOKUP(A537,'ZONE 1 PREMIUM'!$A$4:$N$16,14,0)</f>
        <v>10</v>
      </c>
      <c r="M537">
        <f>VLOOKUP(D537,DROPDOWN!B:C,2,0)</f>
        <v>5</v>
      </c>
      <c r="N537" t="str">
        <f t="shared" si="29"/>
        <v>X113:AP124</v>
      </c>
      <c r="O537" s="4">
        <f t="shared" ca="1" si="30"/>
        <v>184353.05</v>
      </c>
    </row>
    <row r="538" spans="1:15">
      <c r="A538" s="2" t="s">
        <v>20</v>
      </c>
      <c r="B538" t="s">
        <v>43</v>
      </c>
      <c r="C538" t="s">
        <v>44</v>
      </c>
      <c r="D538">
        <v>7</v>
      </c>
      <c r="E538" t="s">
        <v>46</v>
      </c>
      <c r="F538">
        <v>4</v>
      </c>
      <c r="G538">
        <v>2</v>
      </c>
      <c r="H538">
        <v>2</v>
      </c>
      <c r="I538">
        <v>1</v>
      </c>
      <c r="J538" s="4" t="s">
        <v>52</v>
      </c>
      <c r="K538" t="str">
        <f t="shared" si="31"/>
        <v>2+2</v>
      </c>
      <c r="L538">
        <f>VLOOKUP(A538,'ZONE 1 PREMIUM'!$A$4:$N$16,14,0)</f>
        <v>11</v>
      </c>
      <c r="M538">
        <f>VLOOKUP(D538,DROPDOWN!B:C,2,0)</f>
        <v>5</v>
      </c>
      <c r="N538" t="str">
        <f t="shared" si="29"/>
        <v>X113:AP124</v>
      </c>
      <c r="O538" s="4">
        <f t="shared" ca="1" si="30"/>
        <v>224404.09999999998</v>
      </c>
    </row>
    <row r="539" spans="1:15">
      <c r="A539" s="2" t="s">
        <v>21</v>
      </c>
      <c r="B539" t="s">
        <v>22</v>
      </c>
      <c r="D539">
        <v>7</v>
      </c>
      <c r="E539" t="s">
        <v>46</v>
      </c>
      <c r="F539">
        <v>4</v>
      </c>
      <c r="G539">
        <v>2</v>
      </c>
      <c r="H539">
        <v>2</v>
      </c>
      <c r="I539">
        <v>1</v>
      </c>
      <c r="J539" s="4" t="s">
        <v>52</v>
      </c>
      <c r="K539" t="str">
        <f t="shared" si="31"/>
        <v>2+2</v>
      </c>
      <c r="L539">
        <f>VLOOKUP(A539,'ZONE 1 PREMIUM'!$A$4:$N$16,14,0)</f>
        <v>12</v>
      </c>
      <c r="M539">
        <f>VLOOKUP(D539,DROPDOWN!B:C,2,0)</f>
        <v>5</v>
      </c>
      <c r="N539" t="str">
        <f t="shared" si="29"/>
        <v>X113:AP124</v>
      </c>
      <c r="O539" s="4">
        <f t="shared" ca="1" si="30"/>
        <v>284446.75</v>
      </c>
    </row>
    <row r="540" spans="1:15">
      <c r="A540" s="2" t="s">
        <v>11</v>
      </c>
      <c r="B540" t="s">
        <v>45</v>
      </c>
      <c r="C540" t="s">
        <v>25</v>
      </c>
      <c r="D540">
        <v>7</v>
      </c>
      <c r="E540" t="s">
        <v>46</v>
      </c>
      <c r="F540">
        <v>5</v>
      </c>
      <c r="G540">
        <v>2</v>
      </c>
      <c r="H540">
        <v>3</v>
      </c>
      <c r="I540">
        <v>1</v>
      </c>
      <c r="J540" s="4" t="s">
        <v>52</v>
      </c>
      <c r="K540" t="str">
        <f t="shared" si="31"/>
        <v>2+3</v>
      </c>
      <c r="L540">
        <f>VLOOKUP(A540,'ZONE 1 PREMIUM'!$A$4:$N$16,14,0)</f>
        <v>2</v>
      </c>
      <c r="M540">
        <f>VLOOKUP(D540,DROPDOWN!B:C,2,0)</f>
        <v>5</v>
      </c>
      <c r="N540" t="str">
        <f t="shared" si="29"/>
        <v>X128:AP139</v>
      </c>
      <c r="O540" s="4">
        <f t="shared" ca="1" si="30"/>
        <v>40829.599999999999</v>
      </c>
    </row>
    <row r="541" spans="1:15">
      <c r="A541" s="2" t="s">
        <v>12</v>
      </c>
      <c r="B541" t="s">
        <v>27</v>
      </c>
      <c r="C541" t="s">
        <v>28</v>
      </c>
      <c r="D541">
        <v>7</v>
      </c>
      <c r="E541" t="s">
        <v>46</v>
      </c>
      <c r="F541">
        <v>5</v>
      </c>
      <c r="G541">
        <v>2</v>
      </c>
      <c r="H541">
        <v>3</v>
      </c>
      <c r="I541">
        <v>1</v>
      </c>
      <c r="J541" s="4" t="s">
        <v>52</v>
      </c>
      <c r="K541" t="str">
        <f t="shared" si="31"/>
        <v>2+3</v>
      </c>
      <c r="L541">
        <f>VLOOKUP(A541,'ZONE 1 PREMIUM'!$A$4:$N$16,14,0)</f>
        <v>3</v>
      </c>
      <c r="M541">
        <f>VLOOKUP(D541,DROPDOWN!B:C,2,0)</f>
        <v>5</v>
      </c>
      <c r="N541" t="str">
        <f t="shared" si="29"/>
        <v>X128:AP139</v>
      </c>
      <c r="O541" s="4">
        <f t="shared" ca="1" si="30"/>
        <v>44077.2</v>
      </c>
    </row>
    <row r="542" spans="1:15">
      <c r="A542" s="2" t="s">
        <v>13</v>
      </c>
      <c r="B542" t="s">
        <v>29</v>
      </c>
      <c r="C542" t="s">
        <v>30</v>
      </c>
      <c r="D542">
        <v>7</v>
      </c>
      <c r="E542" t="s">
        <v>46</v>
      </c>
      <c r="F542">
        <v>5</v>
      </c>
      <c r="G542">
        <v>2</v>
      </c>
      <c r="H542">
        <v>3</v>
      </c>
      <c r="I542">
        <v>1</v>
      </c>
      <c r="J542" s="4" t="s">
        <v>52</v>
      </c>
      <c r="K542" t="str">
        <f t="shared" si="31"/>
        <v>2+3</v>
      </c>
      <c r="L542">
        <f>VLOOKUP(A542,'ZONE 1 PREMIUM'!$A$4:$N$16,14,0)</f>
        <v>4</v>
      </c>
      <c r="M542">
        <f>VLOOKUP(D542,DROPDOWN!B:C,2,0)</f>
        <v>5</v>
      </c>
      <c r="N542" t="str">
        <f t="shared" si="29"/>
        <v>X128:AP139</v>
      </c>
      <c r="O542" s="4">
        <f t="shared" ca="1" si="30"/>
        <v>49686.899999999994</v>
      </c>
    </row>
    <row r="543" spans="1:15">
      <c r="A543" s="2" t="s">
        <v>14</v>
      </c>
      <c r="B543" t="s">
        <v>31</v>
      </c>
      <c r="C543" t="s">
        <v>32</v>
      </c>
      <c r="D543">
        <v>7</v>
      </c>
      <c r="E543" t="s">
        <v>46</v>
      </c>
      <c r="F543">
        <v>5</v>
      </c>
      <c r="G543">
        <v>2</v>
      </c>
      <c r="H543">
        <v>3</v>
      </c>
      <c r="I543">
        <v>1</v>
      </c>
      <c r="J543" s="4" t="s">
        <v>52</v>
      </c>
      <c r="K543" t="str">
        <f t="shared" si="31"/>
        <v>2+3</v>
      </c>
      <c r="L543">
        <f>VLOOKUP(A543,'ZONE 1 PREMIUM'!$A$4:$N$16,14,0)</f>
        <v>5</v>
      </c>
      <c r="M543">
        <f>VLOOKUP(D543,DROPDOWN!B:C,2,0)</f>
        <v>5</v>
      </c>
      <c r="N543" t="str">
        <f t="shared" si="29"/>
        <v>X128:AP139</v>
      </c>
      <c r="O543" s="4">
        <f t="shared" ca="1" si="30"/>
        <v>55891.149999999994</v>
      </c>
    </row>
    <row r="544" spans="1:15">
      <c r="A544" s="2" t="s">
        <v>15</v>
      </c>
      <c r="B544" t="s">
        <v>33</v>
      </c>
      <c r="C544" t="s">
        <v>34</v>
      </c>
      <c r="D544">
        <v>7</v>
      </c>
      <c r="E544" t="s">
        <v>46</v>
      </c>
      <c r="F544">
        <v>5</v>
      </c>
      <c r="G544">
        <v>2</v>
      </c>
      <c r="H544">
        <v>3</v>
      </c>
      <c r="I544">
        <v>1</v>
      </c>
      <c r="J544" s="4" t="s">
        <v>52</v>
      </c>
      <c r="K544" t="str">
        <f t="shared" si="31"/>
        <v>2+3</v>
      </c>
      <c r="L544">
        <f>VLOOKUP(A544,'ZONE 1 PREMIUM'!$A$4:$N$16,14,0)</f>
        <v>6</v>
      </c>
      <c r="M544">
        <f>VLOOKUP(D544,DROPDOWN!B:C,2,0)</f>
        <v>5</v>
      </c>
      <c r="N544" t="str">
        <f t="shared" si="29"/>
        <v>X128:AP139</v>
      </c>
      <c r="O544" s="4">
        <f t="shared" ca="1" si="30"/>
        <v>70312.149999999994</v>
      </c>
    </row>
    <row r="545" spans="1:15">
      <c r="A545" s="2" t="s">
        <v>16</v>
      </c>
      <c r="B545" t="s">
        <v>35</v>
      </c>
      <c r="C545" t="s">
        <v>36</v>
      </c>
      <c r="D545">
        <v>7</v>
      </c>
      <c r="E545" t="s">
        <v>46</v>
      </c>
      <c r="F545">
        <v>5</v>
      </c>
      <c r="G545">
        <v>2</v>
      </c>
      <c r="H545">
        <v>3</v>
      </c>
      <c r="I545">
        <v>1</v>
      </c>
      <c r="J545" s="4" t="s">
        <v>52</v>
      </c>
      <c r="K545" t="str">
        <f t="shared" si="31"/>
        <v>2+3</v>
      </c>
      <c r="L545">
        <f>VLOOKUP(A545,'ZONE 1 PREMIUM'!$A$4:$N$16,14,0)</f>
        <v>7</v>
      </c>
      <c r="M545">
        <f>VLOOKUP(D545,DROPDOWN!B:C,2,0)</f>
        <v>5</v>
      </c>
      <c r="N545" t="str">
        <f t="shared" si="29"/>
        <v>X128:AP139</v>
      </c>
      <c r="O545" s="4">
        <f t="shared" ca="1" si="30"/>
        <v>90362.4</v>
      </c>
    </row>
    <row r="546" spans="1:15">
      <c r="A546" s="2" t="s">
        <v>17</v>
      </c>
      <c r="B546" t="s">
        <v>37</v>
      </c>
      <c r="C546" t="s">
        <v>38</v>
      </c>
      <c r="D546">
        <v>7</v>
      </c>
      <c r="E546" t="s">
        <v>46</v>
      </c>
      <c r="F546">
        <v>5</v>
      </c>
      <c r="G546">
        <v>2</v>
      </c>
      <c r="H546">
        <v>3</v>
      </c>
      <c r="I546">
        <v>1</v>
      </c>
      <c r="J546" s="4" t="s">
        <v>52</v>
      </c>
      <c r="K546" t="str">
        <f t="shared" si="31"/>
        <v>2+3</v>
      </c>
      <c r="L546">
        <f>VLOOKUP(A546,'ZONE 1 PREMIUM'!$A$4:$N$16,14,0)</f>
        <v>8</v>
      </c>
      <c r="M546">
        <f>VLOOKUP(D546,DROPDOWN!B:C,2,0)</f>
        <v>5</v>
      </c>
      <c r="N546" t="str">
        <f t="shared" si="29"/>
        <v>X128:AP139</v>
      </c>
      <c r="O546" s="4">
        <f t="shared" ca="1" si="30"/>
        <v>113668.29999999999</v>
      </c>
    </row>
    <row r="547" spans="1:15">
      <c r="A547" s="2" t="s">
        <v>18</v>
      </c>
      <c r="B547" t="s">
        <v>39</v>
      </c>
      <c r="C547" t="s">
        <v>40</v>
      </c>
      <c r="D547">
        <v>7</v>
      </c>
      <c r="E547" t="s">
        <v>46</v>
      </c>
      <c r="F547">
        <v>5</v>
      </c>
      <c r="G547">
        <v>2</v>
      </c>
      <c r="H547">
        <v>3</v>
      </c>
      <c r="I547">
        <v>1</v>
      </c>
      <c r="J547" s="4" t="s">
        <v>52</v>
      </c>
      <c r="K547" t="str">
        <f t="shared" si="31"/>
        <v>2+3</v>
      </c>
      <c r="L547">
        <f>VLOOKUP(A547,'ZONE 1 PREMIUM'!$A$4:$N$16,14,0)</f>
        <v>9</v>
      </c>
      <c r="M547">
        <f>VLOOKUP(D547,DROPDOWN!B:C,2,0)</f>
        <v>5</v>
      </c>
      <c r="N547" t="str">
        <f t="shared" si="29"/>
        <v>X128:AP139</v>
      </c>
      <c r="O547" s="4">
        <f t="shared" ca="1" si="30"/>
        <v>149234.34999999998</v>
      </c>
    </row>
    <row r="548" spans="1:15">
      <c r="A548" s="2" t="s">
        <v>19</v>
      </c>
      <c r="B548" t="s">
        <v>41</v>
      </c>
      <c r="C548" t="s">
        <v>42</v>
      </c>
      <c r="D548">
        <v>7</v>
      </c>
      <c r="E548" t="s">
        <v>46</v>
      </c>
      <c r="F548">
        <v>5</v>
      </c>
      <c r="G548">
        <v>2</v>
      </c>
      <c r="H548">
        <v>3</v>
      </c>
      <c r="I548">
        <v>1</v>
      </c>
      <c r="J548" s="4" t="s">
        <v>52</v>
      </c>
      <c r="K548" t="str">
        <f t="shared" si="31"/>
        <v>2+3</v>
      </c>
      <c r="L548">
        <f>VLOOKUP(A548,'ZONE 1 PREMIUM'!$A$4:$N$16,14,0)</f>
        <v>10</v>
      </c>
      <c r="M548">
        <f>VLOOKUP(D548,DROPDOWN!B:C,2,0)</f>
        <v>5</v>
      </c>
      <c r="N548" t="str">
        <f t="shared" si="29"/>
        <v>X128:AP139</v>
      </c>
      <c r="O548" s="4">
        <f t="shared" ca="1" si="30"/>
        <v>190368.69999999998</v>
      </c>
    </row>
    <row r="549" spans="1:15">
      <c r="A549" s="2" t="s">
        <v>20</v>
      </c>
      <c r="B549" t="s">
        <v>43</v>
      </c>
      <c r="C549" t="s">
        <v>44</v>
      </c>
      <c r="D549">
        <v>7</v>
      </c>
      <c r="E549" t="s">
        <v>46</v>
      </c>
      <c r="F549">
        <v>5</v>
      </c>
      <c r="G549">
        <v>2</v>
      </c>
      <c r="H549">
        <v>3</v>
      </c>
      <c r="I549">
        <v>1</v>
      </c>
      <c r="J549" s="4" t="s">
        <v>52</v>
      </c>
      <c r="K549" t="str">
        <f t="shared" si="31"/>
        <v>2+3</v>
      </c>
      <c r="L549">
        <f>VLOOKUP(A549,'ZONE 1 PREMIUM'!$A$4:$N$16,14,0)</f>
        <v>11</v>
      </c>
      <c r="M549">
        <f>VLOOKUP(D549,DROPDOWN!B:C,2,0)</f>
        <v>5</v>
      </c>
      <c r="N549" t="str">
        <f t="shared" si="29"/>
        <v>X128:AP139</v>
      </c>
      <c r="O549" s="4">
        <f t="shared" ca="1" si="30"/>
        <v>231145.4</v>
      </c>
    </row>
    <row r="550" spans="1:15">
      <c r="A550" s="2" t="s">
        <v>21</v>
      </c>
      <c r="B550" t="s">
        <v>22</v>
      </c>
      <c r="D550">
        <v>7</v>
      </c>
      <c r="E550" t="s">
        <v>46</v>
      </c>
      <c r="F550">
        <v>5</v>
      </c>
      <c r="G550">
        <v>2</v>
      </c>
      <c r="H550">
        <v>3</v>
      </c>
      <c r="I550">
        <v>1</v>
      </c>
      <c r="J550" s="4" t="s">
        <v>52</v>
      </c>
      <c r="K550" t="str">
        <f t="shared" si="31"/>
        <v>2+3</v>
      </c>
      <c r="L550">
        <f>VLOOKUP(A550,'ZONE 1 PREMIUM'!$A$4:$N$16,14,0)</f>
        <v>12</v>
      </c>
      <c r="M550">
        <f>VLOOKUP(D550,DROPDOWN!B:C,2,0)</f>
        <v>5</v>
      </c>
      <c r="N550" t="str">
        <f t="shared" si="29"/>
        <v>X128:AP139</v>
      </c>
      <c r="O550" s="4">
        <f t="shared" ca="1" si="30"/>
        <v>291637.69999999995</v>
      </c>
    </row>
    <row r="551" spans="1:15">
      <c r="A551" s="2" t="s">
        <v>11</v>
      </c>
      <c r="B551" t="s">
        <v>45</v>
      </c>
      <c r="C551" t="s">
        <v>25</v>
      </c>
      <c r="D551">
        <v>7</v>
      </c>
      <c r="E551" t="s">
        <v>46</v>
      </c>
      <c r="F551">
        <v>6</v>
      </c>
      <c r="G551">
        <v>2</v>
      </c>
      <c r="H551">
        <v>4</v>
      </c>
      <c r="I551">
        <v>1</v>
      </c>
      <c r="J551" s="4" t="s">
        <v>52</v>
      </c>
      <c r="K551" t="str">
        <f t="shared" si="31"/>
        <v>2+4</v>
      </c>
      <c r="L551">
        <f>VLOOKUP(A551,'ZONE 1 PREMIUM'!$A$4:$N$16,14,0)</f>
        <v>2</v>
      </c>
      <c r="M551">
        <f>VLOOKUP(D551,DROPDOWN!B:C,2,0)</f>
        <v>5</v>
      </c>
      <c r="N551" t="str">
        <f t="shared" si="29"/>
        <v>X143:AP154</v>
      </c>
      <c r="O551" s="4">
        <f t="shared" ca="1" si="30"/>
        <v>46036.799999999996</v>
      </c>
    </row>
    <row r="552" spans="1:15">
      <c r="A552" s="2" t="s">
        <v>12</v>
      </c>
      <c r="B552" t="s">
        <v>27</v>
      </c>
      <c r="C552" t="s">
        <v>28</v>
      </c>
      <c r="D552">
        <v>7</v>
      </c>
      <c r="E552" t="s">
        <v>46</v>
      </c>
      <c r="F552">
        <v>6</v>
      </c>
      <c r="G552">
        <v>2</v>
      </c>
      <c r="H552">
        <v>4</v>
      </c>
      <c r="I552">
        <v>1</v>
      </c>
      <c r="J552" s="4" t="s">
        <v>52</v>
      </c>
      <c r="K552" t="str">
        <f t="shared" si="31"/>
        <v>2+4</v>
      </c>
      <c r="L552">
        <f>VLOOKUP(A552,'ZONE 1 PREMIUM'!$A$4:$N$16,14,0)</f>
        <v>3</v>
      </c>
      <c r="M552">
        <f>VLOOKUP(D552,DROPDOWN!B:C,2,0)</f>
        <v>5</v>
      </c>
      <c r="N552" t="str">
        <f t="shared" si="29"/>
        <v>X143:AP154</v>
      </c>
      <c r="O552" s="4">
        <f t="shared" ca="1" si="30"/>
        <v>49191.249999999993</v>
      </c>
    </row>
    <row r="553" spans="1:15">
      <c r="A553" s="2" t="s">
        <v>13</v>
      </c>
      <c r="B553" t="s">
        <v>29</v>
      </c>
      <c r="C553" t="s">
        <v>30</v>
      </c>
      <c r="D553">
        <v>7</v>
      </c>
      <c r="E553" t="s">
        <v>46</v>
      </c>
      <c r="F553">
        <v>6</v>
      </c>
      <c r="G553">
        <v>2</v>
      </c>
      <c r="H553">
        <v>4</v>
      </c>
      <c r="I553">
        <v>1</v>
      </c>
      <c r="J553" s="4" t="s">
        <v>52</v>
      </c>
      <c r="K553" t="str">
        <f t="shared" si="31"/>
        <v>2+4</v>
      </c>
      <c r="L553">
        <f>VLOOKUP(A553,'ZONE 1 PREMIUM'!$A$4:$N$16,14,0)</f>
        <v>4</v>
      </c>
      <c r="M553">
        <f>VLOOKUP(D553,DROPDOWN!B:C,2,0)</f>
        <v>5</v>
      </c>
      <c r="N553" t="str">
        <f t="shared" si="29"/>
        <v>X143:AP154</v>
      </c>
      <c r="O553" s="4">
        <f t="shared" ca="1" si="30"/>
        <v>55610.549999999996</v>
      </c>
    </row>
    <row r="554" spans="1:15">
      <c r="A554" s="2" t="s">
        <v>14</v>
      </c>
      <c r="B554" t="s">
        <v>31</v>
      </c>
      <c r="C554" t="s">
        <v>32</v>
      </c>
      <c r="D554">
        <v>7</v>
      </c>
      <c r="E554" t="s">
        <v>46</v>
      </c>
      <c r="F554">
        <v>6</v>
      </c>
      <c r="G554">
        <v>2</v>
      </c>
      <c r="H554">
        <v>4</v>
      </c>
      <c r="I554">
        <v>1</v>
      </c>
      <c r="J554" s="4" t="s">
        <v>52</v>
      </c>
      <c r="K554" t="str">
        <f t="shared" si="31"/>
        <v>2+4</v>
      </c>
      <c r="L554">
        <f>VLOOKUP(A554,'ZONE 1 PREMIUM'!$A$4:$N$16,14,0)</f>
        <v>5</v>
      </c>
      <c r="M554">
        <f>VLOOKUP(D554,DROPDOWN!B:C,2,0)</f>
        <v>5</v>
      </c>
      <c r="N554" t="str">
        <f t="shared" si="29"/>
        <v>X143:AP154</v>
      </c>
      <c r="O554" s="4">
        <f t="shared" ca="1" si="30"/>
        <v>62190.85</v>
      </c>
    </row>
    <row r="555" spans="1:15">
      <c r="A555" s="2" t="s">
        <v>15</v>
      </c>
      <c r="B555" t="s">
        <v>33</v>
      </c>
      <c r="C555" t="s">
        <v>34</v>
      </c>
      <c r="D555">
        <v>7</v>
      </c>
      <c r="E555" t="s">
        <v>46</v>
      </c>
      <c r="F555">
        <v>6</v>
      </c>
      <c r="G555">
        <v>2</v>
      </c>
      <c r="H555">
        <v>4</v>
      </c>
      <c r="I555">
        <v>1</v>
      </c>
      <c r="J555" s="4" t="s">
        <v>52</v>
      </c>
      <c r="K555" t="str">
        <f t="shared" si="31"/>
        <v>2+4</v>
      </c>
      <c r="L555">
        <f>VLOOKUP(A555,'ZONE 1 PREMIUM'!$A$4:$N$16,14,0)</f>
        <v>6</v>
      </c>
      <c r="M555">
        <f>VLOOKUP(D555,DROPDOWN!B:C,2,0)</f>
        <v>5</v>
      </c>
      <c r="N555" t="str">
        <f t="shared" si="29"/>
        <v>X143:AP154</v>
      </c>
      <c r="O555" s="4">
        <f t="shared" ca="1" si="30"/>
        <v>77376.599999999991</v>
      </c>
    </row>
    <row r="556" spans="1:15">
      <c r="A556" s="2" t="s">
        <v>16</v>
      </c>
      <c r="B556" t="s">
        <v>35</v>
      </c>
      <c r="C556" t="s">
        <v>36</v>
      </c>
      <c r="D556">
        <v>7</v>
      </c>
      <c r="E556" t="s">
        <v>46</v>
      </c>
      <c r="F556">
        <v>6</v>
      </c>
      <c r="G556">
        <v>2</v>
      </c>
      <c r="H556">
        <v>4</v>
      </c>
      <c r="I556">
        <v>1</v>
      </c>
      <c r="J556" s="4" t="s">
        <v>52</v>
      </c>
      <c r="K556" t="str">
        <f t="shared" si="31"/>
        <v>2+4</v>
      </c>
      <c r="L556">
        <f>VLOOKUP(A556,'ZONE 1 PREMIUM'!$A$4:$N$16,14,0)</f>
        <v>7</v>
      </c>
      <c r="M556">
        <f>VLOOKUP(D556,DROPDOWN!B:C,2,0)</f>
        <v>5</v>
      </c>
      <c r="N556" t="str">
        <f t="shared" si="29"/>
        <v>X143:AP154</v>
      </c>
      <c r="O556" s="4">
        <f t="shared" ca="1" si="30"/>
        <v>96743.749999999985</v>
      </c>
    </row>
    <row r="557" spans="1:15">
      <c r="A557" s="2" t="s">
        <v>17</v>
      </c>
      <c r="B557" t="s">
        <v>37</v>
      </c>
      <c r="C557" t="s">
        <v>38</v>
      </c>
      <c r="D557">
        <v>7</v>
      </c>
      <c r="E557" t="s">
        <v>46</v>
      </c>
      <c r="F557">
        <v>6</v>
      </c>
      <c r="G557">
        <v>2</v>
      </c>
      <c r="H557">
        <v>4</v>
      </c>
      <c r="I557">
        <v>1</v>
      </c>
      <c r="J557" s="4" t="s">
        <v>52</v>
      </c>
      <c r="K557" t="str">
        <f t="shared" si="31"/>
        <v>2+4</v>
      </c>
      <c r="L557">
        <f>VLOOKUP(A557,'ZONE 1 PREMIUM'!$A$4:$N$16,14,0)</f>
        <v>8</v>
      </c>
      <c r="M557">
        <f>VLOOKUP(D557,DROPDOWN!B:C,2,0)</f>
        <v>5</v>
      </c>
      <c r="N557" t="str">
        <f t="shared" si="29"/>
        <v>X143:AP154</v>
      </c>
      <c r="O557" s="4">
        <f t="shared" ca="1" si="30"/>
        <v>120024.34999999999</v>
      </c>
    </row>
    <row r="558" spans="1:15">
      <c r="A558" s="2" t="s">
        <v>18</v>
      </c>
      <c r="B558" t="s">
        <v>39</v>
      </c>
      <c r="C558" t="s">
        <v>40</v>
      </c>
      <c r="D558">
        <v>7</v>
      </c>
      <c r="E558" t="s">
        <v>46</v>
      </c>
      <c r="F558">
        <v>6</v>
      </c>
      <c r="G558">
        <v>2</v>
      </c>
      <c r="H558">
        <v>4</v>
      </c>
      <c r="I558">
        <v>1</v>
      </c>
      <c r="J558" s="4" t="s">
        <v>52</v>
      </c>
      <c r="K558" t="str">
        <f t="shared" si="31"/>
        <v>2+4</v>
      </c>
      <c r="L558">
        <f>VLOOKUP(A558,'ZONE 1 PREMIUM'!$A$4:$N$16,14,0)</f>
        <v>9</v>
      </c>
      <c r="M558">
        <f>VLOOKUP(D558,DROPDOWN!B:C,2,0)</f>
        <v>5</v>
      </c>
      <c r="N558" t="str">
        <f t="shared" si="29"/>
        <v>X143:AP154</v>
      </c>
      <c r="O558" s="4">
        <f t="shared" ca="1" si="30"/>
        <v>155304.04999999999</v>
      </c>
    </row>
    <row r="559" spans="1:15">
      <c r="A559" s="2" t="s">
        <v>19</v>
      </c>
      <c r="B559" t="s">
        <v>41</v>
      </c>
      <c r="C559" t="s">
        <v>42</v>
      </c>
      <c r="D559">
        <v>7</v>
      </c>
      <c r="E559" t="s">
        <v>46</v>
      </c>
      <c r="F559">
        <v>6</v>
      </c>
      <c r="G559">
        <v>2</v>
      </c>
      <c r="H559">
        <v>4</v>
      </c>
      <c r="I559">
        <v>1</v>
      </c>
      <c r="J559" s="4" t="s">
        <v>52</v>
      </c>
      <c r="K559" t="str">
        <f t="shared" si="31"/>
        <v>2+4</v>
      </c>
      <c r="L559">
        <f>VLOOKUP(A559,'ZONE 1 PREMIUM'!$A$4:$N$16,14,0)</f>
        <v>10</v>
      </c>
      <c r="M559">
        <f>VLOOKUP(D559,DROPDOWN!B:C,2,0)</f>
        <v>5</v>
      </c>
      <c r="N559" t="str">
        <f t="shared" si="29"/>
        <v>X143:AP154</v>
      </c>
      <c r="O559" s="4">
        <f t="shared" ca="1" si="30"/>
        <v>197111.15</v>
      </c>
    </row>
    <row r="560" spans="1:15">
      <c r="A560" s="2" t="s">
        <v>20</v>
      </c>
      <c r="B560" t="s">
        <v>43</v>
      </c>
      <c r="C560" t="s">
        <v>44</v>
      </c>
      <c r="D560">
        <v>7</v>
      </c>
      <c r="E560" t="s">
        <v>46</v>
      </c>
      <c r="F560">
        <v>6</v>
      </c>
      <c r="G560">
        <v>2</v>
      </c>
      <c r="H560">
        <v>4</v>
      </c>
      <c r="I560">
        <v>1</v>
      </c>
      <c r="J560" s="4" t="s">
        <v>52</v>
      </c>
      <c r="K560" t="str">
        <f t="shared" si="31"/>
        <v>2+4</v>
      </c>
      <c r="L560">
        <f>VLOOKUP(A560,'ZONE 1 PREMIUM'!$A$4:$N$16,14,0)</f>
        <v>11</v>
      </c>
      <c r="M560">
        <f>VLOOKUP(D560,DROPDOWN!B:C,2,0)</f>
        <v>5</v>
      </c>
      <c r="N560" t="str">
        <f t="shared" si="29"/>
        <v>X143:AP154</v>
      </c>
      <c r="O560" s="4">
        <f t="shared" ca="1" si="30"/>
        <v>237365.74999999997</v>
      </c>
    </row>
    <row r="561" spans="1:15">
      <c r="A561" s="2" t="s">
        <v>21</v>
      </c>
      <c r="B561" t="s">
        <v>22</v>
      </c>
      <c r="D561">
        <v>7</v>
      </c>
      <c r="E561" t="s">
        <v>46</v>
      </c>
      <c r="F561">
        <v>6</v>
      </c>
      <c r="G561">
        <v>2</v>
      </c>
      <c r="H561">
        <v>4</v>
      </c>
      <c r="I561">
        <v>1</v>
      </c>
      <c r="J561" s="4" t="s">
        <v>52</v>
      </c>
      <c r="K561" t="str">
        <f t="shared" si="31"/>
        <v>2+4</v>
      </c>
      <c r="L561">
        <f>VLOOKUP(A561,'ZONE 1 PREMIUM'!$A$4:$N$16,14,0)</f>
        <v>12</v>
      </c>
      <c r="M561">
        <f>VLOOKUP(D561,DROPDOWN!B:C,2,0)</f>
        <v>5</v>
      </c>
      <c r="N561" t="str">
        <f t="shared" si="29"/>
        <v>X143:AP154</v>
      </c>
      <c r="O561" s="4">
        <f t="shared" ca="1" si="30"/>
        <v>296725.3</v>
      </c>
    </row>
    <row r="562" spans="1:15">
      <c r="A562" s="2" t="s">
        <v>9</v>
      </c>
      <c r="B562" t="s">
        <v>47</v>
      </c>
      <c r="C562" t="s">
        <v>48</v>
      </c>
      <c r="D562">
        <v>7</v>
      </c>
      <c r="E562" t="s">
        <v>26</v>
      </c>
      <c r="F562">
        <v>1</v>
      </c>
      <c r="H562">
        <v>1</v>
      </c>
      <c r="I562">
        <v>1</v>
      </c>
      <c r="J562" s="4" t="s">
        <v>55</v>
      </c>
      <c r="K562" t="str">
        <f t="shared" si="31"/>
        <v>+1</v>
      </c>
      <c r="N562" t="e">
        <f t="shared" ref="N562:N625" si="32">VLOOKUP(K562,$BN$3:$BO$12,2,0)</f>
        <v>#N/A</v>
      </c>
      <c r="O562" s="7">
        <v>3302.4520964990093</v>
      </c>
    </row>
    <row r="563" spans="1:15">
      <c r="A563" s="2" t="s">
        <v>10</v>
      </c>
      <c r="B563" t="s">
        <v>49</v>
      </c>
      <c r="C563" t="s">
        <v>50</v>
      </c>
      <c r="D563">
        <v>7</v>
      </c>
      <c r="E563" t="s">
        <v>26</v>
      </c>
      <c r="F563">
        <v>1</v>
      </c>
      <c r="G563">
        <v>1</v>
      </c>
      <c r="H563">
        <v>0</v>
      </c>
      <c r="I563">
        <v>1</v>
      </c>
      <c r="J563" s="4" t="s">
        <v>55</v>
      </c>
      <c r="K563" t="str">
        <f t="shared" si="31"/>
        <v>1+0</v>
      </c>
      <c r="L563">
        <f>VLOOKUP(A563,'ZONE 1 PREMIUM'!$A$3:$M$16,13,0)</f>
        <v>3</v>
      </c>
      <c r="M563">
        <f>VLOOKUP(D563,DROPDOWN!B:C,2,0)</f>
        <v>5</v>
      </c>
      <c r="N563" t="str">
        <f t="shared" si="32"/>
        <v>AU3:BM16</v>
      </c>
      <c r="O563" s="4">
        <f t="shared" ca="1" si="30"/>
        <v>5632.875</v>
      </c>
    </row>
    <row r="564" spans="1:15">
      <c r="A564" s="2" t="s">
        <v>11</v>
      </c>
      <c r="B564" t="s">
        <v>45</v>
      </c>
      <c r="C564" t="s">
        <v>25</v>
      </c>
      <c r="D564">
        <v>7</v>
      </c>
      <c r="E564" t="s">
        <v>26</v>
      </c>
      <c r="F564">
        <v>1</v>
      </c>
      <c r="G564">
        <v>1</v>
      </c>
      <c r="H564">
        <v>0</v>
      </c>
      <c r="I564">
        <v>1</v>
      </c>
      <c r="J564" s="4" t="s">
        <v>55</v>
      </c>
      <c r="K564" t="str">
        <f t="shared" si="31"/>
        <v>1+0</v>
      </c>
      <c r="L564">
        <f>VLOOKUP(A564,'ZONE 1 PREMIUM'!$A$3:$M$16,13,0)</f>
        <v>4</v>
      </c>
      <c r="M564">
        <f>VLOOKUP(D564,DROPDOWN!B:C,2,0)</f>
        <v>5</v>
      </c>
      <c r="N564" t="str">
        <f t="shared" si="32"/>
        <v>AU3:BM16</v>
      </c>
      <c r="O564" s="4">
        <f t="shared" ca="1" si="30"/>
        <v>15088.5</v>
      </c>
    </row>
    <row r="565" spans="1:15">
      <c r="A565" s="2" t="s">
        <v>12</v>
      </c>
      <c r="B565" t="s">
        <v>27</v>
      </c>
      <c r="C565" t="s">
        <v>28</v>
      </c>
      <c r="D565">
        <v>7</v>
      </c>
      <c r="E565" t="s">
        <v>26</v>
      </c>
      <c r="F565">
        <v>1</v>
      </c>
      <c r="G565">
        <v>1</v>
      </c>
      <c r="H565">
        <v>0</v>
      </c>
      <c r="I565">
        <v>1</v>
      </c>
      <c r="J565" s="4" t="s">
        <v>55</v>
      </c>
      <c r="K565" t="str">
        <f t="shared" si="31"/>
        <v>1+0</v>
      </c>
      <c r="L565">
        <f>VLOOKUP(A565,'ZONE 1 PREMIUM'!$A$3:$M$16,13,0)</f>
        <v>5</v>
      </c>
      <c r="M565">
        <f>VLOOKUP(D565,DROPDOWN!B:C,2,0)</f>
        <v>5</v>
      </c>
      <c r="N565" t="str">
        <f t="shared" si="32"/>
        <v>AU3:BM16</v>
      </c>
      <c r="O565" s="4">
        <f t="shared" ca="1" si="30"/>
        <v>17362.125</v>
      </c>
    </row>
    <row r="566" spans="1:15">
      <c r="A566" s="2" t="s">
        <v>13</v>
      </c>
      <c r="B566" t="s">
        <v>29</v>
      </c>
      <c r="C566" t="s">
        <v>30</v>
      </c>
      <c r="D566">
        <v>7</v>
      </c>
      <c r="E566" t="s">
        <v>26</v>
      </c>
      <c r="F566">
        <v>1</v>
      </c>
      <c r="G566">
        <v>1</v>
      </c>
      <c r="H566">
        <v>0</v>
      </c>
      <c r="I566">
        <v>1</v>
      </c>
      <c r="J566" s="4" t="s">
        <v>55</v>
      </c>
      <c r="K566" t="str">
        <f t="shared" si="31"/>
        <v>1+0</v>
      </c>
      <c r="L566">
        <f>VLOOKUP(A566,'ZONE 1 PREMIUM'!$A$3:$M$16,13,0)</f>
        <v>6</v>
      </c>
      <c r="M566">
        <f>VLOOKUP(D566,DROPDOWN!B:C,2,0)</f>
        <v>5</v>
      </c>
      <c r="N566" t="str">
        <f t="shared" si="32"/>
        <v>AU3:BM16</v>
      </c>
      <c r="O566" s="4">
        <f t="shared" ca="1" si="30"/>
        <v>20026.125</v>
      </c>
    </row>
    <row r="567" spans="1:15">
      <c r="A567" s="2" t="s">
        <v>14</v>
      </c>
      <c r="B567" t="s">
        <v>31</v>
      </c>
      <c r="C567" t="s">
        <v>32</v>
      </c>
      <c r="D567">
        <v>7</v>
      </c>
      <c r="E567" t="s">
        <v>26</v>
      </c>
      <c r="F567">
        <v>1</v>
      </c>
      <c r="G567">
        <v>1</v>
      </c>
      <c r="H567">
        <v>0</v>
      </c>
      <c r="I567">
        <v>1</v>
      </c>
      <c r="J567" s="4" t="s">
        <v>55</v>
      </c>
      <c r="K567" t="str">
        <f t="shared" si="31"/>
        <v>1+0</v>
      </c>
      <c r="L567">
        <f>VLOOKUP(A567,'ZONE 1 PREMIUM'!$A$3:$M$16,13,0)</f>
        <v>7</v>
      </c>
      <c r="M567">
        <f>VLOOKUP(D567,DROPDOWN!B:C,2,0)</f>
        <v>5</v>
      </c>
      <c r="N567" t="str">
        <f t="shared" si="32"/>
        <v>AU3:BM16</v>
      </c>
      <c r="O567" s="4">
        <f t="shared" ca="1" si="30"/>
        <v>23297.625</v>
      </c>
    </row>
    <row r="568" spans="1:15">
      <c r="A568" s="2" t="s">
        <v>15</v>
      </c>
      <c r="B568" t="s">
        <v>33</v>
      </c>
      <c r="C568" t="s">
        <v>34</v>
      </c>
      <c r="D568">
        <v>7</v>
      </c>
      <c r="E568" t="s">
        <v>26</v>
      </c>
      <c r="F568">
        <v>1</v>
      </c>
      <c r="G568">
        <v>1</v>
      </c>
      <c r="H568">
        <v>0</v>
      </c>
      <c r="I568">
        <v>1</v>
      </c>
      <c r="J568" s="4" t="s">
        <v>55</v>
      </c>
      <c r="K568" t="str">
        <f t="shared" si="31"/>
        <v>1+0</v>
      </c>
      <c r="L568">
        <f>VLOOKUP(A568,'ZONE 1 PREMIUM'!$A$3:$M$16,13,0)</f>
        <v>8</v>
      </c>
      <c r="M568">
        <f>VLOOKUP(D568,DROPDOWN!B:C,2,0)</f>
        <v>5</v>
      </c>
      <c r="N568" t="str">
        <f t="shared" si="32"/>
        <v>AU3:BM16</v>
      </c>
      <c r="O568" s="4">
        <f t="shared" ca="1" si="30"/>
        <v>28913.625</v>
      </c>
    </row>
    <row r="569" spans="1:15">
      <c r="A569" s="2" t="s">
        <v>16</v>
      </c>
      <c r="B569" t="s">
        <v>35</v>
      </c>
      <c r="C569" t="s">
        <v>36</v>
      </c>
      <c r="D569">
        <v>7</v>
      </c>
      <c r="E569" t="s">
        <v>26</v>
      </c>
      <c r="F569">
        <v>1</v>
      </c>
      <c r="G569">
        <v>1</v>
      </c>
      <c r="H569">
        <v>0</v>
      </c>
      <c r="I569">
        <v>1</v>
      </c>
      <c r="J569" s="4" t="s">
        <v>55</v>
      </c>
      <c r="K569" t="str">
        <f t="shared" si="31"/>
        <v>1+0</v>
      </c>
      <c r="L569">
        <f>VLOOKUP(A569,'ZONE 1 PREMIUM'!$A$3:$M$16,13,0)</f>
        <v>9</v>
      </c>
      <c r="M569">
        <f>VLOOKUP(D569,DROPDOWN!B:C,2,0)</f>
        <v>5</v>
      </c>
      <c r="N569" t="str">
        <f t="shared" si="32"/>
        <v>AU3:BM16</v>
      </c>
      <c r="O569" s="4">
        <f t="shared" ca="1" si="30"/>
        <v>38003.625</v>
      </c>
    </row>
    <row r="570" spans="1:15">
      <c r="A570" s="2" t="s">
        <v>17</v>
      </c>
      <c r="B570" t="s">
        <v>37</v>
      </c>
      <c r="C570" t="s">
        <v>38</v>
      </c>
      <c r="D570">
        <v>7</v>
      </c>
      <c r="E570" t="s">
        <v>26</v>
      </c>
      <c r="F570">
        <v>1</v>
      </c>
      <c r="G570">
        <v>1</v>
      </c>
      <c r="H570">
        <v>0</v>
      </c>
      <c r="I570">
        <v>1</v>
      </c>
      <c r="J570" s="4" t="s">
        <v>55</v>
      </c>
      <c r="K570" t="str">
        <f t="shared" si="31"/>
        <v>1+0</v>
      </c>
      <c r="L570">
        <f>VLOOKUP(A570,'ZONE 1 PREMIUM'!$A$3:$M$16,13,0)</f>
        <v>10</v>
      </c>
      <c r="M570">
        <f>VLOOKUP(D570,DROPDOWN!B:C,2,0)</f>
        <v>5</v>
      </c>
      <c r="N570" t="str">
        <f t="shared" si="32"/>
        <v>AU3:BM16</v>
      </c>
      <c r="O570" s="4">
        <f t="shared" ca="1" si="30"/>
        <v>51432.75</v>
      </c>
    </row>
    <row r="571" spans="1:15">
      <c r="A571" s="2" t="s">
        <v>18</v>
      </c>
      <c r="B571" t="s">
        <v>39</v>
      </c>
      <c r="C571" t="s">
        <v>40</v>
      </c>
      <c r="D571">
        <v>7</v>
      </c>
      <c r="E571" t="s">
        <v>26</v>
      </c>
      <c r="F571">
        <v>1</v>
      </c>
      <c r="G571">
        <v>1</v>
      </c>
      <c r="H571">
        <v>0</v>
      </c>
      <c r="I571">
        <v>1</v>
      </c>
      <c r="J571" s="4" t="s">
        <v>55</v>
      </c>
      <c r="K571" t="str">
        <f t="shared" si="31"/>
        <v>1+0</v>
      </c>
      <c r="L571">
        <f>VLOOKUP(A571,'ZONE 1 PREMIUM'!$A$3:$M$16,13,0)</f>
        <v>11</v>
      </c>
      <c r="M571">
        <f>VLOOKUP(D571,DROPDOWN!B:C,2,0)</f>
        <v>5</v>
      </c>
      <c r="N571" t="str">
        <f t="shared" si="32"/>
        <v>AU3:BM16</v>
      </c>
      <c r="O571" s="4">
        <f t="shared" ca="1" si="30"/>
        <v>71047.125</v>
      </c>
    </row>
    <row r="572" spans="1:15">
      <c r="A572" s="2" t="s">
        <v>19</v>
      </c>
      <c r="B572" t="s">
        <v>41</v>
      </c>
      <c r="C572" t="s">
        <v>42</v>
      </c>
      <c r="D572">
        <v>7</v>
      </c>
      <c r="E572" t="s">
        <v>26</v>
      </c>
      <c r="F572">
        <v>1</v>
      </c>
      <c r="G572">
        <v>1</v>
      </c>
      <c r="H572">
        <v>0</v>
      </c>
      <c r="I572">
        <v>1</v>
      </c>
      <c r="J572" s="4" t="s">
        <v>55</v>
      </c>
      <c r="K572" t="str">
        <f t="shared" si="31"/>
        <v>1+0</v>
      </c>
      <c r="L572">
        <f>VLOOKUP(A572,'ZONE 1 PREMIUM'!$A$3:$M$16,13,0)</f>
        <v>12</v>
      </c>
      <c r="M572">
        <f>VLOOKUP(D572,DROPDOWN!B:C,2,0)</f>
        <v>5</v>
      </c>
      <c r="N572" t="str">
        <f t="shared" si="32"/>
        <v>AU3:BM16</v>
      </c>
      <c r="O572" s="4">
        <f t="shared" ca="1" si="30"/>
        <v>90619.875</v>
      </c>
    </row>
    <row r="573" spans="1:15">
      <c r="A573" s="2" t="s">
        <v>20</v>
      </c>
      <c r="B573" t="s">
        <v>43</v>
      </c>
      <c r="C573" t="s">
        <v>44</v>
      </c>
      <c r="D573">
        <v>7</v>
      </c>
      <c r="E573" t="s">
        <v>26</v>
      </c>
      <c r="F573">
        <v>1</v>
      </c>
      <c r="G573">
        <v>1</v>
      </c>
      <c r="H573">
        <v>0</v>
      </c>
      <c r="I573">
        <v>1</v>
      </c>
      <c r="J573" s="4" t="s">
        <v>55</v>
      </c>
      <c r="K573" t="str">
        <f t="shared" si="31"/>
        <v>1+0</v>
      </c>
      <c r="L573">
        <f>VLOOKUP(A573,'ZONE 1 PREMIUM'!$A$3:$M$16,13,0)</f>
        <v>13</v>
      </c>
      <c r="M573">
        <f>VLOOKUP(D573,DROPDOWN!B:C,2,0)</f>
        <v>5</v>
      </c>
      <c r="N573" t="str">
        <f t="shared" si="32"/>
        <v>AU3:BM16</v>
      </c>
      <c r="O573" s="4">
        <f t="shared" ca="1" si="30"/>
        <v>108679.5</v>
      </c>
    </row>
    <row r="574" spans="1:15">
      <c r="A574" s="2" t="s">
        <v>21</v>
      </c>
      <c r="B574" t="s">
        <v>22</v>
      </c>
      <c r="D574">
        <v>7</v>
      </c>
      <c r="E574" t="s">
        <v>26</v>
      </c>
      <c r="F574">
        <v>1</v>
      </c>
      <c r="G574">
        <v>1</v>
      </c>
      <c r="H574">
        <v>0</v>
      </c>
      <c r="I574">
        <v>1</v>
      </c>
      <c r="J574" s="4" t="s">
        <v>55</v>
      </c>
      <c r="K574" t="str">
        <f t="shared" si="31"/>
        <v>1+0</v>
      </c>
      <c r="L574">
        <f>VLOOKUP(A574,'ZONE 1 PREMIUM'!$A$3:$M$16,13,0)</f>
        <v>14</v>
      </c>
      <c r="M574">
        <f>VLOOKUP(D574,DROPDOWN!B:C,2,0)</f>
        <v>5</v>
      </c>
      <c r="N574" t="str">
        <f t="shared" si="32"/>
        <v>AU3:BM16</v>
      </c>
      <c r="O574" s="4">
        <f t="shared" ca="1" si="30"/>
        <v>145670.625</v>
      </c>
    </row>
    <row r="575" spans="1:15">
      <c r="A575" s="2" t="s">
        <v>11</v>
      </c>
      <c r="B575" t="s">
        <v>45</v>
      </c>
      <c r="C575" t="s">
        <v>25</v>
      </c>
      <c r="D575">
        <v>7</v>
      </c>
      <c r="E575" t="s">
        <v>46</v>
      </c>
      <c r="F575">
        <v>2</v>
      </c>
      <c r="G575">
        <v>1</v>
      </c>
      <c r="H575">
        <v>1</v>
      </c>
      <c r="I575">
        <v>1</v>
      </c>
      <c r="J575" s="4" t="s">
        <v>55</v>
      </c>
      <c r="K575" t="str">
        <f t="shared" si="31"/>
        <v>1+1</v>
      </c>
      <c r="L575">
        <f>VLOOKUP(A575,'ZONE 1 PREMIUM'!$A$4:$N$16,14,0)</f>
        <v>2</v>
      </c>
      <c r="M575">
        <f>VLOOKUP(D575,DROPDOWN!B:C,2,0)</f>
        <v>5</v>
      </c>
      <c r="N575" t="str">
        <f t="shared" si="32"/>
        <v>AU20:BM31</v>
      </c>
      <c r="O575" s="4">
        <f t="shared" ca="1" si="30"/>
        <v>15889.5</v>
      </c>
    </row>
    <row r="576" spans="1:15">
      <c r="A576" s="2" t="s">
        <v>12</v>
      </c>
      <c r="B576" t="s">
        <v>27</v>
      </c>
      <c r="C576" t="s">
        <v>28</v>
      </c>
      <c r="D576">
        <v>7</v>
      </c>
      <c r="E576" t="s">
        <v>46</v>
      </c>
      <c r="F576">
        <v>2</v>
      </c>
      <c r="G576">
        <v>1</v>
      </c>
      <c r="H576">
        <v>1</v>
      </c>
      <c r="I576">
        <v>1</v>
      </c>
      <c r="J576" s="4" t="s">
        <v>55</v>
      </c>
      <c r="K576" t="str">
        <f t="shared" si="31"/>
        <v>1+1</v>
      </c>
      <c r="L576">
        <f>VLOOKUP(A576,'ZONE 1 PREMIUM'!$A$4:$N$16,14,0)</f>
        <v>3</v>
      </c>
      <c r="M576">
        <f>VLOOKUP(D576,DROPDOWN!B:C,2,0)</f>
        <v>5</v>
      </c>
      <c r="N576" t="str">
        <f t="shared" si="32"/>
        <v>AU20:BM31</v>
      </c>
      <c r="O576" s="4">
        <f t="shared" ca="1" si="30"/>
        <v>17596.125</v>
      </c>
    </row>
    <row r="577" spans="1:15">
      <c r="A577" s="2" t="s">
        <v>13</v>
      </c>
      <c r="B577" t="s">
        <v>29</v>
      </c>
      <c r="C577" t="s">
        <v>30</v>
      </c>
      <c r="D577">
        <v>7</v>
      </c>
      <c r="E577" t="s">
        <v>46</v>
      </c>
      <c r="F577">
        <v>2</v>
      </c>
      <c r="G577">
        <v>1</v>
      </c>
      <c r="H577">
        <v>1</v>
      </c>
      <c r="I577">
        <v>1</v>
      </c>
      <c r="J577" s="4" t="s">
        <v>55</v>
      </c>
      <c r="K577" t="str">
        <f t="shared" si="31"/>
        <v>1+1</v>
      </c>
      <c r="L577">
        <f>VLOOKUP(A577,'ZONE 1 PREMIUM'!$A$4:$N$16,14,0)</f>
        <v>4</v>
      </c>
      <c r="M577">
        <f>VLOOKUP(D577,DROPDOWN!B:C,2,0)</f>
        <v>5</v>
      </c>
      <c r="N577" t="str">
        <f t="shared" si="32"/>
        <v>AU20:BM31</v>
      </c>
      <c r="O577" s="4">
        <f t="shared" ca="1" si="30"/>
        <v>20311.875</v>
      </c>
    </row>
    <row r="578" spans="1:15">
      <c r="A578" s="2" t="s">
        <v>14</v>
      </c>
      <c r="B578" t="s">
        <v>31</v>
      </c>
      <c r="C578" t="s">
        <v>32</v>
      </c>
      <c r="D578">
        <v>7</v>
      </c>
      <c r="E578" t="s">
        <v>46</v>
      </c>
      <c r="F578">
        <v>2</v>
      </c>
      <c r="G578">
        <v>1</v>
      </c>
      <c r="H578">
        <v>1</v>
      </c>
      <c r="I578">
        <v>1</v>
      </c>
      <c r="J578" s="4" t="s">
        <v>55</v>
      </c>
      <c r="K578" t="str">
        <f t="shared" si="31"/>
        <v>1+1</v>
      </c>
      <c r="L578">
        <f>VLOOKUP(A578,'ZONE 1 PREMIUM'!$A$4:$N$16,14,0)</f>
        <v>5</v>
      </c>
      <c r="M578">
        <f>VLOOKUP(D578,DROPDOWN!B:C,2,0)</f>
        <v>5</v>
      </c>
      <c r="N578" t="str">
        <f t="shared" si="32"/>
        <v>AU20:BM31</v>
      </c>
      <c r="O578" s="4">
        <f t="shared" ref="O578:O641" ca="1" si="33">INDEX(INDIRECT(N578),L578,M578)</f>
        <v>23880.375</v>
      </c>
    </row>
    <row r="579" spans="1:15">
      <c r="A579" s="2" t="s">
        <v>15</v>
      </c>
      <c r="B579" t="s">
        <v>33</v>
      </c>
      <c r="C579" t="s">
        <v>34</v>
      </c>
      <c r="D579">
        <v>7</v>
      </c>
      <c r="E579" t="s">
        <v>46</v>
      </c>
      <c r="F579">
        <v>2</v>
      </c>
      <c r="G579">
        <v>1</v>
      </c>
      <c r="H579">
        <v>1</v>
      </c>
      <c r="I579">
        <v>1</v>
      </c>
      <c r="J579" s="4" t="s">
        <v>55</v>
      </c>
      <c r="K579" t="str">
        <f t="shared" si="31"/>
        <v>1+1</v>
      </c>
      <c r="L579">
        <f>VLOOKUP(A579,'ZONE 1 PREMIUM'!$A$4:$N$16,14,0)</f>
        <v>6</v>
      </c>
      <c r="M579">
        <f>VLOOKUP(D579,DROPDOWN!B:C,2,0)</f>
        <v>5</v>
      </c>
      <c r="N579" t="str">
        <f t="shared" si="32"/>
        <v>AU20:BM31</v>
      </c>
      <c r="O579" s="4">
        <f t="shared" ca="1" si="33"/>
        <v>30637.125</v>
      </c>
    </row>
    <row r="580" spans="1:15">
      <c r="A580" s="2" t="s">
        <v>16</v>
      </c>
      <c r="B580" t="s">
        <v>35</v>
      </c>
      <c r="C580" t="s">
        <v>36</v>
      </c>
      <c r="D580">
        <v>7</v>
      </c>
      <c r="E580" t="s">
        <v>46</v>
      </c>
      <c r="F580">
        <v>2</v>
      </c>
      <c r="G580">
        <v>1</v>
      </c>
      <c r="H580">
        <v>1</v>
      </c>
      <c r="I580">
        <v>1</v>
      </c>
      <c r="J580" s="4" t="s">
        <v>55</v>
      </c>
      <c r="K580" t="str">
        <f t="shared" ref="K580:K643" si="34">G580&amp;"+"&amp;H580</f>
        <v>1+1</v>
      </c>
      <c r="L580">
        <f>VLOOKUP(A580,'ZONE 1 PREMIUM'!$A$4:$N$16,14,0)</f>
        <v>7</v>
      </c>
      <c r="M580">
        <f>VLOOKUP(D580,DROPDOWN!B:C,2,0)</f>
        <v>5</v>
      </c>
      <c r="N580" t="str">
        <f t="shared" si="32"/>
        <v>AU20:BM31</v>
      </c>
      <c r="O580" s="4">
        <f t="shared" ca="1" si="33"/>
        <v>39739.5</v>
      </c>
    </row>
    <row r="581" spans="1:15">
      <c r="A581" s="2" t="s">
        <v>17</v>
      </c>
      <c r="B581" t="s">
        <v>37</v>
      </c>
      <c r="C581" t="s">
        <v>38</v>
      </c>
      <c r="D581">
        <v>7</v>
      </c>
      <c r="E581" t="s">
        <v>46</v>
      </c>
      <c r="F581">
        <v>2</v>
      </c>
      <c r="G581">
        <v>1</v>
      </c>
      <c r="H581">
        <v>1</v>
      </c>
      <c r="I581">
        <v>1</v>
      </c>
      <c r="J581" s="4" t="s">
        <v>55</v>
      </c>
      <c r="K581" t="str">
        <f t="shared" si="34"/>
        <v>1+1</v>
      </c>
      <c r="L581">
        <f>VLOOKUP(A581,'ZONE 1 PREMIUM'!$A$4:$N$16,14,0)</f>
        <v>8</v>
      </c>
      <c r="M581">
        <f>VLOOKUP(D581,DROPDOWN!B:C,2,0)</f>
        <v>5</v>
      </c>
      <c r="N581" t="str">
        <f t="shared" si="32"/>
        <v>AU20:BM31</v>
      </c>
      <c r="O581" s="4">
        <f t="shared" ca="1" si="33"/>
        <v>52558.875</v>
      </c>
    </row>
    <row r="582" spans="1:15">
      <c r="A582" s="2" t="s">
        <v>18</v>
      </c>
      <c r="B582" t="s">
        <v>39</v>
      </c>
      <c r="C582" t="s">
        <v>40</v>
      </c>
      <c r="D582">
        <v>7</v>
      </c>
      <c r="E582" t="s">
        <v>46</v>
      </c>
      <c r="F582">
        <v>2</v>
      </c>
      <c r="G582">
        <v>1</v>
      </c>
      <c r="H582">
        <v>1</v>
      </c>
      <c r="I582">
        <v>1</v>
      </c>
      <c r="J582" s="4" t="s">
        <v>55</v>
      </c>
      <c r="K582" t="str">
        <f t="shared" si="34"/>
        <v>1+1</v>
      </c>
      <c r="L582">
        <f>VLOOKUP(A582,'ZONE 1 PREMIUM'!$A$4:$N$16,14,0)</f>
        <v>9</v>
      </c>
      <c r="M582">
        <f>VLOOKUP(D582,DROPDOWN!B:C,2,0)</f>
        <v>5</v>
      </c>
      <c r="N582" t="str">
        <f t="shared" si="32"/>
        <v>AU20:BM31</v>
      </c>
      <c r="O582" s="4">
        <f t="shared" ca="1" si="33"/>
        <v>73276.875</v>
      </c>
    </row>
    <row r="583" spans="1:15">
      <c r="A583" s="2" t="s">
        <v>19</v>
      </c>
      <c r="B583" t="s">
        <v>41</v>
      </c>
      <c r="C583" t="s">
        <v>42</v>
      </c>
      <c r="D583">
        <v>7</v>
      </c>
      <c r="E583" t="s">
        <v>46</v>
      </c>
      <c r="F583">
        <v>2</v>
      </c>
      <c r="G583">
        <v>1</v>
      </c>
      <c r="H583">
        <v>1</v>
      </c>
      <c r="I583">
        <v>1</v>
      </c>
      <c r="J583" s="4" t="s">
        <v>55</v>
      </c>
      <c r="K583" t="str">
        <f t="shared" si="34"/>
        <v>1+1</v>
      </c>
      <c r="L583">
        <f>VLOOKUP(A583,'ZONE 1 PREMIUM'!$A$4:$N$16,14,0)</f>
        <v>10</v>
      </c>
      <c r="M583">
        <f>VLOOKUP(D583,DROPDOWN!B:C,2,0)</f>
        <v>5</v>
      </c>
      <c r="N583" t="str">
        <f t="shared" si="32"/>
        <v>AU20:BM31</v>
      </c>
      <c r="O583" s="4">
        <f t="shared" ca="1" si="33"/>
        <v>92746.125</v>
      </c>
    </row>
    <row r="584" spans="1:15">
      <c r="A584" s="2" t="s">
        <v>20</v>
      </c>
      <c r="B584" t="s">
        <v>43</v>
      </c>
      <c r="C584" t="s">
        <v>44</v>
      </c>
      <c r="D584">
        <v>7</v>
      </c>
      <c r="E584" t="s">
        <v>46</v>
      </c>
      <c r="F584">
        <v>2</v>
      </c>
      <c r="G584">
        <v>1</v>
      </c>
      <c r="H584">
        <v>1</v>
      </c>
      <c r="I584">
        <v>1</v>
      </c>
      <c r="J584" s="4" t="s">
        <v>55</v>
      </c>
      <c r="K584" t="str">
        <f t="shared" si="34"/>
        <v>1+1</v>
      </c>
      <c r="L584">
        <f>VLOOKUP(A584,'ZONE 1 PREMIUM'!$A$4:$N$16,14,0)</f>
        <v>11</v>
      </c>
      <c r="M584">
        <f>VLOOKUP(D584,DROPDOWN!B:C,2,0)</f>
        <v>5</v>
      </c>
      <c r="N584" t="str">
        <f t="shared" si="32"/>
        <v>AU20:BM31</v>
      </c>
      <c r="O584" s="4">
        <f t="shared" ca="1" si="33"/>
        <v>109256.625</v>
      </c>
    </row>
    <row r="585" spans="1:15">
      <c r="A585" s="2" t="s">
        <v>21</v>
      </c>
      <c r="B585" t="s">
        <v>22</v>
      </c>
      <c r="D585">
        <v>7</v>
      </c>
      <c r="E585" t="s">
        <v>46</v>
      </c>
      <c r="F585">
        <v>2</v>
      </c>
      <c r="G585">
        <v>1</v>
      </c>
      <c r="H585">
        <v>1</v>
      </c>
      <c r="I585">
        <v>1</v>
      </c>
      <c r="J585" s="4" t="s">
        <v>55</v>
      </c>
      <c r="K585" t="str">
        <f t="shared" si="34"/>
        <v>1+1</v>
      </c>
      <c r="L585">
        <f>VLOOKUP(A585,'ZONE 1 PREMIUM'!$A$4:$N$16,14,0)</f>
        <v>12</v>
      </c>
      <c r="M585">
        <f>VLOOKUP(D585,DROPDOWN!B:C,2,0)</f>
        <v>5</v>
      </c>
      <c r="N585" t="str">
        <f t="shared" si="32"/>
        <v>AU20:BM31</v>
      </c>
      <c r="O585" s="4">
        <f t="shared" ca="1" si="33"/>
        <v>148069.125</v>
      </c>
    </row>
    <row r="586" spans="1:15">
      <c r="A586" s="2" t="s">
        <v>11</v>
      </c>
      <c r="B586" t="s">
        <v>45</v>
      </c>
      <c r="C586" t="s">
        <v>25</v>
      </c>
      <c r="D586">
        <v>7</v>
      </c>
      <c r="E586" t="s">
        <v>46</v>
      </c>
      <c r="F586">
        <v>3</v>
      </c>
      <c r="G586">
        <v>1</v>
      </c>
      <c r="H586">
        <v>2</v>
      </c>
      <c r="I586">
        <v>1</v>
      </c>
      <c r="J586" s="4" t="s">
        <v>55</v>
      </c>
      <c r="K586" t="str">
        <f t="shared" si="34"/>
        <v>1+2</v>
      </c>
      <c r="L586">
        <f>VLOOKUP(A586,'ZONE 1 PREMIUM'!$A$4:$N$16,14,0)</f>
        <v>2</v>
      </c>
      <c r="M586">
        <f>VLOOKUP(D586,DROPDOWN!B:C,2,0)</f>
        <v>5</v>
      </c>
      <c r="N586" t="str">
        <f t="shared" si="32"/>
        <v>AU35:BM46</v>
      </c>
      <c r="O586" s="4">
        <f t="shared" ca="1" si="33"/>
        <v>20502</v>
      </c>
    </row>
    <row r="587" spans="1:15">
      <c r="A587" s="2" t="s">
        <v>12</v>
      </c>
      <c r="B587" t="s">
        <v>27</v>
      </c>
      <c r="C587" t="s">
        <v>28</v>
      </c>
      <c r="D587">
        <v>7</v>
      </c>
      <c r="E587" t="s">
        <v>46</v>
      </c>
      <c r="F587">
        <v>3</v>
      </c>
      <c r="G587">
        <v>1</v>
      </c>
      <c r="H587">
        <v>2</v>
      </c>
      <c r="I587">
        <v>1</v>
      </c>
      <c r="J587" s="4" t="s">
        <v>55</v>
      </c>
      <c r="K587" t="str">
        <f t="shared" si="34"/>
        <v>1+2</v>
      </c>
      <c r="L587">
        <f>VLOOKUP(A587,'ZONE 1 PREMIUM'!$A$4:$N$16,14,0)</f>
        <v>3</v>
      </c>
      <c r="M587">
        <f>VLOOKUP(D587,DROPDOWN!B:C,2,0)</f>
        <v>5</v>
      </c>
      <c r="N587" t="str">
        <f t="shared" si="32"/>
        <v>AU35:BM46</v>
      </c>
      <c r="O587" s="4">
        <f t="shared" ca="1" si="33"/>
        <v>22037.625</v>
      </c>
    </row>
    <row r="588" spans="1:15">
      <c r="A588" s="2" t="s">
        <v>13</v>
      </c>
      <c r="B588" t="s">
        <v>29</v>
      </c>
      <c r="C588" t="s">
        <v>30</v>
      </c>
      <c r="D588">
        <v>7</v>
      </c>
      <c r="E588" t="s">
        <v>46</v>
      </c>
      <c r="F588">
        <v>3</v>
      </c>
      <c r="G588">
        <v>1</v>
      </c>
      <c r="H588">
        <v>2</v>
      </c>
      <c r="I588">
        <v>1</v>
      </c>
      <c r="J588" s="4" t="s">
        <v>55</v>
      </c>
      <c r="K588" t="str">
        <f t="shared" si="34"/>
        <v>1+2</v>
      </c>
      <c r="L588">
        <f>VLOOKUP(A588,'ZONE 1 PREMIUM'!$A$4:$N$16,14,0)</f>
        <v>4</v>
      </c>
      <c r="M588">
        <f>VLOOKUP(D588,DROPDOWN!B:C,2,0)</f>
        <v>5</v>
      </c>
      <c r="N588" t="str">
        <f t="shared" si="32"/>
        <v>AU35:BM46</v>
      </c>
      <c r="O588" s="4">
        <f t="shared" ca="1" si="33"/>
        <v>25456.5</v>
      </c>
    </row>
    <row r="589" spans="1:15">
      <c r="A589" s="2" t="s">
        <v>14</v>
      </c>
      <c r="B589" t="s">
        <v>31</v>
      </c>
      <c r="C589" t="s">
        <v>32</v>
      </c>
      <c r="D589">
        <v>7</v>
      </c>
      <c r="E589" t="s">
        <v>46</v>
      </c>
      <c r="F589">
        <v>3</v>
      </c>
      <c r="G589">
        <v>1</v>
      </c>
      <c r="H589">
        <v>2</v>
      </c>
      <c r="I589">
        <v>1</v>
      </c>
      <c r="J589" s="4" t="s">
        <v>55</v>
      </c>
      <c r="K589" t="str">
        <f t="shared" si="34"/>
        <v>1+2</v>
      </c>
      <c r="L589">
        <f>VLOOKUP(A589,'ZONE 1 PREMIUM'!$A$4:$N$16,14,0)</f>
        <v>5</v>
      </c>
      <c r="M589">
        <f>VLOOKUP(D589,DROPDOWN!B:C,2,0)</f>
        <v>5</v>
      </c>
      <c r="N589" t="str">
        <f t="shared" si="32"/>
        <v>AU35:BM46</v>
      </c>
      <c r="O589" s="4">
        <f t="shared" ca="1" si="33"/>
        <v>28541.25</v>
      </c>
    </row>
    <row r="590" spans="1:15">
      <c r="A590" s="2" t="s">
        <v>15</v>
      </c>
      <c r="B590" t="s">
        <v>33</v>
      </c>
      <c r="C590" t="s">
        <v>34</v>
      </c>
      <c r="D590">
        <v>7</v>
      </c>
      <c r="E590" t="s">
        <v>46</v>
      </c>
      <c r="F590">
        <v>3</v>
      </c>
      <c r="G590">
        <v>1</v>
      </c>
      <c r="H590">
        <v>2</v>
      </c>
      <c r="I590">
        <v>1</v>
      </c>
      <c r="J590" s="4" t="s">
        <v>55</v>
      </c>
      <c r="K590" t="str">
        <f t="shared" si="34"/>
        <v>1+2</v>
      </c>
      <c r="L590">
        <f>VLOOKUP(A590,'ZONE 1 PREMIUM'!$A$4:$N$16,14,0)</f>
        <v>6</v>
      </c>
      <c r="M590">
        <f>VLOOKUP(D590,DROPDOWN!B:C,2,0)</f>
        <v>5</v>
      </c>
      <c r="N590" t="str">
        <f t="shared" si="32"/>
        <v>AU35:BM46</v>
      </c>
      <c r="O590" s="4">
        <f t="shared" ca="1" si="33"/>
        <v>36893.25</v>
      </c>
    </row>
    <row r="591" spans="1:15">
      <c r="A591" s="2" t="s">
        <v>16</v>
      </c>
      <c r="B591" t="s">
        <v>35</v>
      </c>
      <c r="C591" t="s">
        <v>36</v>
      </c>
      <c r="D591">
        <v>7</v>
      </c>
      <c r="E591" t="s">
        <v>46</v>
      </c>
      <c r="F591">
        <v>3</v>
      </c>
      <c r="G591">
        <v>1</v>
      </c>
      <c r="H591">
        <v>2</v>
      </c>
      <c r="I591">
        <v>1</v>
      </c>
      <c r="J591" s="4" t="s">
        <v>55</v>
      </c>
      <c r="K591" t="str">
        <f t="shared" si="34"/>
        <v>1+2</v>
      </c>
      <c r="L591">
        <f>VLOOKUP(A591,'ZONE 1 PREMIUM'!$A$4:$N$16,14,0)</f>
        <v>7</v>
      </c>
      <c r="M591">
        <f>VLOOKUP(D591,DROPDOWN!B:C,2,0)</f>
        <v>5</v>
      </c>
      <c r="N591" t="str">
        <f t="shared" si="32"/>
        <v>AU35:BM46</v>
      </c>
      <c r="O591" s="4">
        <f t="shared" ca="1" si="33"/>
        <v>47494.125</v>
      </c>
    </row>
    <row r="592" spans="1:15">
      <c r="A592" s="2" t="s">
        <v>17</v>
      </c>
      <c r="B592" t="s">
        <v>37</v>
      </c>
      <c r="C592" t="s">
        <v>38</v>
      </c>
      <c r="D592">
        <v>7</v>
      </c>
      <c r="E592" t="s">
        <v>46</v>
      </c>
      <c r="F592">
        <v>3</v>
      </c>
      <c r="G592">
        <v>1</v>
      </c>
      <c r="H592">
        <v>2</v>
      </c>
      <c r="I592">
        <v>1</v>
      </c>
      <c r="J592" s="4" t="s">
        <v>55</v>
      </c>
      <c r="K592" t="str">
        <f t="shared" si="34"/>
        <v>1+2</v>
      </c>
      <c r="L592">
        <f>VLOOKUP(A592,'ZONE 1 PREMIUM'!$A$4:$N$16,14,0)</f>
        <v>8</v>
      </c>
      <c r="M592">
        <f>VLOOKUP(D592,DROPDOWN!B:C,2,0)</f>
        <v>5</v>
      </c>
      <c r="N592" t="str">
        <f t="shared" si="32"/>
        <v>AU35:BM46</v>
      </c>
      <c r="O592" s="4">
        <f t="shared" ca="1" si="33"/>
        <v>60912</v>
      </c>
    </row>
    <row r="593" spans="1:15">
      <c r="A593" s="2" t="s">
        <v>18</v>
      </c>
      <c r="B593" t="s">
        <v>39</v>
      </c>
      <c r="C593" t="s">
        <v>40</v>
      </c>
      <c r="D593">
        <v>7</v>
      </c>
      <c r="E593" t="s">
        <v>46</v>
      </c>
      <c r="F593">
        <v>3</v>
      </c>
      <c r="G593">
        <v>1</v>
      </c>
      <c r="H593">
        <v>2</v>
      </c>
      <c r="I593">
        <v>1</v>
      </c>
      <c r="J593" s="4" t="s">
        <v>55</v>
      </c>
      <c r="K593" t="str">
        <f t="shared" si="34"/>
        <v>1+2</v>
      </c>
      <c r="L593">
        <f>VLOOKUP(A593,'ZONE 1 PREMIUM'!$A$4:$N$16,14,0)</f>
        <v>9</v>
      </c>
      <c r="M593">
        <f>VLOOKUP(D593,DROPDOWN!B:C,2,0)</f>
        <v>5</v>
      </c>
      <c r="N593" t="str">
        <f t="shared" si="32"/>
        <v>AU35:BM46</v>
      </c>
      <c r="O593" s="4">
        <f t="shared" ca="1" si="33"/>
        <v>79993.125</v>
      </c>
    </row>
    <row r="594" spans="1:15">
      <c r="A594" s="2" t="s">
        <v>19</v>
      </c>
      <c r="B594" t="s">
        <v>41</v>
      </c>
      <c r="C594" t="s">
        <v>42</v>
      </c>
      <c r="D594">
        <v>7</v>
      </c>
      <c r="E594" t="s">
        <v>46</v>
      </c>
      <c r="F594">
        <v>3</v>
      </c>
      <c r="G594">
        <v>1</v>
      </c>
      <c r="H594">
        <v>2</v>
      </c>
      <c r="I594">
        <v>1</v>
      </c>
      <c r="J594" s="4" t="s">
        <v>55</v>
      </c>
      <c r="K594" t="str">
        <f t="shared" si="34"/>
        <v>1+2</v>
      </c>
      <c r="L594">
        <f>VLOOKUP(A594,'ZONE 1 PREMIUM'!$A$4:$N$16,14,0)</f>
        <v>10</v>
      </c>
      <c r="M594">
        <f>VLOOKUP(D594,DROPDOWN!B:C,2,0)</f>
        <v>5</v>
      </c>
      <c r="N594" t="str">
        <f t="shared" si="32"/>
        <v>AU35:BM46</v>
      </c>
      <c r="O594" s="4">
        <f t="shared" ca="1" si="33"/>
        <v>101052</v>
      </c>
    </row>
    <row r="595" spans="1:15">
      <c r="A595" s="2" t="s">
        <v>20</v>
      </c>
      <c r="B595" t="s">
        <v>43</v>
      </c>
      <c r="C595" t="s">
        <v>44</v>
      </c>
      <c r="D595">
        <v>7</v>
      </c>
      <c r="E595" t="s">
        <v>46</v>
      </c>
      <c r="F595">
        <v>3</v>
      </c>
      <c r="G595">
        <v>1</v>
      </c>
      <c r="H595">
        <v>2</v>
      </c>
      <c r="I595">
        <v>1</v>
      </c>
      <c r="J595" s="4" t="s">
        <v>55</v>
      </c>
      <c r="K595" t="str">
        <f t="shared" si="34"/>
        <v>1+2</v>
      </c>
      <c r="L595">
        <f>VLOOKUP(A595,'ZONE 1 PREMIUM'!$A$4:$N$16,14,0)</f>
        <v>11</v>
      </c>
      <c r="M595">
        <f>VLOOKUP(D595,DROPDOWN!B:C,2,0)</f>
        <v>5</v>
      </c>
      <c r="N595" t="str">
        <f t="shared" si="32"/>
        <v>AU35:BM46</v>
      </c>
      <c r="O595" s="4">
        <f t="shared" ca="1" si="33"/>
        <v>119125.125</v>
      </c>
    </row>
    <row r="596" spans="1:15">
      <c r="A596" s="2" t="s">
        <v>21</v>
      </c>
      <c r="B596" t="s">
        <v>22</v>
      </c>
      <c r="D596">
        <v>7</v>
      </c>
      <c r="E596" t="s">
        <v>46</v>
      </c>
      <c r="F596">
        <v>3</v>
      </c>
      <c r="G596">
        <v>1</v>
      </c>
      <c r="H596">
        <v>2</v>
      </c>
      <c r="I596">
        <v>1</v>
      </c>
      <c r="J596" s="4" t="s">
        <v>55</v>
      </c>
      <c r="K596" t="str">
        <f t="shared" si="34"/>
        <v>1+2</v>
      </c>
      <c r="L596">
        <f>VLOOKUP(A596,'ZONE 1 PREMIUM'!$A$4:$N$16,14,0)</f>
        <v>12</v>
      </c>
      <c r="M596">
        <f>VLOOKUP(D596,DROPDOWN!B:C,2,0)</f>
        <v>5</v>
      </c>
      <c r="N596" t="str">
        <f t="shared" si="32"/>
        <v>AU35:BM46</v>
      </c>
      <c r="O596" s="4">
        <f t="shared" ca="1" si="33"/>
        <v>155355.75</v>
      </c>
    </row>
    <row r="597" spans="1:15">
      <c r="A597" s="2" t="s">
        <v>11</v>
      </c>
      <c r="B597" t="s">
        <v>45</v>
      </c>
      <c r="C597" t="s">
        <v>25</v>
      </c>
      <c r="D597">
        <v>7</v>
      </c>
      <c r="E597" t="s">
        <v>46</v>
      </c>
      <c r="F597">
        <v>4</v>
      </c>
      <c r="G597">
        <v>1</v>
      </c>
      <c r="H597">
        <v>3</v>
      </c>
      <c r="I597">
        <v>1</v>
      </c>
      <c r="J597" s="4" t="s">
        <v>55</v>
      </c>
      <c r="K597" t="str">
        <f t="shared" si="34"/>
        <v>1+3</v>
      </c>
      <c r="L597">
        <f>VLOOKUP(A597,'ZONE 1 PREMIUM'!$A$4:$N$16,14,0)</f>
        <v>2</v>
      </c>
      <c r="M597">
        <f>VLOOKUP(D597,DROPDOWN!B:C,2,0)</f>
        <v>5</v>
      </c>
      <c r="N597" t="str">
        <f t="shared" si="32"/>
        <v>AU50:BM61</v>
      </c>
      <c r="O597" s="4">
        <f t="shared" ca="1" si="33"/>
        <v>25113.375</v>
      </c>
    </row>
    <row r="598" spans="1:15">
      <c r="A598" s="2" t="s">
        <v>12</v>
      </c>
      <c r="B598" t="s">
        <v>27</v>
      </c>
      <c r="C598" t="s">
        <v>28</v>
      </c>
      <c r="D598">
        <v>7</v>
      </c>
      <c r="E598" t="s">
        <v>46</v>
      </c>
      <c r="F598">
        <v>4</v>
      </c>
      <c r="G598">
        <v>1</v>
      </c>
      <c r="H598">
        <v>3</v>
      </c>
      <c r="I598">
        <v>1</v>
      </c>
      <c r="J598" s="4" t="s">
        <v>55</v>
      </c>
      <c r="K598" t="str">
        <f t="shared" si="34"/>
        <v>1+3</v>
      </c>
      <c r="L598">
        <f>VLOOKUP(A598,'ZONE 1 PREMIUM'!$A$4:$N$16,14,0)</f>
        <v>3</v>
      </c>
      <c r="M598">
        <f>VLOOKUP(D598,DROPDOWN!B:C,2,0)</f>
        <v>5</v>
      </c>
      <c r="N598" t="str">
        <f t="shared" si="32"/>
        <v>AU50:BM61</v>
      </c>
      <c r="O598" s="4">
        <f t="shared" ca="1" si="33"/>
        <v>26566.875</v>
      </c>
    </row>
    <row r="599" spans="1:15">
      <c r="A599" s="2" t="s">
        <v>13</v>
      </c>
      <c r="B599" t="s">
        <v>29</v>
      </c>
      <c r="C599" t="s">
        <v>30</v>
      </c>
      <c r="D599">
        <v>7</v>
      </c>
      <c r="E599" t="s">
        <v>46</v>
      </c>
      <c r="F599">
        <v>4</v>
      </c>
      <c r="G599">
        <v>1</v>
      </c>
      <c r="H599">
        <v>3</v>
      </c>
      <c r="I599">
        <v>1</v>
      </c>
      <c r="J599" s="4" t="s">
        <v>55</v>
      </c>
      <c r="K599" t="str">
        <f t="shared" si="34"/>
        <v>1+3</v>
      </c>
      <c r="L599">
        <f>VLOOKUP(A599,'ZONE 1 PREMIUM'!$A$4:$N$16,14,0)</f>
        <v>4</v>
      </c>
      <c r="M599">
        <f>VLOOKUP(D599,DROPDOWN!B:C,2,0)</f>
        <v>5</v>
      </c>
      <c r="N599" t="str">
        <f t="shared" si="32"/>
        <v>AU50:BM61</v>
      </c>
      <c r="O599" s="4">
        <f t="shared" ca="1" si="33"/>
        <v>30701.25</v>
      </c>
    </row>
    <row r="600" spans="1:15">
      <c r="A600" s="2" t="s">
        <v>14</v>
      </c>
      <c r="B600" t="s">
        <v>31</v>
      </c>
      <c r="C600" t="s">
        <v>32</v>
      </c>
      <c r="D600">
        <v>7</v>
      </c>
      <c r="E600" t="s">
        <v>46</v>
      </c>
      <c r="F600">
        <v>4</v>
      </c>
      <c r="G600">
        <v>1</v>
      </c>
      <c r="H600">
        <v>3</v>
      </c>
      <c r="I600">
        <v>1</v>
      </c>
      <c r="J600" s="4" t="s">
        <v>55</v>
      </c>
      <c r="K600" t="str">
        <f t="shared" si="34"/>
        <v>1+3</v>
      </c>
      <c r="L600">
        <f>VLOOKUP(A600,'ZONE 1 PREMIUM'!$A$4:$N$16,14,0)</f>
        <v>5</v>
      </c>
      <c r="M600">
        <f>VLOOKUP(D600,DROPDOWN!B:C,2,0)</f>
        <v>5</v>
      </c>
      <c r="N600" t="str">
        <f t="shared" si="32"/>
        <v>AU50:BM61</v>
      </c>
      <c r="O600" s="4">
        <f t="shared" ca="1" si="33"/>
        <v>34120.125</v>
      </c>
    </row>
    <row r="601" spans="1:15">
      <c r="A601" s="2" t="s">
        <v>15</v>
      </c>
      <c r="B601" t="s">
        <v>33</v>
      </c>
      <c r="C601" t="s">
        <v>34</v>
      </c>
      <c r="D601">
        <v>7</v>
      </c>
      <c r="E601" t="s">
        <v>46</v>
      </c>
      <c r="F601">
        <v>4</v>
      </c>
      <c r="G601">
        <v>1</v>
      </c>
      <c r="H601">
        <v>3</v>
      </c>
      <c r="I601">
        <v>1</v>
      </c>
      <c r="J601" s="4" t="s">
        <v>55</v>
      </c>
      <c r="K601" t="str">
        <f t="shared" si="34"/>
        <v>1+3</v>
      </c>
      <c r="L601">
        <f>VLOOKUP(A601,'ZONE 1 PREMIUM'!$A$4:$N$16,14,0)</f>
        <v>6</v>
      </c>
      <c r="M601">
        <f>VLOOKUP(D601,DROPDOWN!B:C,2,0)</f>
        <v>5</v>
      </c>
      <c r="N601" t="str">
        <f t="shared" si="32"/>
        <v>AU50:BM61</v>
      </c>
      <c r="O601" s="4">
        <f t="shared" ca="1" si="33"/>
        <v>43149.375</v>
      </c>
    </row>
    <row r="602" spans="1:15">
      <c r="A602" s="2" t="s">
        <v>16</v>
      </c>
      <c r="B602" t="s">
        <v>35</v>
      </c>
      <c r="C602" t="s">
        <v>36</v>
      </c>
      <c r="D602">
        <v>7</v>
      </c>
      <c r="E602" t="s">
        <v>46</v>
      </c>
      <c r="F602">
        <v>4</v>
      </c>
      <c r="G602">
        <v>1</v>
      </c>
      <c r="H602">
        <v>3</v>
      </c>
      <c r="I602">
        <v>1</v>
      </c>
      <c r="J602" s="4" t="s">
        <v>55</v>
      </c>
      <c r="K602" t="str">
        <f t="shared" si="34"/>
        <v>1+3</v>
      </c>
      <c r="L602">
        <f>VLOOKUP(A602,'ZONE 1 PREMIUM'!$A$4:$N$16,14,0)</f>
        <v>7</v>
      </c>
      <c r="M602">
        <f>VLOOKUP(D602,DROPDOWN!B:C,2,0)</f>
        <v>5</v>
      </c>
      <c r="N602" t="str">
        <f t="shared" si="32"/>
        <v>AU50:BM61</v>
      </c>
      <c r="O602" s="4">
        <f t="shared" ca="1" si="33"/>
        <v>54419.625</v>
      </c>
    </row>
    <row r="603" spans="1:15">
      <c r="A603" s="2" t="s">
        <v>17</v>
      </c>
      <c r="B603" t="s">
        <v>37</v>
      </c>
      <c r="C603" t="s">
        <v>38</v>
      </c>
      <c r="D603">
        <v>7</v>
      </c>
      <c r="E603" t="s">
        <v>46</v>
      </c>
      <c r="F603">
        <v>4</v>
      </c>
      <c r="G603">
        <v>1</v>
      </c>
      <c r="H603">
        <v>3</v>
      </c>
      <c r="I603">
        <v>1</v>
      </c>
      <c r="J603" s="4" t="s">
        <v>55</v>
      </c>
      <c r="K603" t="str">
        <f t="shared" si="34"/>
        <v>1+3</v>
      </c>
      <c r="L603">
        <f>VLOOKUP(A603,'ZONE 1 PREMIUM'!$A$4:$N$16,14,0)</f>
        <v>8</v>
      </c>
      <c r="M603">
        <f>VLOOKUP(D603,DROPDOWN!B:C,2,0)</f>
        <v>5</v>
      </c>
      <c r="N603" t="str">
        <f t="shared" si="32"/>
        <v>AU50:BM61</v>
      </c>
      <c r="O603" s="4">
        <f t="shared" ca="1" si="33"/>
        <v>67015.125</v>
      </c>
    </row>
    <row r="604" spans="1:15">
      <c r="A604" s="2" t="s">
        <v>18</v>
      </c>
      <c r="B604" t="s">
        <v>39</v>
      </c>
      <c r="C604" t="s">
        <v>40</v>
      </c>
      <c r="D604">
        <v>7</v>
      </c>
      <c r="E604" t="s">
        <v>46</v>
      </c>
      <c r="F604">
        <v>4</v>
      </c>
      <c r="G604">
        <v>1</v>
      </c>
      <c r="H604">
        <v>3</v>
      </c>
      <c r="I604">
        <v>1</v>
      </c>
      <c r="J604" s="4" t="s">
        <v>55</v>
      </c>
      <c r="K604" t="str">
        <f t="shared" si="34"/>
        <v>1+3</v>
      </c>
      <c r="L604">
        <f>VLOOKUP(A604,'ZONE 1 PREMIUM'!$A$4:$N$16,14,0)</f>
        <v>9</v>
      </c>
      <c r="M604">
        <f>VLOOKUP(D604,DROPDOWN!B:C,2,0)</f>
        <v>5</v>
      </c>
      <c r="N604" t="str">
        <f t="shared" si="32"/>
        <v>AU50:BM61</v>
      </c>
      <c r="O604" s="4">
        <f t="shared" ca="1" si="33"/>
        <v>86726.25</v>
      </c>
    </row>
    <row r="605" spans="1:15">
      <c r="A605" s="2" t="s">
        <v>19</v>
      </c>
      <c r="B605" t="s">
        <v>41</v>
      </c>
      <c r="C605" t="s">
        <v>42</v>
      </c>
      <c r="D605">
        <v>7</v>
      </c>
      <c r="E605" t="s">
        <v>46</v>
      </c>
      <c r="F605">
        <v>4</v>
      </c>
      <c r="G605">
        <v>1</v>
      </c>
      <c r="H605">
        <v>3</v>
      </c>
      <c r="I605">
        <v>1</v>
      </c>
      <c r="J605" s="4" t="s">
        <v>55</v>
      </c>
      <c r="K605" t="str">
        <f t="shared" si="34"/>
        <v>1+3</v>
      </c>
      <c r="L605">
        <f>VLOOKUP(A605,'ZONE 1 PREMIUM'!$A$4:$N$16,14,0)</f>
        <v>10</v>
      </c>
      <c r="M605">
        <f>VLOOKUP(D605,DROPDOWN!B:C,2,0)</f>
        <v>5</v>
      </c>
      <c r="N605" t="str">
        <f t="shared" si="32"/>
        <v>AU50:BM61</v>
      </c>
      <c r="O605" s="4">
        <f t="shared" ca="1" si="33"/>
        <v>106421.625</v>
      </c>
    </row>
    <row r="606" spans="1:15">
      <c r="A606" s="2" t="s">
        <v>20</v>
      </c>
      <c r="B606" t="s">
        <v>43</v>
      </c>
      <c r="C606" t="s">
        <v>44</v>
      </c>
      <c r="D606">
        <v>7</v>
      </c>
      <c r="E606" t="s">
        <v>46</v>
      </c>
      <c r="F606">
        <v>4</v>
      </c>
      <c r="G606">
        <v>1</v>
      </c>
      <c r="H606">
        <v>3</v>
      </c>
      <c r="I606">
        <v>1</v>
      </c>
      <c r="J606" s="4" t="s">
        <v>55</v>
      </c>
      <c r="K606" t="str">
        <f t="shared" si="34"/>
        <v>1+3</v>
      </c>
      <c r="L606">
        <f>VLOOKUP(A606,'ZONE 1 PREMIUM'!$A$4:$N$16,14,0)</f>
        <v>11</v>
      </c>
      <c r="M606">
        <f>VLOOKUP(D606,DROPDOWN!B:C,2,0)</f>
        <v>5</v>
      </c>
      <c r="N606" t="str">
        <f t="shared" si="32"/>
        <v>AU50:BM61</v>
      </c>
      <c r="O606" s="4">
        <f t="shared" ca="1" si="33"/>
        <v>124203.375</v>
      </c>
    </row>
    <row r="607" spans="1:15">
      <c r="A607" s="2" t="s">
        <v>21</v>
      </c>
      <c r="B607" t="s">
        <v>22</v>
      </c>
      <c r="D607">
        <v>7</v>
      </c>
      <c r="E607" t="s">
        <v>46</v>
      </c>
      <c r="F607">
        <v>4</v>
      </c>
      <c r="G607">
        <v>1</v>
      </c>
      <c r="H607">
        <v>3</v>
      </c>
      <c r="I607">
        <v>1</v>
      </c>
      <c r="J607" s="4" t="s">
        <v>55</v>
      </c>
      <c r="K607" t="str">
        <f t="shared" si="34"/>
        <v>1+3</v>
      </c>
      <c r="L607">
        <f>VLOOKUP(A607,'ZONE 1 PREMIUM'!$A$4:$N$16,14,0)</f>
        <v>12</v>
      </c>
      <c r="M607">
        <f>VLOOKUP(D607,DROPDOWN!B:C,2,0)</f>
        <v>5</v>
      </c>
      <c r="N607" t="str">
        <f t="shared" si="32"/>
        <v>AU50:BM61</v>
      </c>
      <c r="O607" s="4">
        <f t="shared" ca="1" si="33"/>
        <v>160744.5</v>
      </c>
    </row>
    <row r="608" spans="1:15">
      <c r="A608" s="2" t="s">
        <v>11</v>
      </c>
      <c r="B608" t="s">
        <v>45</v>
      </c>
      <c r="C608" t="s">
        <v>25</v>
      </c>
      <c r="D608">
        <v>7</v>
      </c>
      <c r="E608" t="s">
        <v>46</v>
      </c>
      <c r="F608">
        <v>5</v>
      </c>
      <c r="G608">
        <v>1</v>
      </c>
      <c r="H608">
        <v>4</v>
      </c>
      <c r="I608">
        <v>1</v>
      </c>
      <c r="J608" s="4" t="s">
        <v>55</v>
      </c>
      <c r="K608" t="str">
        <f t="shared" si="34"/>
        <v>1+4</v>
      </c>
      <c r="L608">
        <f>VLOOKUP(A608,'ZONE 1 PREMIUM'!$A$4:$N$16,14,0)</f>
        <v>2</v>
      </c>
      <c r="M608">
        <f>VLOOKUP(D608,DROPDOWN!B:C,2,0)</f>
        <v>5</v>
      </c>
      <c r="N608" t="str">
        <f t="shared" si="32"/>
        <v>AU65:BM76</v>
      </c>
      <c r="O608" s="4">
        <f t="shared" ca="1" si="33"/>
        <v>29725.875</v>
      </c>
    </row>
    <row r="609" spans="1:15">
      <c r="A609" s="2" t="s">
        <v>12</v>
      </c>
      <c r="B609" t="s">
        <v>27</v>
      </c>
      <c r="C609" t="s">
        <v>28</v>
      </c>
      <c r="D609">
        <v>7</v>
      </c>
      <c r="E609" t="s">
        <v>46</v>
      </c>
      <c r="F609">
        <v>5</v>
      </c>
      <c r="G609">
        <v>1</v>
      </c>
      <c r="H609">
        <v>4</v>
      </c>
      <c r="I609">
        <v>1</v>
      </c>
      <c r="J609" s="4" t="s">
        <v>55</v>
      </c>
      <c r="K609" t="str">
        <f t="shared" si="34"/>
        <v>1+4</v>
      </c>
      <c r="L609">
        <f>VLOOKUP(A609,'ZONE 1 PREMIUM'!$A$4:$N$16,14,0)</f>
        <v>3</v>
      </c>
      <c r="M609">
        <f>VLOOKUP(D609,DROPDOWN!B:C,2,0)</f>
        <v>5</v>
      </c>
      <c r="N609" t="str">
        <f t="shared" si="32"/>
        <v>AU65:BM76</v>
      </c>
      <c r="O609" s="4">
        <f t="shared" ca="1" si="33"/>
        <v>31095</v>
      </c>
    </row>
    <row r="610" spans="1:15">
      <c r="A610" s="2" t="s">
        <v>13</v>
      </c>
      <c r="B610" t="s">
        <v>29</v>
      </c>
      <c r="C610" t="s">
        <v>30</v>
      </c>
      <c r="D610">
        <v>7</v>
      </c>
      <c r="E610" t="s">
        <v>46</v>
      </c>
      <c r="F610">
        <v>5</v>
      </c>
      <c r="G610">
        <v>1</v>
      </c>
      <c r="H610">
        <v>4</v>
      </c>
      <c r="I610">
        <v>1</v>
      </c>
      <c r="J610" s="4" t="s">
        <v>55</v>
      </c>
      <c r="K610" t="str">
        <f t="shared" si="34"/>
        <v>1+4</v>
      </c>
      <c r="L610">
        <f>VLOOKUP(A610,'ZONE 1 PREMIUM'!$A$4:$N$16,14,0)</f>
        <v>4</v>
      </c>
      <c r="M610">
        <f>VLOOKUP(D610,DROPDOWN!B:C,2,0)</f>
        <v>5</v>
      </c>
      <c r="N610" t="str">
        <f t="shared" si="32"/>
        <v>AU65:BM76</v>
      </c>
      <c r="O610" s="4">
        <f t="shared" ca="1" si="33"/>
        <v>35946</v>
      </c>
    </row>
    <row r="611" spans="1:15">
      <c r="A611" s="2" t="s">
        <v>14</v>
      </c>
      <c r="B611" t="s">
        <v>31</v>
      </c>
      <c r="C611" t="s">
        <v>32</v>
      </c>
      <c r="D611">
        <v>7</v>
      </c>
      <c r="E611" t="s">
        <v>46</v>
      </c>
      <c r="F611">
        <v>5</v>
      </c>
      <c r="G611">
        <v>1</v>
      </c>
      <c r="H611">
        <v>4</v>
      </c>
      <c r="I611">
        <v>1</v>
      </c>
      <c r="J611" s="4" t="s">
        <v>55</v>
      </c>
      <c r="K611" t="str">
        <f t="shared" si="34"/>
        <v>1+4</v>
      </c>
      <c r="L611">
        <f>VLOOKUP(A611,'ZONE 1 PREMIUM'!$A$4:$N$16,14,0)</f>
        <v>5</v>
      </c>
      <c r="M611">
        <f>VLOOKUP(D611,DROPDOWN!B:C,2,0)</f>
        <v>5</v>
      </c>
      <c r="N611" t="str">
        <f t="shared" si="32"/>
        <v>AU65:BM76</v>
      </c>
      <c r="O611" s="4">
        <f t="shared" ca="1" si="33"/>
        <v>39697.875</v>
      </c>
    </row>
    <row r="612" spans="1:15">
      <c r="A612" s="2" t="s">
        <v>15</v>
      </c>
      <c r="B612" t="s">
        <v>33</v>
      </c>
      <c r="C612" t="s">
        <v>34</v>
      </c>
      <c r="D612">
        <v>7</v>
      </c>
      <c r="E612" t="s">
        <v>46</v>
      </c>
      <c r="F612">
        <v>5</v>
      </c>
      <c r="G612">
        <v>1</v>
      </c>
      <c r="H612">
        <v>4</v>
      </c>
      <c r="I612">
        <v>1</v>
      </c>
      <c r="J612" s="4" t="s">
        <v>55</v>
      </c>
      <c r="K612" t="str">
        <f t="shared" si="34"/>
        <v>1+4</v>
      </c>
      <c r="L612">
        <f>VLOOKUP(A612,'ZONE 1 PREMIUM'!$A$4:$N$16,14,0)</f>
        <v>6</v>
      </c>
      <c r="M612">
        <f>VLOOKUP(D612,DROPDOWN!B:C,2,0)</f>
        <v>5</v>
      </c>
      <c r="N612" t="str">
        <f t="shared" si="32"/>
        <v>AU65:BM76</v>
      </c>
      <c r="O612" s="4">
        <f t="shared" ca="1" si="33"/>
        <v>49405.5</v>
      </c>
    </row>
    <row r="613" spans="1:15">
      <c r="A613" s="2" t="s">
        <v>16</v>
      </c>
      <c r="B613" t="s">
        <v>35</v>
      </c>
      <c r="C613" t="s">
        <v>36</v>
      </c>
      <c r="D613">
        <v>7</v>
      </c>
      <c r="E613" t="s">
        <v>46</v>
      </c>
      <c r="F613">
        <v>5</v>
      </c>
      <c r="G613">
        <v>1</v>
      </c>
      <c r="H613">
        <v>4</v>
      </c>
      <c r="I613">
        <v>1</v>
      </c>
      <c r="J613" s="4" t="s">
        <v>55</v>
      </c>
      <c r="K613" t="str">
        <f t="shared" si="34"/>
        <v>1+4</v>
      </c>
      <c r="L613">
        <f>VLOOKUP(A613,'ZONE 1 PREMIUM'!$A$4:$N$16,14,0)</f>
        <v>7</v>
      </c>
      <c r="M613">
        <f>VLOOKUP(D613,DROPDOWN!B:C,2,0)</f>
        <v>5</v>
      </c>
      <c r="N613" t="str">
        <f t="shared" si="32"/>
        <v>AU65:BM76</v>
      </c>
      <c r="O613" s="4">
        <f t="shared" ca="1" si="33"/>
        <v>60167.25</v>
      </c>
    </row>
    <row r="614" spans="1:15">
      <c r="A614" s="2" t="s">
        <v>17</v>
      </c>
      <c r="B614" t="s">
        <v>37</v>
      </c>
      <c r="C614" t="s">
        <v>38</v>
      </c>
      <c r="D614">
        <v>7</v>
      </c>
      <c r="E614" t="s">
        <v>46</v>
      </c>
      <c r="F614">
        <v>5</v>
      </c>
      <c r="G614">
        <v>1</v>
      </c>
      <c r="H614">
        <v>4</v>
      </c>
      <c r="I614">
        <v>1</v>
      </c>
      <c r="J614" s="4" t="s">
        <v>55</v>
      </c>
      <c r="K614" t="str">
        <f t="shared" si="34"/>
        <v>1+4</v>
      </c>
      <c r="L614">
        <f>VLOOKUP(A614,'ZONE 1 PREMIUM'!$A$4:$N$16,14,0)</f>
        <v>8</v>
      </c>
      <c r="M614">
        <f>VLOOKUP(D614,DROPDOWN!B:C,2,0)</f>
        <v>5</v>
      </c>
      <c r="N614" t="str">
        <f t="shared" si="32"/>
        <v>AU65:BM76</v>
      </c>
      <c r="O614" s="4">
        <f t="shared" ca="1" si="33"/>
        <v>72573.75</v>
      </c>
    </row>
    <row r="615" spans="1:15">
      <c r="A615" s="2" t="s">
        <v>18</v>
      </c>
      <c r="B615" t="s">
        <v>39</v>
      </c>
      <c r="C615" t="s">
        <v>40</v>
      </c>
      <c r="D615">
        <v>7</v>
      </c>
      <c r="E615" t="s">
        <v>46</v>
      </c>
      <c r="F615">
        <v>5</v>
      </c>
      <c r="G615">
        <v>1</v>
      </c>
      <c r="H615">
        <v>4</v>
      </c>
      <c r="I615">
        <v>1</v>
      </c>
      <c r="J615" s="4" t="s">
        <v>55</v>
      </c>
      <c r="K615" t="str">
        <f t="shared" si="34"/>
        <v>1+4</v>
      </c>
      <c r="L615">
        <f>VLOOKUP(A615,'ZONE 1 PREMIUM'!$A$4:$N$16,14,0)</f>
        <v>9</v>
      </c>
      <c r="M615">
        <f>VLOOKUP(D615,DROPDOWN!B:C,2,0)</f>
        <v>5</v>
      </c>
      <c r="N615" t="str">
        <f t="shared" si="32"/>
        <v>AU65:BM76</v>
      </c>
      <c r="O615" s="4">
        <f t="shared" ca="1" si="33"/>
        <v>92391.75</v>
      </c>
    </row>
    <row r="616" spans="1:15">
      <c r="A616" s="2" t="s">
        <v>19</v>
      </c>
      <c r="B616" t="s">
        <v>41</v>
      </c>
      <c r="C616" t="s">
        <v>42</v>
      </c>
      <c r="D616">
        <v>7</v>
      </c>
      <c r="E616" t="s">
        <v>46</v>
      </c>
      <c r="F616">
        <v>5</v>
      </c>
      <c r="G616">
        <v>1</v>
      </c>
      <c r="H616">
        <v>4</v>
      </c>
      <c r="I616">
        <v>1</v>
      </c>
      <c r="J616" s="4" t="s">
        <v>55</v>
      </c>
      <c r="K616" t="str">
        <f t="shared" si="34"/>
        <v>1+4</v>
      </c>
      <c r="L616">
        <f>VLOOKUP(A616,'ZONE 1 PREMIUM'!$A$4:$N$16,14,0)</f>
        <v>10</v>
      </c>
      <c r="M616">
        <f>VLOOKUP(D616,DROPDOWN!B:C,2,0)</f>
        <v>5</v>
      </c>
      <c r="N616" t="str">
        <f t="shared" si="32"/>
        <v>AU65:BM76</v>
      </c>
      <c r="O616" s="4">
        <f t="shared" ca="1" si="33"/>
        <v>111982.5</v>
      </c>
    </row>
    <row r="617" spans="1:15">
      <c r="A617" s="2" t="s">
        <v>20</v>
      </c>
      <c r="B617" t="s">
        <v>43</v>
      </c>
      <c r="C617" t="s">
        <v>44</v>
      </c>
      <c r="D617">
        <v>7</v>
      </c>
      <c r="E617" t="s">
        <v>46</v>
      </c>
      <c r="F617">
        <v>5</v>
      </c>
      <c r="G617">
        <v>1</v>
      </c>
      <c r="H617">
        <v>4</v>
      </c>
      <c r="I617">
        <v>1</v>
      </c>
      <c r="J617" s="4" t="s">
        <v>55</v>
      </c>
      <c r="K617" t="str">
        <f t="shared" si="34"/>
        <v>1+4</v>
      </c>
      <c r="L617">
        <f>VLOOKUP(A617,'ZONE 1 PREMIUM'!$A$4:$N$16,14,0)</f>
        <v>11</v>
      </c>
      <c r="M617">
        <f>VLOOKUP(D617,DROPDOWN!B:C,2,0)</f>
        <v>5</v>
      </c>
      <c r="N617" t="str">
        <f t="shared" si="32"/>
        <v>AU65:BM76</v>
      </c>
      <c r="O617" s="4">
        <f t="shared" ca="1" si="33"/>
        <v>129781.125</v>
      </c>
    </row>
    <row r="618" spans="1:15">
      <c r="A618" s="2" t="s">
        <v>21</v>
      </c>
      <c r="B618" t="s">
        <v>22</v>
      </c>
      <c r="D618">
        <v>7</v>
      </c>
      <c r="E618" t="s">
        <v>46</v>
      </c>
      <c r="F618">
        <v>5</v>
      </c>
      <c r="G618">
        <v>1</v>
      </c>
      <c r="H618">
        <v>4</v>
      </c>
      <c r="I618">
        <v>1</v>
      </c>
      <c r="J618" s="4" t="s">
        <v>55</v>
      </c>
      <c r="K618" t="str">
        <f t="shared" si="34"/>
        <v>1+4</v>
      </c>
      <c r="L618">
        <f>VLOOKUP(A618,'ZONE 1 PREMIUM'!$A$4:$N$16,14,0)</f>
        <v>12</v>
      </c>
      <c r="M618">
        <f>VLOOKUP(D618,DROPDOWN!B:C,2,0)</f>
        <v>5</v>
      </c>
      <c r="N618" t="str">
        <f t="shared" si="32"/>
        <v>AU65:BM76</v>
      </c>
      <c r="O618" s="4">
        <f t="shared" ca="1" si="33"/>
        <v>166507.875</v>
      </c>
    </row>
    <row r="619" spans="1:15">
      <c r="A619" s="2" t="s">
        <v>11</v>
      </c>
      <c r="B619" t="s">
        <v>45</v>
      </c>
      <c r="C619" t="s">
        <v>25</v>
      </c>
      <c r="D619">
        <v>7</v>
      </c>
      <c r="E619" t="s">
        <v>46</v>
      </c>
      <c r="F619">
        <v>2</v>
      </c>
      <c r="G619">
        <v>2</v>
      </c>
      <c r="H619">
        <v>0</v>
      </c>
      <c r="I619">
        <v>1</v>
      </c>
      <c r="J619" s="4" t="s">
        <v>55</v>
      </c>
      <c r="K619" t="str">
        <f t="shared" si="34"/>
        <v>2+0</v>
      </c>
      <c r="L619">
        <f>VLOOKUP(A619,'ZONE 1 PREMIUM'!$A$4:$N$16,14,0)</f>
        <v>2</v>
      </c>
      <c r="M619">
        <f>VLOOKUP(D619,DROPDOWN!B:C,2,0)</f>
        <v>5</v>
      </c>
      <c r="N619" t="str">
        <f t="shared" si="32"/>
        <v>AU81:BM92</v>
      </c>
      <c r="O619" s="4">
        <f t="shared" ca="1" si="33"/>
        <v>22241.25</v>
      </c>
    </row>
    <row r="620" spans="1:15">
      <c r="A620" s="2" t="s">
        <v>12</v>
      </c>
      <c r="B620" t="s">
        <v>27</v>
      </c>
      <c r="C620" t="s">
        <v>28</v>
      </c>
      <c r="D620">
        <v>7</v>
      </c>
      <c r="E620" t="s">
        <v>46</v>
      </c>
      <c r="F620">
        <v>2</v>
      </c>
      <c r="G620">
        <v>2</v>
      </c>
      <c r="H620">
        <v>0</v>
      </c>
      <c r="I620">
        <v>1</v>
      </c>
      <c r="J620" s="4" t="s">
        <v>55</v>
      </c>
      <c r="K620" t="str">
        <f t="shared" si="34"/>
        <v>2+0</v>
      </c>
      <c r="L620">
        <f>VLOOKUP(A620,'ZONE 1 PREMIUM'!$A$4:$N$16,14,0)</f>
        <v>3</v>
      </c>
      <c r="M620">
        <f>VLOOKUP(D620,DROPDOWN!B:C,2,0)</f>
        <v>5</v>
      </c>
      <c r="N620" t="str">
        <f t="shared" si="32"/>
        <v>AU81:BM92</v>
      </c>
      <c r="O620" s="4">
        <f t="shared" ca="1" si="33"/>
        <v>25390.125</v>
      </c>
    </row>
    <row r="621" spans="1:15">
      <c r="A621" s="2" t="s">
        <v>13</v>
      </c>
      <c r="B621" t="s">
        <v>29</v>
      </c>
      <c r="C621" t="s">
        <v>30</v>
      </c>
      <c r="D621">
        <v>7</v>
      </c>
      <c r="E621" t="s">
        <v>46</v>
      </c>
      <c r="F621">
        <v>2</v>
      </c>
      <c r="G621">
        <v>2</v>
      </c>
      <c r="H621">
        <v>0</v>
      </c>
      <c r="I621">
        <v>1</v>
      </c>
      <c r="J621" s="4" t="s">
        <v>55</v>
      </c>
      <c r="K621" t="str">
        <f t="shared" si="34"/>
        <v>2+0</v>
      </c>
      <c r="L621">
        <f>VLOOKUP(A621,'ZONE 1 PREMIUM'!$A$4:$N$16,14,0)</f>
        <v>4</v>
      </c>
      <c r="M621">
        <f>VLOOKUP(D621,DROPDOWN!B:C,2,0)</f>
        <v>5</v>
      </c>
      <c r="N621" t="str">
        <f t="shared" si="32"/>
        <v>AU81:BM92</v>
      </c>
      <c r="O621" s="4">
        <f t="shared" ca="1" si="33"/>
        <v>28173.375</v>
      </c>
    </row>
    <row r="622" spans="1:15">
      <c r="A622" s="2" t="s">
        <v>14</v>
      </c>
      <c r="B622" t="s">
        <v>31</v>
      </c>
      <c r="C622" t="s">
        <v>32</v>
      </c>
      <c r="D622">
        <v>7</v>
      </c>
      <c r="E622" t="s">
        <v>46</v>
      </c>
      <c r="F622">
        <v>2</v>
      </c>
      <c r="G622">
        <v>2</v>
      </c>
      <c r="H622">
        <v>0</v>
      </c>
      <c r="I622">
        <v>1</v>
      </c>
      <c r="J622" s="4" t="s">
        <v>55</v>
      </c>
      <c r="K622" t="str">
        <f t="shared" si="34"/>
        <v>2+0</v>
      </c>
      <c r="L622">
        <f>VLOOKUP(A622,'ZONE 1 PREMIUM'!$A$4:$N$16,14,0)</f>
        <v>5</v>
      </c>
      <c r="M622">
        <f>VLOOKUP(D622,DROPDOWN!B:C,2,0)</f>
        <v>5</v>
      </c>
      <c r="N622" t="str">
        <f t="shared" si="32"/>
        <v>AU81:BM92</v>
      </c>
      <c r="O622" s="4">
        <f t="shared" ca="1" si="33"/>
        <v>32639.625</v>
      </c>
    </row>
    <row r="623" spans="1:15">
      <c r="A623" s="2" t="s">
        <v>15</v>
      </c>
      <c r="B623" t="s">
        <v>33</v>
      </c>
      <c r="C623" t="s">
        <v>34</v>
      </c>
      <c r="D623">
        <v>7</v>
      </c>
      <c r="E623" t="s">
        <v>46</v>
      </c>
      <c r="F623">
        <v>2</v>
      </c>
      <c r="G623">
        <v>2</v>
      </c>
      <c r="H623">
        <v>0</v>
      </c>
      <c r="I623">
        <v>1</v>
      </c>
      <c r="J623" s="4" t="s">
        <v>55</v>
      </c>
      <c r="K623" t="str">
        <f t="shared" si="34"/>
        <v>2+0</v>
      </c>
      <c r="L623">
        <f>VLOOKUP(A623,'ZONE 1 PREMIUM'!$A$4:$N$16,14,0)</f>
        <v>6</v>
      </c>
      <c r="M623">
        <f>VLOOKUP(D623,DROPDOWN!B:C,2,0)</f>
        <v>5</v>
      </c>
      <c r="N623" t="str">
        <f t="shared" si="32"/>
        <v>AU81:BM92</v>
      </c>
      <c r="O623" s="4">
        <f t="shared" ca="1" si="33"/>
        <v>43362</v>
      </c>
    </row>
    <row r="624" spans="1:15">
      <c r="A624" s="2" t="s">
        <v>16</v>
      </c>
      <c r="B624" t="s">
        <v>35</v>
      </c>
      <c r="C624" t="s">
        <v>36</v>
      </c>
      <c r="D624">
        <v>7</v>
      </c>
      <c r="E624" t="s">
        <v>46</v>
      </c>
      <c r="F624">
        <v>2</v>
      </c>
      <c r="G624">
        <v>2</v>
      </c>
      <c r="H624">
        <v>0</v>
      </c>
      <c r="I624">
        <v>1</v>
      </c>
      <c r="J624" s="4" t="s">
        <v>55</v>
      </c>
      <c r="K624" t="str">
        <f t="shared" si="34"/>
        <v>2+0</v>
      </c>
      <c r="L624">
        <f>VLOOKUP(A624,'ZONE 1 PREMIUM'!$A$4:$N$16,14,0)</f>
        <v>7</v>
      </c>
      <c r="M624">
        <f>VLOOKUP(D624,DROPDOWN!B:C,2,0)</f>
        <v>5</v>
      </c>
      <c r="N624" t="str">
        <f t="shared" si="32"/>
        <v>AU81:BM92</v>
      </c>
      <c r="O624" s="4">
        <f t="shared" ca="1" si="33"/>
        <v>58044.375</v>
      </c>
    </row>
    <row r="625" spans="1:15">
      <c r="A625" s="2" t="s">
        <v>17</v>
      </c>
      <c r="B625" t="s">
        <v>37</v>
      </c>
      <c r="C625" t="s">
        <v>38</v>
      </c>
      <c r="D625">
        <v>7</v>
      </c>
      <c r="E625" t="s">
        <v>46</v>
      </c>
      <c r="F625">
        <v>2</v>
      </c>
      <c r="G625">
        <v>2</v>
      </c>
      <c r="H625">
        <v>0</v>
      </c>
      <c r="I625">
        <v>1</v>
      </c>
      <c r="J625" s="4" t="s">
        <v>55</v>
      </c>
      <c r="K625" t="str">
        <f t="shared" si="34"/>
        <v>2+0</v>
      </c>
      <c r="L625">
        <f>VLOOKUP(A625,'ZONE 1 PREMIUM'!$A$4:$N$16,14,0)</f>
        <v>8</v>
      </c>
      <c r="M625">
        <f>VLOOKUP(D625,DROPDOWN!B:C,2,0)</f>
        <v>5</v>
      </c>
      <c r="N625" t="str">
        <f t="shared" si="32"/>
        <v>AU81:BM92</v>
      </c>
      <c r="O625" s="4">
        <f t="shared" ca="1" si="33"/>
        <v>79180.875</v>
      </c>
    </row>
    <row r="626" spans="1:15">
      <c r="A626" s="2" t="s">
        <v>18</v>
      </c>
      <c r="B626" t="s">
        <v>39</v>
      </c>
      <c r="C626" t="s">
        <v>40</v>
      </c>
      <c r="D626">
        <v>7</v>
      </c>
      <c r="E626" t="s">
        <v>46</v>
      </c>
      <c r="F626">
        <v>2</v>
      </c>
      <c r="G626">
        <v>2</v>
      </c>
      <c r="H626">
        <v>0</v>
      </c>
      <c r="I626">
        <v>1</v>
      </c>
      <c r="J626" s="4" t="s">
        <v>55</v>
      </c>
      <c r="K626" t="str">
        <f t="shared" si="34"/>
        <v>2+0</v>
      </c>
      <c r="L626">
        <f>VLOOKUP(A626,'ZONE 1 PREMIUM'!$A$4:$N$16,14,0)</f>
        <v>9</v>
      </c>
      <c r="M626">
        <f>VLOOKUP(D626,DROPDOWN!B:C,2,0)</f>
        <v>5</v>
      </c>
      <c r="N626" t="str">
        <f t="shared" ref="N626:N673" si="35">VLOOKUP(K626,$BN$3:$BO$12,2,0)</f>
        <v>AU81:BM92</v>
      </c>
      <c r="O626" s="4">
        <f t="shared" ca="1" si="33"/>
        <v>112126.5</v>
      </c>
    </row>
    <row r="627" spans="1:15">
      <c r="A627" s="2" t="s">
        <v>19</v>
      </c>
      <c r="B627" t="s">
        <v>41</v>
      </c>
      <c r="C627" t="s">
        <v>42</v>
      </c>
      <c r="D627">
        <v>7</v>
      </c>
      <c r="E627" t="s">
        <v>46</v>
      </c>
      <c r="F627">
        <v>2</v>
      </c>
      <c r="G627">
        <v>2</v>
      </c>
      <c r="H627">
        <v>0</v>
      </c>
      <c r="I627">
        <v>1</v>
      </c>
      <c r="J627" s="4" t="s">
        <v>55</v>
      </c>
      <c r="K627" t="str">
        <f t="shared" si="34"/>
        <v>2+0</v>
      </c>
      <c r="L627">
        <f>VLOOKUP(A627,'ZONE 1 PREMIUM'!$A$4:$N$16,14,0)</f>
        <v>10</v>
      </c>
      <c r="M627">
        <f>VLOOKUP(D627,DROPDOWN!B:C,2,0)</f>
        <v>5</v>
      </c>
      <c r="N627" t="str">
        <f t="shared" si="35"/>
        <v>AU81:BM92</v>
      </c>
      <c r="O627" s="4">
        <f t="shared" ca="1" si="33"/>
        <v>155745</v>
      </c>
    </row>
    <row r="628" spans="1:15">
      <c r="A628" s="2" t="s">
        <v>20</v>
      </c>
      <c r="B628" t="s">
        <v>43</v>
      </c>
      <c r="C628" t="s">
        <v>44</v>
      </c>
      <c r="D628">
        <v>7</v>
      </c>
      <c r="E628" t="s">
        <v>46</v>
      </c>
      <c r="F628">
        <v>2</v>
      </c>
      <c r="G628">
        <v>2</v>
      </c>
      <c r="H628">
        <v>0</v>
      </c>
      <c r="I628">
        <v>1</v>
      </c>
      <c r="J628" s="4" t="s">
        <v>55</v>
      </c>
      <c r="K628" t="str">
        <f t="shared" si="34"/>
        <v>2+0</v>
      </c>
      <c r="L628">
        <f>VLOOKUP(A628,'ZONE 1 PREMIUM'!$A$4:$N$16,14,0)</f>
        <v>11</v>
      </c>
      <c r="M628">
        <f>VLOOKUP(D628,DROPDOWN!B:C,2,0)</f>
        <v>5</v>
      </c>
      <c r="N628" t="str">
        <f t="shared" si="35"/>
        <v>AU81:BM92</v>
      </c>
      <c r="O628" s="4">
        <f t="shared" ca="1" si="33"/>
        <v>192145.5</v>
      </c>
    </row>
    <row r="629" spans="1:15">
      <c r="A629" s="2" t="s">
        <v>21</v>
      </c>
      <c r="B629" t="s">
        <v>22</v>
      </c>
      <c r="D629">
        <v>7</v>
      </c>
      <c r="E629" t="s">
        <v>46</v>
      </c>
      <c r="F629">
        <v>2</v>
      </c>
      <c r="G629">
        <v>2</v>
      </c>
      <c r="H629">
        <v>0</v>
      </c>
      <c r="I629">
        <v>1</v>
      </c>
      <c r="J629" s="4" t="s">
        <v>55</v>
      </c>
      <c r="K629" t="str">
        <f t="shared" si="34"/>
        <v>2+0</v>
      </c>
      <c r="L629">
        <f>VLOOKUP(A629,'ZONE 1 PREMIUM'!$A$4:$N$16,14,0)</f>
        <v>12</v>
      </c>
      <c r="M629">
        <f>VLOOKUP(D629,DROPDOWN!B:C,2,0)</f>
        <v>5</v>
      </c>
      <c r="N629" t="str">
        <f t="shared" si="35"/>
        <v>AU81:BM92</v>
      </c>
      <c r="O629" s="4">
        <f t="shared" ca="1" si="33"/>
        <v>245335.5</v>
      </c>
    </row>
    <row r="630" spans="1:15">
      <c r="A630" s="2" t="s">
        <v>11</v>
      </c>
      <c r="B630" t="s">
        <v>45</v>
      </c>
      <c r="C630" t="s">
        <v>25</v>
      </c>
      <c r="D630">
        <v>7</v>
      </c>
      <c r="E630" t="s">
        <v>46</v>
      </c>
      <c r="F630">
        <v>3</v>
      </c>
      <c r="G630">
        <v>2</v>
      </c>
      <c r="H630">
        <v>1</v>
      </c>
      <c r="I630">
        <v>1</v>
      </c>
      <c r="J630" s="4" t="s">
        <v>55</v>
      </c>
      <c r="K630" t="str">
        <f t="shared" si="34"/>
        <v>2+1</v>
      </c>
      <c r="L630">
        <f>VLOOKUP(A630,'ZONE 1 PREMIUM'!$A$4:$N$16,14,0)</f>
        <v>2</v>
      </c>
      <c r="M630">
        <f>VLOOKUP(D630,DROPDOWN!B:C,2,0)</f>
        <v>5</v>
      </c>
      <c r="N630" t="str">
        <f t="shared" si="35"/>
        <v>AU98:BM109</v>
      </c>
      <c r="O630" s="4">
        <f t="shared" ca="1" si="33"/>
        <v>27010.125</v>
      </c>
    </row>
    <row r="631" spans="1:15">
      <c r="A631" s="2" t="s">
        <v>12</v>
      </c>
      <c r="B631" t="s">
        <v>27</v>
      </c>
      <c r="C631" t="s">
        <v>28</v>
      </c>
      <c r="D631">
        <v>7</v>
      </c>
      <c r="E631" t="s">
        <v>46</v>
      </c>
      <c r="F631">
        <v>3</v>
      </c>
      <c r="G631">
        <v>2</v>
      </c>
      <c r="H631">
        <v>1</v>
      </c>
      <c r="I631">
        <v>1</v>
      </c>
      <c r="J631" s="4" t="s">
        <v>55</v>
      </c>
      <c r="K631" t="str">
        <f t="shared" si="34"/>
        <v>2+1</v>
      </c>
      <c r="L631">
        <f>VLOOKUP(A631,'ZONE 1 PREMIUM'!$A$4:$N$16,14,0)</f>
        <v>3</v>
      </c>
      <c r="M631">
        <f>VLOOKUP(D631,DROPDOWN!B:C,2,0)</f>
        <v>5</v>
      </c>
      <c r="N631" t="str">
        <f t="shared" si="35"/>
        <v>AU98:BM109</v>
      </c>
      <c r="O631" s="4">
        <f t="shared" ca="1" si="33"/>
        <v>30076.875</v>
      </c>
    </row>
    <row r="632" spans="1:15">
      <c r="A632" s="2" t="s">
        <v>13</v>
      </c>
      <c r="B632" t="s">
        <v>29</v>
      </c>
      <c r="C632" t="s">
        <v>30</v>
      </c>
      <c r="D632">
        <v>7</v>
      </c>
      <c r="E632" t="s">
        <v>46</v>
      </c>
      <c r="F632">
        <v>3</v>
      </c>
      <c r="G632">
        <v>2</v>
      </c>
      <c r="H632">
        <v>1</v>
      </c>
      <c r="I632">
        <v>1</v>
      </c>
      <c r="J632" s="4" t="s">
        <v>55</v>
      </c>
      <c r="K632" t="str">
        <f t="shared" si="34"/>
        <v>2+1</v>
      </c>
      <c r="L632">
        <f>VLOOKUP(A632,'ZONE 1 PREMIUM'!$A$4:$N$16,14,0)</f>
        <v>4</v>
      </c>
      <c r="M632">
        <f>VLOOKUP(D632,DROPDOWN!B:C,2,0)</f>
        <v>5</v>
      </c>
      <c r="N632" t="str">
        <f t="shared" si="35"/>
        <v>AU98:BM109</v>
      </c>
      <c r="O632" s="4">
        <f t="shared" ca="1" si="33"/>
        <v>33617.25</v>
      </c>
    </row>
    <row r="633" spans="1:15">
      <c r="A633" s="2" t="s">
        <v>14</v>
      </c>
      <c r="B633" t="s">
        <v>31</v>
      </c>
      <c r="C633" t="s">
        <v>32</v>
      </c>
      <c r="D633">
        <v>7</v>
      </c>
      <c r="E633" t="s">
        <v>46</v>
      </c>
      <c r="F633">
        <v>3</v>
      </c>
      <c r="G633">
        <v>2</v>
      </c>
      <c r="H633">
        <v>1</v>
      </c>
      <c r="I633">
        <v>1</v>
      </c>
      <c r="J633" s="4" t="s">
        <v>55</v>
      </c>
      <c r="K633" t="str">
        <f t="shared" si="34"/>
        <v>2+1</v>
      </c>
      <c r="L633">
        <f>VLOOKUP(A633,'ZONE 1 PREMIUM'!$A$4:$N$16,14,0)</f>
        <v>5</v>
      </c>
      <c r="M633">
        <f>VLOOKUP(D633,DROPDOWN!B:C,2,0)</f>
        <v>5</v>
      </c>
      <c r="N633" t="str">
        <f t="shared" si="35"/>
        <v>AU98:BM109</v>
      </c>
      <c r="O633" s="4">
        <f t="shared" ca="1" si="33"/>
        <v>38445.75</v>
      </c>
    </row>
    <row r="634" spans="1:15">
      <c r="A634" s="2" t="s">
        <v>15</v>
      </c>
      <c r="B634" t="s">
        <v>33</v>
      </c>
      <c r="C634" t="s">
        <v>34</v>
      </c>
      <c r="D634">
        <v>7</v>
      </c>
      <c r="E634" t="s">
        <v>46</v>
      </c>
      <c r="F634">
        <v>3</v>
      </c>
      <c r="G634">
        <v>2</v>
      </c>
      <c r="H634">
        <v>1</v>
      </c>
      <c r="I634">
        <v>1</v>
      </c>
      <c r="J634" s="4" t="s">
        <v>55</v>
      </c>
      <c r="K634" t="str">
        <f t="shared" si="34"/>
        <v>2+1</v>
      </c>
      <c r="L634">
        <f>VLOOKUP(A634,'ZONE 1 PREMIUM'!$A$4:$N$16,14,0)</f>
        <v>6</v>
      </c>
      <c r="M634">
        <f>VLOOKUP(D634,DROPDOWN!B:C,2,0)</f>
        <v>5</v>
      </c>
      <c r="N634" t="str">
        <f t="shared" si="35"/>
        <v>AU98:BM109</v>
      </c>
      <c r="O634" s="4">
        <f t="shared" ca="1" si="33"/>
        <v>49881.375</v>
      </c>
    </row>
    <row r="635" spans="1:15">
      <c r="A635" s="2" t="s">
        <v>16</v>
      </c>
      <c r="B635" t="s">
        <v>35</v>
      </c>
      <c r="C635" t="s">
        <v>36</v>
      </c>
      <c r="D635">
        <v>7</v>
      </c>
      <c r="E635" t="s">
        <v>46</v>
      </c>
      <c r="F635">
        <v>3</v>
      </c>
      <c r="G635">
        <v>2</v>
      </c>
      <c r="H635">
        <v>1</v>
      </c>
      <c r="I635">
        <v>1</v>
      </c>
      <c r="J635" s="4" t="s">
        <v>55</v>
      </c>
      <c r="K635" t="str">
        <f t="shared" si="34"/>
        <v>2+1</v>
      </c>
      <c r="L635">
        <f>VLOOKUP(A635,'ZONE 1 PREMIUM'!$A$4:$N$16,14,0)</f>
        <v>7</v>
      </c>
      <c r="M635">
        <f>VLOOKUP(D635,DROPDOWN!B:C,2,0)</f>
        <v>5</v>
      </c>
      <c r="N635" t="str">
        <f t="shared" si="35"/>
        <v>AU98:BM109</v>
      </c>
      <c r="O635" s="4">
        <f t="shared" ca="1" si="33"/>
        <v>66120.75</v>
      </c>
    </row>
    <row r="636" spans="1:15">
      <c r="A636" s="2" t="s">
        <v>17</v>
      </c>
      <c r="B636" t="s">
        <v>37</v>
      </c>
      <c r="C636" t="s">
        <v>38</v>
      </c>
      <c r="D636">
        <v>7</v>
      </c>
      <c r="E636" t="s">
        <v>46</v>
      </c>
      <c r="F636">
        <v>3</v>
      </c>
      <c r="G636">
        <v>2</v>
      </c>
      <c r="H636">
        <v>1</v>
      </c>
      <c r="I636">
        <v>1</v>
      </c>
      <c r="J636" s="4" t="s">
        <v>55</v>
      </c>
      <c r="K636" t="str">
        <f t="shared" si="34"/>
        <v>2+1</v>
      </c>
      <c r="L636">
        <f>VLOOKUP(A636,'ZONE 1 PREMIUM'!$A$4:$N$16,14,0)</f>
        <v>8</v>
      </c>
      <c r="M636">
        <f>VLOOKUP(D636,DROPDOWN!B:C,2,0)</f>
        <v>5</v>
      </c>
      <c r="N636" t="str">
        <f t="shared" si="35"/>
        <v>AU98:BM109</v>
      </c>
      <c r="O636" s="4">
        <f t="shared" ca="1" si="33"/>
        <v>87880.5</v>
      </c>
    </row>
    <row r="637" spans="1:15">
      <c r="A637" s="2" t="s">
        <v>18</v>
      </c>
      <c r="B637" t="s">
        <v>39</v>
      </c>
      <c r="C637" t="s">
        <v>40</v>
      </c>
      <c r="D637">
        <v>7</v>
      </c>
      <c r="E637" t="s">
        <v>46</v>
      </c>
      <c r="F637">
        <v>3</v>
      </c>
      <c r="G637">
        <v>2</v>
      </c>
      <c r="H637">
        <v>1</v>
      </c>
      <c r="I637">
        <v>1</v>
      </c>
      <c r="J637" s="4" t="s">
        <v>55</v>
      </c>
      <c r="K637" t="str">
        <f t="shared" si="34"/>
        <v>2+1</v>
      </c>
      <c r="L637">
        <f>VLOOKUP(A637,'ZONE 1 PREMIUM'!$A$4:$N$16,14,0)</f>
        <v>9</v>
      </c>
      <c r="M637">
        <f>VLOOKUP(D637,DROPDOWN!B:C,2,0)</f>
        <v>5</v>
      </c>
      <c r="N637" t="str">
        <f t="shared" si="35"/>
        <v>AU98:BM109</v>
      </c>
      <c r="O637" s="4">
        <f t="shared" ca="1" si="33"/>
        <v>120981.375</v>
      </c>
    </row>
    <row r="638" spans="1:15">
      <c r="A638" s="2" t="s">
        <v>19</v>
      </c>
      <c r="B638" t="s">
        <v>41</v>
      </c>
      <c r="C638" t="s">
        <v>42</v>
      </c>
      <c r="D638">
        <v>7</v>
      </c>
      <c r="E638" t="s">
        <v>46</v>
      </c>
      <c r="F638">
        <v>3</v>
      </c>
      <c r="G638">
        <v>2</v>
      </c>
      <c r="H638">
        <v>1</v>
      </c>
      <c r="I638">
        <v>1</v>
      </c>
      <c r="J638" s="4" t="s">
        <v>55</v>
      </c>
      <c r="K638" t="str">
        <f t="shared" si="34"/>
        <v>2+1</v>
      </c>
      <c r="L638">
        <f>VLOOKUP(A638,'ZONE 1 PREMIUM'!$A$4:$N$16,14,0)</f>
        <v>10</v>
      </c>
      <c r="M638">
        <f>VLOOKUP(D638,DROPDOWN!B:C,2,0)</f>
        <v>5</v>
      </c>
      <c r="N638" t="str">
        <f t="shared" si="35"/>
        <v>AU98:BM109</v>
      </c>
      <c r="O638" s="4">
        <f t="shared" ca="1" si="33"/>
        <v>161092.125</v>
      </c>
    </row>
    <row r="639" spans="1:15">
      <c r="A639" s="2" t="s">
        <v>20</v>
      </c>
      <c r="B639" t="s">
        <v>43</v>
      </c>
      <c r="C639" t="s">
        <v>44</v>
      </c>
      <c r="D639">
        <v>7</v>
      </c>
      <c r="E639" t="s">
        <v>46</v>
      </c>
      <c r="F639">
        <v>3</v>
      </c>
      <c r="G639">
        <v>2</v>
      </c>
      <c r="H639">
        <v>1</v>
      </c>
      <c r="I639">
        <v>1</v>
      </c>
      <c r="J639" s="4" t="s">
        <v>55</v>
      </c>
      <c r="K639" t="str">
        <f t="shared" si="34"/>
        <v>2+1</v>
      </c>
      <c r="L639">
        <f>VLOOKUP(A639,'ZONE 1 PREMIUM'!$A$4:$N$16,14,0)</f>
        <v>11</v>
      </c>
      <c r="M639">
        <f>VLOOKUP(D639,DROPDOWN!B:C,2,0)</f>
        <v>5</v>
      </c>
      <c r="N639" t="str">
        <f t="shared" si="35"/>
        <v>AU98:BM109</v>
      </c>
      <c r="O639" s="4">
        <f t="shared" ca="1" si="33"/>
        <v>196230.375</v>
      </c>
    </row>
    <row r="640" spans="1:15">
      <c r="A640" s="2" t="s">
        <v>21</v>
      </c>
      <c r="B640" t="s">
        <v>22</v>
      </c>
      <c r="D640">
        <v>7</v>
      </c>
      <c r="E640" t="s">
        <v>46</v>
      </c>
      <c r="F640">
        <v>3</v>
      </c>
      <c r="G640">
        <v>2</v>
      </c>
      <c r="H640">
        <v>1</v>
      </c>
      <c r="I640">
        <v>1</v>
      </c>
      <c r="J640" s="4" t="s">
        <v>55</v>
      </c>
      <c r="K640" t="str">
        <f t="shared" si="34"/>
        <v>2+1</v>
      </c>
      <c r="L640">
        <f>VLOOKUP(A640,'ZONE 1 PREMIUM'!$A$4:$N$16,14,0)</f>
        <v>12</v>
      </c>
      <c r="M640">
        <f>VLOOKUP(D640,DROPDOWN!B:C,2,0)</f>
        <v>5</v>
      </c>
      <c r="N640" t="str">
        <f t="shared" si="35"/>
        <v>AU98:BM109</v>
      </c>
      <c r="O640" s="4">
        <f t="shared" ca="1" si="33"/>
        <v>249231.375</v>
      </c>
    </row>
    <row r="641" spans="1:15">
      <c r="A641" s="2" t="s">
        <v>11</v>
      </c>
      <c r="B641" t="s">
        <v>45</v>
      </c>
      <c r="C641" t="s">
        <v>25</v>
      </c>
      <c r="D641">
        <v>7</v>
      </c>
      <c r="E641" t="s">
        <v>46</v>
      </c>
      <c r="F641">
        <v>4</v>
      </c>
      <c r="G641">
        <v>2</v>
      </c>
      <c r="H641">
        <v>2</v>
      </c>
      <c r="I641">
        <v>1</v>
      </c>
      <c r="J641" s="4" t="s">
        <v>55</v>
      </c>
      <c r="K641" t="str">
        <f t="shared" si="34"/>
        <v>2+2</v>
      </c>
      <c r="L641">
        <f>VLOOKUP(A641,'ZONE 1 PREMIUM'!$A$4:$N$16,14,0)</f>
        <v>2</v>
      </c>
      <c r="M641">
        <f>VLOOKUP(D641,DROPDOWN!B:C,2,0)</f>
        <v>5</v>
      </c>
      <c r="N641" t="str">
        <f t="shared" si="35"/>
        <v>AU113:BM124</v>
      </c>
      <c r="O641" s="4">
        <f t="shared" ca="1" si="33"/>
        <v>31622.625</v>
      </c>
    </row>
    <row r="642" spans="1:15">
      <c r="A642" s="2" t="s">
        <v>12</v>
      </c>
      <c r="B642" t="s">
        <v>27</v>
      </c>
      <c r="C642" t="s">
        <v>28</v>
      </c>
      <c r="D642">
        <v>7</v>
      </c>
      <c r="E642" t="s">
        <v>46</v>
      </c>
      <c r="F642">
        <v>4</v>
      </c>
      <c r="G642">
        <v>2</v>
      </c>
      <c r="H642">
        <v>2</v>
      </c>
      <c r="I642">
        <v>1</v>
      </c>
      <c r="J642" s="4" t="s">
        <v>55</v>
      </c>
      <c r="K642" t="str">
        <f t="shared" si="34"/>
        <v>2+2</v>
      </c>
      <c r="L642">
        <f>VLOOKUP(A642,'ZONE 1 PREMIUM'!$A$4:$N$16,14,0)</f>
        <v>3</v>
      </c>
      <c r="M642">
        <f>VLOOKUP(D642,DROPDOWN!B:C,2,0)</f>
        <v>5</v>
      </c>
      <c r="N642" t="str">
        <f t="shared" si="35"/>
        <v>AU113:BM124</v>
      </c>
      <c r="O642" s="4">
        <f t="shared" ref="O642:O705" ca="1" si="36">INDEX(INDIRECT(N642),L642,M642)</f>
        <v>34605</v>
      </c>
    </row>
    <row r="643" spans="1:15">
      <c r="A643" s="2" t="s">
        <v>13</v>
      </c>
      <c r="B643" t="s">
        <v>29</v>
      </c>
      <c r="C643" t="s">
        <v>30</v>
      </c>
      <c r="D643">
        <v>7</v>
      </c>
      <c r="E643" t="s">
        <v>46</v>
      </c>
      <c r="F643">
        <v>4</v>
      </c>
      <c r="G643">
        <v>2</v>
      </c>
      <c r="H643">
        <v>2</v>
      </c>
      <c r="I643">
        <v>1</v>
      </c>
      <c r="J643" s="4" t="s">
        <v>55</v>
      </c>
      <c r="K643" t="str">
        <f t="shared" si="34"/>
        <v>2+2</v>
      </c>
      <c r="L643">
        <f>VLOOKUP(A643,'ZONE 1 PREMIUM'!$A$4:$N$16,14,0)</f>
        <v>4</v>
      </c>
      <c r="M643">
        <f>VLOOKUP(D643,DROPDOWN!B:C,2,0)</f>
        <v>5</v>
      </c>
      <c r="N643" t="str">
        <f t="shared" si="35"/>
        <v>AU113:BM124</v>
      </c>
      <c r="O643" s="4">
        <f t="shared" ca="1" si="36"/>
        <v>38862</v>
      </c>
    </row>
    <row r="644" spans="1:15">
      <c r="A644" s="2" t="s">
        <v>14</v>
      </c>
      <c r="B644" t="s">
        <v>31</v>
      </c>
      <c r="C644" t="s">
        <v>32</v>
      </c>
      <c r="D644">
        <v>7</v>
      </c>
      <c r="E644" t="s">
        <v>46</v>
      </c>
      <c r="F644">
        <v>4</v>
      </c>
      <c r="G644">
        <v>2</v>
      </c>
      <c r="H644">
        <v>2</v>
      </c>
      <c r="I644">
        <v>1</v>
      </c>
      <c r="J644" s="4" t="s">
        <v>55</v>
      </c>
      <c r="K644" t="str">
        <f t="shared" ref="K644:K707" si="37">G644&amp;"+"&amp;H644</f>
        <v>2+2</v>
      </c>
      <c r="L644">
        <f>VLOOKUP(A644,'ZONE 1 PREMIUM'!$A$4:$N$16,14,0)</f>
        <v>5</v>
      </c>
      <c r="M644">
        <f>VLOOKUP(D644,DROPDOWN!B:C,2,0)</f>
        <v>5</v>
      </c>
      <c r="N644" t="str">
        <f t="shared" si="35"/>
        <v>AU113:BM124</v>
      </c>
      <c r="O644" s="4">
        <f t="shared" ca="1" si="36"/>
        <v>44024.625</v>
      </c>
    </row>
    <row r="645" spans="1:15">
      <c r="A645" s="2" t="s">
        <v>15</v>
      </c>
      <c r="B645" t="s">
        <v>33</v>
      </c>
      <c r="C645" t="s">
        <v>34</v>
      </c>
      <c r="D645">
        <v>7</v>
      </c>
      <c r="E645" t="s">
        <v>46</v>
      </c>
      <c r="F645">
        <v>4</v>
      </c>
      <c r="G645">
        <v>2</v>
      </c>
      <c r="H645">
        <v>2</v>
      </c>
      <c r="I645">
        <v>1</v>
      </c>
      <c r="J645" s="4" t="s">
        <v>55</v>
      </c>
      <c r="K645" t="str">
        <f t="shared" si="37"/>
        <v>2+2</v>
      </c>
      <c r="L645">
        <f>VLOOKUP(A645,'ZONE 1 PREMIUM'!$A$4:$N$16,14,0)</f>
        <v>6</v>
      </c>
      <c r="M645">
        <f>VLOOKUP(D645,DROPDOWN!B:C,2,0)</f>
        <v>5</v>
      </c>
      <c r="N645" t="str">
        <f t="shared" si="35"/>
        <v>AU113:BM124</v>
      </c>
      <c r="O645" s="4">
        <f t="shared" ca="1" si="36"/>
        <v>56137.5</v>
      </c>
    </row>
    <row r="646" spans="1:15">
      <c r="A646" s="2" t="s">
        <v>16</v>
      </c>
      <c r="B646" t="s">
        <v>35</v>
      </c>
      <c r="C646" t="s">
        <v>36</v>
      </c>
      <c r="D646">
        <v>7</v>
      </c>
      <c r="E646" t="s">
        <v>46</v>
      </c>
      <c r="F646">
        <v>4</v>
      </c>
      <c r="G646">
        <v>2</v>
      </c>
      <c r="H646">
        <v>2</v>
      </c>
      <c r="I646">
        <v>1</v>
      </c>
      <c r="J646" s="4" t="s">
        <v>55</v>
      </c>
      <c r="K646" t="str">
        <f t="shared" si="37"/>
        <v>2+2</v>
      </c>
      <c r="L646">
        <f>VLOOKUP(A646,'ZONE 1 PREMIUM'!$A$4:$N$16,14,0)</f>
        <v>7</v>
      </c>
      <c r="M646">
        <f>VLOOKUP(D646,DROPDOWN!B:C,2,0)</f>
        <v>5</v>
      </c>
      <c r="N646" t="str">
        <f t="shared" si="35"/>
        <v>AU113:BM124</v>
      </c>
      <c r="O646" s="4">
        <f t="shared" ca="1" si="36"/>
        <v>73875.375</v>
      </c>
    </row>
    <row r="647" spans="1:15">
      <c r="A647" s="2" t="s">
        <v>17</v>
      </c>
      <c r="B647" t="s">
        <v>37</v>
      </c>
      <c r="C647" t="s">
        <v>38</v>
      </c>
      <c r="D647">
        <v>7</v>
      </c>
      <c r="E647" t="s">
        <v>46</v>
      </c>
      <c r="F647">
        <v>4</v>
      </c>
      <c r="G647">
        <v>2</v>
      </c>
      <c r="H647">
        <v>2</v>
      </c>
      <c r="I647">
        <v>1</v>
      </c>
      <c r="J647" s="4" t="s">
        <v>55</v>
      </c>
      <c r="K647" t="str">
        <f t="shared" si="37"/>
        <v>2+2</v>
      </c>
      <c r="L647">
        <f>VLOOKUP(A647,'ZONE 1 PREMIUM'!$A$4:$N$16,14,0)</f>
        <v>8</v>
      </c>
      <c r="M647">
        <f>VLOOKUP(D647,DROPDOWN!B:C,2,0)</f>
        <v>5</v>
      </c>
      <c r="N647" t="str">
        <f t="shared" si="35"/>
        <v>AU113:BM124</v>
      </c>
      <c r="O647" s="4">
        <f t="shared" ca="1" si="36"/>
        <v>95127.75</v>
      </c>
    </row>
    <row r="648" spans="1:15">
      <c r="A648" s="2" t="s">
        <v>18</v>
      </c>
      <c r="B648" t="s">
        <v>39</v>
      </c>
      <c r="C648" t="s">
        <v>40</v>
      </c>
      <c r="D648">
        <v>7</v>
      </c>
      <c r="E648" t="s">
        <v>46</v>
      </c>
      <c r="F648">
        <v>4</v>
      </c>
      <c r="G648">
        <v>2</v>
      </c>
      <c r="H648">
        <v>2</v>
      </c>
      <c r="I648">
        <v>1</v>
      </c>
      <c r="J648" s="4" t="s">
        <v>55</v>
      </c>
      <c r="K648" t="str">
        <f t="shared" si="37"/>
        <v>2+2</v>
      </c>
      <c r="L648">
        <f>VLOOKUP(A648,'ZONE 1 PREMIUM'!$A$4:$N$16,14,0)</f>
        <v>9</v>
      </c>
      <c r="M648">
        <f>VLOOKUP(D648,DROPDOWN!B:C,2,0)</f>
        <v>5</v>
      </c>
      <c r="N648" t="str">
        <f t="shared" si="35"/>
        <v>AU113:BM124</v>
      </c>
      <c r="O648" s="4">
        <f t="shared" ca="1" si="36"/>
        <v>126700.875</v>
      </c>
    </row>
    <row r="649" spans="1:15">
      <c r="A649" s="2" t="s">
        <v>19</v>
      </c>
      <c r="B649" t="s">
        <v>41</v>
      </c>
      <c r="C649" t="s">
        <v>42</v>
      </c>
      <c r="D649">
        <v>7</v>
      </c>
      <c r="E649" t="s">
        <v>46</v>
      </c>
      <c r="F649">
        <v>4</v>
      </c>
      <c r="G649">
        <v>2</v>
      </c>
      <c r="H649">
        <v>2</v>
      </c>
      <c r="I649">
        <v>1</v>
      </c>
      <c r="J649" s="4" t="s">
        <v>55</v>
      </c>
      <c r="K649" t="str">
        <f t="shared" si="37"/>
        <v>2+2</v>
      </c>
      <c r="L649">
        <f>VLOOKUP(A649,'ZONE 1 PREMIUM'!$A$4:$N$16,14,0)</f>
        <v>10</v>
      </c>
      <c r="M649">
        <f>VLOOKUP(D649,DROPDOWN!B:C,2,0)</f>
        <v>5</v>
      </c>
      <c r="N649" t="str">
        <f t="shared" si="35"/>
        <v>AU113:BM124</v>
      </c>
      <c r="O649" s="4">
        <f t="shared" ca="1" si="36"/>
        <v>163429.875</v>
      </c>
    </row>
    <row r="650" spans="1:15">
      <c r="A650" s="2" t="s">
        <v>20</v>
      </c>
      <c r="B650" t="s">
        <v>43</v>
      </c>
      <c r="C650" t="s">
        <v>44</v>
      </c>
      <c r="D650">
        <v>7</v>
      </c>
      <c r="E650" t="s">
        <v>46</v>
      </c>
      <c r="F650">
        <v>4</v>
      </c>
      <c r="G650">
        <v>2</v>
      </c>
      <c r="H650">
        <v>2</v>
      </c>
      <c r="I650">
        <v>1</v>
      </c>
      <c r="J650" s="4" t="s">
        <v>55</v>
      </c>
      <c r="K650" t="str">
        <f t="shared" si="37"/>
        <v>2+2</v>
      </c>
      <c r="L650">
        <f>VLOOKUP(A650,'ZONE 1 PREMIUM'!$A$4:$N$16,14,0)</f>
        <v>11</v>
      </c>
      <c r="M650">
        <f>VLOOKUP(D650,DROPDOWN!B:C,2,0)</f>
        <v>5</v>
      </c>
      <c r="N650" t="str">
        <f t="shared" si="35"/>
        <v>AU113:BM124</v>
      </c>
      <c r="O650" s="4">
        <f t="shared" ca="1" si="36"/>
        <v>198897.75</v>
      </c>
    </row>
    <row r="651" spans="1:15">
      <c r="A651" s="2" t="s">
        <v>21</v>
      </c>
      <c r="B651" t="s">
        <v>22</v>
      </c>
      <c r="D651">
        <v>7</v>
      </c>
      <c r="E651" t="s">
        <v>46</v>
      </c>
      <c r="F651">
        <v>4</v>
      </c>
      <c r="G651">
        <v>2</v>
      </c>
      <c r="H651">
        <v>2</v>
      </c>
      <c r="I651">
        <v>1</v>
      </c>
      <c r="J651" s="4" t="s">
        <v>55</v>
      </c>
      <c r="K651" t="str">
        <f t="shared" si="37"/>
        <v>2+2</v>
      </c>
      <c r="L651">
        <f>VLOOKUP(A651,'ZONE 1 PREMIUM'!$A$4:$N$16,14,0)</f>
        <v>12</v>
      </c>
      <c r="M651">
        <f>VLOOKUP(D651,DROPDOWN!B:C,2,0)</f>
        <v>5</v>
      </c>
      <c r="N651" t="str">
        <f t="shared" si="35"/>
        <v>AU113:BM124</v>
      </c>
      <c r="O651" s="4">
        <f t="shared" ca="1" si="36"/>
        <v>252066.375</v>
      </c>
    </row>
    <row r="652" spans="1:15">
      <c r="A652" s="2" t="s">
        <v>11</v>
      </c>
      <c r="B652" t="s">
        <v>45</v>
      </c>
      <c r="C652" t="s">
        <v>25</v>
      </c>
      <c r="D652">
        <v>7</v>
      </c>
      <c r="E652" t="s">
        <v>46</v>
      </c>
      <c r="F652">
        <v>5</v>
      </c>
      <c r="G652">
        <v>2</v>
      </c>
      <c r="H652">
        <v>3</v>
      </c>
      <c r="I652">
        <v>1</v>
      </c>
      <c r="J652" s="4" t="s">
        <v>55</v>
      </c>
      <c r="K652" t="str">
        <f t="shared" si="37"/>
        <v>2+3</v>
      </c>
      <c r="L652">
        <f>VLOOKUP(A652,'ZONE 1 PREMIUM'!$A$4:$N$16,14,0)</f>
        <v>2</v>
      </c>
      <c r="M652">
        <f>VLOOKUP(D652,DROPDOWN!B:C,2,0)</f>
        <v>5</v>
      </c>
      <c r="N652" t="str">
        <f t="shared" si="35"/>
        <v>AU128:BM139</v>
      </c>
      <c r="O652" s="4">
        <f t="shared" ca="1" si="36"/>
        <v>36234</v>
      </c>
    </row>
    <row r="653" spans="1:15">
      <c r="A653" s="2" t="s">
        <v>12</v>
      </c>
      <c r="B653" t="s">
        <v>27</v>
      </c>
      <c r="C653" t="s">
        <v>28</v>
      </c>
      <c r="D653">
        <v>7</v>
      </c>
      <c r="E653" t="s">
        <v>46</v>
      </c>
      <c r="F653">
        <v>5</v>
      </c>
      <c r="G653">
        <v>2</v>
      </c>
      <c r="H653">
        <v>3</v>
      </c>
      <c r="I653">
        <v>1</v>
      </c>
      <c r="J653" s="4" t="s">
        <v>55</v>
      </c>
      <c r="K653" t="str">
        <f t="shared" si="37"/>
        <v>2+3</v>
      </c>
      <c r="L653">
        <f>VLOOKUP(A653,'ZONE 1 PREMIUM'!$A$4:$N$16,14,0)</f>
        <v>3</v>
      </c>
      <c r="M653">
        <f>VLOOKUP(D653,DROPDOWN!B:C,2,0)</f>
        <v>5</v>
      </c>
      <c r="N653" t="str">
        <f t="shared" si="35"/>
        <v>AU128:BM139</v>
      </c>
      <c r="O653" s="4">
        <f t="shared" ca="1" si="36"/>
        <v>39134.25</v>
      </c>
    </row>
    <row r="654" spans="1:15">
      <c r="A654" s="2" t="s">
        <v>13</v>
      </c>
      <c r="B654" t="s">
        <v>29</v>
      </c>
      <c r="C654" t="s">
        <v>30</v>
      </c>
      <c r="D654">
        <v>7</v>
      </c>
      <c r="E654" t="s">
        <v>46</v>
      </c>
      <c r="F654">
        <v>5</v>
      </c>
      <c r="G654">
        <v>2</v>
      </c>
      <c r="H654">
        <v>3</v>
      </c>
      <c r="I654">
        <v>1</v>
      </c>
      <c r="J654" s="4" t="s">
        <v>55</v>
      </c>
      <c r="K654" t="str">
        <f t="shared" si="37"/>
        <v>2+3</v>
      </c>
      <c r="L654">
        <f>VLOOKUP(A654,'ZONE 1 PREMIUM'!$A$4:$N$16,14,0)</f>
        <v>4</v>
      </c>
      <c r="M654">
        <f>VLOOKUP(D654,DROPDOWN!B:C,2,0)</f>
        <v>5</v>
      </c>
      <c r="N654" t="str">
        <f t="shared" si="35"/>
        <v>AU128:BM139</v>
      </c>
      <c r="O654" s="4">
        <f t="shared" ca="1" si="36"/>
        <v>44107.875</v>
      </c>
    </row>
    <row r="655" spans="1:15">
      <c r="A655" s="2" t="s">
        <v>14</v>
      </c>
      <c r="B655" t="s">
        <v>31</v>
      </c>
      <c r="C655" t="s">
        <v>32</v>
      </c>
      <c r="D655">
        <v>7</v>
      </c>
      <c r="E655" t="s">
        <v>46</v>
      </c>
      <c r="F655">
        <v>5</v>
      </c>
      <c r="G655">
        <v>2</v>
      </c>
      <c r="H655">
        <v>3</v>
      </c>
      <c r="I655">
        <v>1</v>
      </c>
      <c r="J655" s="4" t="s">
        <v>55</v>
      </c>
      <c r="K655" t="str">
        <f t="shared" si="37"/>
        <v>2+3</v>
      </c>
      <c r="L655">
        <f>VLOOKUP(A655,'ZONE 1 PREMIUM'!$A$4:$N$16,14,0)</f>
        <v>5</v>
      </c>
      <c r="M655">
        <f>VLOOKUP(D655,DROPDOWN!B:C,2,0)</f>
        <v>5</v>
      </c>
      <c r="N655" t="str">
        <f t="shared" si="35"/>
        <v>AU128:BM139</v>
      </c>
      <c r="O655" s="4">
        <f t="shared" ca="1" si="36"/>
        <v>49603.5</v>
      </c>
    </row>
    <row r="656" spans="1:15">
      <c r="A656" s="2" t="s">
        <v>15</v>
      </c>
      <c r="B656" t="s">
        <v>33</v>
      </c>
      <c r="C656" t="s">
        <v>34</v>
      </c>
      <c r="D656">
        <v>7</v>
      </c>
      <c r="E656" t="s">
        <v>46</v>
      </c>
      <c r="F656">
        <v>5</v>
      </c>
      <c r="G656">
        <v>2</v>
      </c>
      <c r="H656">
        <v>3</v>
      </c>
      <c r="I656">
        <v>1</v>
      </c>
      <c r="J656" s="4" t="s">
        <v>55</v>
      </c>
      <c r="K656" t="str">
        <f t="shared" si="37"/>
        <v>2+3</v>
      </c>
      <c r="L656">
        <f>VLOOKUP(A656,'ZONE 1 PREMIUM'!$A$4:$N$16,14,0)</f>
        <v>6</v>
      </c>
      <c r="M656">
        <f>VLOOKUP(D656,DROPDOWN!B:C,2,0)</f>
        <v>5</v>
      </c>
      <c r="N656" t="str">
        <f t="shared" si="35"/>
        <v>AU128:BM139</v>
      </c>
      <c r="O656" s="4">
        <f t="shared" ca="1" si="36"/>
        <v>62393.625</v>
      </c>
    </row>
    <row r="657" spans="1:15">
      <c r="A657" s="2" t="s">
        <v>16</v>
      </c>
      <c r="B657" t="s">
        <v>35</v>
      </c>
      <c r="C657" t="s">
        <v>36</v>
      </c>
      <c r="D657">
        <v>7</v>
      </c>
      <c r="E657" t="s">
        <v>46</v>
      </c>
      <c r="F657">
        <v>5</v>
      </c>
      <c r="G657">
        <v>2</v>
      </c>
      <c r="H657">
        <v>3</v>
      </c>
      <c r="I657">
        <v>1</v>
      </c>
      <c r="J657" s="4" t="s">
        <v>55</v>
      </c>
      <c r="K657" t="str">
        <f t="shared" si="37"/>
        <v>2+3</v>
      </c>
      <c r="L657">
        <f>VLOOKUP(A657,'ZONE 1 PREMIUM'!$A$4:$N$16,14,0)</f>
        <v>7</v>
      </c>
      <c r="M657">
        <f>VLOOKUP(D657,DROPDOWN!B:C,2,0)</f>
        <v>5</v>
      </c>
      <c r="N657" t="str">
        <f t="shared" si="35"/>
        <v>AU128:BM139</v>
      </c>
      <c r="O657" s="4">
        <f t="shared" ca="1" si="36"/>
        <v>80160.75</v>
      </c>
    </row>
    <row r="658" spans="1:15">
      <c r="A658" s="2" t="s">
        <v>17</v>
      </c>
      <c r="B658" t="s">
        <v>37</v>
      </c>
      <c r="C658" t="s">
        <v>38</v>
      </c>
      <c r="D658">
        <v>7</v>
      </c>
      <c r="E658" t="s">
        <v>46</v>
      </c>
      <c r="F658">
        <v>5</v>
      </c>
      <c r="G658">
        <v>2</v>
      </c>
      <c r="H658">
        <v>3</v>
      </c>
      <c r="I658">
        <v>1</v>
      </c>
      <c r="J658" s="4" t="s">
        <v>55</v>
      </c>
      <c r="K658" t="str">
        <f t="shared" si="37"/>
        <v>2+3</v>
      </c>
      <c r="L658">
        <f>VLOOKUP(A658,'ZONE 1 PREMIUM'!$A$4:$N$16,14,0)</f>
        <v>8</v>
      </c>
      <c r="M658">
        <f>VLOOKUP(D658,DROPDOWN!B:C,2,0)</f>
        <v>5</v>
      </c>
      <c r="N658" t="str">
        <f t="shared" si="35"/>
        <v>AU128:BM139</v>
      </c>
      <c r="O658" s="4">
        <f t="shared" ca="1" si="36"/>
        <v>100822.5</v>
      </c>
    </row>
    <row r="659" spans="1:15">
      <c r="A659" s="2" t="s">
        <v>18</v>
      </c>
      <c r="B659" t="s">
        <v>39</v>
      </c>
      <c r="C659" t="s">
        <v>40</v>
      </c>
      <c r="D659">
        <v>7</v>
      </c>
      <c r="E659" t="s">
        <v>46</v>
      </c>
      <c r="F659">
        <v>5</v>
      </c>
      <c r="G659">
        <v>2</v>
      </c>
      <c r="H659">
        <v>3</v>
      </c>
      <c r="I659">
        <v>1</v>
      </c>
      <c r="J659" s="4" t="s">
        <v>55</v>
      </c>
      <c r="K659" t="str">
        <f t="shared" si="37"/>
        <v>2+3</v>
      </c>
      <c r="L659">
        <f>VLOOKUP(A659,'ZONE 1 PREMIUM'!$A$4:$N$16,14,0)</f>
        <v>9</v>
      </c>
      <c r="M659">
        <f>VLOOKUP(D659,DROPDOWN!B:C,2,0)</f>
        <v>5</v>
      </c>
      <c r="N659" t="str">
        <f t="shared" si="35"/>
        <v>AU128:BM139</v>
      </c>
      <c r="O659" s="4">
        <f t="shared" ca="1" si="36"/>
        <v>132330.375</v>
      </c>
    </row>
    <row r="660" spans="1:15">
      <c r="A660" s="2" t="s">
        <v>19</v>
      </c>
      <c r="B660" t="s">
        <v>41</v>
      </c>
      <c r="C660" t="s">
        <v>42</v>
      </c>
      <c r="D660">
        <v>7</v>
      </c>
      <c r="E660" t="s">
        <v>46</v>
      </c>
      <c r="F660">
        <v>5</v>
      </c>
      <c r="G660">
        <v>2</v>
      </c>
      <c r="H660">
        <v>3</v>
      </c>
      <c r="I660">
        <v>1</v>
      </c>
      <c r="J660" s="4" t="s">
        <v>55</v>
      </c>
      <c r="K660" t="str">
        <f t="shared" si="37"/>
        <v>2+3</v>
      </c>
      <c r="L660">
        <f>VLOOKUP(A660,'ZONE 1 PREMIUM'!$A$4:$N$16,14,0)</f>
        <v>10</v>
      </c>
      <c r="M660">
        <f>VLOOKUP(D660,DROPDOWN!B:C,2,0)</f>
        <v>5</v>
      </c>
      <c r="N660" t="str">
        <f t="shared" si="35"/>
        <v>AU128:BM139</v>
      </c>
      <c r="O660" s="4">
        <f t="shared" ca="1" si="36"/>
        <v>168753.375</v>
      </c>
    </row>
    <row r="661" spans="1:15">
      <c r="A661" s="2" t="s">
        <v>20</v>
      </c>
      <c r="B661" t="s">
        <v>43</v>
      </c>
      <c r="C661" t="s">
        <v>44</v>
      </c>
      <c r="D661">
        <v>7</v>
      </c>
      <c r="E661" t="s">
        <v>46</v>
      </c>
      <c r="F661">
        <v>5</v>
      </c>
      <c r="G661">
        <v>2</v>
      </c>
      <c r="H661">
        <v>3</v>
      </c>
      <c r="I661">
        <v>1</v>
      </c>
      <c r="J661" s="4" t="s">
        <v>55</v>
      </c>
      <c r="K661" t="str">
        <f t="shared" si="37"/>
        <v>2+3</v>
      </c>
      <c r="L661">
        <f>VLOOKUP(A661,'ZONE 1 PREMIUM'!$A$4:$N$16,14,0)</f>
        <v>11</v>
      </c>
      <c r="M661">
        <f>VLOOKUP(D661,DROPDOWN!B:C,2,0)</f>
        <v>5</v>
      </c>
      <c r="N661" t="str">
        <f t="shared" si="35"/>
        <v>AU128:BM139</v>
      </c>
      <c r="O661" s="4">
        <f t="shared" ca="1" si="36"/>
        <v>204863.625</v>
      </c>
    </row>
    <row r="662" spans="1:15">
      <c r="A662" s="2" t="s">
        <v>21</v>
      </c>
      <c r="B662" t="s">
        <v>22</v>
      </c>
      <c r="D662">
        <v>7</v>
      </c>
      <c r="E662" t="s">
        <v>46</v>
      </c>
      <c r="F662">
        <v>5</v>
      </c>
      <c r="G662">
        <v>2</v>
      </c>
      <c r="H662">
        <v>3</v>
      </c>
      <c r="I662">
        <v>1</v>
      </c>
      <c r="J662" s="4" t="s">
        <v>55</v>
      </c>
      <c r="K662" t="str">
        <f t="shared" si="37"/>
        <v>2+3</v>
      </c>
      <c r="L662">
        <f>VLOOKUP(A662,'ZONE 1 PREMIUM'!$A$4:$N$16,14,0)</f>
        <v>12</v>
      </c>
      <c r="M662">
        <f>VLOOKUP(D662,DROPDOWN!B:C,2,0)</f>
        <v>5</v>
      </c>
      <c r="N662" t="str">
        <f t="shared" si="35"/>
        <v>AU128:BM139</v>
      </c>
      <c r="O662" s="4">
        <f t="shared" ca="1" si="36"/>
        <v>258432.75</v>
      </c>
    </row>
    <row r="663" spans="1:15">
      <c r="A663" s="2" t="s">
        <v>11</v>
      </c>
      <c r="B663" t="s">
        <v>45</v>
      </c>
      <c r="C663" t="s">
        <v>25</v>
      </c>
      <c r="D663">
        <v>7</v>
      </c>
      <c r="E663" t="s">
        <v>46</v>
      </c>
      <c r="F663">
        <v>6</v>
      </c>
      <c r="G663">
        <v>2</v>
      </c>
      <c r="H663">
        <v>4</v>
      </c>
      <c r="I663">
        <v>1</v>
      </c>
      <c r="J663" s="4" t="s">
        <v>55</v>
      </c>
      <c r="K663" t="str">
        <f t="shared" si="37"/>
        <v>2+4</v>
      </c>
      <c r="L663">
        <f>VLOOKUP(A663,'ZONE 1 PREMIUM'!$A$4:$N$16,14,0)</f>
        <v>2</v>
      </c>
      <c r="M663">
        <f>VLOOKUP(D663,DROPDOWN!B:C,2,0)</f>
        <v>5</v>
      </c>
      <c r="N663" t="str">
        <f t="shared" si="35"/>
        <v>AU143:BM154</v>
      </c>
      <c r="O663" s="4">
        <f t="shared" ca="1" si="36"/>
        <v>40846.5</v>
      </c>
    </row>
    <row r="664" spans="1:15">
      <c r="A664" s="2" t="s">
        <v>12</v>
      </c>
      <c r="B664" t="s">
        <v>27</v>
      </c>
      <c r="C664" t="s">
        <v>28</v>
      </c>
      <c r="D664">
        <v>7</v>
      </c>
      <c r="E664" t="s">
        <v>46</v>
      </c>
      <c r="F664">
        <v>6</v>
      </c>
      <c r="G664">
        <v>2</v>
      </c>
      <c r="H664">
        <v>4</v>
      </c>
      <c r="I664">
        <v>1</v>
      </c>
      <c r="J664" s="4" t="s">
        <v>55</v>
      </c>
      <c r="K664" t="str">
        <f t="shared" si="37"/>
        <v>2+4</v>
      </c>
      <c r="L664">
        <f>VLOOKUP(A664,'ZONE 1 PREMIUM'!$A$4:$N$16,14,0)</f>
        <v>3</v>
      </c>
      <c r="M664">
        <f>VLOOKUP(D664,DROPDOWN!B:C,2,0)</f>
        <v>5</v>
      </c>
      <c r="N664" t="str">
        <f t="shared" si="35"/>
        <v>AU143:BM154</v>
      </c>
      <c r="O664" s="4">
        <f t="shared" ca="1" si="36"/>
        <v>43663.5</v>
      </c>
    </row>
    <row r="665" spans="1:15">
      <c r="A665" s="2" t="s">
        <v>13</v>
      </c>
      <c r="B665" t="s">
        <v>29</v>
      </c>
      <c r="C665" t="s">
        <v>30</v>
      </c>
      <c r="D665">
        <v>7</v>
      </c>
      <c r="E665" t="s">
        <v>46</v>
      </c>
      <c r="F665">
        <v>6</v>
      </c>
      <c r="G665">
        <v>2</v>
      </c>
      <c r="H665">
        <v>4</v>
      </c>
      <c r="I665">
        <v>1</v>
      </c>
      <c r="J665" s="4" t="s">
        <v>55</v>
      </c>
      <c r="K665" t="str">
        <f t="shared" si="37"/>
        <v>2+4</v>
      </c>
      <c r="L665">
        <f>VLOOKUP(A665,'ZONE 1 PREMIUM'!$A$4:$N$16,14,0)</f>
        <v>4</v>
      </c>
      <c r="M665">
        <f>VLOOKUP(D665,DROPDOWN!B:C,2,0)</f>
        <v>5</v>
      </c>
      <c r="N665" t="str">
        <f t="shared" si="35"/>
        <v>AU143:BM154</v>
      </c>
      <c r="O665" s="4">
        <f t="shared" ca="1" si="36"/>
        <v>49352.625</v>
      </c>
    </row>
    <row r="666" spans="1:15">
      <c r="A666" s="2" t="s">
        <v>14</v>
      </c>
      <c r="B666" t="s">
        <v>31</v>
      </c>
      <c r="C666" t="s">
        <v>32</v>
      </c>
      <c r="D666">
        <v>7</v>
      </c>
      <c r="E666" t="s">
        <v>46</v>
      </c>
      <c r="F666">
        <v>6</v>
      </c>
      <c r="G666">
        <v>2</v>
      </c>
      <c r="H666">
        <v>4</v>
      </c>
      <c r="I666">
        <v>1</v>
      </c>
      <c r="J666" s="4" t="s">
        <v>55</v>
      </c>
      <c r="K666" t="str">
        <f t="shared" si="37"/>
        <v>2+4</v>
      </c>
      <c r="L666">
        <f>VLOOKUP(A666,'ZONE 1 PREMIUM'!$A$4:$N$16,14,0)</f>
        <v>5</v>
      </c>
      <c r="M666">
        <f>VLOOKUP(D666,DROPDOWN!B:C,2,0)</f>
        <v>5</v>
      </c>
      <c r="N666" t="str">
        <f t="shared" si="35"/>
        <v>AU143:BM154</v>
      </c>
      <c r="O666" s="4">
        <f t="shared" ca="1" si="36"/>
        <v>55182.375</v>
      </c>
    </row>
    <row r="667" spans="1:15">
      <c r="A667" s="2" t="s">
        <v>15</v>
      </c>
      <c r="B667" t="s">
        <v>33</v>
      </c>
      <c r="C667" t="s">
        <v>34</v>
      </c>
      <c r="D667">
        <v>7</v>
      </c>
      <c r="E667" t="s">
        <v>46</v>
      </c>
      <c r="F667">
        <v>6</v>
      </c>
      <c r="G667">
        <v>2</v>
      </c>
      <c r="H667">
        <v>4</v>
      </c>
      <c r="I667">
        <v>1</v>
      </c>
      <c r="J667" s="4" t="s">
        <v>55</v>
      </c>
      <c r="K667" t="str">
        <f t="shared" si="37"/>
        <v>2+4</v>
      </c>
      <c r="L667">
        <f>VLOOKUP(A667,'ZONE 1 PREMIUM'!$A$4:$N$16,14,0)</f>
        <v>6</v>
      </c>
      <c r="M667">
        <f>VLOOKUP(D667,DROPDOWN!B:C,2,0)</f>
        <v>5</v>
      </c>
      <c r="N667" t="str">
        <f t="shared" si="35"/>
        <v>AU143:BM154</v>
      </c>
      <c r="O667" s="4">
        <f t="shared" ca="1" si="36"/>
        <v>68649.75</v>
      </c>
    </row>
    <row r="668" spans="1:15">
      <c r="A668" s="2" t="s">
        <v>16</v>
      </c>
      <c r="B668" t="s">
        <v>35</v>
      </c>
      <c r="C668" t="s">
        <v>36</v>
      </c>
      <c r="D668">
        <v>7</v>
      </c>
      <c r="E668" t="s">
        <v>46</v>
      </c>
      <c r="F668">
        <v>6</v>
      </c>
      <c r="G668">
        <v>2</v>
      </c>
      <c r="H668">
        <v>4</v>
      </c>
      <c r="I668">
        <v>1</v>
      </c>
      <c r="J668" s="4" t="s">
        <v>55</v>
      </c>
      <c r="K668" t="str">
        <f t="shared" si="37"/>
        <v>2+4</v>
      </c>
      <c r="L668">
        <f>VLOOKUP(A668,'ZONE 1 PREMIUM'!$A$4:$N$16,14,0)</f>
        <v>7</v>
      </c>
      <c r="M668">
        <f>VLOOKUP(D668,DROPDOWN!B:C,2,0)</f>
        <v>5</v>
      </c>
      <c r="N668" t="str">
        <f t="shared" si="35"/>
        <v>AU143:BM154</v>
      </c>
      <c r="O668" s="4">
        <f t="shared" ca="1" si="36"/>
        <v>85808.25</v>
      </c>
    </row>
    <row r="669" spans="1:15">
      <c r="A669" s="2" t="s">
        <v>17</v>
      </c>
      <c r="B669" t="s">
        <v>37</v>
      </c>
      <c r="C669" t="s">
        <v>38</v>
      </c>
      <c r="D669">
        <v>7</v>
      </c>
      <c r="E669" t="s">
        <v>46</v>
      </c>
      <c r="F669">
        <v>6</v>
      </c>
      <c r="G669">
        <v>2</v>
      </c>
      <c r="H669">
        <v>4</v>
      </c>
      <c r="I669">
        <v>1</v>
      </c>
      <c r="J669" s="4" t="s">
        <v>55</v>
      </c>
      <c r="K669" t="str">
        <f t="shared" si="37"/>
        <v>2+4</v>
      </c>
      <c r="L669">
        <f>VLOOKUP(A669,'ZONE 1 PREMIUM'!$A$4:$N$16,14,0)</f>
        <v>8</v>
      </c>
      <c r="M669">
        <f>VLOOKUP(D669,DROPDOWN!B:C,2,0)</f>
        <v>5</v>
      </c>
      <c r="N669" t="str">
        <f t="shared" si="35"/>
        <v>AU143:BM154</v>
      </c>
      <c r="O669" s="4">
        <f t="shared" ca="1" si="36"/>
        <v>106447.5</v>
      </c>
    </row>
    <row r="670" spans="1:15">
      <c r="A670" s="2" t="s">
        <v>18</v>
      </c>
      <c r="B670" t="s">
        <v>39</v>
      </c>
      <c r="C670" t="s">
        <v>40</v>
      </c>
      <c r="D670">
        <v>7</v>
      </c>
      <c r="E670" t="s">
        <v>46</v>
      </c>
      <c r="F670">
        <v>6</v>
      </c>
      <c r="G670">
        <v>2</v>
      </c>
      <c r="H670">
        <v>4</v>
      </c>
      <c r="I670">
        <v>1</v>
      </c>
      <c r="J670" s="4" t="s">
        <v>55</v>
      </c>
      <c r="K670" t="str">
        <f t="shared" si="37"/>
        <v>2+4</v>
      </c>
      <c r="L670">
        <f>VLOOKUP(A670,'ZONE 1 PREMIUM'!$A$4:$N$16,14,0)</f>
        <v>9</v>
      </c>
      <c r="M670">
        <f>VLOOKUP(D670,DROPDOWN!B:C,2,0)</f>
        <v>5</v>
      </c>
      <c r="N670" t="str">
        <f t="shared" si="35"/>
        <v>AU143:BM154</v>
      </c>
      <c r="O670" s="4">
        <f t="shared" ca="1" si="36"/>
        <v>137702.25</v>
      </c>
    </row>
    <row r="671" spans="1:15">
      <c r="A671" s="2" t="s">
        <v>19</v>
      </c>
      <c r="B671" t="s">
        <v>41</v>
      </c>
      <c r="C671" t="s">
        <v>42</v>
      </c>
      <c r="D671">
        <v>7</v>
      </c>
      <c r="E671" t="s">
        <v>46</v>
      </c>
      <c r="F671">
        <v>6</v>
      </c>
      <c r="G671">
        <v>2</v>
      </c>
      <c r="H671">
        <v>4</v>
      </c>
      <c r="I671">
        <v>1</v>
      </c>
      <c r="J671" s="4" t="s">
        <v>55</v>
      </c>
      <c r="K671" t="str">
        <f t="shared" si="37"/>
        <v>2+4</v>
      </c>
      <c r="L671">
        <f>VLOOKUP(A671,'ZONE 1 PREMIUM'!$A$4:$N$16,14,0)</f>
        <v>10</v>
      </c>
      <c r="M671">
        <f>VLOOKUP(D671,DROPDOWN!B:C,2,0)</f>
        <v>5</v>
      </c>
      <c r="N671" t="str">
        <f t="shared" si="35"/>
        <v>AU143:BM154</v>
      </c>
      <c r="O671" s="4">
        <f t="shared" ca="1" si="36"/>
        <v>174721.5</v>
      </c>
    </row>
    <row r="672" spans="1:15">
      <c r="A672" s="2" t="s">
        <v>20</v>
      </c>
      <c r="B672" t="s">
        <v>43</v>
      </c>
      <c r="C672" t="s">
        <v>44</v>
      </c>
      <c r="D672">
        <v>7</v>
      </c>
      <c r="E672" t="s">
        <v>46</v>
      </c>
      <c r="F672">
        <v>6</v>
      </c>
      <c r="G672">
        <v>2</v>
      </c>
      <c r="H672">
        <v>4</v>
      </c>
      <c r="I672">
        <v>1</v>
      </c>
      <c r="J672" s="4" t="s">
        <v>55</v>
      </c>
      <c r="K672" t="str">
        <f t="shared" si="37"/>
        <v>2+4</v>
      </c>
      <c r="L672">
        <f>VLOOKUP(A672,'ZONE 1 PREMIUM'!$A$4:$N$16,14,0)</f>
        <v>11</v>
      </c>
      <c r="M672">
        <f>VLOOKUP(D672,DROPDOWN!B:C,2,0)</f>
        <v>5</v>
      </c>
      <c r="N672" t="str">
        <f t="shared" si="35"/>
        <v>AU143:BM154</v>
      </c>
      <c r="O672" s="4">
        <f t="shared" ca="1" si="36"/>
        <v>210370.5</v>
      </c>
    </row>
    <row r="673" spans="1:15">
      <c r="A673" s="2" t="s">
        <v>21</v>
      </c>
      <c r="B673" t="s">
        <v>22</v>
      </c>
      <c r="D673">
        <v>7</v>
      </c>
      <c r="E673" t="s">
        <v>46</v>
      </c>
      <c r="F673">
        <v>6</v>
      </c>
      <c r="G673">
        <v>2</v>
      </c>
      <c r="H673">
        <v>4</v>
      </c>
      <c r="I673">
        <v>1</v>
      </c>
      <c r="J673" s="4" t="s">
        <v>55</v>
      </c>
      <c r="K673" t="str">
        <f t="shared" si="37"/>
        <v>2+4</v>
      </c>
      <c r="L673">
        <f>VLOOKUP(A673,'ZONE 1 PREMIUM'!$A$4:$N$16,14,0)</f>
        <v>12</v>
      </c>
      <c r="M673">
        <f>VLOOKUP(D673,DROPDOWN!B:C,2,0)</f>
        <v>5</v>
      </c>
      <c r="N673" t="str">
        <f t="shared" si="35"/>
        <v>AU143:BM154</v>
      </c>
      <c r="O673" s="4">
        <f t="shared" ca="1" si="36"/>
        <v>262935</v>
      </c>
    </row>
    <row r="674" spans="1:15">
      <c r="A674" s="2" t="s">
        <v>9</v>
      </c>
      <c r="B674" t="s">
        <v>47</v>
      </c>
      <c r="C674" t="s">
        <v>48</v>
      </c>
      <c r="D674">
        <v>7</v>
      </c>
      <c r="E674" t="s">
        <v>26</v>
      </c>
      <c r="F674">
        <v>1</v>
      </c>
      <c r="H674">
        <v>1</v>
      </c>
      <c r="I674">
        <v>1</v>
      </c>
      <c r="J674" s="4" t="s">
        <v>53</v>
      </c>
      <c r="K674" t="str">
        <f t="shared" si="37"/>
        <v>+1</v>
      </c>
      <c r="N674" t="e">
        <f t="shared" ref="N674:N737" si="38">VLOOKUP(K674,$CK$3:$CL$12,2,0)</f>
        <v>#N/A</v>
      </c>
      <c r="O674" s="13">
        <v>3155.5550771255898</v>
      </c>
    </row>
    <row r="675" spans="1:15">
      <c r="A675" s="2" t="s">
        <v>10</v>
      </c>
      <c r="B675" t="s">
        <v>49</v>
      </c>
      <c r="C675" t="s">
        <v>50</v>
      </c>
      <c r="D675">
        <v>7</v>
      </c>
      <c r="E675" t="s">
        <v>26</v>
      </c>
      <c r="F675">
        <v>1</v>
      </c>
      <c r="G675">
        <v>1</v>
      </c>
      <c r="H675">
        <v>0</v>
      </c>
      <c r="I675">
        <v>1</v>
      </c>
      <c r="J675" s="4" t="s">
        <v>53</v>
      </c>
      <c r="K675" t="str">
        <f t="shared" si="37"/>
        <v>1+0</v>
      </c>
      <c r="L675">
        <f>VLOOKUP(A675,'ZONE 1 PREMIUM'!$A$3:$M$16,13,0)</f>
        <v>3</v>
      </c>
      <c r="M675">
        <f>VLOOKUP(D675,DROPDOWN!B:C,2,0)</f>
        <v>5</v>
      </c>
      <c r="N675" t="str">
        <f t="shared" si="38"/>
        <v>BR3:CJ16</v>
      </c>
      <c r="O675" s="4">
        <f t="shared" ca="1" si="36"/>
        <v>5197.5</v>
      </c>
    </row>
    <row r="676" spans="1:15">
      <c r="A676" s="2" t="s">
        <v>11</v>
      </c>
      <c r="B676" t="s">
        <v>45</v>
      </c>
      <c r="C676" t="s">
        <v>25</v>
      </c>
      <c r="D676">
        <v>7</v>
      </c>
      <c r="E676" t="s">
        <v>26</v>
      </c>
      <c r="F676">
        <v>1</v>
      </c>
      <c r="G676">
        <v>1</v>
      </c>
      <c r="H676">
        <v>0</v>
      </c>
      <c r="I676">
        <v>1</v>
      </c>
      <c r="J676" s="4" t="s">
        <v>53</v>
      </c>
      <c r="K676" t="str">
        <f t="shared" si="37"/>
        <v>1+0</v>
      </c>
      <c r="L676">
        <f>VLOOKUP(A676,'ZONE 1 PREMIUM'!$A$3:$M$16,13,0)</f>
        <v>4</v>
      </c>
      <c r="M676">
        <f>VLOOKUP(D676,DROPDOWN!B:C,2,0)</f>
        <v>5</v>
      </c>
      <c r="N676" t="str">
        <f t="shared" si="38"/>
        <v>BR3:CJ16</v>
      </c>
      <c r="O676" s="4">
        <f t="shared" ca="1" si="36"/>
        <v>13921.6</v>
      </c>
    </row>
    <row r="677" spans="1:15">
      <c r="A677" s="2" t="s">
        <v>12</v>
      </c>
      <c r="B677" t="s">
        <v>27</v>
      </c>
      <c r="C677" t="s">
        <v>28</v>
      </c>
      <c r="D677">
        <v>7</v>
      </c>
      <c r="E677" t="s">
        <v>26</v>
      </c>
      <c r="F677">
        <v>1</v>
      </c>
      <c r="G677">
        <v>1</v>
      </c>
      <c r="H677">
        <v>0</v>
      </c>
      <c r="I677">
        <v>1</v>
      </c>
      <c r="J677" s="4" t="s">
        <v>53</v>
      </c>
      <c r="K677" t="str">
        <f t="shared" si="37"/>
        <v>1+0</v>
      </c>
      <c r="L677">
        <f>VLOOKUP(A677,'ZONE 1 PREMIUM'!$A$3:$M$16,13,0)</f>
        <v>5</v>
      </c>
      <c r="M677">
        <f>VLOOKUP(D677,DROPDOWN!B:C,2,0)</f>
        <v>5</v>
      </c>
      <c r="N677" t="str">
        <f t="shared" si="38"/>
        <v>BR3:CJ16</v>
      </c>
      <c r="O677" s="4">
        <f t="shared" ca="1" si="36"/>
        <v>16023.7</v>
      </c>
    </row>
    <row r="678" spans="1:15">
      <c r="A678" s="2" t="s">
        <v>13</v>
      </c>
      <c r="B678" t="s">
        <v>29</v>
      </c>
      <c r="C678" t="s">
        <v>30</v>
      </c>
      <c r="D678">
        <v>7</v>
      </c>
      <c r="E678" t="s">
        <v>26</v>
      </c>
      <c r="F678">
        <v>1</v>
      </c>
      <c r="G678">
        <v>1</v>
      </c>
      <c r="H678">
        <v>0</v>
      </c>
      <c r="I678">
        <v>1</v>
      </c>
      <c r="J678" s="4" t="s">
        <v>53</v>
      </c>
      <c r="K678" t="str">
        <f t="shared" si="37"/>
        <v>1+0</v>
      </c>
      <c r="L678">
        <f>VLOOKUP(A678,'ZONE 1 PREMIUM'!$A$3:$M$16,13,0)</f>
        <v>6</v>
      </c>
      <c r="M678">
        <f>VLOOKUP(D678,DROPDOWN!B:C,2,0)</f>
        <v>5</v>
      </c>
      <c r="N678" t="str">
        <f t="shared" si="38"/>
        <v>BR3:CJ16</v>
      </c>
      <c r="O678" s="4">
        <f t="shared" ca="1" si="36"/>
        <v>18478.900000000001</v>
      </c>
    </row>
    <row r="679" spans="1:15">
      <c r="A679" s="2" t="s">
        <v>14</v>
      </c>
      <c r="B679" t="s">
        <v>31</v>
      </c>
      <c r="C679" t="s">
        <v>32</v>
      </c>
      <c r="D679">
        <v>7</v>
      </c>
      <c r="E679" t="s">
        <v>26</v>
      </c>
      <c r="F679">
        <v>1</v>
      </c>
      <c r="G679">
        <v>1</v>
      </c>
      <c r="H679">
        <v>0</v>
      </c>
      <c r="I679">
        <v>1</v>
      </c>
      <c r="J679" s="4" t="s">
        <v>53</v>
      </c>
      <c r="K679" t="str">
        <f t="shared" si="37"/>
        <v>1+0</v>
      </c>
      <c r="L679">
        <f>VLOOKUP(A679,'ZONE 1 PREMIUM'!$A$3:$M$16,13,0)</f>
        <v>7</v>
      </c>
      <c r="M679">
        <f>VLOOKUP(D679,DROPDOWN!B:C,2,0)</f>
        <v>5</v>
      </c>
      <c r="N679" t="str">
        <f t="shared" si="38"/>
        <v>BR3:CJ16</v>
      </c>
      <c r="O679" s="4">
        <f t="shared" ca="1" si="36"/>
        <v>21492.9</v>
      </c>
    </row>
    <row r="680" spans="1:15">
      <c r="A680" s="2" t="s">
        <v>15</v>
      </c>
      <c r="B680" t="s">
        <v>33</v>
      </c>
      <c r="C680" t="s">
        <v>34</v>
      </c>
      <c r="D680">
        <v>7</v>
      </c>
      <c r="E680" t="s">
        <v>26</v>
      </c>
      <c r="F680">
        <v>1</v>
      </c>
      <c r="G680">
        <v>1</v>
      </c>
      <c r="H680">
        <v>0</v>
      </c>
      <c r="I680">
        <v>1</v>
      </c>
      <c r="J680" s="4" t="s">
        <v>53</v>
      </c>
      <c r="K680" t="str">
        <f t="shared" si="37"/>
        <v>1+0</v>
      </c>
      <c r="L680">
        <f>VLOOKUP(A680,'ZONE 1 PREMIUM'!$A$3:$M$16,13,0)</f>
        <v>8</v>
      </c>
      <c r="M680">
        <f>VLOOKUP(D680,DROPDOWN!B:C,2,0)</f>
        <v>5</v>
      </c>
      <c r="N680" t="str">
        <f t="shared" si="38"/>
        <v>BR3:CJ16</v>
      </c>
      <c r="O680" s="4">
        <f t="shared" ca="1" si="36"/>
        <v>26675.000000000004</v>
      </c>
    </row>
    <row r="681" spans="1:15">
      <c r="A681" s="2" t="s">
        <v>16</v>
      </c>
      <c r="B681" t="s">
        <v>35</v>
      </c>
      <c r="C681" t="s">
        <v>36</v>
      </c>
      <c r="D681">
        <v>7</v>
      </c>
      <c r="E681" t="s">
        <v>26</v>
      </c>
      <c r="F681">
        <v>1</v>
      </c>
      <c r="G681">
        <v>1</v>
      </c>
      <c r="H681">
        <v>0</v>
      </c>
      <c r="I681">
        <v>1</v>
      </c>
      <c r="J681" s="4" t="s">
        <v>53</v>
      </c>
      <c r="K681" t="str">
        <f t="shared" si="37"/>
        <v>1+0</v>
      </c>
      <c r="L681">
        <f>VLOOKUP(A681,'ZONE 1 PREMIUM'!$A$3:$M$16,13,0)</f>
        <v>9</v>
      </c>
      <c r="M681">
        <f>VLOOKUP(D681,DROPDOWN!B:C,2,0)</f>
        <v>5</v>
      </c>
      <c r="N681" t="str">
        <f t="shared" si="38"/>
        <v>BR3:CJ16</v>
      </c>
      <c r="O681" s="4">
        <f t="shared" ca="1" si="36"/>
        <v>35051.5</v>
      </c>
    </row>
    <row r="682" spans="1:15">
      <c r="A682" s="2" t="s">
        <v>17</v>
      </c>
      <c r="B682" t="s">
        <v>37</v>
      </c>
      <c r="C682" t="s">
        <v>38</v>
      </c>
      <c r="D682">
        <v>7</v>
      </c>
      <c r="E682" t="s">
        <v>26</v>
      </c>
      <c r="F682">
        <v>1</v>
      </c>
      <c r="G682">
        <v>1</v>
      </c>
      <c r="H682">
        <v>0</v>
      </c>
      <c r="I682">
        <v>1</v>
      </c>
      <c r="J682" s="4" t="s">
        <v>53</v>
      </c>
      <c r="K682" t="str">
        <f t="shared" si="37"/>
        <v>1+0</v>
      </c>
      <c r="L682">
        <f>VLOOKUP(A682,'ZONE 1 PREMIUM'!$A$3:$M$16,13,0)</f>
        <v>10</v>
      </c>
      <c r="M682">
        <f>VLOOKUP(D682,DROPDOWN!B:C,2,0)</f>
        <v>5</v>
      </c>
      <c r="N682" t="str">
        <f t="shared" si="38"/>
        <v>BR3:CJ16</v>
      </c>
      <c r="O682" s="4">
        <f t="shared" ca="1" si="36"/>
        <v>47437.500000000007</v>
      </c>
    </row>
    <row r="683" spans="1:15">
      <c r="A683" s="2" t="s">
        <v>18</v>
      </c>
      <c r="B683" t="s">
        <v>39</v>
      </c>
      <c r="C683" t="s">
        <v>40</v>
      </c>
      <c r="D683">
        <v>7</v>
      </c>
      <c r="E683" t="s">
        <v>26</v>
      </c>
      <c r="F683">
        <v>1</v>
      </c>
      <c r="G683">
        <v>1</v>
      </c>
      <c r="H683">
        <v>0</v>
      </c>
      <c r="I683">
        <v>1</v>
      </c>
      <c r="J683" s="4" t="s">
        <v>53</v>
      </c>
      <c r="K683" t="str">
        <f t="shared" si="37"/>
        <v>1+0</v>
      </c>
      <c r="L683">
        <f>VLOOKUP(A683,'ZONE 1 PREMIUM'!$A$3:$M$16,13,0)</f>
        <v>11</v>
      </c>
      <c r="M683">
        <f>VLOOKUP(D683,DROPDOWN!B:C,2,0)</f>
        <v>5</v>
      </c>
      <c r="N683" t="str">
        <f t="shared" si="38"/>
        <v>BR3:CJ16</v>
      </c>
      <c r="O683" s="4">
        <f t="shared" ca="1" si="36"/>
        <v>65512.700000000004</v>
      </c>
    </row>
    <row r="684" spans="1:15">
      <c r="A684" s="2" t="s">
        <v>19</v>
      </c>
      <c r="B684" t="s">
        <v>41</v>
      </c>
      <c r="C684" t="s">
        <v>42</v>
      </c>
      <c r="D684">
        <v>7</v>
      </c>
      <c r="E684" t="s">
        <v>26</v>
      </c>
      <c r="F684">
        <v>1</v>
      </c>
      <c r="G684">
        <v>1</v>
      </c>
      <c r="H684">
        <v>0</v>
      </c>
      <c r="I684">
        <v>1</v>
      </c>
      <c r="J684" s="4" t="s">
        <v>53</v>
      </c>
      <c r="K684" t="str">
        <f t="shared" si="37"/>
        <v>1+0</v>
      </c>
      <c r="L684">
        <f>VLOOKUP(A684,'ZONE 1 PREMIUM'!$A$3:$M$16,13,0)</f>
        <v>12</v>
      </c>
      <c r="M684">
        <f>VLOOKUP(D684,DROPDOWN!B:C,2,0)</f>
        <v>5</v>
      </c>
      <c r="N684" t="str">
        <f t="shared" si="38"/>
        <v>BR3:CJ16</v>
      </c>
      <c r="O684" s="4">
        <f t="shared" ca="1" si="36"/>
        <v>83550.5</v>
      </c>
    </row>
    <row r="685" spans="1:15">
      <c r="A685" s="2" t="s">
        <v>20</v>
      </c>
      <c r="B685" t="s">
        <v>43</v>
      </c>
      <c r="C685" t="s">
        <v>44</v>
      </c>
      <c r="D685">
        <v>7</v>
      </c>
      <c r="E685" t="s">
        <v>26</v>
      </c>
      <c r="F685">
        <v>1</v>
      </c>
      <c r="G685">
        <v>1</v>
      </c>
      <c r="H685">
        <v>0</v>
      </c>
      <c r="I685">
        <v>1</v>
      </c>
      <c r="J685" s="4" t="s">
        <v>53</v>
      </c>
      <c r="K685" t="str">
        <f t="shared" si="37"/>
        <v>1+0</v>
      </c>
      <c r="L685">
        <f>VLOOKUP(A685,'ZONE 1 PREMIUM'!$A$3:$M$16,13,0)</f>
        <v>13</v>
      </c>
      <c r="M685">
        <f>VLOOKUP(D685,DROPDOWN!B:C,2,0)</f>
        <v>5</v>
      </c>
      <c r="N685" t="str">
        <f t="shared" si="38"/>
        <v>BR3:CJ16</v>
      </c>
      <c r="O685" s="4">
        <f t="shared" ca="1" si="36"/>
        <v>100192.40000000001</v>
      </c>
    </row>
    <row r="686" spans="1:15">
      <c r="A686" s="2" t="s">
        <v>21</v>
      </c>
      <c r="B686" t="s">
        <v>22</v>
      </c>
      <c r="D686">
        <v>7</v>
      </c>
      <c r="E686" t="s">
        <v>26</v>
      </c>
      <c r="F686">
        <v>1</v>
      </c>
      <c r="G686">
        <v>1</v>
      </c>
      <c r="H686">
        <v>0</v>
      </c>
      <c r="I686">
        <v>1</v>
      </c>
      <c r="J686" s="4" t="s">
        <v>53</v>
      </c>
      <c r="K686" t="str">
        <f t="shared" si="37"/>
        <v>1+0</v>
      </c>
      <c r="L686">
        <f>VLOOKUP(A686,'ZONE 1 PREMIUM'!$A$3:$M$16,13,0)</f>
        <v>14</v>
      </c>
      <c r="M686">
        <f>VLOOKUP(D686,DROPDOWN!B:C,2,0)</f>
        <v>5</v>
      </c>
      <c r="N686" t="str">
        <f t="shared" si="38"/>
        <v>BR3:CJ16</v>
      </c>
      <c r="O686" s="4">
        <f t="shared" ca="1" si="36"/>
        <v>134281.40000000002</v>
      </c>
    </row>
    <row r="687" spans="1:15">
      <c r="A687" s="2" t="s">
        <v>11</v>
      </c>
      <c r="B687" t="s">
        <v>45</v>
      </c>
      <c r="C687" t="s">
        <v>25</v>
      </c>
      <c r="D687">
        <v>7</v>
      </c>
      <c r="E687" t="s">
        <v>46</v>
      </c>
      <c r="F687">
        <v>2</v>
      </c>
      <c r="G687">
        <v>1</v>
      </c>
      <c r="H687">
        <v>1</v>
      </c>
      <c r="I687">
        <v>1</v>
      </c>
      <c r="J687" s="4" t="s">
        <v>53</v>
      </c>
      <c r="K687" t="str">
        <f t="shared" si="37"/>
        <v>1+1</v>
      </c>
      <c r="L687">
        <f>VLOOKUP(A687,'ZONE 1 PREMIUM'!$A$4:$N$16,14,0)</f>
        <v>2</v>
      </c>
      <c r="M687">
        <f>VLOOKUP(D687,DROPDOWN!B:C,2,0)</f>
        <v>5</v>
      </c>
      <c r="N687" t="str">
        <f t="shared" si="38"/>
        <v>BR20:CJ31</v>
      </c>
      <c r="O687" s="4">
        <f t="shared" ca="1" si="36"/>
        <v>14666.300000000001</v>
      </c>
    </row>
    <row r="688" spans="1:15">
      <c r="A688" s="2" t="s">
        <v>12</v>
      </c>
      <c r="B688" t="s">
        <v>27</v>
      </c>
      <c r="C688" t="s">
        <v>28</v>
      </c>
      <c r="D688">
        <v>7</v>
      </c>
      <c r="E688" t="s">
        <v>46</v>
      </c>
      <c r="F688">
        <v>2</v>
      </c>
      <c r="G688">
        <v>1</v>
      </c>
      <c r="H688">
        <v>1</v>
      </c>
      <c r="I688">
        <v>1</v>
      </c>
      <c r="J688" s="4" t="s">
        <v>53</v>
      </c>
      <c r="K688" t="str">
        <f t="shared" si="37"/>
        <v>1+1</v>
      </c>
      <c r="L688">
        <f>VLOOKUP(A688,'ZONE 1 PREMIUM'!$A$4:$N$16,14,0)</f>
        <v>3</v>
      </c>
      <c r="M688">
        <f>VLOOKUP(D688,DROPDOWN!B:C,2,0)</f>
        <v>5</v>
      </c>
      <c r="N688" t="str">
        <f t="shared" si="38"/>
        <v>BR20:CJ31</v>
      </c>
      <c r="O688" s="4">
        <f t="shared" ca="1" si="36"/>
        <v>16247.000000000002</v>
      </c>
    </row>
    <row r="689" spans="1:15">
      <c r="A689" s="2" t="s">
        <v>13</v>
      </c>
      <c r="B689" t="s">
        <v>29</v>
      </c>
      <c r="C689" t="s">
        <v>30</v>
      </c>
      <c r="D689">
        <v>7</v>
      </c>
      <c r="E689" t="s">
        <v>46</v>
      </c>
      <c r="F689">
        <v>2</v>
      </c>
      <c r="G689">
        <v>1</v>
      </c>
      <c r="H689">
        <v>1</v>
      </c>
      <c r="I689">
        <v>1</v>
      </c>
      <c r="J689" s="4" t="s">
        <v>53</v>
      </c>
      <c r="K689" t="str">
        <f t="shared" si="37"/>
        <v>1+1</v>
      </c>
      <c r="L689">
        <f>VLOOKUP(A689,'ZONE 1 PREMIUM'!$A$4:$N$16,14,0)</f>
        <v>4</v>
      </c>
      <c r="M689">
        <f>VLOOKUP(D689,DROPDOWN!B:C,2,0)</f>
        <v>5</v>
      </c>
      <c r="N689" t="str">
        <f t="shared" si="38"/>
        <v>BR20:CJ31</v>
      </c>
      <c r="O689" s="4">
        <f t="shared" ca="1" si="36"/>
        <v>18750.600000000002</v>
      </c>
    </row>
    <row r="690" spans="1:15">
      <c r="A690" s="2" t="s">
        <v>14</v>
      </c>
      <c r="B690" t="s">
        <v>31</v>
      </c>
      <c r="C690" t="s">
        <v>32</v>
      </c>
      <c r="D690">
        <v>7</v>
      </c>
      <c r="E690" t="s">
        <v>46</v>
      </c>
      <c r="F690">
        <v>2</v>
      </c>
      <c r="G690">
        <v>1</v>
      </c>
      <c r="H690">
        <v>1</v>
      </c>
      <c r="I690">
        <v>1</v>
      </c>
      <c r="J690" s="4" t="s">
        <v>53</v>
      </c>
      <c r="K690" t="str">
        <f t="shared" si="37"/>
        <v>1+1</v>
      </c>
      <c r="L690">
        <f>VLOOKUP(A690,'ZONE 1 PREMIUM'!$A$4:$N$16,14,0)</f>
        <v>5</v>
      </c>
      <c r="M690">
        <f>VLOOKUP(D690,DROPDOWN!B:C,2,0)</f>
        <v>5</v>
      </c>
      <c r="N690" t="str">
        <f t="shared" si="38"/>
        <v>BR20:CJ31</v>
      </c>
      <c r="O690" s="4">
        <f t="shared" ca="1" si="36"/>
        <v>22041.800000000003</v>
      </c>
    </row>
    <row r="691" spans="1:15">
      <c r="A691" s="2" t="s">
        <v>15</v>
      </c>
      <c r="B691" t="s">
        <v>33</v>
      </c>
      <c r="C691" t="s">
        <v>34</v>
      </c>
      <c r="D691">
        <v>7</v>
      </c>
      <c r="E691" t="s">
        <v>46</v>
      </c>
      <c r="F691">
        <v>2</v>
      </c>
      <c r="G691">
        <v>1</v>
      </c>
      <c r="H691">
        <v>1</v>
      </c>
      <c r="I691">
        <v>1</v>
      </c>
      <c r="J691" s="4" t="s">
        <v>53</v>
      </c>
      <c r="K691" t="str">
        <f t="shared" si="37"/>
        <v>1+1</v>
      </c>
      <c r="L691">
        <f>VLOOKUP(A691,'ZONE 1 PREMIUM'!$A$4:$N$16,14,0)</f>
        <v>6</v>
      </c>
      <c r="M691">
        <f>VLOOKUP(D691,DROPDOWN!B:C,2,0)</f>
        <v>5</v>
      </c>
      <c r="N691" t="str">
        <f t="shared" si="38"/>
        <v>BR20:CJ31</v>
      </c>
      <c r="O691" s="4">
        <f t="shared" ca="1" si="36"/>
        <v>28275.500000000004</v>
      </c>
    </row>
    <row r="692" spans="1:15">
      <c r="A692" s="2" t="s">
        <v>16</v>
      </c>
      <c r="B692" t="s">
        <v>35</v>
      </c>
      <c r="C692" t="s">
        <v>36</v>
      </c>
      <c r="D692">
        <v>7</v>
      </c>
      <c r="E692" t="s">
        <v>46</v>
      </c>
      <c r="F692">
        <v>2</v>
      </c>
      <c r="G692">
        <v>1</v>
      </c>
      <c r="H692">
        <v>1</v>
      </c>
      <c r="I692">
        <v>1</v>
      </c>
      <c r="J692" s="4" t="s">
        <v>53</v>
      </c>
      <c r="K692" t="str">
        <f t="shared" si="37"/>
        <v>1+1</v>
      </c>
      <c r="L692">
        <f>VLOOKUP(A692,'ZONE 1 PREMIUM'!$A$4:$N$16,14,0)</f>
        <v>7</v>
      </c>
      <c r="M692">
        <f>VLOOKUP(D692,DROPDOWN!B:C,2,0)</f>
        <v>5</v>
      </c>
      <c r="N692" t="str">
        <f t="shared" si="38"/>
        <v>BR20:CJ31</v>
      </c>
      <c r="O692" s="4">
        <f t="shared" ca="1" si="36"/>
        <v>36666.300000000003</v>
      </c>
    </row>
    <row r="693" spans="1:15">
      <c r="A693" s="2" t="s">
        <v>17</v>
      </c>
      <c r="B693" t="s">
        <v>37</v>
      </c>
      <c r="C693" t="s">
        <v>38</v>
      </c>
      <c r="D693">
        <v>7</v>
      </c>
      <c r="E693" t="s">
        <v>46</v>
      </c>
      <c r="F693">
        <v>2</v>
      </c>
      <c r="G693">
        <v>1</v>
      </c>
      <c r="H693">
        <v>1</v>
      </c>
      <c r="I693">
        <v>1</v>
      </c>
      <c r="J693" s="4" t="s">
        <v>53</v>
      </c>
      <c r="K693" t="str">
        <f t="shared" si="37"/>
        <v>1+1</v>
      </c>
      <c r="L693">
        <f>VLOOKUP(A693,'ZONE 1 PREMIUM'!$A$4:$N$16,14,0)</f>
        <v>8</v>
      </c>
      <c r="M693">
        <f>VLOOKUP(D693,DROPDOWN!B:C,2,0)</f>
        <v>5</v>
      </c>
      <c r="N693" t="str">
        <f t="shared" si="38"/>
        <v>BR20:CJ31</v>
      </c>
      <c r="O693" s="4">
        <f t="shared" ca="1" si="36"/>
        <v>48490.200000000004</v>
      </c>
    </row>
    <row r="694" spans="1:15">
      <c r="A694" s="2" t="s">
        <v>18</v>
      </c>
      <c r="B694" t="s">
        <v>39</v>
      </c>
      <c r="C694" t="s">
        <v>40</v>
      </c>
      <c r="D694">
        <v>7</v>
      </c>
      <c r="E694" t="s">
        <v>46</v>
      </c>
      <c r="F694">
        <v>2</v>
      </c>
      <c r="G694">
        <v>1</v>
      </c>
      <c r="H694">
        <v>1</v>
      </c>
      <c r="I694">
        <v>1</v>
      </c>
      <c r="J694" s="4" t="s">
        <v>53</v>
      </c>
      <c r="K694" t="str">
        <f t="shared" si="37"/>
        <v>1+1</v>
      </c>
      <c r="L694">
        <f>VLOOKUP(A694,'ZONE 1 PREMIUM'!$A$4:$N$16,14,0)</f>
        <v>9</v>
      </c>
      <c r="M694">
        <f>VLOOKUP(D694,DROPDOWN!B:C,2,0)</f>
        <v>5</v>
      </c>
      <c r="N694" t="str">
        <f t="shared" si="38"/>
        <v>BR20:CJ31</v>
      </c>
      <c r="O694" s="4">
        <f t="shared" ca="1" si="36"/>
        <v>67584</v>
      </c>
    </row>
    <row r="695" spans="1:15">
      <c r="A695" s="2" t="s">
        <v>19</v>
      </c>
      <c r="B695" t="s">
        <v>41</v>
      </c>
      <c r="C695" t="s">
        <v>42</v>
      </c>
      <c r="D695">
        <v>7</v>
      </c>
      <c r="E695" t="s">
        <v>46</v>
      </c>
      <c r="F695">
        <v>2</v>
      </c>
      <c r="G695">
        <v>1</v>
      </c>
      <c r="H695">
        <v>1</v>
      </c>
      <c r="I695">
        <v>1</v>
      </c>
      <c r="J695" s="4" t="s">
        <v>53</v>
      </c>
      <c r="K695" t="str">
        <f t="shared" si="37"/>
        <v>1+1</v>
      </c>
      <c r="L695">
        <f>VLOOKUP(A695,'ZONE 1 PREMIUM'!$A$4:$N$16,14,0)</f>
        <v>10</v>
      </c>
      <c r="M695">
        <f>VLOOKUP(D695,DROPDOWN!B:C,2,0)</f>
        <v>5</v>
      </c>
      <c r="N695" t="str">
        <f t="shared" si="38"/>
        <v>BR20:CJ31</v>
      </c>
      <c r="O695" s="4">
        <f t="shared" ca="1" si="36"/>
        <v>85525</v>
      </c>
    </row>
    <row r="696" spans="1:15">
      <c r="A696" s="2" t="s">
        <v>20</v>
      </c>
      <c r="B696" t="s">
        <v>43</v>
      </c>
      <c r="C696" t="s">
        <v>44</v>
      </c>
      <c r="D696">
        <v>7</v>
      </c>
      <c r="E696" t="s">
        <v>46</v>
      </c>
      <c r="F696">
        <v>2</v>
      </c>
      <c r="G696">
        <v>1</v>
      </c>
      <c r="H696">
        <v>1</v>
      </c>
      <c r="I696">
        <v>1</v>
      </c>
      <c r="J696" s="4" t="s">
        <v>53</v>
      </c>
      <c r="K696" t="str">
        <f t="shared" si="37"/>
        <v>1+1</v>
      </c>
      <c r="L696">
        <f>VLOOKUP(A696,'ZONE 1 PREMIUM'!$A$4:$N$16,14,0)</f>
        <v>11</v>
      </c>
      <c r="M696">
        <f>VLOOKUP(D696,DROPDOWN!B:C,2,0)</f>
        <v>5</v>
      </c>
      <c r="N696" t="str">
        <f t="shared" si="38"/>
        <v>BR20:CJ31</v>
      </c>
      <c r="O696" s="4">
        <f t="shared" ca="1" si="36"/>
        <v>100740.20000000001</v>
      </c>
    </row>
    <row r="697" spans="1:15">
      <c r="A697" s="2" t="s">
        <v>21</v>
      </c>
      <c r="B697" t="s">
        <v>22</v>
      </c>
      <c r="D697">
        <v>7</v>
      </c>
      <c r="E697" t="s">
        <v>46</v>
      </c>
      <c r="F697">
        <v>2</v>
      </c>
      <c r="G697">
        <v>1</v>
      </c>
      <c r="H697">
        <v>1</v>
      </c>
      <c r="I697">
        <v>1</v>
      </c>
      <c r="J697" s="4" t="s">
        <v>53</v>
      </c>
      <c r="K697" t="str">
        <f t="shared" si="37"/>
        <v>1+1</v>
      </c>
      <c r="L697">
        <f>VLOOKUP(A697,'ZONE 1 PREMIUM'!$A$4:$N$16,14,0)</f>
        <v>12</v>
      </c>
      <c r="M697">
        <f>VLOOKUP(D697,DROPDOWN!B:C,2,0)</f>
        <v>5</v>
      </c>
      <c r="N697" t="str">
        <f t="shared" si="38"/>
        <v>BR20:CJ31</v>
      </c>
      <c r="O697" s="4">
        <f t="shared" ca="1" si="36"/>
        <v>136507.80000000002</v>
      </c>
    </row>
    <row r="698" spans="1:15">
      <c r="A698" s="2" t="s">
        <v>11</v>
      </c>
      <c r="B698" t="s">
        <v>45</v>
      </c>
      <c r="C698" t="s">
        <v>25</v>
      </c>
      <c r="D698">
        <v>7</v>
      </c>
      <c r="E698" t="s">
        <v>46</v>
      </c>
      <c r="F698">
        <v>3</v>
      </c>
      <c r="G698">
        <v>1</v>
      </c>
      <c r="H698">
        <v>2</v>
      </c>
      <c r="I698">
        <v>1</v>
      </c>
      <c r="J698" s="4" t="s">
        <v>53</v>
      </c>
      <c r="K698" t="str">
        <f t="shared" si="37"/>
        <v>1+2</v>
      </c>
      <c r="L698">
        <f>VLOOKUP(A698,'ZONE 1 PREMIUM'!$A$4:$N$16,14,0)</f>
        <v>2</v>
      </c>
      <c r="M698">
        <f>VLOOKUP(D698,DROPDOWN!B:C,2,0)</f>
        <v>5</v>
      </c>
      <c r="N698" t="str">
        <f t="shared" si="38"/>
        <v>BR35:CJ46</v>
      </c>
      <c r="O698" s="4">
        <f t="shared" ca="1" si="36"/>
        <v>18916.7</v>
      </c>
    </row>
    <row r="699" spans="1:15">
      <c r="A699" s="2" t="s">
        <v>12</v>
      </c>
      <c r="B699" t="s">
        <v>27</v>
      </c>
      <c r="C699" t="s">
        <v>28</v>
      </c>
      <c r="D699">
        <v>7</v>
      </c>
      <c r="E699" t="s">
        <v>46</v>
      </c>
      <c r="F699">
        <v>3</v>
      </c>
      <c r="G699">
        <v>1</v>
      </c>
      <c r="H699">
        <v>2</v>
      </c>
      <c r="I699">
        <v>1</v>
      </c>
      <c r="J699" s="4" t="s">
        <v>53</v>
      </c>
      <c r="K699" t="str">
        <f t="shared" si="37"/>
        <v>1+2</v>
      </c>
      <c r="L699">
        <f>VLOOKUP(A699,'ZONE 1 PREMIUM'!$A$4:$N$16,14,0)</f>
        <v>3</v>
      </c>
      <c r="M699">
        <f>VLOOKUP(D699,DROPDOWN!B:C,2,0)</f>
        <v>5</v>
      </c>
      <c r="N699" t="str">
        <f t="shared" si="38"/>
        <v>BR35:CJ46</v>
      </c>
      <c r="O699" s="4">
        <f t="shared" ca="1" si="36"/>
        <v>20339</v>
      </c>
    </row>
    <row r="700" spans="1:15">
      <c r="A700" s="2" t="s">
        <v>13</v>
      </c>
      <c r="B700" t="s">
        <v>29</v>
      </c>
      <c r="C700" t="s">
        <v>30</v>
      </c>
      <c r="D700">
        <v>7</v>
      </c>
      <c r="E700" t="s">
        <v>46</v>
      </c>
      <c r="F700">
        <v>3</v>
      </c>
      <c r="G700">
        <v>1</v>
      </c>
      <c r="H700">
        <v>2</v>
      </c>
      <c r="I700">
        <v>1</v>
      </c>
      <c r="J700" s="4" t="s">
        <v>53</v>
      </c>
      <c r="K700" t="str">
        <f t="shared" si="37"/>
        <v>1+2</v>
      </c>
      <c r="L700">
        <f>VLOOKUP(A700,'ZONE 1 PREMIUM'!$A$4:$N$16,14,0)</f>
        <v>4</v>
      </c>
      <c r="M700">
        <f>VLOOKUP(D700,DROPDOWN!B:C,2,0)</f>
        <v>5</v>
      </c>
      <c r="N700" t="str">
        <f t="shared" si="38"/>
        <v>BR35:CJ46</v>
      </c>
      <c r="O700" s="4">
        <f t="shared" ca="1" si="36"/>
        <v>23491.600000000002</v>
      </c>
    </row>
    <row r="701" spans="1:15">
      <c r="A701" s="2" t="s">
        <v>14</v>
      </c>
      <c r="B701" t="s">
        <v>31</v>
      </c>
      <c r="C701" t="s">
        <v>32</v>
      </c>
      <c r="D701">
        <v>7</v>
      </c>
      <c r="E701" t="s">
        <v>46</v>
      </c>
      <c r="F701">
        <v>3</v>
      </c>
      <c r="G701">
        <v>1</v>
      </c>
      <c r="H701">
        <v>2</v>
      </c>
      <c r="I701">
        <v>1</v>
      </c>
      <c r="J701" s="4" t="s">
        <v>53</v>
      </c>
      <c r="K701" t="str">
        <f t="shared" si="37"/>
        <v>1+2</v>
      </c>
      <c r="L701">
        <f>VLOOKUP(A701,'ZONE 1 PREMIUM'!$A$4:$N$16,14,0)</f>
        <v>5</v>
      </c>
      <c r="M701">
        <f>VLOOKUP(D701,DROPDOWN!B:C,2,0)</f>
        <v>5</v>
      </c>
      <c r="N701" t="str">
        <f t="shared" si="38"/>
        <v>BR35:CJ46</v>
      </c>
      <c r="O701" s="4">
        <f t="shared" ca="1" si="36"/>
        <v>26335.100000000002</v>
      </c>
    </row>
    <row r="702" spans="1:15">
      <c r="A702" s="2" t="s">
        <v>15</v>
      </c>
      <c r="B702" t="s">
        <v>33</v>
      </c>
      <c r="C702" t="s">
        <v>34</v>
      </c>
      <c r="D702">
        <v>7</v>
      </c>
      <c r="E702" t="s">
        <v>46</v>
      </c>
      <c r="F702">
        <v>3</v>
      </c>
      <c r="G702">
        <v>1</v>
      </c>
      <c r="H702">
        <v>2</v>
      </c>
      <c r="I702">
        <v>1</v>
      </c>
      <c r="J702" s="4" t="s">
        <v>53</v>
      </c>
      <c r="K702" t="str">
        <f t="shared" si="37"/>
        <v>1+2</v>
      </c>
      <c r="L702">
        <f>VLOOKUP(A702,'ZONE 1 PREMIUM'!$A$4:$N$16,14,0)</f>
        <v>6</v>
      </c>
      <c r="M702">
        <f>VLOOKUP(D702,DROPDOWN!B:C,2,0)</f>
        <v>5</v>
      </c>
      <c r="N702" t="str">
        <f t="shared" si="38"/>
        <v>BR35:CJ46</v>
      </c>
      <c r="O702" s="4">
        <f t="shared" ca="1" si="36"/>
        <v>34040.600000000006</v>
      </c>
    </row>
    <row r="703" spans="1:15">
      <c r="A703" s="2" t="s">
        <v>16</v>
      </c>
      <c r="B703" t="s">
        <v>35</v>
      </c>
      <c r="C703" t="s">
        <v>36</v>
      </c>
      <c r="D703">
        <v>7</v>
      </c>
      <c r="E703" t="s">
        <v>46</v>
      </c>
      <c r="F703">
        <v>3</v>
      </c>
      <c r="G703">
        <v>1</v>
      </c>
      <c r="H703">
        <v>2</v>
      </c>
      <c r="I703">
        <v>1</v>
      </c>
      <c r="J703" s="4" t="s">
        <v>53</v>
      </c>
      <c r="K703" t="str">
        <f t="shared" si="37"/>
        <v>1+2</v>
      </c>
      <c r="L703">
        <f>VLOOKUP(A703,'ZONE 1 PREMIUM'!$A$4:$N$16,14,0)</f>
        <v>7</v>
      </c>
      <c r="M703">
        <f>VLOOKUP(D703,DROPDOWN!B:C,2,0)</f>
        <v>5</v>
      </c>
      <c r="N703" t="str">
        <f t="shared" si="38"/>
        <v>BR35:CJ46</v>
      </c>
      <c r="O703" s="4">
        <f t="shared" ca="1" si="36"/>
        <v>43811.9</v>
      </c>
    </row>
    <row r="704" spans="1:15">
      <c r="A704" s="2" t="s">
        <v>17</v>
      </c>
      <c r="B704" t="s">
        <v>37</v>
      </c>
      <c r="C704" t="s">
        <v>38</v>
      </c>
      <c r="D704">
        <v>7</v>
      </c>
      <c r="E704" t="s">
        <v>46</v>
      </c>
      <c r="F704">
        <v>3</v>
      </c>
      <c r="G704">
        <v>1</v>
      </c>
      <c r="H704">
        <v>2</v>
      </c>
      <c r="I704">
        <v>1</v>
      </c>
      <c r="J704" s="4" t="s">
        <v>53</v>
      </c>
      <c r="K704" t="str">
        <f t="shared" si="37"/>
        <v>1+2</v>
      </c>
      <c r="L704">
        <f>VLOOKUP(A704,'ZONE 1 PREMIUM'!$A$4:$N$16,14,0)</f>
        <v>8</v>
      </c>
      <c r="M704">
        <f>VLOOKUP(D704,DROPDOWN!B:C,2,0)</f>
        <v>5</v>
      </c>
      <c r="N704" t="str">
        <f t="shared" si="38"/>
        <v>BR35:CJ46</v>
      </c>
      <c r="O704" s="4">
        <f t="shared" ca="1" si="36"/>
        <v>56188.000000000007</v>
      </c>
    </row>
    <row r="705" spans="1:15">
      <c r="A705" s="2" t="s">
        <v>18</v>
      </c>
      <c r="B705" t="s">
        <v>39</v>
      </c>
      <c r="C705" t="s">
        <v>40</v>
      </c>
      <c r="D705">
        <v>7</v>
      </c>
      <c r="E705" t="s">
        <v>46</v>
      </c>
      <c r="F705">
        <v>3</v>
      </c>
      <c r="G705">
        <v>1</v>
      </c>
      <c r="H705">
        <v>2</v>
      </c>
      <c r="I705">
        <v>1</v>
      </c>
      <c r="J705" s="4" t="s">
        <v>53</v>
      </c>
      <c r="K705" t="str">
        <f t="shared" si="37"/>
        <v>1+2</v>
      </c>
      <c r="L705">
        <f>VLOOKUP(A705,'ZONE 1 PREMIUM'!$A$4:$N$16,14,0)</f>
        <v>9</v>
      </c>
      <c r="M705">
        <f>VLOOKUP(D705,DROPDOWN!B:C,2,0)</f>
        <v>5</v>
      </c>
      <c r="N705" t="str">
        <f t="shared" si="38"/>
        <v>BR35:CJ46</v>
      </c>
      <c r="O705" s="4">
        <f t="shared" ca="1" si="36"/>
        <v>73771.5</v>
      </c>
    </row>
    <row r="706" spans="1:15">
      <c r="A706" s="2" t="s">
        <v>19</v>
      </c>
      <c r="B706" t="s">
        <v>41</v>
      </c>
      <c r="C706" t="s">
        <v>42</v>
      </c>
      <c r="D706">
        <v>7</v>
      </c>
      <c r="E706" t="s">
        <v>46</v>
      </c>
      <c r="F706">
        <v>3</v>
      </c>
      <c r="G706">
        <v>1</v>
      </c>
      <c r="H706">
        <v>2</v>
      </c>
      <c r="I706">
        <v>1</v>
      </c>
      <c r="J706" s="4" t="s">
        <v>53</v>
      </c>
      <c r="K706" t="str">
        <f t="shared" si="37"/>
        <v>1+2</v>
      </c>
      <c r="L706">
        <f>VLOOKUP(A706,'ZONE 1 PREMIUM'!$A$4:$N$16,14,0)</f>
        <v>10</v>
      </c>
      <c r="M706">
        <f>VLOOKUP(D706,DROPDOWN!B:C,2,0)</f>
        <v>5</v>
      </c>
      <c r="N706" t="str">
        <f t="shared" si="38"/>
        <v>BR35:CJ46</v>
      </c>
      <c r="O706" s="4">
        <f t="shared" ref="O706:O769" ca="1" si="39">INDEX(INDIRECT(N706),L706,M706)</f>
        <v>93178.8</v>
      </c>
    </row>
    <row r="707" spans="1:15">
      <c r="A707" s="2" t="s">
        <v>20</v>
      </c>
      <c r="B707" t="s">
        <v>43</v>
      </c>
      <c r="C707" t="s">
        <v>44</v>
      </c>
      <c r="D707">
        <v>7</v>
      </c>
      <c r="E707" t="s">
        <v>46</v>
      </c>
      <c r="F707">
        <v>3</v>
      </c>
      <c r="G707">
        <v>1</v>
      </c>
      <c r="H707">
        <v>2</v>
      </c>
      <c r="I707">
        <v>1</v>
      </c>
      <c r="J707" s="4" t="s">
        <v>53</v>
      </c>
      <c r="K707" t="str">
        <f t="shared" si="37"/>
        <v>1+2</v>
      </c>
      <c r="L707">
        <f>VLOOKUP(A707,'ZONE 1 PREMIUM'!$A$4:$N$16,14,0)</f>
        <v>11</v>
      </c>
      <c r="M707">
        <f>VLOOKUP(D707,DROPDOWN!B:C,2,0)</f>
        <v>5</v>
      </c>
      <c r="N707" t="str">
        <f t="shared" si="38"/>
        <v>BR35:CJ46</v>
      </c>
      <c r="O707" s="4">
        <f t="shared" ca="1" si="39"/>
        <v>109833.90000000001</v>
      </c>
    </row>
    <row r="708" spans="1:15">
      <c r="A708" s="2" t="s">
        <v>21</v>
      </c>
      <c r="B708" t="s">
        <v>22</v>
      </c>
      <c r="D708">
        <v>7</v>
      </c>
      <c r="E708" t="s">
        <v>46</v>
      </c>
      <c r="F708">
        <v>3</v>
      </c>
      <c r="G708">
        <v>1</v>
      </c>
      <c r="H708">
        <v>2</v>
      </c>
      <c r="I708">
        <v>1</v>
      </c>
      <c r="J708" s="4" t="s">
        <v>53</v>
      </c>
      <c r="K708" t="str">
        <f t="shared" ref="K708:K771" si="40">G708&amp;"+"&amp;H708</f>
        <v>1+2</v>
      </c>
      <c r="L708">
        <f>VLOOKUP(A708,'ZONE 1 PREMIUM'!$A$4:$N$16,14,0)</f>
        <v>12</v>
      </c>
      <c r="M708">
        <f>VLOOKUP(D708,DROPDOWN!B:C,2,0)</f>
        <v>5</v>
      </c>
      <c r="N708" t="str">
        <f t="shared" si="38"/>
        <v>BR35:CJ46</v>
      </c>
      <c r="O708" s="4">
        <f t="shared" ca="1" si="39"/>
        <v>143222.20000000001</v>
      </c>
    </row>
    <row r="709" spans="1:15">
      <c r="A709" s="2" t="s">
        <v>11</v>
      </c>
      <c r="B709" t="s">
        <v>45</v>
      </c>
      <c r="C709" t="s">
        <v>25</v>
      </c>
      <c r="D709">
        <v>7</v>
      </c>
      <c r="E709" t="s">
        <v>46</v>
      </c>
      <c r="F709">
        <v>4</v>
      </c>
      <c r="G709">
        <v>1</v>
      </c>
      <c r="H709">
        <v>3</v>
      </c>
      <c r="I709">
        <v>1</v>
      </c>
      <c r="J709" s="4" t="s">
        <v>53</v>
      </c>
      <c r="K709" t="str">
        <f t="shared" si="40"/>
        <v>1+3</v>
      </c>
      <c r="L709">
        <f>VLOOKUP(A709,'ZONE 1 PREMIUM'!$A$4:$N$16,14,0)</f>
        <v>2</v>
      </c>
      <c r="M709">
        <f>VLOOKUP(D709,DROPDOWN!B:C,2,0)</f>
        <v>5</v>
      </c>
      <c r="N709" t="str">
        <f t="shared" si="38"/>
        <v>BR50:CJ61</v>
      </c>
      <c r="O709" s="4">
        <f t="shared" ca="1" si="39"/>
        <v>23167.100000000002</v>
      </c>
    </row>
    <row r="710" spans="1:15">
      <c r="A710" s="2" t="s">
        <v>12</v>
      </c>
      <c r="B710" t="s">
        <v>27</v>
      </c>
      <c r="C710" t="s">
        <v>28</v>
      </c>
      <c r="D710">
        <v>7</v>
      </c>
      <c r="E710" t="s">
        <v>46</v>
      </c>
      <c r="F710">
        <v>4</v>
      </c>
      <c r="G710">
        <v>1</v>
      </c>
      <c r="H710">
        <v>3</v>
      </c>
      <c r="I710">
        <v>1</v>
      </c>
      <c r="J710" s="4" t="s">
        <v>53</v>
      </c>
      <c r="K710" t="str">
        <f t="shared" si="40"/>
        <v>1+3</v>
      </c>
      <c r="L710">
        <f>VLOOKUP(A710,'ZONE 1 PREMIUM'!$A$4:$N$16,14,0)</f>
        <v>3</v>
      </c>
      <c r="M710">
        <f>VLOOKUP(D710,DROPDOWN!B:C,2,0)</f>
        <v>5</v>
      </c>
      <c r="N710" t="str">
        <f t="shared" si="38"/>
        <v>BR50:CJ61</v>
      </c>
      <c r="O710" s="4">
        <f t="shared" ca="1" si="39"/>
        <v>24512.400000000001</v>
      </c>
    </row>
    <row r="711" spans="1:15">
      <c r="A711" s="2" t="s">
        <v>13</v>
      </c>
      <c r="B711" t="s">
        <v>29</v>
      </c>
      <c r="C711" t="s">
        <v>30</v>
      </c>
      <c r="D711">
        <v>7</v>
      </c>
      <c r="E711" t="s">
        <v>46</v>
      </c>
      <c r="F711">
        <v>4</v>
      </c>
      <c r="G711">
        <v>1</v>
      </c>
      <c r="H711">
        <v>3</v>
      </c>
      <c r="I711">
        <v>1</v>
      </c>
      <c r="J711" s="4" t="s">
        <v>53</v>
      </c>
      <c r="K711" t="str">
        <f t="shared" si="40"/>
        <v>1+3</v>
      </c>
      <c r="L711">
        <f>VLOOKUP(A711,'ZONE 1 PREMIUM'!$A$4:$N$16,14,0)</f>
        <v>4</v>
      </c>
      <c r="M711">
        <f>VLOOKUP(D711,DROPDOWN!B:C,2,0)</f>
        <v>5</v>
      </c>
      <c r="N711" t="str">
        <f t="shared" si="38"/>
        <v>BR50:CJ61</v>
      </c>
      <c r="O711" s="4">
        <f t="shared" ca="1" si="39"/>
        <v>28325.000000000004</v>
      </c>
    </row>
    <row r="712" spans="1:15">
      <c r="A712" s="2" t="s">
        <v>14</v>
      </c>
      <c r="B712" t="s">
        <v>31</v>
      </c>
      <c r="C712" t="s">
        <v>32</v>
      </c>
      <c r="D712">
        <v>7</v>
      </c>
      <c r="E712" t="s">
        <v>46</v>
      </c>
      <c r="F712">
        <v>4</v>
      </c>
      <c r="G712">
        <v>1</v>
      </c>
      <c r="H712">
        <v>3</v>
      </c>
      <c r="I712">
        <v>1</v>
      </c>
      <c r="J712" s="4" t="s">
        <v>53</v>
      </c>
      <c r="K712" t="str">
        <f t="shared" si="40"/>
        <v>1+3</v>
      </c>
      <c r="L712">
        <f>VLOOKUP(A712,'ZONE 1 PREMIUM'!$A$4:$N$16,14,0)</f>
        <v>5</v>
      </c>
      <c r="M712">
        <f>VLOOKUP(D712,DROPDOWN!B:C,2,0)</f>
        <v>5</v>
      </c>
      <c r="N712" t="str">
        <f t="shared" si="38"/>
        <v>BR50:CJ61</v>
      </c>
      <c r="O712" s="4">
        <f t="shared" ca="1" si="39"/>
        <v>31476.500000000004</v>
      </c>
    </row>
    <row r="713" spans="1:15">
      <c r="A713" s="2" t="s">
        <v>15</v>
      </c>
      <c r="B713" t="s">
        <v>33</v>
      </c>
      <c r="C713" t="s">
        <v>34</v>
      </c>
      <c r="D713">
        <v>7</v>
      </c>
      <c r="E713" t="s">
        <v>46</v>
      </c>
      <c r="F713">
        <v>4</v>
      </c>
      <c r="G713">
        <v>1</v>
      </c>
      <c r="H713">
        <v>3</v>
      </c>
      <c r="I713">
        <v>1</v>
      </c>
      <c r="J713" s="4" t="s">
        <v>53</v>
      </c>
      <c r="K713" t="str">
        <f t="shared" si="40"/>
        <v>1+3</v>
      </c>
      <c r="L713">
        <f>VLOOKUP(A713,'ZONE 1 PREMIUM'!$A$4:$N$16,14,0)</f>
        <v>6</v>
      </c>
      <c r="M713">
        <f>VLOOKUP(D713,DROPDOWN!B:C,2,0)</f>
        <v>5</v>
      </c>
      <c r="N713" t="str">
        <f t="shared" si="38"/>
        <v>BR50:CJ61</v>
      </c>
      <c r="O713" s="4">
        <f t="shared" ca="1" si="39"/>
        <v>39805.700000000004</v>
      </c>
    </row>
    <row r="714" spans="1:15">
      <c r="A714" s="2" t="s">
        <v>16</v>
      </c>
      <c r="B714" t="s">
        <v>35</v>
      </c>
      <c r="C714" t="s">
        <v>36</v>
      </c>
      <c r="D714">
        <v>7</v>
      </c>
      <c r="E714" t="s">
        <v>46</v>
      </c>
      <c r="F714">
        <v>4</v>
      </c>
      <c r="G714">
        <v>1</v>
      </c>
      <c r="H714">
        <v>3</v>
      </c>
      <c r="I714">
        <v>1</v>
      </c>
      <c r="J714" s="4" t="s">
        <v>53</v>
      </c>
      <c r="K714" t="str">
        <f t="shared" si="40"/>
        <v>1+3</v>
      </c>
      <c r="L714">
        <f>VLOOKUP(A714,'ZONE 1 PREMIUM'!$A$4:$N$16,14,0)</f>
        <v>7</v>
      </c>
      <c r="M714">
        <f>VLOOKUP(D714,DROPDOWN!B:C,2,0)</f>
        <v>5</v>
      </c>
      <c r="N714" t="str">
        <f t="shared" si="38"/>
        <v>BR50:CJ61</v>
      </c>
      <c r="O714" s="4">
        <f t="shared" ca="1" si="39"/>
        <v>50193.000000000007</v>
      </c>
    </row>
    <row r="715" spans="1:15">
      <c r="A715" s="2" t="s">
        <v>17</v>
      </c>
      <c r="B715" t="s">
        <v>37</v>
      </c>
      <c r="C715" t="s">
        <v>38</v>
      </c>
      <c r="D715">
        <v>7</v>
      </c>
      <c r="E715" t="s">
        <v>46</v>
      </c>
      <c r="F715">
        <v>4</v>
      </c>
      <c r="G715">
        <v>1</v>
      </c>
      <c r="H715">
        <v>3</v>
      </c>
      <c r="I715">
        <v>1</v>
      </c>
      <c r="J715" s="4" t="s">
        <v>53</v>
      </c>
      <c r="K715" t="str">
        <f t="shared" si="40"/>
        <v>1+3</v>
      </c>
      <c r="L715">
        <f>VLOOKUP(A715,'ZONE 1 PREMIUM'!$A$4:$N$16,14,0)</f>
        <v>8</v>
      </c>
      <c r="M715">
        <f>VLOOKUP(D715,DROPDOWN!B:C,2,0)</f>
        <v>5</v>
      </c>
      <c r="N715" t="str">
        <f t="shared" si="38"/>
        <v>BR50:CJ61</v>
      </c>
      <c r="O715" s="4">
        <f t="shared" ca="1" si="39"/>
        <v>61810.100000000006</v>
      </c>
    </row>
    <row r="716" spans="1:15">
      <c r="A716" s="2" t="s">
        <v>18</v>
      </c>
      <c r="B716" t="s">
        <v>39</v>
      </c>
      <c r="C716" t="s">
        <v>40</v>
      </c>
      <c r="D716">
        <v>7</v>
      </c>
      <c r="E716" t="s">
        <v>46</v>
      </c>
      <c r="F716">
        <v>4</v>
      </c>
      <c r="G716">
        <v>1</v>
      </c>
      <c r="H716">
        <v>3</v>
      </c>
      <c r="I716">
        <v>1</v>
      </c>
      <c r="J716" s="4" t="s">
        <v>53</v>
      </c>
      <c r="K716" t="str">
        <f t="shared" si="40"/>
        <v>1+3</v>
      </c>
      <c r="L716">
        <f>VLOOKUP(A716,'ZONE 1 PREMIUM'!$A$4:$N$16,14,0)</f>
        <v>9</v>
      </c>
      <c r="M716">
        <f>VLOOKUP(D716,DROPDOWN!B:C,2,0)</f>
        <v>5</v>
      </c>
      <c r="N716" t="str">
        <f t="shared" si="38"/>
        <v>BR50:CJ61</v>
      </c>
      <c r="O716" s="4">
        <f t="shared" ca="1" si="39"/>
        <v>79975.5</v>
      </c>
    </row>
    <row r="717" spans="1:15">
      <c r="A717" s="2" t="s">
        <v>19</v>
      </c>
      <c r="B717" t="s">
        <v>41</v>
      </c>
      <c r="C717" t="s">
        <v>42</v>
      </c>
      <c r="D717">
        <v>7</v>
      </c>
      <c r="E717" t="s">
        <v>46</v>
      </c>
      <c r="F717">
        <v>4</v>
      </c>
      <c r="G717">
        <v>1</v>
      </c>
      <c r="H717">
        <v>3</v>
      </c>
      <c r="I717">
        <v>1</v>
      </c>
      <c r="J717" s="4" t="s">
        <v>53</v>
      </c>
      <c r="K717" t="str">
        <f t="shared" si="40"/>
        <v>1+3</v>
      </c>
      <c r="L717">
        <f>VLOOKUP(A717,'ZONE 1 PREMIUM'!$A$4:$N$16,14,0)</f>
        <v>10</v>
      </c>
      <c r="M717">
        <f>VLOOKUP(D717,DROPDOWN!B:C,2,0)</f>
        <v>5</v>
      </c>
      <c r="N717" t="str">
        <f t="shared" si="38"/>
        <v>BR50:CJ61</v>
      </c>
      <c r="O717" s="4">
        <f t="shared" ca="1" si="39"/>
        <v>98125.500000000015</v>
      </c>
    </row>
    <row r="718" spans="1:15">
      <c r="A718" s="2" t="s">
        <v>20</v>
      </c>
      <c r="B718" t="s">
        <v>43</v>
      </c>
      <c r="C718" t="s">
        <v>44</v>
      </c>
      <c r="D718">
        <v>7</v>
      </c>
      <c r="E718" t="s">
        <v>46</v>
      </c>
      <c r="F718">
        <v>4</v>
      </c>
      <c r="G718">
        <v>1</v>
      </c>
      <c r="H718">
        <v>3</v>
      </c>
      <c r="I718">
        <v>1</v>
      </c>
      <c r="J718" s="4" t="s">
        <v>53</v>
      </c>
      <c r="K718" t="str">
        <f t="shared" si="40"/>
        <v>1+3</v>
      </c>
      <c r="L718">
        <f>VLOOKUP(A718,'ZONE 1 PREMIUM'!$A$4:$N$16,14,0)</f>
        <v>11</v>
      </c>
      <c r="M718">
        <f>VLOOKUP(D718,DROPDOWN!B:C,2,0)</f>
        <v>5</v>
      </c>
      <c r="N718" t="str">
        <f t="shared" si="38"/>
        <v>BR50:CJ61</v>
      </c>
      <c r="O718" s="4">
        <f t="shared" ca="1" si="39"/>
        <v>114512.20000000001</v>
      </c>
    </row>
    <row r="719" spans="1:15">
      <c r="A719" s="2" t="s">
        <v>21</v>
      </c>
      <c r="B719" t="s">
        <v>22</v>
      </c>
      <c r="D719">
        <v>7</v>
      </c>
      <c r="E719" t="s">
        <v>46</v>
      </c>
      <c r="F719">
        <v>4</v>
      </c>
      <c r="G719">
        <v>1</v>
      </c>
      <c r="H719">
        <v>3</v>
      </c>
      <c r="I719">
        <v>1</v>
      </c>
      <c r="J719" s="4" t="s">
        <v>53</v>
      </c>
      <c r="K719" t="str">
        <f t="shared" si="40"/>
        <v>1+3</v>
      </c>
      <c r="L719">
        <f>VLOOKUP(A719,'ZONE 1 PREMIUM'!$A$4:$N$16,14,0)</f>
        <v>12</v>
      </c>
      <c r="M719">
        <f>VLOOKUP(D719,DROPDOWN!B:C,2,0)</f>
        <v>5</v>
      </c>
      <c r="N719" t="str">
        <f t="shared" si="38"/>
        <v>BR50:CJ61</v>
      </c>
      <c r="O719" s="4">
        <f t="shared" ca="1" si="39"/>
        <v>148186.5</v>
      </c>
    </row>
    <row r="720" spans="1:15">
      <c r="A720" s="2" t="s">
        <v>11</v>
      </c>
      <c r="B720" t="s">
        <v>45</v>
      </c>
      <c r="C720" t="s">
        <v>25</v>
      </c>
      <c r="D720">
        <v>7</v>
      </c>
      <c r="E720" t="s">
        <v>46</v>
      </c>
      <c r="F720">
        <v>5</v>
      </c>
      <c r="G720">
        <v>1</v>
      </c>
      <c r="H720">
        <v>4</v>
      </c>
      <c r="I720">
        <v>1</v>
      </c>
      <c r="J720" s="4" t="s">
        <v>53</v>
      </c>
      <c r="K720" t="str">
        <f t="shared" si="40"/>
        <v>1+4</v>
      </c>
      <c r="L720">
        <f>VLOOKUP(A720,'ZONE 1 PREMIUM'!$A$4:$N$16,14,0)</f>
        <v>2</v>
      </c>
      <c r="M720">
        <f>VLOOKUP(D720,DROPDOWN!B:C,2,0)</f>
        <v>5</v>
      </c>
      <c r="N720" t="str">
        <f t="shared" si="38"/>
        <v>BR65:CJ76</v>
      </c>
      <c r="O720" s="4">
        <f t="shared" ca="1" si="39"/>
        <v>27416.400000000001</v>
      </c>
    </row>
    <row r="721" spans="1:15">
      <c r="A721" s="2" t="s">
        <v>12</v>
      </c>
      <c r="B721" t="s">
        <v>27</v>
      </c>
      <c r="C721" t="s">
        <v>28</v>
      </c>
      <c r="D721">
        <v>7</v>
      </c>
      <c r="E721" t="s">
        <v>46</v>
      </c>
      <c r="F721">
        <v>5</v>
      </c>
      <c r="G721">
        <v>1</v>
      </c>
      <c r="H721">
        <v>4</v>
      </c>
      <c r="I721">
        <v>1</v>
      </c>
      <c r="J721" s="4" t="s">
        <v>53</v>
      </c>
      <c r="K721" t="str">
        <f t="shared" si="40"/>
        <v>1+4</v>
      </c>
      <c r="L721">
        <f>VLOOKUP(A721,'ZONE 1 PREMIUM'!$A$4:$N$16,14,0)</f>
        <v>3</v>
      </c>
      <c r="M721">
        <f>VLOOKUP(D721,DROPDOWN!B:C,2,0)</f>
        <v>5</v>
      </c>
      <c r="N721" t="str">
        <f t="shared" si="38"/>
        <v>BR65:CJ76</v>
      </c>
      <c r="O721" s="4">
        <f t="shared" ca="1" si="39"/>
        <v>28685.800000000003</v>
      </c>
    </row>
    <row r="722" spans="1:15">
      <c r="A722" s="2" t="s">
        <v>13</v>
      </c>
      <c r="B722" t="s">
        <v>29</v>
      </c>
      <c r="C722" t="s">
        <v>30</v>
      </c>
      <c r="D722">
        <v>7</v>
      </c>
      <c r="E722" t="s">
        <v>46</v>
      </c>
      <c r="F722">
        <v>5</v>
      </c>
      <c r="G722">
        <v>1</v>
      </c>
      <c r="H722">
        <v>4</v>
      </c>
      <c r="I722">
        <v>1</v>
      </c>
      <c r="J722" s="4" t="s">
        <v>53</v>
      </c>
      <c r="K722" t="str">
        <f t="shared" si="40"/>
        <v>1+4</v>
      </c>
      <c r="L722">
        <f>VLOOKUP(A722,'ZONE 1 PREMIUM'!$A$4:$N$16,14,0)</f>
        <v>4</v>
      </c>
      <c r="M722">
        <f>VLOOKUP(D722,DROPDOWN!B:C,2,0)</f>
        <v>5</v>
      </c>
      <c r="N722" t="str">
        <f t="shared" si="38"/>
        <v>BR65:CJ76</v>
      </c>
      <c r="O722" s="4">
        <f t="shared" ca="1" si="39"/>
        <v>33158.400000000001</v>
      </c>
    </row>
    <row r="723" spans="1:15">
      <c r="A723" s="2" t="s">
        <v>14</v>
      </c>
      <c r="B723" t="s">
        <v>31</v>
      </c>
      <c r="C723" t="s">
        <v>32</v>
      </c>
      <c r="D723">
        <v>7</v>
      </c>
      <c r="E723" t="s">
        <v>46</v>
      </c>
      <c r="F723">
        <v>5</v>
      </c>
      <c r="G723">
        <v>1</v>
      </c>
      <c r="H723">
        <v>4</v>
      </c>
      <c r="I723">
        <v>1</v>
      </c>
      <c r="J723" s="4" t="s">
        <v>53</v>
      </c>
      <c r="K723" t="str">
        <f t="shared" si="40"/>
        <v>1+4</v>
      </c>
      <c r="L723">
        <f>VLOOKUP(A723,'ZONE 1 PREMIUM'!$A$4:$N$16,14,0)</f>
        <v>5</v>
      </c>
      <c r="M723">
        <f>VLOOKUP(D723,DROPDOWN!B:C,2,0)</f>
        <v>5</v>
      </c>
      <c r="N723" t="str">
        <f t="shared" si="38"/>
        <v>BR65:CJ76</v>
      </c>
      <c r="O723" s="4">
        <f t="shared" ca="1" si="39"/>
        <v>36616.800000000003</v>
      </c>
    </row>
    <row r="724" spans="1:15">
      <c r="A724" s="2" t="s">
        <v>15</v>
      </c>
      <c r="B724" t="s">
        <v>33</v>
      </c>
      <c r="C724" t="s">
        <v>34</v>
      </c>
      <c r="D724">
        <v>7</v>
      </c>
      <c r="E724" t="s">
        <v>46</v>
      </c>
      <c r="F724">
        <v>5</v>
      </c>
      <c r="G724">
        <v>1</v>
      </c>
      <c r="H724">
        <v>4</v>
      </c>
      <c r="I724">
        <v>1</v>
      </c>
      <c r="J724" s="4" t="s">
        <v>53</v>
      </c>
      <c r="K724" t="str">
        <f t="shared" si="40"/>
        <v>1+4</v>
      </c>
      <c r="L724">
        <f>VLOOKUP(A724,'ZONE 1 PREMIUM'!$A$4:$N$16,14,0)</f>
        <v>6</v>
      </c>
      <c r="M724">
        <f>VLOOKUP(D724,DROPDOWN!B:C,2,0)</f>
        <v>5</v>
      </c>
      <c r="N724" t="str">
        <f t="shared" si="38"/>
        <v>BR65:CJ76</v>
      </c>
      <c r="O724" s="4">
        <f t="shared" ca="1" si="39"/>
        <v>45570.8</v>
      </c>
    </row>
    <row r="725" spans="1:15">
      <c r="A725" s="2" t="s">
        <v>16</v>
      </c>
      <c r="B725" t="s">
        <v>35</v>
      </c>
      <c r="C725" t="s">
        <v>36</v>
      </c>
      <c r="D725">
        <v>7</v>
      </c>
      <c r="E725" t="s">
        <v>46</v>
      </c>
      <c r="F725">
        <v>5</v>
      </c>
      <c r="G725">
        <v>1</v>
      </c>
      <c r="H725">
        <v>4</v>
      </c>
      <c r="I725">
        <v>1</v>
      </c>
      <c r="J725" s="4" t="s">
        <v>53</v>
      </c>
      <c r="K725" t="str">
        <f t="shared" si="40"/>
        <v>1+4</v>
      </c>
      <c r="L725">
        <f>VLOOKUP(A725,'ZONE 1 PREMIUM'!$A$4:$N$16,14,0)</f>
        <v>7</v>
      </c>
      <c r="M725">
        <f>VLOOKUP(D725,DROPDOWN!B:C,2,0)</f>
        <v>5</v>
      </c>
      <c r="N725" t="str">
        <f t="shared" si="38"/>
        <v>BR65:CJ76</v>
      </c>
      <c r="O725" s="4">
        <f t="shared" ca="1" si="39"/>
        <v>55488.4</v>
      </c>
    </row>
    <row r="726" spans="1:15">
      <c r="A726" s="2" t="s">
        <v>17</v>
      </c>
      <c r="B726" t="s">
        <v>37</v>
      </c>
      <c r="C726" t="s">
        <v>38</v>
      </c>
      <c r="D726">
        <v>7</v>
      </c>
      <c r="E726" t="s">
        <v>46</v>
      </c>
      <c r="F726">
        <v>5</v>
      </c>
      <c r="G726">
        <v>1</v>
      </c>
      <c r="H726">
        <v>4</v>
      </c>
      <c r="I726">
        <v>1</v>
      </c>
      <c r="J726" s="4" t="s">
        <v>53</v>
      </c>
      <c r="K726" t="str">
        <f t="shared" si="40"/>
        <v>1+4</v>
      </c>
      <c r="L726">
        <f>VLOOKUP(A726,'ZONE 1 PREMIUM'!$A$4:$N$16,14,0)</f>
        <v>8</v>
      </c>
      <c r="M726">
        <f>VLOOKUP(D726,DROPDOWN!B:C,2,0)</f>
        <v>5</v>
      </c>
      <c r="N726" t="str">
        <f t="shared" si="38"/>
        <v>BR65:CJ76</v>
      </c>
      <c r="O726" s="4">
        <f t="shared" ca="1" si="39"/>
        <v>66931.700000000012</v>
      </c>
    </row>
    <row r="727" spans="1:15">
      <c r="A727" s="2" t="s">
        <v>18</v>
      </c>
      <c r="B727" t="s">
        <v>39</v>
      </c>
      <c r="C727" t="s">
        <v>40</v>
      </c>
      <c r="D727">
        <v>7</v>
      </c>
      <c r="E727" t="s">
        <v>46</v>
      </c>
      <c r="F727">
        <v>5</v>
      </c>
      <c r="G727">
        <v>1</v>
      </c>
      <c r="H727">
        <v>4</v>
      </c>
      <c r="I727">
        <v>1</v>
      </c>
      <c r="J727" s="4" t="s">
        <v>53</v>
      </c>
      <c r="K727" t="str">
        <f t="shared" si="40"/>
        <v>1+4</v>
      </c>
      <c r="L727">
        <f>VLOOKUP(A727,'ZONE 1 PREMIUM'!$A$4:$N$16,14,0)</f>
        <v>9</v>
      </c>
      <c r="M727">
        <f>VLOOKUP(D727,DROPDOWN!B:C,2,0)</f>
        <v>5</v>
      </c>
      <c r="N727" t="str">
        <f t="shared" si="38"/>
        <v>BR65:CJ76</v>
      </c>
      <c r="O727" s="4">
        <f t="shared" ca="1" si="39"/>
        <v>85195</v>
      </c>
    </row>
    <row r="728" spans="1:15">
      <c r="A728" s="2" t="s">
        <v>19</v>
      </c>
      <c r="B728" t="s">
        <v>41</v>
      </c>
      <c r="C728" t="s">
        <v>42</v>
      </c>
      <c r="D728">
        <v>7</v>
      </c>
      <c r="E728" t="s">
        <v>46</v>
      </c>
      <c r="F728">
        <v>5</v>
      </c>
      <c r="G728">
        <v>1</v>
      </c>
      <c r="H728">
        <v>4</v>
      </c>
      <c r="I728">
        <v>1</v>
      </c>
      <c r="J728" s="4" t="s">
        <v>53</v>
      </c>
      <c r="K728" t="str">
        <f t="shared" si="40"/>
        <v>1+4</v>
      </c>
      <c r="L728">
        <f>VLOOKUP(A728,'ZONE 1 PREMIUM'!$A$4:$N$16,14,0)</f>
        <v>10</v>
      </c>
      <c r="M728">
        <f>VLOOKUP(D728,DROPDOWN!B:C,2,0)</f>
        <v>5</v>
      </c>
      <c r="N728" t="str">
        <f t="shared" si="38"/>
        <v>BR65:CJ76</v>
      </c>
      <c r="O728" s="4">
        <f t="shared" ca="1" si="39"/>
        <v>103248.20000000001</v>
      </c>
    </row>
    <row r="729" spans="1:15">
      <c r="A729" s="2" t="s">
        <v>20</v>
      </c>
      <c r="B729" t="s">
        <v>43</v>
      </c>
      <c r="C729" t="s">
        <v>44</v>
      </c>
      <c r="D729">
        <v>7</v>
      </c>
      <c r="E729" t="s">
        <v>46</v>
      </c>
      <c r="F729">
        <v>5</v>
      </c>
      <c r="G729">
        <v>1</v>
      </c>
      <c r="H729">
        <v>4</v>
      </c>
      <c r="I729">
        <v>1</v>
      </c>
      <c r="J729" s="4" t="s">
        <v>53</v>
      </c>
      <c r="K729" t="str">
        <f t="shared" si="40"/>
        <v>1+4</v>
      </c>
      <c r="L729">
        <f>VLOOKUP(A729,'ZONE 1 PREMIUM'!$A$4:$N$16,14,0)</f>
        <v>11</v>
      </c>
      <c r="M729">
        <f>VLOOKUP(D729,DROPDOWN!B:C,2,0)</f>
        <v>5</v>
      </c>
      <c r="N729" t="str">
        <f t="shared" si="38"/>
        <v>BR65:CJ76</v>
      </c>
      <c r="O729" s="4">
        <f t="shared" ca="1" si="39"/>
        <v>119651.40000000001</v>
      </c>
    </row>
    <row r="730" spans="1:15">
      <c r="A730" s="2" t="s">
        <v>21</v>
      </c>
      <c r="B730" t="s">
        <v>22</v>
      </c>
      <c r="D730">
        <v>7</v>
      </c>
      <c r="E730" t="s">
        <v>46</v>
      </c>
      <c r="F730">
        <v>5</v>
      </c>
      <c r="G730">
        <v>1</v>
      </c>
      <c r="H730">
        <v>4</v>
      </c>
      <c r="I730">
        <v>1</v>
      </c>
      <c r="J730" s="4" t="s">
        <v>53</v>
      </c>
      <c r="K730" t="str">
        <f t="shared" si="40"/>
        <v>1+4</v>
      </c>
      <c r="L730">
        <f>VLOOKUP(A730,'ZONE 1 PREMIUM'!$A$4:$N$16,14,0)</f>
        <v>12</v>
      </c>
      <c r="M730">
        <f>VLOOKUP(D730,DROPDOWN!B:C,2,0)</f>
        <v>5</v>
      </c>
      <c r="N730" t="str">
        <f t="shared" si="38"/>
        <v>BR65:CJ76</v>
      </c>
      <c r="O730" s="4">
        <f t="shared" ca="1" si="39"/>
        <v>153496.20000000001</v>
      </c>
    </row>
    <row r="731" spans="1:15">
      <c r="A731" s="2" t="s">
        <v>11</v>
      </c>
      <c r="B731" t="s">
        <v>45</v>
      </c>
      <c r="C731" t="s">
        <v>25</v>
      </c>
      <c r="D731">
        <v>7</v>
      </c>
      <c r="E731" t="s">
        <v>46</v>
      </c>
      <c r="F731">
        <v>2</v>
      </c>
      <c r="G731">
        <v>2</v>
      </c>
      <c r="H731">
        <v>0</v>
      </c>
      <c r="I731">
        <v>1</v>
      </c>
      <c r="J731" s="4" t="s">
        <v>53</v>
      </c>
      <c r="K731" t="str">
        <f t="shared" si="40"/>
        <v>2+0</v>
      </c>
      <c r="L731">
        <f>VLOOKUP(A731,'ZONE 1 PREMIUM'!$A$4:$N$16,14,0)</f>
        <v>2</v>
      </c>
      <c r="M731">
        <f>VLOOKUP(D731,DROPDOWN!B:C,2,0)</f>
        <v>5</v>
      </c>
      <c r="N731" t="str">
        <f t="shared" si="38"/>
        <v>BR81:CJ92</v>
      </c>
      <c r="O731" s="4">
        <f t="shared" ca="1" si="39"/>
        <v>20530.400000000001</v>
      </c>
    </row>
    <row r="732" spans="1:15">
      <c r="A732" s="2" t="s">
        <v>12</v>
      </c>
      <c r="B732" t="s">
        <v>27</v>
      </c>
      <c r="C732" t="s">
        <v>28</v>
      </c>
      <c r="D732">
        <v>7</v>
      </c>
      <c r="E732" t="s">
        <v>46</v>
      </c>
      <c r="F732">
        <v>2</v>
      </c>
      <c r="G732">
        <v>2</v>
      </c>
      <c r="H732">
        <v>0</v>
      </c>
      <c r="I732">
        <v>1</v>
      </c>
      <c r="J732" s="4" t="s">
        <v>53</v>
      </c>
      <c r="K732" t="str">
        <f t="shared" si="40"/>
        <v>2+0</v>
      </c>
      <c r="L732">
        <f>VLOOKUP(A732,'ZONE 1 PREMIUM'!$A$4:$N$16,14,0)</f>
        <v>3</v>
      </c>
      <c r="M732">
        <f>VLOOKUP(D732,DROPDOWN!B:C,2,0)</f>
        <v>5</v>
      </c>
      <c r="N732" t="str">
        <f t="shared" si="38"/>
        <v>BR81:CJ92</v>
      </c>
      <c r="O732" s="4">
        <f t="shared" ca="1" si="39"/>
        <v>23445.4</v>
      </c>
    </row>
    <row r="733" spans="1:15">
      <c r="A733" s="2" t="s">
        <v>13</v>
      </c>
      <c r="B733" t="s">
        <v>29</v>
      </c>
      <c r="C733" t="s">
        <v>30</v>
      </c>
      <c r="D733">
        <v>7</v>
      </c>
      <c r="E733" t="s">
        <v>46</v>
      </c>
      <c r="F733">
        <v>2</v>
      </c>
      <c r="G733">
        <v>2</v>
      </c>
      <c r="H733">
        <v>0</v>
      </c>
      <c r="I733">
        <v>1</v>
      </c>
      <c r="J733" s="4" t="s">
        <v>53</v>
      </c>
      <c r="K733" t="str">
        <f t="shared" si="40"/>
        <v>2+0</v>
      </c>
      <c r="L733">
        <f>VLOOKUP(A733,'ZONE 1 PREMIUM'!$A$4:$N$16,14,0)</f>
        <v>4</v>
      </c>
      <c r="M733">
        <f>VLOOKUP(D733,DROPDOWN!B:C,2,0)</f>
        <v>5</v>
      </c>
      <c r="N733" t="str">
        <f t="shared" si="38"/>
        <v>BR81:CJ92</v>
      </c>
      <c r="O733" s="4">
        <f t="shared" ca="1" si="39"/>
        <v>26010.600000000002</v>
      </c>
    </row>
    <row r="734" spans="1:15">
      <c r="A734" s="2" t="s">
        <v>14</v>
      </c>
      <c r="B734" t="s">
        <v>31</v>
      </c>
      <c r="C734" t="s">
        <v>32</v>
      </c>
      <c r="D734">
        <v>7</v>
      </c>
      <c r="E734" t="s">
        <v>46</v>
      </c>
      <c r="F734">
        <v>2</v>
      </c>
      <c r="G734">
        <v>2</v>
      </c>
      <c r="H734">
        <v>0</v>
      </c>
      <c r="I734">
        <v>1</v>
      </c>
      <c r="J734" s="4" t="s">
        <v>53</v>
      </c>
      <c r="K734" t="str">
        <f t="shared" si="40"/>
        <v>2+0</v>
      </c>
      <c r="L734">
        <f>VLOOKUP(A734,'ZONE 1 PREMIUM'!$A$4:$N$16,14,0)</f>
        <v>5</v>
      </c>
      <c r="M734">
        <f>VLOOKUP(D734,DROPDOWN!B:C,2,0)</f>
        <v>5</v>
      </c>
      <c r="N734" t="str">
        <f t="shared" si="38"/>
        <v>BR81:CJ92</v>
      </c>
      <c r="O734" s="4">
        <f t="shared" ca="1" si="39"/>
        <v>30125.7</v>
      </c>
    </row>
    <row r="735" spans="1:15">
      <c r="A735" s="2" t="s">
        <v>15</v>
      </c>
      <c r="B735" t="s">
        <v>33</v>
      </c>
      <c r="C735" t="s">
        <v>34</v>
      </c>
      <c r="D735">
        <v>7</v>
      </c>
      <c r="E735" t="s">
        <v>46</v>
      </c>
      <c r="F735">
        <v>2</v>
      </c>
      <c r="G735">
        <v>2</v>
      </c>
      <c r="H735">
        <v>0</v>
      </c>
      <c r="I735">
        <v>1</v>
      </c>
      <c r="J735" s="4" t="s">
        <v>53</v>
      </c>
      <c r="K735" t="str">
        <f t="shared" si="40"/>
        <v>2+0</v>
      </c>
      <c r="L735">
        <f>VLOOKUP(A735,'ZONE 1 PREMIUM'!$A$4:$N$16,14,0)</f>
        <v>6</v>
      </c>
      <c r="M735">
        <f>VLOOKUP(D735,DROPDOWN!B:C,2,0)</f>
        <v>5</v>
      </c>
      <c r="N735" t="str">
        <f t="shared" si="38"/>
        <v>BR81:CJ92</v>
      </c>
      <c r="O735" s="4">
        <f t="shared" ca="1" si="39"/>
        <v>40016.9</v>
      </c>
    </row>
    <row r="736" spans="1:15">
      <c r="A736" s="2" t="s">
        <v>16</v>
      </c>
      <c r="B736" t="s">
        <v>35</v>
      </c>
      <c r="C736" t="s">
        <v>36</v>
      </c>
      <c r="D736">
        <v>7</v>
      </c>
      <c r="E736" t="s">
        <v>46</v>
      </c>
      <c r="F736">
        <v>2</v>
      </c>
      <c r="G736">
        <v>2</v>
      </c>
      <c r="H736">
        <v>0</v>
      </c>
      <c r="I736">
        <v>1</v>
      </c>
      <c r="J736" s="4" t="s">
        <v>53</v>
      </c>
      <c r="K736" t="str">
        <f t="shared" si="40"/>
        <v>2+0</v>
      </c>
      <c r="L736">
        <f>VLOOKUP(A736,'ZONE 1 PREMIUM'!$A$4:$N$16,14,0)</f>
        <v>7</v>
      </c>
      <c r="M736">
        <f>VLOOKUP(D736,DROPDOWN!B:C,2,0)</f>
        <v>5</v>
      </c>
      <c r="N736" t="str">
        <f t="shared" si="38"/>
        <v>BR81:CJ92</v>
      </c>
      <c r="O736" s="4">
        <f t="shared" ca="1" si="39"/>
        <v>53551.3</v>
      </c>
    </row>
    <row r="737" spans="1:15">
      <c r="A737" s="2" t="s">
        <v>17</v>
      </c>
      <c r="B737" t="s">
        <v>37</v>
      </c>
      <c r="C737" t="s">
        <v>38</v>
      </c>
      <c r="D737">
        <v>7</v>
      </c>
      <c r="E737" t="s">
        <v>46</v>
      </c>
      <c r="F737">
        <v>2</v>
      </c>
      <c r="G737">
        <v>2</v>
      </c>
      <c r="H737">
        <v>0</v>
      </c>
      <c r="I737">
        <v>1</v>
      </c>
      <c r="J737" s="4" t="s">
        <v>53</v>
      </c>
      <c r="K737" t="str">
        <f t="shared" si="40"/>
        <v>2+0</v>
      </c>
      <c r="L737">
        <f>VLOOKUP(A737,'ZONE 1 PREMIUM'!$A$4:$N$16,14,0)</f>
        <v>8</v>
      </c>
      <c r="M737">
        <f>VLOOKUP(D737,DROPDOWN!B:C,2,0)</f>
        <v>5</v>
      </c>
      <c r="N737" t="str">
        <f t="shared" si="38"/>
        <v>BR81:CJ92</v>
      </c>
      <c r="O737" s="4">
        <f t="shared" ca="1" si="39"/>
        <v>73042.200000000012</v>
      </c>
    </row>
    <row r="738" spans="1:15">
      <c r="A738" s="2" t="s">
        <v>18</v>
      </c>
      <c r="B738" t="s">
        <v>39</v>
      </c>
      <c r="C738" t="s">
        <v>40</v>
      </c>
      <c r="D738">
        <v>7</v>
      </c>
      <c r="E738" t="s">
        <v>46</v>
      </c>
      <c r="F738">
        <v>2</v>
      </c>
      <c r="G738">
        <v>2</v>
      </c>
      <c r="H738">
        <v>0</v>
      </c>
      <c r="I738">
        <v>1</v>
      </c>
      <c r="J738" s="4" t="s">
        <v>53</v>
      </c>
      <c r="K738" t="str">
        <f t="shared" si="40"/>
        <v>2+0</v>
      </c>
      <c r="L738">
        <f>VLOOKUP(A738,'ZONE 1 PREMIUM'!$A$4:$N$16,14,0)</f>
        <v>9</v>
      </c>
      <c r="M738">
        <f>VLOOKUP(D738,DROPDOWN!B:C,2,0)</f>
        <v>5</v>
      </c>
      <c r="N738" t="str">
        <f t="shared" ref="N738:N785" si="41">VLOOKUP(K738,$CK$3:$CL$12,2,0)</f>
        <v>BR81:CJ92</v>
      </c>
      <c r="O738" s="4">
        <f t="shared" ca="1" si="39"/>
        <v>103408.8</v>
      </c>
    </row>
    <row r="739" spans="1:15">
      <c r="A739" s="2" t="s">
        <v>19</v>
      </c>
      <c r="B739" t="s">
        <v>41</v>
      </c>
      <c r="C739" t="s">
        <v>42</v>
      </c>
      <c r="D739">
        <v>7</v>
      </c>
      <c r="E739" t="s">
        <v>46</v>
      </c>
      <c r="F739">
        <v>2</v>
      </c>
      <c r="G739">
        <v>2</v>
      </c>
      <c r="H739">
        <v>0</v>
      </c>
      <c r="I739">
        <v>1</v>
      </c>
      <c r="J739" s="4" t="s">
        <v>53</v>
      </c>
      <c r="K739" t="str">
        <f t="shared" si="40"/>
        <v>2+0</v>
      </c>
      <c r="L739">
        <f>VLOOKUP(A739,'ZONE 1 PREMIUM'!$A$4:$N$16,14,0)</f>
        <v>10</v>
      </c>
      <c r="M739">
        <f>VLOOKUP(D739,DROPDOWN!B:C,2,0)</f>
        <v>5</v>
      </c>
      <c r="N739" t="str">
        <f t="shared" si="41"/>
        <v>BR81:CJ92</v>
      </c>
      <c r="O739" s="4">
        <f t="shared" ca="1" si="39"/>
        <v>143606.1</v>
      </c>
    </row>
    <row r="740" spans="1:15">
      <c r="A740" s="2" t="s">
        <v>20</v>
      </c>
      <c r="B740" t="s">
        <v>43</v>
      </c>
      <c r="C740" t="s">
        <v>44</v>
      </c>
      <c r="D740">
        <v>7</v>
      </c>
      <c r="E740" t="s">
        <v>46</v>
      </c>
      <c r="F740">
        <v>2</v>
      </c>
      <c r="G740">
        <v>2</v>
      </c>
      <c r="H740">
        <v>0</v>
      </c>
      <c r="I740">
        <v>1</v>
      </c>
      <c r="J740" s="4" t="s">
        <v>53</v>
      </c>
      <c r="K740" t="str">
        <f t="shared" si="40"/>
        <v>2+0</v>
      </c>
      <c r="L740">
        <f>VLOOKUP(A740,'ZONE 1 PREMIUM'!$A$4:$N$16,14,0)</f>
        <v>11</v>
      </c>
      <c r="M740">
        <f>VLOOKUP(D740,DROPDOWN!B:C,2,0)</f>
        <v>5</v>
      </c>
      <c r="N740" t="str">
        <f t="shared" si="41"/>
        <v>BR81:CJ92</v>
      </c>
      <c r="O740" s="4">
        <f t="shared" ca="1" si="39"/>
        <v>177149.5</v>
      </c>
    </row>
    <row r="741" spans="1:15">
      <c r="A741" s="2" t="s">
        <v>21</v>
      </c>
      <c r="B741" t="s">
        <v>22</v>
      </c>
      <c r="D741">
        <v>7</v>
      </c>
      <c r="E741" t="s">
        <v>46</v>
      </c>
      <c r="F741">
        <v>2</v>
      </c>
      <c r="G741">
        <v>2</v>
      </c>
      <c r="H741">
        <v>0</v>
      </c>
      <c r="I741">
        <v>1</v>
      </c>
      <c r="J741" s="4" t="s">
        <v>53</v>
      </c>
      <c r="K741" t="str">
        <f t="shared" si="40"/>
        <v>2+0</v>
      </c>
      <c r="L741">
        <f>VLOOKUP(A741,'ZONE 1 PREMIUM'!$A$4:$N$16,14,0)</f>
        <v>12</v>
      </c>
      <c r="M741">
        <f>VLOOKUP(D741,DROPDOWN!B:C,2,0)</f>
        <v>5</v>
      </c>
      <c r="N741" t="str">
        <f t="shared" si="41"/>
        <v>BR81:CJ92</v>
      </c>
      <c r="O741" s="4">
        <f t="shared" ca="1" si="39"/>
        <v>226163.30000000002</v>
      </c>
    </row>
    <row r="742" spans="1:15">
      <c r="A742" s="2" t="s">
        <v>11</v>
      </c>
      <c r="B742" t="s">
        <v>45</v>
      </c>
      <c r="C742" t="s">
        <v>25</v>
      </c>
      <c r="D742">
        <v>7</v>
      </c>
      <c r="E742" t="s">
        <v>46</v>
      </c>
      <c r="F742">
        <v>3</v>
      </c>
      <c r="G742">
        <v>2</v>
      </c>
      <c r="H742">
        <v>1</v>
      </c>
      <c r="I742">
        <v>1</v>
      </c>
      <c r="J742" s="4" t="s">
        <v>53</v>
      </c>
      <c r="K742" t="str">
        <f t="shared" si="40"/>
        <v>2+1</v>
      </c>
      <c r="L742">
        <f>VLOOKUP(A742,'ZONE 1 PREMIUM'!$A$4:$N$16,14,0)</f>
        <v>2</v>
      </c>
      <c r="M742">
        <f>VLOOKUP(D742,DROPDOWN!B:C,2,0)</f>
        <v>5</v>
      </c>
      <c r="N742" t="str">
        <f t="shared" si="41"/>
        <v>BR98:CJ109</v>
      </c>
      <c r="O742" s="4">
        <f t="shared" ca="1" si="39"/>
        <v>24931.500000000004</v>
      </c>
    </row>
    <row r="743" spans="1:15">
      <c r="A743" s="2" t="s">
        <v>12</v>
      </c>
      <c r="B743" t="s">
        <v>27</v>
      </c>
      <c r="C743" t="s">
        <v>28</v>
      </c>
      <c r="D743">
        <v>7</v>
      </c>
      <c r="E743" t="s">
        <v>46</v>
      </c>
      <c r="F743">
        <v>3</v>
      </c>
      <c r="G743">
        <v>2</v>
      </c>
      <c r="H743">
        <v>1</v>
      </c>
      <c r="I743">
        <v>1</v>
      </c>
      <c r="J743" s="4" t="s">
        <v>53</v>
      </c>
      <c r="K743" t="str">
        <f t="shared" si="40"/>
        <v>2+1</v>
      </c>
      <c r="L743">
        <f>VLOOKUP(A743,'ZONE 1 PREMIUM'!$A$4:$N$16,14,0)</f>
        <v>3</v>
      </c>
      <c r="M743">
        <f>VLOOKUP(D743,DROPDOWN!B:C,2,0)</f>
        <v>5</v>
      </c>
      <c r="N743" t="str">
        <f t="shared" si="41"/>
        <v>BR98:CJ109</v>
      </c>
      <c r="O743" s="4">
        <f t="shared" ca="1" si="39"/>
        <v>27770.600000000002</v>
      </c>
    </row>
    <row r="744" spans="1:15">
      <c r="A744" s="2" t="s">
        <v>13</v>
      </c>
      <c r="B744" t="s">
        <v>29</v>
      </c>
      <c r="C744" t="s">
        <v>30</v>
      </c>
      <c r="D744">
        <v>7</v>
      </c>
      <c r="E744" t="s">
        <v>46</v>
      </c>
      <c r="F744">
        <v>3</v>
      </c>
      <c r="G744">
        <v>2</v>
      </c>
      <c r="H744">
        <v>1</v>
      </c>
      <c r="I744">
        <v>1</v>
      </c>
      <c r="J744" s="4" t="s">
        <v>53</v>
      </c>
      <c r="K744" t="str">
        <f t="shared" si="40"/>
        <v>2+1</v>
      </c>
      <c r="L744">
        <f>VLOOKUP(A744,'ZONE 1 PREMIUM'!$A$4:$N$16,14,0)</f>
        <v>4</v>
      </c>
      <c r="M744">
        <f>VLOOKUP(D744,DROPDOWN!B:C,2,0)</f>
        <v>5</v>
      </c>
      <c r="N744" t="str">
        <f t="shared" si="41"/>
        <v>BR98:CJ109</v>
      </c>
      <c r="O744" s="4">
        <f t="shared" ca="1" si="39"/>
        <v>31035.4</v>
      </c>
    </row>
    <row r="745" spans="1:15">
      <c r="A745" s="2" t="s">
        <v>14</v>
      </c>
      <c r="B745" t="s">
        <v>31</v>
      </c>
      <c r="C745" t="s">
        <v>32</v>
      </c>
      <c r="D745">
        <v>7</v>
      </c>
      <c r="E745" t="s">
        <v>46</v>
      </c>
      <c r="F745">
        <v>3</v>
      </c>
      <c r="G745">
        <v>2</v>
      </c>
      <c r="H745">
        <v>1</v>
      </c>
      <c r="I745">
        <v>1</v>
      </c>
      <c r="J745" s="4" t="s">
        <v>53</v>
      </c>
      <c r="K745" t="str">
        <f t="shared" si="40"/>
        <v>2+1</v>
      </c>
      <c r="L745">
        <f>VLOOKUP(A745,'ZONE 1 PREMIUM'!$A$4:$N$16,14,0)</f>
        <v>5</v>
      </c>
      <c r="M745">
        <f>VLOOKUP(D745,DROPDOWN!B:C,2,0)</f>
        <v>5</v>
      </c>
      <c r="N745" t="str">
        <f t="shared" si="41"/>
        <v>BR98:CJ109</v>
      </c>
      <c r="O745" s="4">
        <f t="shared" ca="1" si="39"/>
        <v>35487.100000000006</v>
      </c>
    </row>
    <row r="746" spans="1:15">
      <c r="A746" s="2" t="s">
        <v>15</v>
      </c>
      <c r="B746" t="s">
        <v>33</v>
      </c>
      <c r="C746" t="s">
        <v>34</v>
      </c>
      <c r="D746">
        <v>7</v>
      </c>
      <c r="E746" t="s">
        <v>46</v>
      </c>
      <c r="F746">
        <v>3</v>
      </c>
      <c r="G746">
        <v>2</v>
      </c>
      <c r="H746">
        <v>1</v>
      </c>
      <c r="I746">
        <v>1</v>
      </c>
      <c r="J746" s="4" t="s">
        <v>53</v>
      </c>
      <c r="K746" t="str">
        <f t="shared" si="40"/>
        <v>2+1</v>
      </c>
      <c r="L746">
        <f>VLOOKUP(A746,'ZONE 1 PREMIUM'!$A$4:$N$16,14,0)</f>
        <v>6</v>
      </c>
      <c r="M746">
        <f>VLOOKUP(D746,DROPDOWN!B:C,2,0)</f>
        <v>5</v>
      </c>
      <c r="N746" t="str">
        <f t="shared" si="41"/>
        <v>BR98:CJ109</v>
      </c>
      <c r="O746" s="4">
        <f t="shared" ca="1" si="39"/>
        <v>46036.100000000006</v>
      </c>
    </row>
    <row r="747" spans="1:15">
      <c r="A747" s="2" t="s">
        <v>16</v>
      </c>
      <c r="B747" t="s">
        <v>35</v>
      </c>
      <c r="C747" t="s">
        <v>36</v>
      </c>
      <c r="D747">
        <v>7</v>
      </c>
      <c r="E747" t="s">
        <v>46</v>
      </c>
      <c r="F747">
        <v>3</v>
      </c>
      <c r="G747">
        <v>2</v>
      </c>
      <c r="H747">
        <v>1</v>
      </c>
      <c r="I747">
        <v>1</v>
      </c>
      <c r="J747" s="4" t="s">
        <v>53</v>
      </c>
      <c r="K747" t="str">
        <f t="shared" si="40"/>
        <v>2+1</v>
      </c>
      <c r="L747">
        <f>VLOOKUP(A747,'ZONE 1 PREMIUM'!$A$4:$N$16,14,0)</f>
        <v>7</v>
      </c>
      <c r="M747">
        <f>VLOOKUP(D747,DROPDOWN!B:C,2,0)</f>
        <v>5</v>
      </c>
      <c r="N747" t="str">
        <f t="shared" si="41"/>
        <v>BR98:CJ109</v>
      </c>
      <c r="O747" s="4">
        <f t="shared" ca="1" si="39"/>
        <v>61008.200000000004</v>
      </c>
    </row>
    <row r="748" spans="1:15">
      <c r="A748" s="2" t="s">
        <v>17</v>
      </c>
      <c r="B748" t="s">
        <v>37</v>
      </c>
      <c r="C748" t="s">
        <v>38</v>
      </c>
      <c r="D748">
        <v>7</v>
      </c>
      <c r="E748" t="s">
        <v>46</v>
      </c>
      <c r="F748">
        <v>3</v>
      </c>
      <c r="G748">
        <v>2</v>
      </c>
      <c r="H748">
        <v>1</v>
      </c>
      <c r="I748">
        <v>1</v>
      </c>
      <c r="J748" s="4" t="s">
        <v>53</v>
      </c>
      <c r="K748" t="str">
        <f t="shared" si="40"/>
        <v>2+1</v>
      </c>
      <c r="L748">
        <f>VLOOKUP(A748,'ZONE 1 PREMIUM'!$A$4:$N$16,14,0)</f>
        <v>8</v>
      </c>
      <c r="M748">
        <f>VLOOKUP(D748,DROPDOWN!B:C,2,0)</f>
        <v>5</v>
      </c>
      <c r="N748" t="str">
        <f t="shared" si="41"/>
        <v>BR98:CJ109</v>
      </c>
      <c r="O748" s="4">
        <f t="shared" ca="1" si="39"/>
        <v>81074.400000000009</v>
      </c>
    </row>
    <row r="749" spans="1:15">
      <c r="A749" s="2" t="s">
        <v>18</v>
      </c>
      <c r="B749" t="s">
        <v>39</v>
      </c>
      <c r="C749" t="s">
        <v>40</v>
      </c>
      <c r="D749">
        <v>7</v>
      </c>
      <c r="E749" t="s">
        <v>46</v>
      </c>
      <c r="F749">
        <v>3</v>
      </c>
      <c r="G749">
        <v>2</v>
      </c>
      <c r="H749">
        <v>1</v>
      </c>
      <c r="I749">
        <v>1</v>
      </c>
      <c r="J749" s="4" t="s">
        <v>53</v>
      </c>
      <c r="K749" t="str">
        <f t="shared" si="40"/>
        <v>2+1</v>
      </c>
      <c r="L749">
        <f>VLOOKUP(A749,'ZONE 1 PREMIUM'!$A$4:$N$16,14,0)</f>
        <v>9</v>
      </c>
      <c r="M749">
        <f>VLOOKUP(D749,DROPDOWN!B:C,2,0)</f>
        <v>5</v>
      </c>
      <c r="N749" t="str">
        <f t="shared" si="41"/>
        <v>BR98:CJ109</v>
      </c>
      <c r="O749" s="4">
        <f t="shared" ca="1" si="39"/>
        <v>111585.1</v>
      </c>
    </row>
    <row r="750" spans="1:15">
      <c r="A750" s="2" t="s">
        <v>19</v>
      </c>
      <c r="B750" t="s">
        <v>41</v>
      </c>
      <c r="C750" t="s">
        <v>42</v>
      </c>
      <c r="D750">
        <v>7</v>
      </c>
      <c r="E750" t="s">
        <v>46</v>
      </c>
      <c r="F750">
        <v>3</v>
      </c>
      <c r="G750">
        <v>2</v>
      </c>
      <c r="H750">
        <v>1</v>
      </c>
      <c r="I750">
        <v>1</v>
      </c>
      <c r="J750" s="4" t="s">
        <v>53</v>
      </c>
      <c r="K750" t="str">
        <f t="shared" si="40"/>
        <v>2+1</v>
      </c>
      <c r="L750">
        <f>VLOOKUP(A750,'ZONE 1 PREMIUM'!$A$4:$N$16,14,0)</f>
        <v>10</v>
      </c>
      <c r="M750">
        <f>VLOOKUP(D750,DROPDOWN!B:C,2,0)</f>
        <v>5</v>
      </c>
      <c r="N750" t="str">
        <f t="shared" si="41"/>
        <v>BR98:CJ109</v>
      </c>
      <c r="O750" s="4">
        <f t="shared" ca="1" si="39"/>
        <v>148547.30000000002</v>
      </c>
    </row>
    <row r="751" spans="1:15">
      <c r="A751" s="2" t="s">
        <v>20</v>
      </c>
      <c r="B751" t="s">
        <v>43</v>
      </c>
      <c r="C751" t="s">
        <v>44</v>
      </c>
      <c r="D751">
        <v>7</v>
      </c>
      <c r="E751" t="s">
        <v>46</v>
      </c>
      <c r="F751">
        <v>3</v>
      </c>
      <c r="G751">
        <v>2</v>
      </c>
      <c r="H751">
        <v>1</v>
      </c>
      <c r="I751">
        <v>1</v>
      </c>
      <c r="J751" s="4" t="s">
        <v>53</v>
      </c>
      <c r="K751" t="str">
        <f t="shared" si="40"/>
        <v>2+1</v>
      </c>
      <c r="L751">
        <f>VLOOKUP(A751,'ZONE 1 PREMIUM'!$A$4:$N$16,14,0)</f>
        <v>11</v>
      </c>
      <c r="M751">
        <f>VLOOKUP(D751,DROPDOWN!B:C,2,0)</f>
        <v>5</v>
      </c>
      <c r="N751" t="str">
        <f t="shared" si="41"/>
        <v>BR98:CJ109</v>
      </c>
      <c r="O751" s="4">
        <f t="shared" ca="1" si="39"/>
        <v>180928.00000000003</v>
      </c>
    </row>
    <row r="752" spans="1:15">
      <c r="A752" s="2" t="s">
        <v>21</v>
      </c>
      <c r="B752" t="s">
        <v>22</v>
      </c>
      <c r="D752">
        <v>7</v>
      </c>
      <c r="E752" t="s">
        <v>46</v>
      </c>
      <c r="F752">
        <v>3</v>
      </c>
      <c r="G752">
        <v>2</v>
      </c>
      <c r="H752">
        <v>1</v>
      </c>
      <c r="I752">
        <v>1</v>
      </c>
      <c r="J752" s="4" t="s">
        <v>53</v>
      </c>
      <c r="K752" t="str">
        <f t="shared" si="40"/>
        <v>2+1</v>
      </c>
      <c r="L752">
        <f>VLOOKUP(A752,'ZONE 1 PREMIUM'!$A$4:$N$16,14,0)</f>
        <v>12</v>
      </c>
      <c r="M752">
        <f>VLOOKUP(D752,DROPDOWN!B:C,2,0)</f>
        <v>5</v>
      </c>
      <c r="N752" t="str">
        <f t="shared" si="41"/>
        <v>BR98:CJ109</v>
      </c>
      <c r="O752" s="4">
        <f t="shared" ca="1" si="39"/>
        <v>229769.1</v>
      </c>
    </row>
    <row r="753" spans="1:15">
      <c r="A753" s="2" t="s">
        <v>11</v>
      </c>
      <c r="B753" t="s">
        <v>45</v>
      </c>
      <c r="C753" t="s">
        <v>25</v>
      </c>
      <c r="D753">
        <v>7</v>
      </c>
      <c r="E753" t="s">
        <v>46</v>
      </c>
      <c r="F753">
        <v>4</v>
      </c>
      <c r="G753">
        <v>2</v>
      </c>
      <c r="H753">
        <v>2</v>
      </c>
      <c r="I753">
        <v>1</v>
      </c>
      <c r="J753" s="4" t="s">
        <v>53</v>
      </c>
      <c r="K753" t="str">
        <f t="shared" si="40"/>
        <v>2+2</v>
      </c>
      <c r="L753">
        <f>VLOOKUP(A753,'ZONE 1 PREMIUM'!$A$4:$N$16,14,0)</f>
        <v>2</v>
      </c>
      <c r="M753">
        <f>VLOOKUP(D753,DROPDOWN!B:C,2,0)</f>
        <v>5</v>
      </c>
      <c r="N753" t="str">
        <f t="shared" si="41"/>
        <v>BR113:CJ124</v>
      </c>
      <c r="O753" s="4">
        <f t="shared" ca="1" si="39"/>
        <v>29181.9</v>
      </c>
    </row>
    <row r="754" spans="1:15">
      <c r="A754" s="2" t="s">
        <v>12</v>
      </c>
      <c r="B754" t="s">
        <v>27</v>
      </c>
      <c r="C754" t="s">
        <v>28</v>
      </c>
      <c r="D754">
        <v>7</v>
      </c>
      <c r="E754" t="s">
        <v>46</v>
      </c>
      <c r="F754">
        <v>4</v>
      </c>
      <c r="G754">
        <v>2</v>
      </c>
      <c r="H754">
        <v>2</v>
      </c>
      <c r="I754">
        <v>1</v>
      </c>
      <c r="J754" s="4" t="s">
        <v>53</v>
      </c>
      <c r="K754" t="str">
        <f t="shared" si="40"/>
        <v>2+2</v>
      </c>
      <c r="L754">
        <f>VLOOKUP(A754,'ZONE 1 PREMIUM'!$A$4:$N$16,14,0)</f>
        <v>3</v>
      </c>
      <c r="M754">
        <f>VLOOKUP(D754,DROPDOWN!B:C,2,0)</f>
        <v>5</v>
      </c>
      <c r="N754" t="str">
        <f t="shared" si="41"/>
        <v>BR113:CJ124</v>
      </c>
      <c r="O754" s="4">
        <f t="shared" ca="1" si="39"/>
        <v>31944.000000000004</v>
      </c>
    </row>
    <row r="755" spans="1:15">
      <c r="A755" s="2" t="s">
        <v>13</v>
      </c>
      <c r="B755" t="s">
        <v>29</v>
      </c>
      <c r="C755" t="s">
        <v>30</v>
      </c>
      <c r="D755">
        <v>7</v>
      </c>
      <c r="E755" t="s">
        <v>46</v>
      </c>
      <c r="F755">
        <v>4</v>
      </c>
      <c r="G755">
        <v>2</v>
      </c>
      <c r="H755">
        <v>2</v>
      </c>
      <c r="I755">
        <v>1</v>
      </c>
      <c r="J755" s="4" t="s">
        <v>53</v>
      </c>
      <c r="K755" t="str">
        <f t="shared" si="40"/>
        <v>2+2</v>
      </c>
      <c r="L755">
        <f>VLOOKUP(A755,'ZONE 1 PREMIUM'!$A$4:$N$16,14,0)</f>
        <v>4</v>
      </c>
      <c r="M755">
        <f>VLOOKUP(D755,DROPDOWN!B:C,2,0)</f>
        <v>5</v>
      </c>
      <c r="N755" t="str">
        <f t="shared" si="41"/>
        <v>BR113:CJ124</v>
      </c>
      <c r="O755" s="4">
        <f t="shared" ca="1" si="39"/>
        <v>35869.9</v>
      </c>
    </row>
    <row r="756" spans="1:15">
      <c r="A756" s="2" t="s">
        <v>14</v>
      </c>
      <c r="B756" t="s">
        <v>31</v>
      </c>
      <c r="C756" t="s">
        <v>32</v>
      </c>
      <c r="D756">
        <v>7</v>
      </c>
      <c r="E756" t="s">
        <v>46</v>
      </c>
      <c r="F756">
        <v>4</v>
      </c>
      <c r="G756">
        <v>2</v>
      </c>
      <c r="H756">
        <v>2</v>
      </c>
      <c r="I756">
        <v>1</v>
      </c>
      <c r="J756" s="4" t="s">
        <v>53</v>
      </c>
      <c r="K756" t="str">
        <f t="shared" si="40"/>
        <v>2+2</v>
      </c>
      <c r="L756">
        <f>VLOOKUP(A756,'ZONE 1 PREMIUM'!$A$4:$N$16,14,0)</f>
        <v>5</v>
      </c>
      <c r="M756">
        <f>VLOOKUP(D756,DROPDOWN!B:C,2,0)</f>
        <v>5</v>
      </c>
      <c r="N756" t="str">
        <f t="shared" si="41"/>
        <v>BR113:CJ124</v>
      </c>
      <c r="O756" s="4">
        <f t="shared" ca="1" si="39"/>
        <v>40627.4</v>
      </c>
    </row>
    <row r="757" spans="1:15">
      <c r="A757" s="2" t="s">
        <v>15</v>
      </c>
      <c r="B757" t="s">
        <v>33</v>
      </c>
      <c r="C757" t="s">
        <v>34</v>
      </c>
      <c r="D757">
        <v>7</v>
      </c>
      <c r="E757" t="s">
        <v>46</v>
      </c>
      <c r="F757">
        <v>4</v>
      </c>
      <c r="G757">
        <v>2</v>
      </c>
      <c r="H757">
        <v>2</v>
      </c>
      <c r="I757">
        <v>1</v>
      </c>
      <c r="J757" s="4" t="s">
        <v>53</v>
      </c>
      <c r="K757" t="str">
        <f t="shared" si="40"/>
        <v>2+2</v>
      </c>
      <c r="L757">
        <f>VLOOKUP(A757,'ZONE 1 PREMIUM'!$A$4:$N$16,14,0)</f>
        <v>6</v>
      </c>
      <c r="M757">
        <f>VLOOKUP(D757,DROPDOWN!B:C,2,0)</f>
        <v>5</v>
      </c>
      <c r="N757" t="str">
        <f t="shared" si="41"/>
        <v>BR113:CJ124</v>
      </c>
      <c r="O757" s="4">
        <f t="shared" ca="1" si="39"/>
        <v>51801.200000000004</v>
      </c>
    </row>
    <row r="758" spans="1:15">
      <c r="A758" s="2" t="s">
        <v>16</v>
      </c>
      <c r="B758" t="s">
        <v>35</v>
      </c>
      <c r="C758" t="s">
        <v>36</v>
      </c>
      <c r="D758">
        <v>7</v>
      </c>
      <c r="E758" t="s">
        <v>46</v>
      </c>
      <c r="F758">
        <v>4</v>
      </c>
      <c r="G758">
        <v>2</v>
      </c>
      <c r="H758">
        <v>2</v>
      </c>
      <c r="I758">
        <v>1</v>
      </c>
      <c r="J758" s="4" t="s">
        <v>53</v>
      </c>
      <c r="K758" t="str">
        <f t="shared" si="40"/>
        <v>2+2</v>
      </c>
      <c r="L758">
        <f>VLOOKUP(A758,'ZONE 1 PREMIUM'!$A$4:$N$16,14,0)</f>
        <v>7</v>
      </c>
      <c r="M758">
        <f>VLOOKUP(D758,DROPDOWN!B:C,2,0)</f>
        <v>5</v>
      </c>
      <c r="N758" t="str">
        <f t="shared" si="41"/>
        <v>BR113:CJ124</v>
      </c>
      <c r="O758" s="4">
        <f t="shared" ca="1" si="39"/>
        <v>68153.8</v>
      </c>
    </row>
    <row r="759" spans="1:15">
      <c r="A759" s="2" t="s">
        <v>17</v>
      </c>
      <c r="B759" t="s">
        <v>37</v>
      </c>
      <c r="C759" t="s">
        <v>38</v>
      </c>
      <c r="D759">
        <v>7</v>
      </c>
      <c r="E759" t="s">
        <v>46</v>
      </c>
      <c r="F759">
        <v>4</v>
      </c>
      <c r="G759">
        <v>2</v>
      </c>
      <c r="H759">
        <v>2</v>
      </c>
      <c r="I759">
        <v>1</v>
      </c>
      <c r="J759" s="4" t="s">
        <v>53</v>
      </c>
      <c r="K759" t="str">
        <f t="shared" si="40"/>
        <v>2+2</v>
      </c>
      <c r="L759">
        <f>VLOOKUP(A759,'ZONE 1 PREMIUM'!$A$4:$N$16,14,0)</f>
        <v>8</v>
      </c>
      <c r="M759">
        <f>VLOOKUP(D759,DROPDOWN!B:C,2,0)</f>
        <v>5</v>
      </c>
      <c r="N759" t="str">
        <f t="shared" si="41"/>
        <v>BR113:CJ124</v>
      </c>
      <c r="O759" s="4">
        <f t="shared" ca="1" si="39"/>
        <v>87751.400000000009</v>
      </c>
    </row>
    <row r="760" spans="1:15">
      <c r="A760" s="2" t="s">
        <v>18</v>
      </c>
      <c r="B760" t="s">
        <v>39</v>
      </c>
      <c r="C760" t="s">
        <v>40</v>
      </c>
      <c r="D760">
        <v>7</v>
      </c>
      <c r="E760" t="s">
        <v>46</v>
      </c>
      <c r="F760">
        <v>4</v>
      </c>
      <c r="G760">
        <v>2</v>
      </c>
      <c r="H760">
        <v>2</v>
      </c>
      <c r="I760">
        <v>1</v>
      </c>
      <c r="J760" s="4" t="s">
        <v>53</v>
      </c>
      <c r="K760" t="str">
        <f t="shared" si="40"/>
        <v>2+2</v>
      </c>
      <c r="L760">
        <f>VLOOKUP(A760,'ZONE 1 PREMIUM'!$A$4:$N$16,14,0)</f>
        <v>9</v>
      </c>
      <c r="M760">
        <f>VLOOKUP(D760,DROPDOWN!B:C,2,0)</f>
        <v>5</v>
      </c>
      <c r="N760" t="str">
        <f t="shared" si="41"/>
        <v>BR113:CJ124</v>
      </c>
      <c r="O760" s="4">
        <f t="shared" ca="1" si="39"/>
        <v>116853.00000000001</v>
      </c>
    </row>
    <row r="761" spans="1:15">
      <c r="A761" s="2" t="s">
        <v>19</v>
      </c>
      <c r="B761" t="s">
        <v>41</v>
      </c>
      <c r="C761" t="s">
        <v>42</v>
      </c>
      <c r="D761">
        <v>7</v>
      </c>
      <c r="E761" t="s">
        <v>46</v>
      </c>
      <c r="F761">
        <v>4</v>
      </c>
      <c r="G761">
        <v>2</v>
      </c>
      <c r="H761">
        <v>2</v>
      </c>
      <c r="I761">
        <v>1</v>
      </c>
      <c r="J761" s="4" t="s">
        <v>53</v>
      </c>
      <c r="K761" t="str">
        <f t="shared" si="40"/>
        <v>2+2</v>
      </c>
      <c r="L761">
        <f>VLOOKUP(A761,'ZONE 1 PREMIUM'!$A$4:$N$16,14,0)</f>
        <v>10</v>
      </c>
      <c r="M761">
        <f>VLOOKUP(D761,DROPDOWN!B:C,2,0)</f>
        <v>5</v>
      </c>
      <c r="N761" t="str">
        <f t="shared" si="41"/>
        <v>BR113:CJ124</v>
      </c>
      <c r="O761" s="4">
        <f t="shared" ca="1" si="39"/>
        <v>150697.80000000002</v>
      </c>
    </row>
    <row r="762" spans="1:15">
      <c r="A762" s="2" t="s">
        <v>20</v>
      </c>
      <c r="B762" t="s">
        <v>43</v>
      </c>
      <c r="C762" t="s">
        <v>44</v>
      </c>
      <c r="D762">
        <v>7</v>
      </c>
      <c r="E762" t="s">
        <v>46</v>
      </c>
      <c r="F762">
        <v>4</v>
      </c>
      <c r="G762">
        <v>2</v>
      </c>
      <c r="H762">
        <v>2</v>
      </c>
      <c r="I762">
        <v>1</v>
      </c>
      <c r="J762" s="4" t="s">
        <v>53</v>
      </c>
      <c r="K762" t="str">
        <f t="shared" si="40"/>
        <v>2+2</v>
      </c>
      <c r="L762">
        <f>VLOOKUP(A762,'ZONE 1 PREMIUM'!$A$4:$N$16,14,0)</f>
        <v>11</v>
      </c>
      <c r="M762">
        <f>VLOOKUP(D762,DROPDOWN!B:C,2,0)</f>
        <v>5</v>
      </c>
      <c r="N762" t="str">
        <f t="shared" si="41"/>
        <v>BR113:CJ124</v>
      </c>
      <c r="O762" s="4">
        <f t="shared" ca="1" si="39"/>
        <v>183383.2</v>
      </c>
    </row>
    <row r="763" spans="1:15">
      <c r="A763" s="2" t="s">
        <v>21</v>
      </c>
      <c r="B763" t="s">
        <v>22</v>
      </c>
      <c r="D763">
        <v>7</v>
      </c>
      <c r="E763" t="s">
        <v>46</v>
      </c>
      <c r="F763">
        <v>4</v>
      </c>
      <c r="G763">
        <v>2</v>
      </c>
      <c r="H763">
        <v>2</v>
      </c>
      <c r="I763">
        <v>1</v>
      </c>
      <c r="J763" s="4" t="s">
        <v>53</v>
      </c>
      <c r="K763" t="str">
        <f t="shared" si="40"/>
        <v>2+2</v>
      </c>
      <c r="L763">
        <f>VLOOKUP(A763,'ZONE 1 PREMIUM'!$A$4:$N$16,14,0)</f>
        <v>12</v>
      </c>
      <c r="M763">
        <f>VLOOKUP(D763,DROPDOWN!B:C,2,0)</f>
        <v>5</v>
      </c>
      <c r="N763" t="str">
        <f t="shared" si="41"/>
        <v>BR113:CJ124</v>
      </c>
      <c r="O763" s="4">
        <f t="shared" ca="1" si="39"/>
        <v>232379.40000000002</v>
      </c>
    </row>
    <row r="764" spans="1:15">
      <c r="A764" s="2" t="s">
        <v>11</v>
      </c>
      <c r="B764" t="s">
        <v>45</v>
      </c>
      <c r="C764" t="s">
        <v>25</v>
      </c>
      <c r="D764">
        <v>7</v>
      </c>
      <c r="E764" t="s">
        <v>46</v>
      </c>
      <c r="F764">
        <v>5</v>
      </c>
      <c r="G764">
        <v>2</v>
      </c>
      <c r="H764">
        <v>3</v>
      </c>
      <c r="I764">
        <v>1</v>
      </c>
      <c r="J764" s="4" t="s">
        <v>53</v>
      </c>
      <c r="K764" t="str">
        <f t="shared" si="40"/>
        <v>2+3</v>
      </c>
      <c r="L764">
        <f>VLOOKUP(A764,'ZONE 1 PREMIUM'!$A$4:$N$16,14,0)</f>
        <v>2</v>
      </c>
      <c r="M764">
        <f>VLOOKUP(D764,DROPDOWN!B:C,2,0)</f>
        <v>5</v>
      </c>
      <c r="N764" t="str">
        <f t="shared" si="41"/>
        <v>BR128:CJ139</v>
      </c>
      <c r="O764" s="4">
        <f t="shared" ca="1" si="39"/>
        <v>33431.200000000004</v>
      </c>
    </row>
    <row r="765" spans="1:15">
      <c r="A765" s="2" t="s">
        <v>12</v>
      </c>
      <c r="B765" t="s">
        <v>27</v>
      </c>
      <c r="C765" t="s">
        <v>28</v>
      </c>
      <c r="D765">
        <v>7</v>
      </c>
      <c r="E765" t="s">
        <v>46</v>
      </c>
      <c r="F765">
        <v>5</v>
      </c>
      <c r="G765">
        <v>2</v>
      </c>
      <c r="H765">
        <v>3</v>
      </c>
      <c r="I765">
        <v>1</v>
      </c>
      <c r="J765" s="4" t="s">
        <v>53</v>
      </c>
      <c r="K765" t="str">
        <f t="shared" si="40"/>
        <v>2+3</v>
      </c>
      <c r="L765">
        <f>VLOOKUP(A765,'ZONE 1 PREMIUM'!$A$4:$N$16,14,0)</f>
        <v>3</v>
      </c>
      <c r="M765">
        <f>VLOOKUP(D765,DROPDOWN!B:C,2,0)</f>
        <v>5</v>
      </c>
      <c r="N765" t="str">
        <f t="shared" si="41"/>
        <v>BR128:CJ139</v>
      </c>
      <c r="O765" s="4">
        <f t="shared" ca="1" si="39"/>
        <v>36117.4</v>
      </c>
    </row>
    <row r="766" spans="1:15">
      <c r="A766" s="2" t="s">
        <v>13</v>
      </c>
      <c r="B766" t="s">
        <v>29</v>
      </c>
      <c r="C766" t="s">
        <v>30</v>
      </c>
      <c r="D766">
        <v>7</v>
      </c>
      <c r="E766" t="s">
        <v>46</v>
      </c>
      <c r="F766">
        <v>5</v>
      </c>
      <c r="G766">
        <v>2</v>
      </c>
      <c r="H766">
        <v>3</v>
      </c>
      <c r="I766">
        <v>1</v>
      </c>
      <c r="J766" s="4" t="s">
        <v>53</v>
      </c>
      <c r="K766" t="str">
        <f t="shared" si="40"/>
        <v>2+3</v>
      </c>
      <c r="L766">
        <f>VLOOKUP(A766,'ZONE 1 PREMIUM'!$A$4:$N$16,14,0)</f>
        <v>4</v>
      </c>
      <c r="M766">
        <f>VLOOKUP(D766,DROPDOWN!B:C,2,0)</f>
        <v>5</v>
      </c>
      <c r="N766" t="str">
        <f t="shared" si="41"/>
        <v>BR128:CJ139</v>
      </c>
      <c r="O766" s="4">
        <f t="shared" ca="1" si="39"/>
        <v>40703.300000000003</v>
      </c>
    </row>
    <row r="767" spans="1:15">
      <c r="A767" s="2" t="s">
        <v>14</v>
      </c>
      <c r="B767" t="s">
        <v>31</v>
      </c>
      <c r="C767" t="s">
        <v>32</v>
      </c>
      <c r="D767">
        <v>7</v>
      </c>
      <c r="E767" t="s">
        <v>46</v>
      </c>
      <c r="F767">
        <v>5</v>
      </c>
      <c r="G767">
        <v>2</v>
      </c>
      <c r="H767">
        <v>3</v>
      </c>
      <c r="I767">
        <v>1</v>
      </c>
      <c r="J767" s="4" t="s">
        <v>53</v>
      </c>
      <c r="K767" t="str">
        <f t="shared" si="40"/>
        <v>2+3</v>
      </c>
      <c r="L767">
        <f>VLOOKUP(A767,'ZONE 1 PREMIUM'!$A$4:$N$16,14,0)</f>
        <v>5</v>
      </c>
      <c r="M767">
        <f>VLOOKUP(D767,DROPDOWN!B:C,2,0)</f>
        <v>5</v>
      </c>
      <c r="N767" t="str">
        <f t="shared" si="41"/>
        <v>BR128:CJ139</v>
      </c>
      <c r="O767" s="4">
        <f t="shared" ca="1" si="39"/>
        <v>45768.800000000003</v>
      </c>
    </row>
    <row r="768" spans="1:15">
      <c r="A768" s="2" t="s">
        <v>15</v>
      </c>
      <c r="B768" t="s">
        <v>33</v>
      </c>
      <c r="C768" t="s">
        <v>34</v>
      </c>
      <c r="D768">
        <v>7</v>
      </c>
      <c r="E768" t="s">
        <v>46</v>
      </c>
      <c r="F768">
        <v>5</v>
      </c>
      <c r="G768">
        <v>2</v>
      </c>
      <c r="H768">
        <v>3</v>
      </c>
      <c r="I768">
        <v>1</v>
      </c>
      <c r="J768" s="4" t="s">
        <v>53</v>
      </c>
      <c r="K768" t="str">
        <f t="shared" si="40"/>
        <v>2+3</v>
      </c>
      <c r="L768">
        <f>VLOOKUP(A768,'ZONE 1 PREMIUM'!$A$4:$N$16,14,0)</f>
        <v>6</v>
      </c>
      <c r="M768">
        <f>VLOOKUP(D768,DROPDOWN!B:C,2,0)</f>
        <v>5</v>
      </c>
      <c r="N768" t="str">
        <f t="shared" si="41"/>
        <v>BR128:CJ139</v>
      </c>
      <c r="O768" s="4">
        <f t="shared" ca="1" si="39"/>
        <v>57566.3</v>
      </c>
    </row>
    <row r="769" spans="1:15">
      <c r="A769" s="2" t="s">
        <v>16</v>
      </c>
      <c r="B769" t="s">
        <v>35</v>
      </c>
      <c r="C769" t="s">
        <v>36</v>
      </c>
      <c r="D769">
        <v>7</v>
      </c>
      <c r="E769" t="s">
        <v>46</v>
      </c>
      <c r="F769">
        <v>5</v>
      </c>
      <c r="G769">
        <v>2</v>
      </c>
      <c r="H769">
        <v>3</v>
      </c>
      <c r="I769">
        <v>1</v>
      </c>
      <c r="J769" s="4" t="s">
        <v>53</v>
      </c>
      <c r="K769" t="str">
        <f t="shared" si="40"/>
        <v>2+3</v>
      </c>
      <c r="L769">
        <f>VLOOKUP(A769,'ZONE 1 PREMIUM'!$A$4:$N$16,14,0)</f>
        <v>7</v>
      </c>
      <c r="M769">
        <f>VLOOKUP(D769,DROPDOWN!B:C,2,0)</f>
        <v>5</v>
      </c>
      <c r="N769" t="str">
        <f t="shared" si="41"/>
        <v>BR128:CJ139</v>
      </c>
      <c r="O769" s="4">
        <f t="shared" ca="1" si="39"/>
        <v>73944.200000000012</v>
      </c>
    </row>
    <row r="770" spans="1:15">
      <c r="A770" s="2" t="s">
        <v>17</v>
      </c>
      <c r="B770" t="s">
        <v>37</v>
      </c>
      <c r="C770" t="s">
        <v>38</v>
      </c>
      <c r="D770">
        <v>7</v>
      </c>
      <c r="E770" t="s">
        <v>46</v>
      </c>
      <c r="F770">
        <v>5</v>
      </c>
      <c r="G770">
        <v>2</v>
      </c>
      <c r="H770">
        <v>3</v>
      </c>
      <c r="I770">
        <v>1</v>
      </c>
      <c r="J770" s="4" t="s">
        <v>53</v>
      </c>
      <c r="K770" t="str">
        <f t="shared" si="40"/>
        <v>2+3</v>
      </c>
      <c r="L770">
        <f>VLOOKUP(A770,'ZONE 1 PREMIUM'!$A$4:$N$16,14,0)</f>
        <v>8</v>
      </c>
      <c r="M770">
        <f>VLOOKUP(D770,DROPDOWN!B:C,2,0)</f>
        <v>5</v>
      </c>
      <c r="N770" t="str">
        <f t="shared" si="41"/>
        <v>BR128:CJ139</v>
      </c>
      <c r="O770" s="4">
        <f t="shared" ref="O770:O833" ca="1" si="42">INDEX(INDIRECT(N770),L770,M770)</f>
        <v>92997.3</v>
      </c>
    </row>
    <row r="771" spans="1:15">
      <c r="A771" s="2" t="s">
        <v>18</v>
      </c>
      <c r="B771" t="s">
        <v>39</v>
      </c>
      <c r="C771" t="s">
        <v>40</v>
      </c>
      <c r="D771">
        <v>7</v>
      </c>
      <c r="E771" t="s">
        <v>46</v>
      </c>
      <c r="F771">
        <v>5</v>
      </c>
      <c r="G771">
        <v>2</v>
      </c>
      <c r="H771">
        <v>3</v>
      </c>
      <c r="I771">
        <v>1</v>
      </c>
      <c r="J771" s="4" t="s">
        <v>53</v>
      </c>
      <c r="K771" t="str">
        <f t="shared" si="40"/>
        <v>2+3</v>
      </c>
      <c r="L771">
        <f>VLOOKUP(A771,'ZONE 1 PREMIUM'!$A$4:$N$16,14,0)</f>
        <v>9</v>
      </c>
      <c r="M771">
        <f>VLOOKUP(D771,DROPDOWN!B:C,2,0)</f>
        <v>5</v>
      </c>
      <c r="N771" t="str">
        <f t="shared" si="41"/>
        <v>BR128:CJ139</v>
      </c>
      <c r="O771" s="4">
        <f t="shared" ca="1" si="42"/>
        <v>122039.50000000001</v>
      </c>
    </row>
    <row r="772" spans="1:15">
      <c r="A772" s="2" t="s">
        <v>19</v>
      </c>
      <c r="B772" t="s">
        <v>41</v>
      </c>
      <c r="C772" t="s">
        <v>42</v>
      </c>
      <c r="D772">
        <v>7</v>
      </c>
      <c r="E772" t="s">
        <v>46</v>
      </c>
      <c r="F772">
        <v>5</v>
      </c>
      <c r="G772">
        <v>2</v>
      </c>
      <c r="H772">
        <v>3</v>
      </c>
      <c r="I772">
        <v>1</v>
      </c>
      <c r="J772" s="4" t="s">
        <v>53</v>
      </c>
      <c r="K772" t="str">
        <f t="shared" ref="K772:K835" si="43">G772&amp;"+"&amp;H772</f>
        <v>2+3</v>
      </c>
      <c r="L772">
        <f>VLOOKUP(A772,'ZONE 1 PREMIUM'!$A$4:$N$16,14,0)</f>
        <v>10</v>
      </c>
      <c r="M772">
        <f>VLOOKUP(D772,DROPDOWN!B:C,2,0)</f>
        <v>5</v>
      </c>
      <c r="N772" t="str">
        <f t="shared" si="41"/>
        <v>BR128:CJ139</v>
      </c>
      <c r="O772" s="4">
        <f t="shared" ca="1" si="42"/>
        <v>155602.70000000001</v>
      </c>
    </row>
    <row r="773" spans="1:15">
      <c r="A773" s="2" t="s">
        <v>20</v>
      </c>
      <c r="B773" t="s">
        <v>43</v>
      </c>
      <c r="C773" t="s">
        <v>44</v>
      </c>
      <c r="D773">
        <v>7</v>
      </c>
      <c r="E773" t="s">
        <v>46</v>
      </c>
      <c r="F773">
        <v>5</v>
      </c>
      <c r="G773">
        <v>2</v>
      </c>
      <c r="H773">
        <v>3</v>
      </c>
      <c r="I773">
        <v>1</v>
      </c>
      <c r="J773" s="4" t="s">
        <v>53</v>
      </c>
      <c r="K773" t="str">
        <f t="shared" si="43"/>
        <v>2+3</v>
      </c>
      <c r="L773">
        <f>VLOOKUP(A773,'ZONE 1 PREMIUM'!$A$4:$N$16,14,0)</f>
        <v>11</v>
      </c>
      <c r="M773">
        <f>VLOOKUP(D773,DROPDOWN!B:C,2,0)</f>
        <v>5</v>
      </c>
      <c r="N773" t="str">
        <f t="shared" si="41"/>
        <v>BR128:CJ139</v>
      </c>
      <c r="O773" s="4">
        <f t="shared" ca="1" si="42"/>
        <v>188879.90000000002</v>
      </c>
    </row>
    <row r="774" spans="1:15">
      <c r="A774" s="2" t="s">
        <v>21</v>
      </c>
      <c r="B774" t="s">
        <v>22</v>
      </c>
      <c r="D774">
        <v>7</v>
      </c>
      <c r="E774" t="s">
        <v>46</v>
      </c>
      <c r="F774">
        <v>5</v>
      </c>
      <c r="G774">
        <v>2</v>
      </c>
      <c r="H774">
        <v>3</v>
      </c>
      <c r="I774">
        <v>1</v>
      </c>
      <c r="J774" s="4" t="s">
        <v>53</v>
      </c>
      <c r="K774" t="str">
        <f t="shared" si="43"/>
        <v>2+3</v>
      </c>
      <c r="L774">
        <f>VLOOKUP(A774,'ZONE 1 PREMIUM'!$A$4:$N$16,14,0)</f>
        <v>12</v>
      </c>
      <c r="M774">
        <f>VLOOKUP(D774,DROPDOWN!B:C,2,0)</f>
        <v>5</v>
      </c>
      <c r="N774" t="str">
        <f t="shared" si="41"/>
        <v>BR128:CJ139</v>
      </c>
      <c r="O774" s="4">
        <f t="shared" ca="1" si="42"/>
        <v>238244.6</v>
      </c>
    </row>
    <row r="775" spans="1:15">
      <c r="A775" s="2" t="s">
        <v>11</v>
      </c>
      <c r="B775" t="s">
        <v>45</v>
      </c>
      <c r="C775" t="s">
        <v>25</v>
      </c>
      <c r="D775">
        <v>7</v>
      </c>
      <c r="E775" t="s">
        <v>46</v>
      </c>
      <c r="F775">
        <v>6</v>
      </c>
      <c r="G775">
        <v>2</v>
      </c>
      <c r="H775">
        <v>4</v>
      </c>
      <c r="I775">
        <v>1</v>
      </c>
      <c r="J775" s="4" t="s">
        <v>53</v>
      </c>
      <c r="K775" t="str">
        <f t="shared" si="43"/>
        <v>2+4</v>
      </c>
      <c r="L775">
        <f>VLOOKUP(A775,'ZONE 1 PREMIUM'!$A$4:$N$16,14,0)</f>
        <v>2</v>
      </c>
      <c r="M775">
        <f>VLOOKUP(D775,DROPDOWN!B:C,2,0)</f>
        <v>5</v>
      </c>
      <c r="N775" t="str">
        <f t="shared" si="41"/>
        <v>BR143:CJ154</v>
      </c>
      <c r="O775" s="4">
        <f t="shared" ca="1" si="42"/>
        <v>37681.600000000006</v>
      </c>
    </row>
    <row r="776" spans="1:15">
      <c r="A776" s="2" t="s">
        <v>12</v>
      </c>
      <c r="B776" t="s">
        <v>27</v>
      </c>
      <c r="C776" t="s">
        <v>28</v>
      </c>
      <c r="D776">
        <v>7</v>
      </c>
      <c r="E776" t="s">
        <v>46</v>
      </c>
      <c r="F776">
        <v>6</v>
      </c>
      <c r="G776">
        <v>2</v>
      </c>
      <c r="H776">
        <v>4</v>
      </c>
      <c r="I776">
        <v>1</v>
      </c>
      <c r="J776" s="4" t="s">
        <v>53</v>
      </c>
      <c r="K776" t="str">
        <f t="shared" si="43"/>
        <v>2+4</v>
      </c>
      <c r="L776">
        <f>VLOOKUP(A776,'ZONE 1 PREMIUM'!$A$4:$N$16,14,0)</f>
        <v>3</v>
      </c>
      <c r="M776">
        <f>VLOOKUP(D776,DROPDOWN!B:C,2,0)</f>
        <v>5</v>
      </c>
      <c r="N776" t="str">
        <f t="shared" si="41"/>
        <v>BR143:CJ154</v>
      </c>
      <c r="O776" s="4">
        <f t="shared" ca="1" si="42"/>
        <v>40290.800000000003</v>
      </c>
    </row>
    <row r="777" spans="1:15">
      <c r="A777" s="2" t="s">
        <v>13</v>
      </c>
      <c r="B777" t="s">
        <v>29</v>
      </c>
      <c r="C777" t="s">
        <v>30</v>
      </c>
      <c r="D777">
        <v>7</v>
      </c>
      <c r="E777" t="s">
        <v>46</v>
      </c>
      <c r="F777">
        <v>6</v>
      </c>
      <c r="G777">
        <v>2</v>
      </c>
      <c r="H777">
        <v>4</v>
      </c>
      <c r="I777">
        <v>1</v>
      </c>
      <c r="J777" s="4" t="s">
        <v>53</v>
      </c>
      <c r="K777" t="str">
        <f t="shared" si="43"/>
        <v>2+4</v>
      </c>
      <c r="L777">
        <f>VLOOKUP(A777,'ZONE 1 PREMIUM'!$A$4:$N$16,14,0)</f>
        <v>4</v>
      </c>
      <c r="M777">
        <f>VLOOKUP(D777,DROPDOWN!B:C,2,0)</f>
        <v>5</v>
      </c>
      <c r="N777" t="str">
        <f t="shared" si="41"/>
        <v>BR143:CJ154</v>
      </c>
      <c r="O777" s="4">
        <f t="shared" ca="1" si="42"/>
        <v>45536.700000000004</v>
      </c>
    </row>
    <row r="778" spans="1:15">
      <c r="A778" s="2" t="s">
        <v>14</v>
      </c>
      <c r="B778" t="s">
        <v>31</v>
      </c>
      <c r="C778" t="s">
        <v>32</v>
      </c>
      <c r="D778">
        <v>7</v>
      </c>
      <c r="E778" t="s">
        <v>46</v>
      </c>
      <c r="F778">
        <v>6</v>
      </c>
      <c r="G778">
        <v>2</v>
      </c>
      <c r="H778">
        <v>4</v>
      </c>
      <c r="I778">
        <v>1</v>
      </c>
      <c r="J778" s="4" t="s">
        <v>53</v>
      </c>
      <c r="K778" t="str">
        <f t="shared" si="43"/>
        <v>2+4</v>
      </c>
      <c r="L778">
        <f>VLOOKUP(A778,'ZONE 1 PREMIUM'!$A$4:$N$16,14,0)</f>
        <v>5</v>
      </c>
      <c r="M778">
        <f>VLOOKUP(D778,DROPDOWN!B:C,2,0)</f>
        <v>5</v>
      </c>
      <c r="N778" t="str">
        <f t="shared" si="41"/>
        <v>BR143:CJ154</v>
      </c>
      <c r="O778" s="4">
        <f t="shared" ca="1" si="42"/>
        <v>50910.200000000004</v>
      </c>
    </row>
    <row r="779" spans="1:15">
      <c r="A779" s="2" t="s">
        <v>15</v>
      </c>
      <c r="B779" t="s">
        <v>33</v>
      </c>
      <c r="C779" t="s">
        <v>34</v>
      </c>
      <c r="D779">
        <v>7</v>
      </c>
      <c r="E779" t="s">
        <v>46</v>
      </c>
      <c r="F779">
        <v>6</v>
      </c>
      <c r="G779">
        <v>2</v>
      </c>
      <c r="H779">
        <v>4</v>
      </c>
      <c r="I779">
        <v>1</v>
      </c>
      <c r="J779" s="4" t="s">
        <v>53</v>
      </c>
      <c r="K779" t="str">
        <f t="shared" si="43"/>
        <v>2+4</v>
      </c>
      <c r="L779">
        <f>VLOOKUP(A779,'ZONE 1 PREMIUM'!$A$4:$N$16,14,0)</f>
        <v>6</v>
      </c>
      <c r="M779">
        <f>VLOOKUP(D779,DROPDOWN!B:C,2,0)</f>
        <v>5</v>
      </c>
      <c r="N779" t="str">
        <f t="shared" si="41"/>
        <v>BR143:CJ154</v>
      </c>
      <c r="O779" s="4">
        <f t="shared" ca="1" si="42"/>
        <v>63331.400000000009</v>
      </c>
    </row>
    <row r="780" spans="1:15">
      <c r="A780" s="2" t="s">
        <v>16</v>
      </c>
      <c r="B780" t="s">
        <v>35</v>
      </c>
      <c r="C780" t="s">
        <v>36</v>
      </c>
      <c r="D780">
        <v>7</v>
      </c>
      <c r="E780" t="s">
        <v>46</v>
      </c>
      <c r="F780">
        <v>6</v>
      </c>
      <c r="G780">
        <v>2</v>
      </c>
      <c r="H780">
        <v>4</v>
      </c>
      <c r="I780">
        <v>1</v>
      </c>
      <c r="J780" s="4" t="s">
        <v>53</v>
      </c>
      <c r="K780" t="str">
        <f t="shared" si="43"/>
        <v>2+4</v>
      </c>
      <c r="L780">
        <f>VLOOKUP(A780,'ZONE 1 PREMIUM'!$A$4:$N$16,14,0)</f>
        <v>7</v>
      </c>
      <c r="M780">
        <f>VLOOKUP(D780,DROPDOWN!B:C,2,0)</f>
        <v>5</v>
      </c>
      <c r="N780" t="str">
        <f t="shared" si="41"/>
        <v>BR143:CJ154</v>
      </c>
      <c r="O780" s="4">
        <f t="shared" ca="1" si="42"/>
        <v>79147.200000000012</v>
      </c>
    </row>
    <row r="781" spans="1:15">
      <c r="A781" s="2" t="s">
        <v>17</v>
      </c>
      <c r="B781" t="s">
        <v>37</v>
      </c>
      <c r="C781" t="s">
        <v>38</v>
      </c>
      <c r="D781">
        <v>7</v>
      </c>
      <c r="E781" t="s">
        <v>46</v>
      </c>
      <c r="F781">
        <v>6</v>
      </c>
      <c r="G781">
        <v>2</v>
      </c>
      <c r="H781">
        <v>4</v>
      </c>
      <c r="I781">
        <v>1</v>
      </c>
      <c r="J781" s="4" t="s">
        <v>53</v>
      </c>
      <c r="K781" t="str">
        <f t="shared" si="43"/>
        <v>2+4</v>
      </c>
      <c r="L781">
        <f>VLOOKUP(A781,'ZONE 1 PREMIUM'!$A$4:$N$16,14,0)</f>
        <v>8</v>
      </c>
      <c r="M781">
        <f>VLOOKUP(D781,DROPDOWN!B:C,2,0)</f>
        <v>5</v>
      </c>
      <c r="N781" t="str">
        <f t="shared" si="41"/>
        <v>BR143:CJ154</v>
      </c>
      <c r="O781" s="4">
        <f t="shared" ca="1" si="42"/>
        <v>98178.3</v>
      </c>
    </row>
    <row r="782" spans="1:15">
      <c r="A782" s="2" t="s">
        <v>18</v>
      </c>
      <c r="B782" t="s">
        <v>39</v>
      </c>
      <c r="C782" t="s">
        <v>40</v>
      </c>
      <c r="D782">
        <v>7</v>
      </c>
      <c r="E782" t="s">
        <v>46</v>
      </c>
      <c r="F782">
        <v>6</v>
      </c>
      <c r="G782">
        <v>2</v>
      </c>
      <c r="H782">
        <v>4</v>
      </c>
      <c r="I782">
        <v>1</v>
      </c>
      <c r="J782" s="4" t="s">
        <v>53</v>
      </c>
      <c r="K782" t="str">
        <f t="shared" si="43"/>
        <v>2+4</v>
      </c>
      <c r="L782">
        <f>VLOOKUP(A782,'ZONE 1 PREMIUM'!$A$4:$N$16,14,0)</f>
        <v>9</v>
      </c>
      <c r="M782">
        <f>VLOOKUP(D782,DROPDOWN!B:C,2,0)</f>
        <v>5</v>
      </c>
      <c r="N782" t="str">
        <f t="shared" si="41"/>
        <v>BR143:CJ154</v>
      </c>
      <c r="O782" s="4">
        <f t="shared" ca="1" si="42"/>
        <v>126987.30000000002</v>
      </c>
    </row>
    <row r="783" spans="1:15">
      <c r="A783" s="2" t="s">
        <v>19</v>
      </c>
      <c r="B783" t="s">
        <v>41</v>
      </c>
      <c r="C783" t="s">
        <v>42</v>
      </c>
      <c r="D783">
        <v>7</v>
      </c>
      <c r="E783" t="s">
        <v>46</v>
      </c>
      <c r="F783">
        <v>6</v>
      </c>
      <c r="G783">
        <v>2</v>
      </c>
      <c r="H783">
        <v>4</v>
      </c>
      <c r="I783">
        <v>1</v>
      </c>
      <c r="J783" s="4" t="s">
        <v>53</v>
      </c>
      <c r="K783" t="str">
        <f t="shared" si="43"/>
        <v>2+4</v>
      </c>
      <c r="L783">
        <f>VLOOKUP(A783,'ZONE 1 PREMIUM'!$A$4:$N$16,14,0)</f>
        <v>10</v>
      </c>
      <c r="M783">
        <f>VLOOKUP(D783,DROPDOWN!B:C,2,0)</f>
        <v>5</v>
      </c>
      <c r="N783" t="str">
        <f t="shared" si="41"/>
        <v>BR143:CJ154</v>
      </c>
      <c r="O783" s="4">
        <f t="shared" ca="1" si="42"/>
        <v>161100.5</v>
      </c>
    </row>
    <row r="784" spans="1:15">
      <c r="A784" s="2" t="s">
        <v>20</v>
      </c>
      <c r="B784" t="s">
        <v>43</v>
      </c>
      <c r="C784" t="s">
        <v>44</v>
      </c>
      <c r="D784">
        <v>7</v>
      </c>
      <c r="E784" t="s">
        <v>46</v>
      </c>
      <c r="F784">
        <v>6</v>
      </c>
      <c r="G784">
        <v>2</v>
      </c>
      <c r="H784">
        <v>4</v>
      </c>
      <c r="I784">
        <v>1</v>
      </c>
      <c r="J784" s="4" t="s">
        <v>53</v>
      </c>
      <c r="K784" t="str">
        <f t="shared" si="43"/>
        <v>2+4</v>
      </c>
      <c r="L784">
        <f>VLOOKUP(A784,'ZONE 1 PREMIUM'!$A$4:$N$16,14,0)</f>
        <v>11</v>
      </c>
      <c r="M784">
        <f>VLOOKUP(D784,DROPDOWN!B:C,2,0)</f>
        <v>5</v>
      </c>
      <c r="N784" t="str">
        <f t="shared" si="41"/>
        <v>BR143:CJ154</v>
      </c>
      <c r="O784" s="4">
        <f t="shared" ca="1" si="42"/>
        <v>193953.1</v>
      </c>
    </row>
    <row r="785" spans="1:15">
      <c r="A785" s="2" t="s">
        <v>21</v>
      </c>
      <c r="B785" t="s">
        <v>22</v>
      </c>
      <c r="D785">
        <v>7</v>
      </c>
      <c r="E785" t="s">
        <v>46</v>
      </c>
      <c r="F785">
        <v>6</v>
      </c>
      <c r="G785">
        <v>2</v>
      </c>
      <c r="H785">
        <v>4</v>
      </c>
      <c r="I785">
        <v>1</v>
      </c>
      <c r="J785" s="4" t="s">
        <v>53</v>
      </c>
      <c r="K785" t="str">
        <f t="shared" si="43"/>
        <v>2+4</v>
      </c>
      <c r="L785">
        <f>VLOOKUP(A785,'ZONE 1 PREMIUM'!$A$4:$N$16,14,0)</f>
        <v>12</v>
      </c>
      <c r="M785">
        <f>VLOOKUP(D785,DROPDOWN!B:C,2,0)</f>
        <v>5</v>
      </c>
      <c r="N785" t="str">
        <f t="shared" si="41"/>
        <v>BR143:CJ154</v>
      </c>
      <c r="O785" s="4">
        <f t="shared" ca="1" si="42"/>
        <v>242392.7</v>
      </c>
    </row>
    <row r="786" spans="1:15">
      <c r="A786" s="2" t="s">
        <v>9</v>
      </c>
      <c r="B786" t="s">
        <v>47</v>
      </c>
      <c r="C786" t="s">
        <v>48</v>
      </c>
      <c r="D786">
        <v>7</v>
      </c>
      <c r="E786" t="s">
        <v>26</v>
      </c>
      <c r="F786">
        <v>1</v>
      </c>
      <c r="H786">
        <v>1</v>
      </c>
      <c r="I786">
        <v>1</v>
      </c>
      <c r="J786" s="4" t="s">
        <v>54</v>
      </c>
      <c r="K786" t="str">
        <f t="shared" si="43"/>
        <v>+1</v>
      </c>
      <c r="N786" t="e">
        <f t="shared" ref="N786:N849" si="44">VLOOKUP(K786,$DH$4:$DI$13,2,0)</f>
        <v>#N/A</v>
      </c>
      <c r="O786" s="13">
        <v>3008.6580577521713</v>
      </c>
    </row>
    <row r="787" spans="1:15">
      <c r="A787" s="2" t="s">
        <v>10</v>
      </c>
      <c r="B787" t="s">
        <v>49</v>
      </c>
      <c r="C787" t="s">
        <v>50</v>
      </c>
      <c r="D787">
        <v>7</v>
      </c>
      <c r="E787" t="s">
        <v>26</v>
      </c>
      <c r="F787">
        <v>1</v>
      </c>
      <c r="G787">
        <v>1</v>
      </c>
      <c r="H787">
        <v>0</v>
      </c>
      <c r="I787">
        <v>1</v>
      </c>
      <c r="J787" s="4" t="s">
        <v>54</v>
      </c>
      <c r="K787" t="str">
        <f t="shared" si="43"/>
        <v>1+0</v>
      </c>
      <c r="L787">
        <f>VLOOKUP(A787,'ZONE 1 PREMIUM'!$A$3:$M$16,13,0)</f>
        <v>3</v>
      </c>
      <c r="M787">
        <f>VLOOKUP(D787,DROPDOWN!B:C,2,0)</f>
        <v>5</v>
      </c>
      <c r="N787" t="str">
        <f t="shared" si="44"/>
        <v>CO3:DG16</v>
      </c>
      <c r="O787" s="4">
        <f t="shared" ca="1" si="42"/>
        <v>4786.1900000000005</v>
      </c>
    </row>
    <row r="788" spans="1:15">
      <c r="A788" s="2" t="s">
        <v>11</v>
      </c>
      <c r="B788" t="s">
        <v>45</v>
      </c>
      <c r="C788" t="s">
        <v>25</v>
      </c>
      <c r="D788">
        <v>7</v>
      </c>
      <c r="E788" t="s">
        <v>26</v>
      </c>
      <c r="F788">
        <v>1</v>
      </c>
      <c r="G788">
        <v>1</v>
      </c>
      <c r="H788">
        <v>0</v>
      </c>
      <c r="I788">
        <v>1</v>
      </c>
      <c r="J788" s="4" t="s">
        <v>54</v>
      </c>
      <c r="K788" t="str">
        <f t="shared" si="43"/>
        <v>1+0</v>
      </c>
      <c r="L788">
        <f>VLOOKUP(A788,'ZONE 1 PREMIUM'!$A$3:$M$16,13,0)</f>
        <v>4</v>
      </c>
      <c r="M788">
        <f>VLOOKUP(D788,DROPDOWN!B:C,2,0)</f>
        <v>5</v>
      </c>
      <c r="N788" t="str">
        <f t="shared" si="44"/>
        <v>CO3:DG16</v>
      </c>
      <c r="O788" s="4">
        <f t="shared" ca="1" si="42"/>
        <v>12818.400000000001</v>
      </c>
    </row>
    <row r="789" spans="1:15">
      <c r="A789" s="2" t="s">
        <v>12</v>
      </c>
      <c r="B789" t="s">
        <v>27</v>
      </c>
      <c r="C789" t="s">
        <v>28</v>
      </c>
      <c r="D789">
        <v>7</v>
      </c>
      <c r="E789" t="s">
        <v>26</v>
      </c>
      <c r="F789">
        <v>1</v>
      </c>
      <c r="G789">
        <v>1</v>
      </c>
      <c r="H789">
        <v>0</v>
      </c>
      <c r="I789">
        <v>1</v>
      </c>
      <c r="J789" s="4" t="s">
        <v>54</v>
      </c>
      <c r="K789" t="str">
        <f t="shared" si="43"/>
        <v>1+0</v>
      </c>
      <c r="L789">
        <f>VLOOKUP(A789,'ZONE 1 PREMIUM'!$A$3:$M$16,13,0)</f>
        <v>5</v>
      </c>
      <c r="M789">
        <f>VLOOKUP(D789,DROPDOWN!B:C,2,0)</f>
        <v>5</v>
      </c>
      <c r="N789" t="str">
        <f t="shared" si="44"/>
        <v>CO3:DG16</v>
      </c>
      <c r="O789" s="4">
        <f t="shared" ca="1" si="42"/>
        <v>14758.6</v>
      </c>
    </row>
    <row r="790" spans="1:15">
      <c r="A790" s="2" t="s">
        <v>13</v>
      </c>
      <c r="B790" t="s">
        <v>29</v>
      </c>
      <c r="C790" t="s">
        <v>30</v>
      </c>
      <c r="D790">
        <v>7</v>
      </c>
      <c r="E790" t="s">
        <v>26</v>
      </c>
      <c r="F790">
        <v>1</v>
      </c>
      <c r="G790">
        <v>1</v>
      </c>
      <c r="H790">
        <v>0</v>
      </c>
      <c r="I790">
        <v>1</v>
      </c>
      <c r="J790" s="4" t="s">
        <v>54</v>
      </c>
      <c r="K790" t="str">
        <f t="shared" si="43"/>
        <v>1+0</v>
      </c>
      <c r="L790">
        <f>VLOOKUP(A790,'ZONE 1 PREMIUM'!$A$3:$M$16,13,0)</f>
        <v>6</v>
      </c>
      <c r="M790">
        <f>VLOOKUP(D790,DROPDOWN!B:C,2,0)</f>
        <v>5</v>
      </c>
      <c r="N790" t="str">
        <f t="shared" si="44"/>
        <v>CO3:DG16</v>
      </c>
      <c r="O790" s="4">
        <f t="shared" ca="1" si="42"/>
        <v>17015.990000000002</v>
      </c>
    </row>
    <row r="791" spans="1:15">
      <c r="A791" s="2" t="s">
        <v>14</v>
      </c>
      <c r="B791" t="s">
        <v>31</v>
      </c>
      <c r="C791" t="s">
        <v>32</v>
      </c>
      <c r="D791">
        <v>7</v>
      </c>
      <c r="E791" t="s">
        <v>26</v>
      </c>
      <c r="F791">
        <v>1</v>
      </c>
      <c r="G791">
        <v>1</v>
      </c>
      <c r="H791">
        <v>0</v>
      </c>
      <c r="I791">
        <v>1</v>
      </c>
      <c r="J791" s="4" t="s">
        <v>54</v>
      </c>
      <c r="K791" t="str">
        <f t="shared" si="43"/>
        <v>1+0</v>
      </c>
      <c r="L791">
        <f>VLOOKUP(A791,'ZONE 1 PREMIUM'!$A$3:$M$16,13,0)</f>
        <v>7</v>
      </c>
      <c r="M791">
        <f>VLOOKUP(D791,DROPDOWN!B:C,2,0)</f>
        <v>5</v>
      </c>
      <c r="N791" t="str">
        <f t="shared" si="44"/>
        <v>CO3:DG16</v>
      </c>
      <c r="O791" s="4">
        <f t="shared" ca="1" si="42"/>
        <v>19787.86</v>
      </c>
    </row>
    <row r="792" spans="1:15">
      <c r="A792" s="2" t="s">
        <v>15</v>
      </c>
      <c r="B792" t="s">
        <v>33</v>
      </c>
      <c r="C792" t="s">
        <v>34</v>
      </c>
      <c r="D792">
        <v>7</v>
      </c>
      <c r="E792" t="s">
        <v>26</v>
      </c>
      <c r="F792">
        <v>1</v>
      </c>
      <c r="G792">
        <v>1</v>
      </c>
      <c r="H792">
        <v>0</v>
      </c>
      <c r="I792">
        <v>1</v>
      </c>
      <c r="J792" s="4" t="s">
        <v>54</v>
      </c>
      <c r="K792" t="str">
        <f t="shared" si="43"/>
        <v>1+0</v>
      </c>
      <c r="L792">
        <f>VLOOKUP(A792,'ZONE 1 PREMIUM'!$A$3:$M$16,13,0)</f>
        <v>8</v>
      </c>
      <c r="M792">
        <f>VLOOKUP(D792,DROPDOWN!B:C,2,0)</f>
        <v>5</v>
      </c>
      <c r="N792" t="str">
        <f t="shared" si="44"/>
        <v>CO3:DG16</v>
      </c>
      <c r="O792" s="4">
        <f t="shared" ca="1" si="42"/>
        <v>24559.88</v>
      </c>
    </row>
    <row r="793" spans="1:15">
      <c r="A793" s="2" t="s">
        <v>16</v>
      </c>
      <c r="B793" t="s">
        <v>35</v>
      </c>
      <c r="C793" t="s">
        <v>36</v>
      </c>
      <c r="D793">
        <v>7</v>
      </c>
      <c r="E793" t="s">
        <v>26</v>
      </c>
      <c r="F793">
        <v>1</v>
      </c>
      <c r="G793">
        <v>1</v>
      </c>
      <c r="H793">
        <v>0</v>
      </c>
      <c r="I793">
        <v>1</v>
      </c>
      <c r="J793" s="4" t="s">
        <v>54</v>
      </c>
      <c r="K793" t="str">
        <f t="shared" si="43"/>
        <v>1+0</v>
      </c>
      <c r="L793">
        <f>VLOOKUP(A793,'ZONE 1 PREMIUM'!$A$3:$M$16,13,0)</f>
        <v>9</v>
      </c>
      <c r="M793">
        <f>VLOOKUP(D793,DROPDOWN!B:C,2,0)</f>
        <v>5</v>
      </c>
      <c r="N793" t="str">
        <f t="shared" si="44"/>
        <v>CO3:DG16</v>
      </c>
      <c r="O793" s="4">
        <f t="shared" ca="1" si="42"/>
        <v>32262.910000000003</v>
      </c>
    </row>
    <row r="794" spans="1:15">
      <c r="A794" s="2" t="s">
        <v>17</v>
      </c>
      <c r="B794" t="s">
        <v>37</v>
      </c>
      <c r="C794" t="s">
        <v>38</v>
      </c>
      <c r="D794">
        <v>7</v>
      </c>
      <c r="E794" t="s">
        <v>26</v>
      </c>
      <c r="F794">
        <v>1</v>
      </c>
      <c r="G794">
        <v>1</v>
      </c>
      <c r="H794">
        <v>0</v>
      </c>
      <c r="I794">
        <v>1</v>
      </c>
      <c r="J794" s="4" t="s">
        <v>54</v>
      </c>
      <c r="K794" t="str">
        <f t="shared" si="43"/>
        <v>1+0</v>
      </c>
      <c r="L794">
        <f>VLOOKUP(A794,'ZONE 1 PREMIUM'!$A$3:$M$16,13,0)</f>
        <v>10</v>
      </c>
      <c r="M794">
        <f>VLOOKUP(D794,DROPDOWN!B:C,2,0)</f>
        <v>5</v>
      </c>
      <c r="N794" t="str">
        <f t="shared" si="44"/>
        <v>CO3:DG16</v>
      </c>
      <c r="O794" s="4">
        <f t="shared" ca="1" si="42"/>
        <v>43662.130000000005</v>
      </c>
    </row>
    <row r="795" spans="1:15">
      <c r="A795" s="2" t="s">
        <v>18</v>
      </c>
      <c r="B795" t="s">
        <v>39</v>
      </c>
      <c r="C795" t="s">
        <v>40</v>
      </c>
      <c r="D795">
        <v>7</v>
      </c>
      <c r="E795" t="s">
        <v>26</v>
      </c>
      <c r="F795">
        <v>1</v>
      </c>
      <c r="G795">
        <v>1</v>
      </c>
      <c r="H795">
        <v>0</v>
      </c>
      <c r="I795">
        <v>1</v>
      </c>
      <c r="J795" s="4" t="s">
        <v>54</v>
      </c>
      <c r="K795" t="str">
        <f t="shared" si="43"/>
        <v>1+0</v>
      </c>
      <c r="L795">
        <f>VLOOKUP(A795,'ZONE 1 PREMIUM'!$A$3:$M$16,13,0)</f>
        <v>11</v>
      </c>
      <c r="M795">
        <f>VLOOKUP(D795,DROPDOWN!B:C,2,0)</f>
        <v>5</v>
      </c>
      <c r="N795" t="str">
        <f t="shared" si="44"/>
        <v>CO3:DG16</v>
      </c>
      <c r="O795" s="4">
        <f t="shared" ca="1" si="42"/>
        <v>60282.450000000004</v>
      </c>
    </row>
    <row r="796" spans="1:15">
      <c r="A796" s="2" t="s">
        <v>19</v>
      </c>
      <c r="B796" t="s">
        <v>41</v>
      </c>
      <c r="C796" t="s">
        <v>42</v>
      </c>
      <c r="D796">
        <v>7</v>
      </c>
      <c r="E796" t="s">
        <v>26</v>
      </c>
      <c r="F796">
        <v>1</v>
      </c>
      <c r="G796">
        <v>1</v>
      </c>
      <c r="H796">
        <v>0</v>
      </c>
      <c r="I796">
        <v>1</v>
      </c>
      <c r="J796" s="4" t="s">
        <v>54</v>
      </c>
      <c r="K796" t="str">
        <f t="shared" si="43"/>
        <v>1+0</v>
      </c>
      <c r="L796">
        <f>VLOOKUP(A796,'ZONE 1 PREMIUM'!$A$3:$M$16,13,0)</f>
        <v>12</v>
      </c>
      <c r="M796">
        <f>VLOOKUP(D796,DROPDOWN!B:C,2,0)</f>
        <v>5</v>
      </c>
      <c r="N796" t="str">
        <f t="shared" si="44"/>
        <v>CO3:DG16</v>
      </c>
      <c r="O796" s="4">
        <f t="shared" ca="1" si="42"/>
        <v>76870.070000000007</v>
      </c>
    </row>
    <row r="797" spans="1:15">
      <c r="A797" s="2" t="s">
        <v>20</v>
      </c>
      <c r="B797" t="s">
        <v>43</v>
      </c>
      <c r="C797" t="s">
        <v>44</v>
      </c>
      <c r="D797">
        <v>7</v>
      </c>
      <c r="E797" t="s">
        <v>26</v>
      </c>
      <c r="F797">
        <v>1</v>
      </c>
      <c r="G797">
        <v>1</v>
      </c>
      <c r="H797">
        <v>0</v>
      </c>
      <c r="I797">
        <v>1</v>
      </c>
      <c r="J797" s="4" t="s">
        <v>54</v>
      </c>
      <c r="K797" t="str">
        <f t="shared" si="43"/>
        <v>1+0</v>
      </c>
      <c r="L797">
        <f>VLOOKUP(A797,'ZONE 1 PREMIUM'!$A$3:$M$16,13,0)</f>
        <v>13</v>
      </c>
      <c r="M797">
        <f>VLOOKUP(D797,DROPDOWN!B:C,2,0)</f>
        <v>5</v>
      </c>
      <c r="N797" t="str">
        <f t="shared" si="44"/>
        <v>CO3:DG16</v>
      </c>
      <c r="O797" s="4">
        <f t="shared" ca="1" si="42"/>
        <v>92172.58</v>
      </c>
    </row>
    <row r="798" spans="1:15">
      <c r="A798" s="2" t="s">
        <v>21</v>
      </c>
      <c r="B798" t="s">
        <v>22</v>
      </c>
      <c r="D798">
        <v>7</v>
      </c>
      <c r="E798" t="s">
        <v>26</v>
      </c>
      <c r="F798">
        <v>1</v>
      </c>
      <c r="G798">
        <v>1</v>
      </c>
      <c r="H798">
        <v>0</v>
      </c>
      <c r="I798">
        <v>1</v>
      </c>
      <c r="J798" s="4" t="s">
        <v>54</v>
      </c>
      <c r="K798" t="str">
        <f t="shared" si="43"/>
        <v>1+0</v>
      </c>
      <c r="L798">
        <f>VLOOKUP(A798,'ZONE 1 PREMIUM'!$A$3:$M$16,13,0)</f>
        <v>14</v>
      </c>
      <c r="M798">
        <f>VLOOKUP(D798,DROPDOWN!B:C,2,0)</f>
        <v>5</v>
      </c>
      <c r="N798" t="str">
        <f t="shared" si="44"/>
        <v>CO3:DG16</v>
      </c>
      <c r="O798" s="4">
        <f t="shared" ca="1" si="42"/>
        <v>123517.71</v>
      </c>
    </row>
    <row r="799" spans="1:15">
      <c r="A799" s="2" t="s">
        <v>11</v>
      </c>
      <c r="B799" t="s">
        <v>45</v>
      </c>
      <c r="C799" t="s">
        <v>25</v>
      </c>
      <c r="D799">
        <v>7</v>
      </c>
      <c r="E799" t="s">
        <v>46</v>
      </c>
      <c r="F799">
        <v>2</v>
      </c>
      <c r="G799">
        <v>1</v>
      </c>
      <c r="H799">
        <v>1</v>
      </c>
      <c r="I799">
        <v>1</v>
      </c>
      <c r="J799" s="4" t="s">
        <v>54</v>
      </c>
      <c r="K799" t="str">
        <f t="shared" si="43"/>
        <v>1+1</v>
      </c>
      <c r="L799">
        <f>VLOOKUP(A799,'ZONE 1 PREMIUM'!$A$4:$N$16,14,0)</f>
        <v>2</v>
      </c>
      <c r="M799">
        <f>VLOOKUP(D799,DROPDOWN!B:C,2,0)</f>
        <v>5</v>
      </c>
      <c r="N799" t="str">
        <f t="shared" si="44"/>
        <v>CO20:DG31</v>
      </c>
      <c r="O799" s="4">
        <f t="shared" ca="1" si="42"/>
        <v>13510.550000000001</v>
      </c>
    </row>
    <row r="800" spans="1:15">
      <c r="A800" s="2" t="s">
        <v>12</v>
      </c>
      <c r="B800" t="s">
        <v>27</v>
      </c>
      <c r="C800" t="s">
        <v>28</v>
      </c>
      <c r="D800">
        <v>7</v>
      </c>
      <c r="E800" t="s">
        <v>46</v>
      </c>
      <c r="F800">
        <v>2</v>
      </c>
      <c r="G800">
        <v>1</v>
      </c>
      <c r="H800">
        <v>1</v>
      </c>
      <c r="I800">
        <v>1</v>
      </c>
      <c r="J800" s="4" t="s">
        <v>54</v>
      </c>
      <c r="K800" t="str">
        <f t="shared" si="43"/>
        <v>1+1</v>
      </c>
      <c r="L800">
        <f>VLOOKUP(A800,'ZONE 1 PREMIUM'!$A$4:$N$16,14,0)</f>
        <v>3</v>
      </c>
      <c r="M800">
        <f>VLOOKUP(D800,DROPDOWN!B:C,2,0)</f>
        <v>5</v>
      </c>
      <c r="N800" t="str">
        <f t="shared" si="44"/>
        <v>CO20:DG31</v>
      </c>
      <c r="O800" s="4">
        <f t="shared" ca="1" si="42"/>
        <v>14971.150000000001</v>
      </c>
    </row>
    <row r="801" spans="1:15">
      <c r="A801" s="2" t="s">
        <v>13</v>
      </c>
      <c r="B801" t="s">
        <v>29</v>
      </c>
      <c r="C801" t="s">
        <v>30</v>
      </c>
      <c r="D801">
        <v>7</v>
      </c>
      <c r="E801" t="s">
        <v>46</v>
      </c>
      <c r="F801">
        <v>2</v>
      </c>
      <c r="G801">
        <v>1</v>
      </c>
      <c r="H801">
        <v>1</v>
      </c>
      <c r="I801">
        <v>1</v>
      </c>
      <c r="J801" s="4" t="s">
        <v>54</v>
      </c>
      <c r="K801" t="str">
        <f t="shared" si="43"/>
        <v>1+1</v>
      </c>
      <c r="L801">
        <f>VLOOKUP(A801,'ZONE 1 PREMIUM'!$A$4:$N$16,14,0)</f>
        <v>4</v>
      </c>
      <c r="M801">
        <f>VLOOKUP(D801,DROPDOWN!B:C,2,0)</f>
        <v>5</v>
      </c>
      <c r="N801" t="str">
        <f t="shared" si="44"/>
        <v>CO20:DG31</v>
      </c>
      <c r="O801" s="4">
        <f t="shared" ca="1" si="42"/>
        <v>17275.41</v>
      </c>
    </row>
    <row r="802" spans="1:15">
      <c r="A802" s="2" t="s">
        <v>14</v>
      </c>
      <c r="B802" t="s">
        <v>31</v>
      </c>
      <c r="C802" t="s">
        <v>32</v>
      </c>
      <c r="D802">
        <v>7</v>
      </c>
      <c r="E802" t="s">
        <v>46</v>
      </c>
      <c r="F802">
        <v>2</v>
      </c>
      <c r="G802">
        <v>1</v>
      </c>
      <c r="H802">
        <v>1</v>
      </c>
      <c r="I802">
        <v>1</v>
      </c>
      <c r="J802" s="4" t="s">
        <v>54</v>
      </c>
      <c r="K802" t="str">
        <f t="shared" si="43"/>
        <v>1+1</v>
      </c>
      <c r="L802">
        <f>VLOOKUP(A802,'ZONE 1 PREMIUM'!$A$4:$N$16,14,0)</f>
        <v>5</v>
      </c>
      <c r="M802">
        <f>VLOOKUP(D802,DROPDOWN!B:C,2,0)</f>
        <v>5</v>
      </c>
      <c r="N802" t="str">
        <f t="shared" si="44"/>
        <v>CO20:DG31</v>
      </c>
      <c r="O802" s="4">
        <f t="shared" ca="1" si="42"/>
        <v>20303.43</v>
      </c>
    </row>
    <row r="803" spans="1:15">
      <c r="A803" s="2" t="s">
        <v>15</v>
      </c>
      <c r="B803" t="s">
        <v>33</v>
      </c>
      <c r="C803" t="s">
        <v>34</v>
      </c>
      <c r="D803">
        <v>7</v>
      </c>
      <c r="E803" t="s">
        <v>46</v>
      </c>
      <c r="F803">
        <v>2</v>
      </c>
      <c r="G803">
        <v>1</v>
      </c>
      <c r="H803">
        <v>1</v>
      </c>
      <c r="I803">
        <v>1</v>
      </c>
      <c r="J803" s="4" t="s">
        <v>54</v>
      </c>
      <c r="K803" t="str">
        <f t="shared" si="43"/>
        <v>1+1</v>
      </c>
      <c r="L803">
        <f>VLOOKUP(A803,'ZONE 1 PREMIUM'!$A$4:$N$16,14,0)</f>
        <v>6</v>
      </c>
      <c r="M803">
        <f>VLOOKUP(D803,DROPDOWN!B:C,2,0)</f>
        <v>5</v>
      </c>
      <c r="N803" t="str">
        <f t="shared" si="44"/>
        <v>CO20:DG31</v>
      </c>
      <c r="O803" s="4">
        <f t="shared" ca="1" si="42"/>
        <v>26043.370000000003</v>
      </c>
    </row>
    <row r="804" spans="1:15">
      <c r="A804" s="2" t="s">
        <v>16</v>
      </c>
      <c r="B804" t="s">
        <v>35</v>
      </c>
      <c r="C804" t="s">
        <v>36</v>
      </c>
      <c r="D804">
        <v>7</v>
      </c>
      <c r="E804" t="s">
        <v>46</v>
      </c>
      <c r="F804">
        <v>2</v>
      </c>
      <c r="G804">
        <v>1</v>
      </c>
      <c r="H804">
        <v>1</v>
      </c>
      <c r="I804">
        <v>1</v>
      </c>
      <c r="J804" s="4" t="s">
        <v>54</v>
      </c>
      <c r="K804" t="str">
        <f t="shared" si="43"/>
        <v>1+1</v>
      </c>
      <c r="L804">
        <f>VLOOKUP(A804,'ZONE 1 PREMIUM'!$A$4:$N$16,14,0)</f>
        <v>7</v>
      </c>
      <c r="M804">
        <f>VLOOKUP(D804,DROPDOWN!B:C,2,0)</f>
        <v>5</v>
      </c>
      <c r="N804" t="str">
        <f t="shared" si="44"/>
        <v>CO20:DG31</v>
      </c>
      <c r="O804" s="4">
        <f t="shared" ca="1" si="42"/>
        <v>33760.57</v>
      </c>
    </row>
    <row r="805" spans="1:15">
      <c r="A805" s="2" t="s">
        <v>17</v>
      </c>
      <c r="B805" t="s">
        <v>37</v>
      </c>
      <c r="C805" t="s">
        <v>38</v>
      </c>
      <c r="D805">
        <v>7</v>
      </c>
      <c r="E805" t="s">
        <v>46</v>
      </c>
      <c r="F805">
        <v>2</v>
      </c>
      <c r="G805">
        <v>1</v>
      </c>
      <c r="H805">
        <v>1</v>
      </c>
      <c r="I805">
        <v>1</v>
      </c>
      <c r="J805" s="4" t="s">
        <v>54</v>
      </c>
      <c r="K805" t="str">
        <f t="shared" si="43"/>
        <v>1+1</v>
      </c>
      <c r="L805">
        <f>VLOOKUP(A805,'ZONE 1 PREMIUM'!$A$4:$N$16,14,0)</f>
        <v>8</v>
      </c>
      <c r="M805">
        <f>VLOOKUP(D805,DROPDOWN!B:C,2,0)</f>
        <v>5</v>
      </c>
      <c r="N805" t="str">
        <f t="shared" si="44"/>
        <v>CO20:DG31</v>
      </c>
      <c r="O805" s="4">
        <f t="shared" ca="1" si="42"/>
        <v>44645.310000000005</v>
      </c>
    </row>
    <row r="806" spans="1:15">
      <c r="A806" s="2" t="s">
        <v>18</v>
      </c>
      <c r="B806" t="s">
        <v>39</v>
      </c>
      <c r="C806" t="s">
        <v>40</v>
      </c>
      <c r="D806">
        <v>7</v>
      </c>
      <c r="E806" t="s">
        <v>46</v>
      </c>
      <c r="F806">
        <v>2</v>
      </c>
      <c r="G806">
        <v>1</v>
      </c>
      <c r="H806">
        <v>1</v>
      </c>
      <c r="I806">
        <v>1</v>
      </c>
      <c r="J806" s="4" t="s">
        <v>54</v>
      </c>
      <c r="K806" t="str">
        <f t="shared" si="43"/>
        <v>1+1</v>
      </c>
      <c r="L806">
        <f>VLOOKUP(A806,'ZONE 1 PREMIUM'!$A$4:$N$16,14,0)</f>
        <v>9</v>
      </c>
      <c r="M806">
        <f>VLOOKUP(D806,DROPDOWN!B:C,2,0)</f>
        <v>5</v>
      </c>
      <c r="N806" t="str">
        <f t="shared" si="44"/>
        <v>CO20:DG31</v>
      </c>
      <c r="O806" s="4">
        <f t="shared" ca="1" si="42"/>
        <v>62204.12</v>
      </c>
    </row>
    <row r="807" spans="1:15">
      <c r="A807" s="2" t="s">
        <v>19</v>
      </c>
      <c r="B807" t="s">
        <v>41</v>
      </c>
      <c r="C807" t="s">
        <v>42</v>
      </c>
      <c r="D807">
        <v>7</v>
      </c>
      <c r="E807" t="s">
        <v>46</v>
      </c>
      <c r="F807">
        <v>2</v>
      </c>
      <c r="G807">
        <v>1</v>
      </c>
      <c r="H807">
        <v>1</v>
      </c>
      <c r="I807">
        <v>1</v>
      </c>
      <c r="J807" s="4" t="s">
        <v>54</v>
      </c>
      <c r="K807" t="str">
        <f t="shared" si="43"/>
        <v>1+1</v>
      </c>
      <c r="L807">
        <f>VLOOKUP(A807,'ZONE 1 PREMIUM'!$A$4:$N$16,14,0)</f>
        <v>10</v>
      </c>
      <c r="M807">
        <f>VLOOKUP(D807,DROPDOWN!B:C,2,0)</f>
        <v>5</v>
      </c>
      <c r="N807" t="str">
        <f t="shared" si="44"/>
        <v>CO20:DG31</v>
      </c>
      <c r="O807" s="4">
        <f t="shared" ca="1" si="42"/>
        <v>78700.180000000008</v>
      </c>
    </row>
    <row r="808" spans="1:15">
      <c r="A808" s="2" t="s">
        <v>20</v>
      </c>
      <c r="B808" t="s">
        <v>43</v>
      </c>
      <c r="C808" t="s">
        <v>44</v>
      </c>
      <c r="D808">
        <v>7</v>
      </c>
      <c r="E808" t="s">
        <v>46</v>
      </c>
      <c r="F808">
        <v>2</v>
      </c>
      <c r="G808">
        <v>1</v>
      </c>
      <c r="H808">
        <v>1</v>
      </c>
      <c r="I808">
        <v>1</v>
      </c>
      <c r="J808" s="4" t="s">
        <v>54</v>
      </c>
      <c r="K808" t="str">
        <f t="shared" si="43"/>
        <v>1+1</v>
      </c>
      <c r="L808">
        <f>VLOOKUP(A808,'ZONE 1 PREMIUM'!$A$4:$N$16,14,0)</f>
        <v>11</v>
      </c>
      <c r="M808">
        <f>VLOOKUP(D808,DROPDOWN!B:C,2,0)</f>
        <v>5</v>
      </c>
      <c r="N808" t="str">
        <f t="shared" si="44"/>
        <v>CO20:DG31</v>
      </c>
      <c r="O808" s="4">
        <f t="shared" ca="1" si="42"/>
        <v>92690.33</v>
      </c>
    </row>
    <row r="809" spans="1:15">
      <c r="A809" s="2" t="s">
        <v>21</v>
      </c>
      <c r="B809" t="s">
        <v>22</v>
      </c>
      <c r="D809">
        <v>7</v>
      </c>
      <c r="E809" t="s">
        <v>46</v>
      </c>
      <c r="F809">
        <v>2</v>
      </c>
      <c r="G809">
        <v>1</v>
      </c>
      <c r="H809">
        <v>1</v>
      </c>
      <c r="I809">
        <v>1</v>
      </c>
      <c r="J809" s="4" t="s">
        <v>54</v>
      </c>
      <c r="K809" t="str">
        <f t="shared" si="43"/>
        <v>1+1</v>
      </c>
      <c r="L809">
        <f>VLOOKUP(A809,'ZONE 1 PREMIUM'!$A$4:$N$16,14,0)</f>
        <v>12</v>
      </c>
      <c r="M809">
        <f>VLOOKUP(D809,DROPDOWN!B:C,2,0)</f>
        <v>5</v>
      </c>
      <c r="N809" t="str">
        <f t="shared" si="44"/>
        <v>CO20:DG31</v>
      </c>
      <c r="O809" s="4">
        <f t="shared" ca="1" si="42"/>
        <v>125583.26000000001</v>
      </c>
    </row>
    <row r="810" spans="1:15">
      <c r="A810" s="2" t="s">
        <v>11</v>
      </c>
      <c r="B810" t="s">
        <v>45</v>
      </c>
      <c r="C810" t="s">
        <v>25</v>
      </c>
      <c r="D810">
        <v>7</v>
      </c>
      <c r="E810" t="s">
        <v>46</v>
      </c>
      <c r="F810">
        <v>3</v>
      </c>
      <c r="G810">
        <v>1</v>
      </c>
      <c r="H810">
        <v>2</v>
      </c>
      <c r="I810">
        <v>1</v>
      </c>
      <c r="J810" s="4" t="s">
        <v>54</v>
      </c>
      <c r="K810" t="str">
        <f t="shared" si="43"/>
        <v>1+2</v>
      </c>
      <c r="L810">
        <f>VLOOKUP(A810,'ZONE 1 PREMIUM'!$A$4:$N$16,14,0)</f>
        <v>2</v>
      </c>
      <c r="M810">
        <f>VLOOKUP(D810,DROPDOWN!B:C,2,0)</f>
        <v>5</v>
      </c>
      <c r="N810" t="str">
        <f t="shared" si="44"/>
        <v>CO35:DG46</v>
      </c>
      <c r="O810" s="4">
        <f t="shared" ca="1" si="42"/>
        <v>17419.29</v>
      </c>
    </row>
    <row r="811" spans="1:15">
      <c r="A811" s="2" t="s">
        <v>12</v>
      </c>
      <c r="B811" t="s">
        <v>27</v>
      </c>
      <c r="C811" t="s">
        <v>28</v>
      </c>
      <c r="D811">
        <v>7</v>
      </c>
      <c r="E811" t="s">
        <v>46</v>
      </c>
      <c r="F811">
        <v>3</v>
      </c>
      <c r="G811">
        <v>1</v>
      </c>
      <c r="H811">
        <v>2</v>
      </c>
      <c r="I811">
        <v>1</v>
      </c>
      <c r="J811" s="4" t="s">
        <v>54</v>
      </c>
      <c r="K811" t="str">
        <f t="shared" si="43"/>
        <v>1+2</v>
      </c>
      <c r="L811">
        <f>VLOOKUP(A811,'ZONE 1 PREMIUM'!$A$4:$N$16,14,0)</f>
        <v>3</v>
      </c>
      <c r="M811">
        <f>VLOOKUP(D811,DROPDOWN!B:C,2,0)</f>
        <v>5</v>
      </c>
      <c r="N811" t="str">
        <f t="shared" si="44"/>
        <v>CO35:DG46</v>
      </c>
      <c r="O811" s="4">
        <f t="shared" ca="1" si="42"/>
        <v>18733.830000000002</v>
      </c>
    </row>
    <row r="812" spans="1:15">
      <c r="A812" s="2" t="s">
        <v>13</v>
      </c>
      <c r="B812" t="s">
        <v>29</v>
      </c>
      <c r="C812" t="s">
        <v>30</v>
      </c>
      <c r="D812">
        <v>7</v>
      </c>
      <c r="E812" t="s">
        <v>46</v>
      </c>
      <c r="F812">
        <v>3</v>
      </c>
      <c r="G812">
        <v>1</v>
      </c>
      <c r="H812">
        <v>2</v>
      </c>
      <c r="I812">
        <v>1</v>
      </c>
      <c r="J812" s="4" t="s">
        <v>54</v>
      </c>
      <c r="K812" t="str">
        <f t="shared" si="43"/>
        <v>1+2</v>
      </c>
      <c r="L812">
        <f>VLOOKUP(A812,'ZONE 1 PREMIUM'!$A$4:$N$16,14,0)</f>
        <v>4</v>
      </c>
      <c r="M812">
        <f>VLOOKUP(D812,DROPDOWN!B:C,2,0)</f>
        <v>5</v>
      </c>
      <c r="N812" t="str">
        <f t="shared" si="44"/>
        <v>CO35:DG46</v>
      </c>
      <c r="O812" s="4">
        <f t="shared" ca="1" si="42"/>
        <v>21634.320000000003</v>
      </c>
    </row>
    <row r="813" spans="1:15">
      <c r="A813" s="2" t="s">
        <v>14</v>
      </c>
      <c r="B813" t="s">
        <v>31</v>
      </c>
      <c r="C813" t="s">
        <v>32</v>
      </c>
      <c r="D813">
        <v>7</v>
      </c>
      <c r="E813" t="s">
        <v>46</v>
      </c>
      <c r="F813">
        <v>3</v>
      </c>
      <c r="G813">
        <v>1</v>
      </c>
      <c r="H813">
        <v>2</v>
      </c>
      <c r="I813">
        <v>1</v>
      </c>
      <c r="J813" s="4" t="s">
        <v>54</v>
      </c>
      <c r="K813" t="str">
        <f t="shared" si="43"/>
        <v>1+2</v>
      </c>
      <c r="L813">
        <f>VLOOKUP(A813,'ZONE 1 PREMIUM'!$A$4:$N$16,14,0)</f>
        <v>5</v>
      </c>
      <c r="M813">
        <f>VLOOKUP(D813,DROPDOWN!B:C,2,0)</f>
        <v>5</v>
      </c>
      <c r="N813" t="str">
        <f t="shared" si="44"/>
        <v>CO35:DG46</v>
      </c>
      <c r="O813" s="4">
        <f t="shared" ca="1" si="42"/>
        <v>24250.320000000003</v>
      </c>
    </row>
    <row r="814" spans="1:15">
      <c r="A814" s="2" t="s">
        <v>15</v>
      </c>
      <c r="B814" t="s">
        <v>33</v>
      </c>
      <c r="C814" t="s">
        <v>34</v>
      </c>
      <c r="D814">
        <v>7</v>
      </c>
      <c r="E814" t="s">
        <v>46</v>
      </c>
      <c r="F814">
        <v>3</v>
      </c>
      <c r="G814">
        <v>1</v>
      </c>
      <c r="H814">
        <v>2</v>
      </c>
      <c r="I814">
        <v>1</v>
      </c>
      <c r="J814" s="4" t="s">
        <v>54</v>
      </c>
      <c r="K814" t="str">
        <f t="shared" si="43"/>
        <v>1+2</v>
      </c>
      <c r="L814">
        <f>VLOOKUP(A814,'ZONE 1 PREMIUM'!$A$4:$N$16,14,0)</f>
        <v>6</v>
      </c>
      <c r="M814">
        <f>VLOOKUP(D814,DROPDOWN!B:C,2,0)</f>
        <v>5</v>
      </c>
      <c r="N814" t="str">
        <f t="shared" si="44"/>
        <v>CO35:DG46</v>
      </c>
      <c r="O814" s="4">
        <f t="shared" ca="1" si="42"/>
        <v>31344.04</v>
      </c>
    </row>
    <row r="815" spans="1:15">
      <c r="A815" s="2" t="s">
        <v>16</v>
      </c>
      <c r="B815" t="s">
        <v>35</v>
      </c>
      <c r="C815" t="s">
        <v>36</v>
      </c>
      <c r="D815">
        <v>7</v>
      </c>
      <c r="E815" t="s">
        <v>46</v>
      </c>
      <c r="F815">
        <v>3</v>
      </c>
      <c r="G815">
        <v>1</v>
      </c>
      <c r="H815">
        <v>2</v>
      </c>
      <c r="I815">
        <v>1</v>
      </c>
      <c r="J815" s="4" t="s">
        <v>54</v>
      </c>
      <c r="K815" t="str">
        <f t="shared" si="43"/>
        <v>1+2</v>
      </c>
      <c r="L815">
        <f>VLOOKUP(A815,'ZONE 1 PREMIUM'!$A$4:$N$16,14,0)</f>
        <v>7</v>
      </c>
      <c r="M815">
        <f>VLOOKUP(D815,DROPDOWN!B:C,2,0)</f>
        <v>5</v>
      </c>
      <c r="N815" t="str">
        <f t="shared" si="44"/>
        <v>CO35:DG46</v>
      </c>
      <c r="O815" s="4">
        <f t="shared" ca="1" si="42"/>
        <v>40331.090000000004</v>
      </c>
    </row>
    <row r="816" spans="1:15">
      <c r="A816" s="2" t="s">
        <v>17</v>
      </c>
      <c r="B816" t="s">
        <v>37</v>
      </c>
      <c r="C816" t="s">
        <v>38</v>
      </c>
      <c r="D816">
        <v>7</v>
      </c>
      <c r="E816" t="s">
        <v>46</v>
      </c>
      <c r="F816">
        <v>3</v>
      </c>
      <c r="G816">
        <v>1</v>
      </c>
      <c r="H816">
        <v>2</v>
      </c>
      <c r="I816">
        <v>1</v>
      </c>
      <c r="J816" s="4" t="s">
        <v>54</v>
      </c>
      <c r="K816" t="str">
        <f t="shared" si="43"/>
        <v>1+2</v>
      </c>
      <c r="L816">
        <f>VLOOKUP(A816,'ZONE 1 PREMIUM'!$A$4:$N$16,14,0)</f>
        <v>8</v>
      </c>
      <c r="M816">
        <f>VLOOKUP(D816,DROPDOWN!B:C,2,0)</f>
        <v>5</v>
      </c>
      <c r="N816" t="str">
        <f t="shared" si="44"/>
        <v>CO35:DG46</v>
      </c>
      <c r="O816" s="4">
        <f t="shared" ca="1" si="42"/>
        <v>51723.770000000004</v>
      </c>
    </row>
    <row r="817" spans="1:15">
      <c r="A817" s="2" t="s">
        <v>18</v>
      </c>
      <c r="B817" t="s">
        <v>39</v>
      </c>
      <c r="C817" t="s">
        <v>40</v>
      </c>
      <c r="D817">
        <v>7</v>
      </c>
      <c r="E817" t="s">
        <v>46</v>
      </c>
      <c r="F817">
        <v>3</v>
      </c>
      <c r="G817">
        <v>1</v>
      </c>
      <c r="H817">
        <v>2</v>
      </c>
      <c r="I817">
        <v>1</v>
      </c>
      <c r="J817" s="4" t="s">
        <v>54</v>
      </c>
      <c r="K817" t="str">
        <f t="shared" si="43"/>
        <v>1+2</v>
      </c>
      <c r="L817">
        <f>VLOOKUP(A817,'ZONE 1 PREMIUM'!$A$4:$N$16,14,0)</f>
        <v>9</v>
      </c>
      <c r="M817">
        <f>VLOOKUP(D817,DROPDOWN!B:C,2,0)</f>
        <v>5</v>
      </c>
      <c r="N817" t="str">
        <f t="shared" si="44"/>
        <v>CO35:DG46</v>
      </c>
      <c r="O817" s="4">
        <f t="shared" ca="1" si="42"/>
        <v>67891.740000000005</v>
      </c>
    </row>
    <row r="818" spans="1:15">
      <c r="A818" s="2" t="s">
        <v>19</v>
      </c>
      <c r="B818" t="s">
        <v>41</v>
      </c>
      <c r="C818" t="s">
        <v>42</v>
      </c>
      <c r="D818">
        <v>7</v>
      </c>
      <c r="E818" t="s">
        <v>46</v>
      </c>
      <c r="F818">
        <v>3</v>
      </c>
      <c r="G818">
        <v>1</v>
      </c>
      <c r="H818">
        <v>2</v>
      </c>
      <c r="I818">
        <v>1</v>
      </c>
      <c r="J818" s="4" t="s">
        <v>54</v>
      </c>
      <c r="K818" t="str">
        <f t="shared" si="43"/>
        <v>1+2</v>
      </c>
      <c r="L818">
        <f>VLOOKUP(A818,'ZONE 1 PREMIUM'!$A$4:$N$16,14,0)</f>
        <v>10</v>
      </c>
      <c r="M818">
        <f>VLOOKUP(D818,DROPDOWN!B:C,2,0)</f>
        <v>5</v>
      </c>
      <c r="N818" t="str">
        <f t="shared" si="44"/>
        <v>CO35:DG46</v>
      </c>
      <c r="O818" s="4">
        <f t="shared" ca="1" si="42"/>
        <v>85738.310000000012</v>
      </c>
    </row>
    <row r="819" spans="1:15">
      <c r="A819" s="2" t="s">
        <v>20</v>
      </c>
      <c r="B819" t="s">
        <v>43</v>
      </c>
      <c r="C819" t="s">
        <v>44</v>
      </c>
      <c r="D819">
        <v>7</v>
      </c>
      <c r="E819" t="s">
        <v>46</v>
      </c>
      <c r="F819">
        <v>3</v>
      </c>
      <c r="G819">
        <v>1</v>
      </c>
      <c r="H819">
        <v>2</v>
      </c>
      <c r="I819">
        <v>1</v>
      </c>
      <c r="J819" s="4" t="s">
        <v>54</v>
      </c>
      <c r="K819" t="str">
        <f t="shared" si="43"/>
        <v>1+2</v>
      </c>
      <c r="L819">
        <f>VLOOKUP(A819,'ZONE 1 PREMIUM'!$A$4:$N$16,14,0)</f>
        <v>11</v>
      </c>
      <c r="M819">
        <f>VLOOKUP(D819,DROPDOWN!B:C,2,0)</f>
        <v>5</v>
      </c>
      <c r="N819" t="str">
        <f t="shared" si="44"/>
        <v>CO35:DG46</v>
      </c>
      <c r="O819" s="4">
        <f t="shared" ca="1" si="42"/>
        <v>101053.90000000001</v>
      </c>
    </row>
    <row r="820" spans="1:15">
      <c r="A820" s="2" t="s">
        <v>21</v>
      </c>
      <c r="B820" t="s">
        <v>22</v>
      </c>
      <c r="D820">
        <v>7</v>
      </c>
      <c r="E820" t="s">
        <v>46</v>
      </c>
      <c r="F820">
        <v>3</v>
      </c>
      <c r="G820">
        <v>1</v>
      </c>
      <c r="H820">
        <v>2</v>
      </c>
      <c r="I820">
        <v>1</v>
      </c>
      <c r="J820" s="4" t="s">
        <v>54</v>
      </c>
      <c r="K820" t="str">
        <f t="shared" si="43"/>
        <v>1+2</v>
      </c>
      <c r="L820">
        <f>VLOOKUP(A820,'ZONE 1 PREMIUM'!$A$4:$N$16,14,0)</f>
        <v>12</v>
      </c>
      <c r="M820">
        <f>VLOOKUP(D820,DROPDOWN!B:C,2,0)</f>
        <v>5</v>
      </c>
      <c r="N820" t="str">
        <f t="shared" si="44"/>
        <v>CO35:DG46</v>
      </c>
      <c r="O820" s="4">
        <f t="shared" ca="1" si="42"/>
        <v>131754.84</v>
      </c>
    </row>
    <row r="821" spans="1:15">
      <c r="A821" s="2" t="s">
        <v>11</v>
      </c>
      <c r="B821" t="s">
        <v>45</v>
      </c>
      <c r="C821" t="s">
        <v>25</v>
      </c>
      <c r="D821">
        <v>7</v>
      </c>
      <c r="E821" t="s">
        <v>46</v>
      </c>
      <c r="F821">
        <v>4</v>
      </c>
      <c r="G821">
        <v>1</v>
      </c>
      <c r="H821">
        <v>3</v>
      </c>
      <c r="I821">
        <v>1</v>
      </c>
      <c r="J821" s="4" t="s">
        <v>54</v>
      </c>
      <c r="K821" t="str">
        <f t="shared" si="43"/>
        <v>1+3</v>
      </c>
      <c r="L821">
        <f>VLOOKUP(A821,'ZONE 1 PREMIUM'!$A$4:$N$16,14,0)</f>
        <v>2</v>
      </c>
      <c r="M821">
        <f>VLOOKUP(D821,DROPDOWN!B:C,2,0)</f>
        <v>5</v>
      </c>
      <c r="N821" t="str">
        <f t="shared" si="44"/>
        <v>CO50:DG61</v>
      </c>
      <c r="O821" s="4">
        <f t="shared" ca="1" si="42"/>
        <v>21326.940000000002</v>
      </c>
    </row>
    <row r="822" spans="1:15">
      <c r="A822" s="2" t="s">
        <v>12</v>
      </c>
      <c r="B822" t="s">
        <v>27</v>
      </c>
      <c r="C822" t="s">
        <v>28</v>
      </c>
      <c r="D822">
        <v>7</v>
      </c>
      <c r="E822" t="s">
        <v>46</v>
      </c>
      <c r="F822">
        <v>4</v>
      </c>
      <c r="G822">
        <v>1</v>
      </c>
      <c r="H822">
        <v>3</v>
      </c>
      <c r="I822">
        <v>1</v>
      </c>
      <c r="J822" s="4" t="s">
        <v>54</v>
      </c>
      <c r="K822" t="str">
        <f t="shared" si="43"/>
        <v>1+3</v>
      </c>
      <c r="L822">
        <f>VLOOKUP(A822,'ZONE 1 PREMIUM'!$A$4:$N$16,14,0)</f>
        <v>3</v>
      </c>
      <c r="M822">
        <f>VLOOKUP(D822,DROPDOWN!B:C,2,0)</f>
        <v>5</v>
      </c>
      <c r="N822" t="str">
        <f t="shared" si="44"/>
        <v>CO50:DG61</v>
      </c>
      <c r="O822" s="4">
        <f t="shared" ca="1" si="42"/>
        <v>22571.72</v>
      </c>
    </row>
    <row r="823" spans="1:15">
      <c r="A823" s="2" t="s">
        <v>13</v>
      </c>
      <c r="B823" t="s">
        <v>29</v>
      </c>
      <c r="C823" t="s">
        <v>30</v>
      </c>
      <c r="D823">
        <v>7</v>
      </c>
      <c r="E823" t="s">
        <v>46</v>
      </c>
      <c r="F823">
        <v>4</v>
      </c>
      <c r="G823">
        <v>1</v>
      </c>
      <c r="H823">
        <v>3</v>
      </c>
      <c r="I823">
        <v>1</v>
      </c>
      <c r="J823" s="4" t="s">
        <v>54</v>
      </c>
      <c r="K823" t="str">
        <f t="shared" si="43"/>
        <v>1+3</v>
      </c>
      <c r="L823">
        <f>VLOOKUP(A823,'ZONE 1 PREMIUM'!$A$4:$N$16,14,0)</f>
        <v>4</v>
      </c>
      <c r="M823">
        <f>VLOOKUP(D823,DROPDOWN!B:C,2,0)</f>
        <v>5</v>
      </c>
      <c r="N823" t="str">
        <f t="shared" si="44"/>
        <v>CO50:DG61</v>
      </c>
      <c r="O823" s="4">
        <f t="shared" ca="1" si="42"/>
        <v>26078.250000000004</v>
      </c>
    </row>
    <row r="824" spans="1:15">
      <c r="A824" s="2" t="s">
        <v>14</v>
      </c>
      <c r="B824" t="s">
        <v>31</v>
      </c>
      <c r="C824" t="s">
        <v>32</v>
      </c>
      <c r="D824">
        <v>7</v>
      </c>
      <c r="E824" t="s">
        <v>46</v>
      </c>
      <c r="F824">
        <v>4</v>
      </c>
      <c r="G824">
        <v>1</v>
      </c>
      <c r="H824">
        <v>3</v>
      </c>
      <c r="I824">
        <v>1</v>
      </c>
      <c r="J824" s="4" t="s">
        <v>54</v>
      </c>
      <c r="K824" t="str">
        <f t="shared" si="43"/>
        <v>1+3</v>
      </c>
      <c r="L824">
        <f>VLOOKUP(A824,'ZONE 1 PREMIUM'!$A$4:$N$16,14,0)</f>
        <v>5</v>
      </c>
      <c r="M824">
        <f>VLOOKUP(D824,DROPDOWN!B:C,2,0)</f>
        <v>5</v>
      </c>
      <c r="N824" t="str">
        <f t="shared" si="44"/>
        <v>CO50:DG61</v>
      </c>
      <c r="O824" s="4">
        <f t="shared" ca="1" si="42"/>
        <v>28977.65</v>
      </c>
    </row>
    <row r="825" spans="1:15">
      <c r="A825" s="2" t="s">
        <v>15</v>
      </c>
      <c r="B825" t="s">
        <v>33</v>
      </c>
      <c r="C825" t="s">
        <v>34</v>
      </c>
      <c r="D825">
        <v>7</v>
      </c>
      <c r="E825" t="s">
        <v>46</v>
      </c>
      <c r="F825">
        <v>4</v>
      </c>
      <c r="G825">
        <v>1</v>
      </c>
      <c r="H825">
        <v>3</v>
      </c>
      <c r="I825">
        <v>1</v>
      </c>
      <c r="J825" s="4" t="s">
        <v>54</v>
      </c>
      <c r="K825" t="str">
        <f t="shared" si="43"/>
        <v>1+3</v>
      </c>
      <c r="L825">
        <f>VLOOKUP(A825,'ZONE 1 PREMIUM'!$A$4:$N$16,14,0)</f>
        <v>6</v>
      </c>
      <c r="M825">
        <f>VLOOKUP(D825,DROPDOWN!B:C,2,0)</f>
        <v>5</v>
      </c>
      <c r="N825" t="str">
        <f t="shared" si="44"/>
        <v>CO50:DG61</v>
      </c>
      <c r="O825" s="4">
        <f t="shared" ca="1" si="42"/>
        <v>36645.800000000003</v>
      </c>
    </row>
    <row r="826" spans="1:15">
      <c r="A826" s="2" t="s">
        <v>16</v>
      </c>
      <c r="B826" t="s">
        <v>35</v>
      </c>
      <c r="C826" t="s">
        <v>36</v>
      </c>
      <c r="D826">
        <v>7</v>
      </c>
      <c r="E826" t="s">
        <v>46</v>
      </c>
      <c r="F826">
        <v>4</v>
      </c>
      <c r="G826">
        <v>1</v>
      </c>
      <c r="H826">
        <v>3</v>
      </c>
      <c r="I826">
        <v>1</v>
      </c>
      <c r="J826" s="4" t="s">
        <v>54</v>
      </c>
      <c r="K826" t="str">
        <f t="shared" si="43"/>
        <v>1+3</v>
      </c>
      <c r="L826">
        <f>VLOOKUP(A826,'ZONE 1 PREMIUM'!$A$4:$N$16,14,0)</f>
        <v>7</v>
      </c>
      <c r="M826">
        <f>VLOOKUP(D826,DROPDOWN!B:C,2,0)</f>
        <v>5</v>
      </c>
      <c r="N826" t="str">
        <f t="shared" si="44"/>
        <v>CO50:DG61</v>
      </c>
      <c r="O826" s="4">
        <f t="shared" ca="1" si="42"/>
        <v>46198.560000000005</v>
      </c>
    </row>
    <row r="827" spans="1:15">
      <c r="A827" s="2" t="s">
        <v>17</v>
      </c>
      <c r="B827" t="s">
        <v>37</v>
      </c>
      <c r="C827" t="s">
        <v>38</v>
      </c>
      <c r="D827">
        <v>7</v>
      </c>
      <c r="E827" t="s">
        <v>46</v>
      </c>
      <c r="F827">
        <v>4</v>
      </c>
      <c r="G827">
        <v>1</v>
      </c>
      <c r="H827">
        <v>3</v>
      </c>
      <c r="I827">
        <v>1</v>
      </c>
      <c r="J827" s="4" t="s">
        <v>54</v>
      </c>
      <c r="K827" t="str">
        <f t="shared" si="43"/>
        <v>1+3</v>
      </c>
      <c r="L827">
        <f>VLOOKUP(A827,'ZONE 1 PREMIUM'!$A$4:$N$16,14,0)</f>
        <v>8</v>
      </c>
      <c r="M827">
        <f>VLOOKUP(D827,DROPDOWN!B:C,2,0)</f>
        <v>5</v>
      </c>
      <c r="N827" t="str">
        <f t="shared" si="44"/>
        <v>CO50:DG61</v>
      </c>
      <c r="O827" s="4">
        <f t="shared" ca="1" si="42"/>
        <v>56891.460000000006</v>
      </c>
    </row>
    <row r="828" spans="1:15">
      <c r="A828" s="2" t="s">
        <v>18</v>
      </c>
      <c r="B828" t="s">
        <v>39</v>
      </c>
      <c r="C828" t="s">
        <v>40</v>
      </c>
      <c r="D828">
        <v>7</v>
      </c>
      <c r="E828" t="s">
        <v>46</v>
      </c>
      <c r="F828">
        <v>4</v>
      </c>
      <c r="G828">
        <v>1</v>
      </c>
      <c r="H828">
        <v>3</v>
      </c>
      <c r="I828">
        <v>1</v>
      </c>
      <c r="J828" s="4" t="s">
        <v>54</v>
      </c>
      <c r="K828" t="str">
        <f t="shared" si="43"/>
        <v>1+3</v>
      </c>
      <c r="L828">
        <f>VLOOKUP(A828,'ZONE 1 PREMIUM'!$A$4:$N$16,14,0)</f>
        <v>9</v>
      </c>
      <c r="M828">
        <f>VLOOKUP(D828,DROPDOWN!B:C,2,0)</f>
        <v>5</v>
      </c>
      <c r="N828" t="str">
        <f t="shared" si="44"/>
        <v>CO50:DG61</v>
      </c>
      <c r="O828" s="4">
        <f t="shared" ca="1" si="42"/>
        <v>73595.710000000006</v>
      </c>
    </row>
    <row r="829" spans="1:15">
      <c r="A829" s="2" t="s">
        <v>19</v>
      </c>
      <c r="B829" t="s">
        <v>41</v>
      </c>
      <c r="C829" t="s">
        <v>42</v>
      </c>
      <c r="D829">
        <v>7</v>
      </c>
      <c r="E829" t="s">
        <v>46</v>
      </c>
      <c r="F829">
        <v>4</v>
      </c>
      <c r="G829">
        <v>1</v>
      </c>
      <c r="H829">
        <v>3</v>
      </c>
      <c r="I829">
        <v>1</v>
      </c>
      <c r="J829" s="4" t="s">
        <v>54</v>
      </c>
      <c r="K829" t="str">
        <f t="shared" si="43"/>
        <v>1+3</v>
      </c>
      <c r="L829">
        <f>VLOOKUP(A829,'ZONE 1 PREMIUM'!$A$4:$N$16,14,0)</f>
        <v>10</v>
      </c>
      <c r="M829">
        <f>VLOOKUP(D829,DROPDOWN!B:C,2,0)</f>
        <v>5</v>
      </c>
      <c r="N829" t="str">
        <f t="shared" si="44"/>
        <v>CO50:DG61</v>
      </c>
      <c r="O829" s="4">
        <f t="shared" ca="1" si="42"/>
        <v>90284.700000000012</v>
      </c>
    </row>
    <row r="830" spans="1:15">
      <c r="A830" s="2" t="s">
        <v>20</v>
      </c>
      <c r="B830" t="s">
        <v>43</v>
      </c>
      <c r="C830" t="s">
        <v>44</v>
      </c>
      <c r="D830">
        <v>7</v>
      </c>
      <c r="E830" t="s">
        <v>46</v>
      </c>
      <c r="F830">
        <v>4</v>
      </c>
      <c r="G830">
        <v>1</v>
      </c>
      <c r="H830">
        <v>3</v>
      </c>
      <c r="I830">
        <v>1</v>
      </c>
      <c r="J830" s="4" t="s">
        <v>54</v>
      </c>
      <c r="K830" t="str">
        <f t="shared" si="43"/>
        <v>1+3</v>
      </c>
      <c r="L830">
        <f>VLOOKUP(A830,'ZONE 1 PREMIUM'!$A$4:$N$16,14,0)</f>
        <v>11</v>
      </c>
      <c r="M830">
        <f>VLOOKUP(D830,DROPDOWN!B:C,2,0)</f>
        <v>5</v>
      </c>
      <c r="N830" t="str">
        <f t="shared" si="44"/>
        <v>CO50:DG61</v>
      </c>
      <c r="O830" s="4">
        <f t="shared" ca="1" si="42"/>
        <v>105352.86</v>
      </c>
    </row>
    <row r="831" spans="1:15">
      <c r="A831" s="2" t="s">
        <v>21</v>
      </c>
      <c r="B831" t="s">
        <v>22</v>
      </c>
      <c r="D831">
        <v>7</v>
      </c>
      <c r="E831" t="s">
        <v>46</v>
      </c>
      <c r="F831">
        <v>4</v>
      </c>
      <c r="G831">
        <v>1</v>
      </c>
      <c r="H831">
        <v>3</v>
      </c>
      <c r="I831">
        <v>1</v>
      </c>
      <c r="J831" s="4" t="s">
        <v>54</v>
      </c>
      <c r="K831" t="str">
        <f t="shared" si="43"/>
        <v>1+3</v>
      </c>
      <c r="L831">
        <f>VLOOKUP(A831,'ZONE 1 PREMIUM'!$A$4:$N$16,14,0)</f>
        <v>12</v>
      </c>
      <c r="M831">
        <f>VLOOKUP(D831,DROPDOWN!B:C,2,0)</f>
        <v>5</v>
      </c>
      <c r="N831" t="str">
        <f t="shared" si="44"/>
        <v>CO50:DG61</v>
      </c>
      <c r="O831" s="4">
        <f t="shared" ca="1" si="42"/>
        <v>136318.67000000001</v>
      </c>
    </row>
    <row r="832" spans="1:15">
      <c r="A832" s="2" t="s">
        <v>11</v>
      </c>
      <c r="B832" t="s">
        <v>45</v>
      </c>
      <c r="C832" t="s">
        <v>25</v>
      </c>
      <c r="D832">
        <v>7</v>
      </c>
      <c r="E832" t="s">
        <v>46</v>
      </c>
      <c r="F832">
        <v>5</v>
      </c>
      <c r="G832">
        <v>1</v>
      </c>
      <c r="H832">
        <v>4</v>
      </c>
      <c r="I832">
        <v>1</v>
      </c>
      <c r="J832" s="4" t="s">
        <v>54</v>
      </c>
      <c r="K832" t="str">
        <f t="shared" si="43"/>
        <v>1+4</v>
      </c>
      <c r="L832">
        <f>VLOOKUP(A832,'ZONE 1 PREMIUM'!$A$4:$N$16,14,0)</f>
        <v>2</v>
      </c>
      <c r="M832">
        <f>VLOOKUP(D832,DROPDOWN!B:C,2,0)</f>
        <v>5</v>
      </c>
      <c r="N832" t="str">
        <f t="shared" si="44"/>
        <v>CO65:DG76</v>
      </c>
      <c r="O832" s="4">
        <f t="shared" ca="1" si="42"/>
        <v>25234.59</v>
      </c>
    </row>
    <row r="833" spans="1:15">
      <c r="A833" s="2" t="s">
        <v>12</v>
      </c>
      <c r="B833" t="s">
        <v>27</v>
      </c>
      <c r="C833" t="s">
        <v>28</v>
      </c>
      <c r="D833">
        <v>7</v>
      </c>
      <c r="E833" t="s">
        <v>46</v>
      </c>
      <c r="F833">
        <v>5</v>
      </c>
      <c r="G833">
        <v>1</v>
      </c>
      <c r="H833">
        <v>4</v>
      </c>
      <c r="I833">
        <v>1</v>
      </c>
      <c r="J833" s="4" t="s">
        <v>54</v>
      </c>
      <c r="K833" t="str">
        <f t="shared" si="43"/>
        <v>1+4</v>
      </c>
      <c r="L833">
        <f>VLOOKUP(A833,'ZONE 1 PREMIUM'!$A$4:$N$16,14,0)</f>
        <v>3</v>
      </c>
      <c r="M833">
        <f>VLOOKUP(D833,DROPDOWN!B:C,2,0)</f>
        <v>5</v>
      </c>
      <c r="N833" t="str">
        <f t="shared" si="44"/>
        <v>CO65:DG76</v>
      </c>
      <c r="O833" s="4">
        <f t="shared" ca="1" si="42"/>
        <v>26408.52</v>
      </c>
    </row>
    <row r="834" spans="1:15">
      <c r="A834" s="2" t="s">
        <v>13</v>
      </c>
      <c r="B834" t="s">
        <v>29</v>
      </c>
      <c r="C834" t="s">
        <v>30</v>
      </c>
      <c r="D834">
        <v>7</v>
      </c>
      <c r="E834" t="s">
        <v>46</v>
      </c>
      <c r="F834">
        <v>5</v>
      </c>
      <c r="G834">
        <v>1</v>
      </c>
      <c r="H834">
        <v>4</v>
      </c>
      <c r="I834">
        <v>1</v>
      </c>
      <c r="J834" s="4" t="s">
        <v>54</v>
      </c>
      <c r="K834" t="str">
        <f t="shared" si="43"/>
        <v>1+4</v>
      </c>
      <c r="L834">
        <f>VLOOKUP(A834,'ZONE 1 PREMIUM'!$A$4:$N$16,14,0)</f>
        <v>4</v>
      </c>
      <c r="M834">
        <f>VLOOKUP(D834,DROPDOWN!B:C,2,0)</f>
        <v>5</v>
      </c>
      <c r="N834" t="str">
        <f t="shared" si="44"/>
        <v>CO65:DG76</v>
      </c>
      <c r="O834" s="4">
        <f t="shared" ref="O834:O897" ca="1" si="45">INDEX(INDIRECT(N834),L834,M834)</f>
        <v>30523.27</v>
      </c>
    </row>
    <row r="835" spans="1:15">
      <c r="A835" s="2" t="s">
        <v>14</v>
      </c>
      <c r="B835" t="s">
        <v>31</v>
      </c>
      <c r="C835" t="s">
        <v>32</v>
      </c>
      <c r="D835">
        <v>7</v>
      </c>
      <c r="E835" t="s">
        <v>46</v>
      </c>
      <c r="F835">
        <v>5</v>
      </c>
      <c r="G835">
        <v>1</v>
      </c>
      <c r="H835">
        <v>4</v>
      </c>
      <c r="I835">
        <v>1</v>
      </c>
      <c r="J835" s="4" t="s">
        <v>54</v>
      </c>
      <c r="K835" t="str">
        <f t="shared" si="43"/>
        <v>1+4</v>
      </c>
      <c r="L835">
        <f>VLOOKUP(A835,'ZONE 1 PREMIUM'!$A$4:$N$16,14,0)</f>
        <v>5</v>
      </c>
      <c r="M835">
        <f>VLOOKUP(D835,DROPDOWN!B:C,2,0)</f>
        <v>5</v>
      </c>
      <c r="N835" t="str">
        <f t="shared" si="44"/>
        <v>CO65:DG76</v>
      </c>
      <c r="O835" s="4">
        <f t="shared" ca="1" si="45"/>
        <v>33704.980000000003</v>
      </c>
    </row>
    <row r="836" spans="1:15">
      <c r="A836" s="2" t="s">
        <v>15</v>
      </c>
      <c r="B836" t="s">
        <v>33</v>
      </c>
      <c r="C836" t="s">
        <v>34</v>
      </c>
      <c r="D836">
        <v>7</v>
      </c>
      <c r="E836" t="s">
        <v>46</v>
      </c>
      <c r="F836">
        <v>5</v>
      </c>
      <c r="G836">
        <v>1</v>
      </c>
      <c r="H836">
        <v>4</v>
      </c>
      <c r="I836">
        <v>1</v>
      </c>
      <c r="J836" s="4" t="s">
        <v>54</v>
      </c>
      <c r="K836" t="str">
        <f t="shared" ref="K836:K899" si="46">G836&amp;"+"&amp;H836</f>
        <v>1+4</v>
      </c>
      <c r="L836">
        <f>VLOOKUP(A836,'ZONE 1 PREMIUM'!$A$4:$N$16,14,0)</f>
        <v>6</v>
      </c>
      <c r="M836">
        <f>VLOOKUP(D836,DROPDOWN!B:C,2,0)</f>
        <v>5</v>
      </c>
      <c r="N836" t="str">
        <f t="shared" si="44"/>
        <v>CO65:DG76</v>
      </c>
      <c r="O836" s="4">
        <f t="shared" ca="1" si="45"/>
        <v>41946.47</v>
      </c>
    </row>
    <row r="837" spans="1:15">
      <c r="A837" s="2" t="s">
        <v>16</v>
      </c>
      <c r="B837" t="s">
        <v>35</v>
      </c>
      <c r="C837" t="s">
        <v>36</v>
      </c>
      <c r="D837">
        <v>7</v>
      </c>
      <c r="E837" t="s">
        <v>46</v>
      </c>
      <c r="F837">
        <v>5</v>
      </c>
      <c r="G837">
        <v>1</v>
      </c>
      <c r="H837">
        <v>4</v>
      </c>
      <c r="I837">
        <v>1</v>
      </c>
      <c r="J837" s="4" t="s">
        <v>54</v>
      </c>
      <c r="K837" t="str">
        <f t="shared" si="46"/>
        <v>1+4</v>
      </c>
      <c r="L837">
        <f>VLOOKUP(A837,'ZONE 1 PREMIUM'!$A$4:$N$16,14,0)</f>
        <v>7</v>
      </c>
      <c r="M837">
        <f>VLOOKUP(D837,DROPDOWN!B:C,2,0)</f>
        <v>5</v>
      </c>
      <c r="N837" t="str">
        <f t="shared" si="44"/>
        <v>CO65:DG76</v>
      </c>
      <c r="O837" s="4">
        <f t="shared" ca="1" si="45"/>
        <v>51066.500000000007</v>
      </c>
    </row>
    <row r="838" spans="1:15">
      <c r="A838" s="2" t="s">
        <v>17</v>
      </c>
      <c r="B838" t="s">
        <v>37</v>
      </c>
      <c r="C838" t="s">
        <v>38</v>
      </c>
      <c r="D838">
        <v>7</v>
      </c>
      <c r="E838" t="s">
        <v>46</v>
      </c>
      <c r="F838">
        <v>5</v>
      </c>
      <c r="G838">
        <v>1</v>
      </c>
      <c r="H838">
        <v>4</v>
      </c>
      <c r="I838">
        <v>1</v>
      </c>
      <c r="J838" s="4" t="s">
        <v>54</v>
      </c>
      <c r="K838" t="str">
        <f t="shared" si="46"/>
        <v>1+4</v>
      </c>
      <c r="L838">
        <f>VLOOKUP(A838,'ZONE 1 PREMIUM'!$A$4:$N$16,14,0)</f>
        <v>8</v>
      </c>
      <c r="M838">
        <f>VLOOKUP(D838,DROPDOWN!B:C,2,0)</f>
        <v>5</v>
      </c>
      <c r="N838" t="str">
        <f t="shared" si="44"/>
        <v>CO65:DG76</v>
      </c>
      <c r="O838" s="4">
        <f t="shared" ca="1" si="45"/>
        <v>61598.080000000002</v>
      </c>
    </row>
    <row r="839" spans="1:15">
      <c r="A839" s="2" t="s">
        <v>18</v>
      </c>
      <c r="B839" t="s">
        <v>39</v>
      </c>
      <c r="C839" t="s">
        <v>40</v>
      </c>
      <c r="D839">
        <v>7</v>
      </c>
      <c r="E839" t="s">
        <v>46</v>
      </c>
      <c r="F839">
        <v>5</v>
      </c>
      <c r="G839">
        <v>1</v>
      </c>
      <c r="H839">
        <v>4</v>
      </c>
      <c r="I839">
        <v>1</v>
      </c>
      <c r="J839" s="4" t="s">
        <v>54</v>
      </c>
      <c r="K839" t="str">
        <f t="shared" si="46"/>
        <v>1+4</v>
      </c>
      <c r="L839">
        <f>VLOOKUP(A839,'ZONE 1 PREMIUM'!$A$4:$N$16,14,0)</f>
        <v>9</v>
      </c>
      <c r="M839">
        <f>VLOOKUP(D839,DROPDOWN!B:C,2,0)</f>
        <v>5</v>
      </c>
      <c r="N839" t="str">
        <f t="shared" si="44"/>
        <v>CO65:DG76</v>
      </c>
      <c r="O839" s="4">
        <f t="shared" ca="1" si="45"/>
        <v>78393.89</v>
      </c>
    </row>
    <row r="840" spans="1:15">
      <c r="A840" s="2" t="s">
        <v>19</v>
      </c>
      <c r="B840" t="s">
        <v>41</v>
      </c>
      <c r="C840" t="s">
        <v>42</v>
      </c>
      <c r="D840">
        <v>7</v>
      </c>
      <c r="E840" t="s">
        <v>46</v>
      </c>
      <c r="F840">
        <v>5</v>
      </c>
      <c r="G840">
        <v>1</v>
      </c>
      <c r="H840">
        <v>4</v>
      </c>
      <c r="I840">
        <v>1</v>
      </c>
      <c r="J840" s="4" t="s">
        <v>54</v>
      </c>
      <c r="K840" t="str">
        <f t="shared" si="46"/>
        <v>1+4</v>
      </c>
      <c r="L840">
        <f>VLOOKUP(A840,'ZONE 1 PREMIUM'!$A$4:$N$16,14,0)</f>
        <v>10</v>
      </c>
      <c r="M840">
        <f>VLOOKUP(D840,DROPDOWN!B:C,2,0)</f>
        <v>5</v>
      </c>
      <c r="N840" t="str">
        <f t="shared" si="44"/>
        <v>CO65:DG76</v>
      </c>
      <c r="O840" s="4">
        <f t="shared" ca="1" si="45"/>
        <v>94993.5</v>
      </c>
    </row>
    <row r="841" spans="1:15">
      <c r="A841" s="2" t="s">
        <v>20</v>
      </c>
      <c r="B841" t="s">
        <v>43</v>
      </c>
      <c r="C841" t="s">
        <v>44</v>
      </c>
      <c r="D841">
        <v>7</v>
      </c>
      <c r="E841" t="s">
        <v>46</v>
      </c>
      <c r="F841">
        <v>5</v>
      </c>
      <c r="G841">
        <v>1</v>
      </c>
      <c r="H841">
        <v>4</v>
      </c>
      <c r="I841">
        <v>1</v>
      </c>
      <c r="J841" s="4" t="s">
        <v>54</v>
      </c>
      <c r="K841" t="str">
        <f t="shared" si="46"/>
        <v>1+4</v>
      </c>
      <c r="L841">
        <f>VLOOKUP(A841,'ZONE 1 PREMIUM'!$A$4:$N$16,14,0)</f>
        <v>11</v>
      </c>
      <c r="M841">
        <f>VLOOKUP(D841,DROPDOWN!B:C,2,0)</f>
        <v>5</v>
      </c>
      <c r="N841" t="str">
        <f t="shared" si="44"/>
        <v>CO65:DG76</v>
      </c>
      <c r="O841" s="4">
        <f t="shared" ca="1" si="45"/>
        <v>110076.92000000001</v>
      </c>
    </row>
    <row r="842" spans="1:15">
      <c r="A842" s="2" t="s">
        <v>21</v>
      </c>
      <c r="B842" t="s">
        <v>22</v>
      </c>
      <c r="D842">
        <v>7</v>
      </c>
      <c r="E842" t="s">
        <v>46</v>
      </c>
      <c r="F842">
        <v>5</v>
      </c>
      <c r="G842">
        <v>1</v>
      </c>
      <c r="H842">
        <v>4</v>
      </c>
      <c r="I842">
        <v>1</v>
      </c>
      <c r="J842" s="4" t="s">
        <v>54</v>
      </c>
      <c r="K842" t="str">
        <f t="shared" si="46"/>
        <v>1+4</v>
      </c>
      <c r="L842">
        <f>VLOOKUP(A842,'ZONE 1 PREMIUM'!$A$4:$N$16,14,0)</f>
        <v>12</v>
      </c>
      <c r="M842">
        <f>VLOOKUP(D842,DROPDOWN!B:C,2,0)</f>
        <v>5</v>
      </c>
      <c r="N842" t="str">
        <f t="shared" si="44"/>
        <v>CO65:DG76</v>
      </c>
      <c r="O842" s="4">
        <f t="shared" ca="1" si="45"/>
        <v>141200.78</v>
      </c>
    </row>
    <row r="843" spans="1:15">
      <c r="A843" s="2" t="s">
        <v>11</v>
      </c>
      <c r="B843" t="s">
        <v>45</v>
      </c>
      <c r="C843" t="s">
        <v>25</v>
      </c>
      <c r="D843">
        <v>7</v>
      </c>
      <c r="E843" t="s">
        <v>46</v>
      </c>
      <c r="F843">
        <v>2</v>
      </c>
      <c r="G843">
        <v>2</v>
      </c>
      <c r="H843">
        <v>0</v>
      </c>
      <c r="I843">
        <v>1</v>
      </c>
      <c r="J843" s="4" t="s">
        <v>54</v>
      </c>
      <c r="K843" t="str">
        <f t="shared" si="46"/>
        <v>2+0</v>
      </c>
      <c r="L843">
        <f>VLOOKUP(A843,'ZONE 1 PREMIUM'!$A$4:$N$16,14,0)</f>
        <v>2</v>
      </c>
      <c r="M843">
        <f>VLOOKUP(D843,DROPDOWN!B:C,2,0)</f>
        <v>5</v>
      </c>
      <c r="N843" t="str">
        <f t="shared" si="44"/>
        <v>CO81:DG92</v>
      </c>
      <c r="O843" s="4">
        <f t="shared" ca="1" si="45"/>
        <v>18912.59</v>
      </c>
    </row>
    <row r="844" spans="1:15">
      <c r="A844" s="2" t="s">
        <v>12</v>
      </c>
      <c r="B844" t="s">
        <v>27</v>
      </c>
      <c r="C844" t="s">
        <v>28</v>
      </c>
      <c r="D844">
        <v>7</v>
      </c>
      <c r="E844" t="s">
        <v>46</v>
      </c>
      <c r="F844">
        <v>2</v>
      </c>
      <c r="G844">
        <v>2</v>
      </c>
      <c r="H844">
        <v>0</v>
      </c>
      <c r="I844">
        <v>1</v>
      </c>
      <c r="J844" s="4" t="s">
        <v>54</v>
      </c>
      <c r="K844" t="str">
        <f t="shared" si="46"/>
        <v>2+0</v>
      </c>
      <c r="L844">
        <f>VLOOKUP(A844,'ZONE 1 PREMIUM'!$A$4:$N$16,14,0)</f>
        <v>3</v>
      </c>
      <c r="M844">
        <f>VLOOKUP(D844,DROPDOWN!B:C,2,0)</f>
        <v>5</v>
      </c>
      <c r="N844" t="str">
        <f t="shared" si="44"/>
        <v>CO81:DG92</v>
      </c>
      <c r="O844" s="4">
        <f t="shared" ca="1" si="45"/>
        <v>21605.980000000003</v>
      </c>
    </row>
    <row r="845" spans="1:15">
      <c r="A845" s="2" t="s">
        <v>13</v>
      </c>
      <c r="B845" t="s">
        <v>29</v>
      </c>
      <c r="C845" t="s">
        <v>30</v>
      </c>
      <c r="D845">
        <v>7</v>
      </c>
      <c r="E845" t="s">
        <v>46</v>
      </c>
      <c r="F845">
        <v>2</v>
      </c>
      <c r="G845">
        <v>2</v>
      </c>
      <c r="H845">
        <v>0</v>
      </c>
      <c r="I845">
        <v>1</v>
      </c>
      <c r="J845" s="4" t="s">
        <v>54</v>
      </c>
      <c r="K845" t="str">
        <f t="shared" si="46"/>
        <v>2+0</v>
      </c>
      <c r="L845">
        <f>VLOOKUP(A845,'ZONE 1 PREMIUM'!$A$4:$N$16,14,0)</f>
        <v>4</v>
      </c>
      <c r="M845">
        <f>VLOOKUP(D845,DROPDOWN!B:C,2,0)</f>
        <v>5</v>
      </c>
      <c r="N845" t="str">
        <f t="shared" si="44"/>
        <v>CO81:DG92</v>
      </c>
      <c r="O845" s="4">
        <f t="shared" ca="1" si="45"/>
        <v>23966.920000000002</v>
      </c>
    </row>
    <row r="846" spans="1:15">
      <c r="A846" s="2" t="s">
        <v>14</v>
      </c>
      <c r="B846" t="s">
        <v>31</v>
      </c>
      <c r="C846" t="s">
        <v>32</v>
      </c>
      <c r="D846">
        <v>7</v>
      </c>
      <c r="E846" t="s">
        <v>46</v>
      </c>
      <c r="F846">
        <v>2</v>
      </c>
      <c r="G846">
        <v>2</v>
      </c>
      <c r="H846">
        <v>0</v>
      </c>
      <c r="I846">
        <v>1</v>
      </c>
      <c r="J846" s="4" t="s">
        <v>54</v>
      </c>
      <c r="K846" t="str">
        <f t="shared" si="46"/>
        <v>2+0</v>
      </c>
      <c r="L846">
        <f>VLOOKUP(A846,'ZONE 1 PREMIUM'!$A$4:$N$16,14,0)</f>
        <v>5</v>
      </c>
      <c r="M846">
        <f>VLOOKUP(D846,DROPDOWN!B:C,2,0)</f>
        <v>5</v>
      </c>
      <c r="N846" t="str">
        <f t="shared" si="44"/>
        <v>CO81:DG92</v>
      </c>
      <c r="O846" s="4">
        <f t="shared" ca="1" si="45"/>
        <v>27750.31</v>
      </c>
    </row>
    <row r="847" spans="1:15">
      <c r="A847" s="2" t="s">
        <v>15</v>
      </c>
      <c r="B847" t="s">
        <v>33</v>
      </c>
      <c r="C847" t="s">
        <v>34</v>
      </c>
      <c r="D847">
        <v>7</v>
      </c>
      <c r="E847" t="s">
        <v>46</v>
      </c>
      <c r="F847">
        <v>2</v>
      </c>
      <c r="G847">
        <v>2</v>
      </c>
      <c r="H847">
        <v>0</v>
      </c>
      <c r="I847">
        <v>1</v>
      </c>
      <c r="J847" s="4" t="s">
        <v>54</v>
      </c>
      <c r="K847" t="str">
        <f t="shared" si="46"/>
        <v>2+0</v>
      </c>
      <c r="L847">
        <f>VLOOKUP(A847,'ZONE 1 PREMIUM'!$A$4:$N$16,14,0)</f>
        <v>6</v>
      </c>
      <c r="M847">
        <f>VLOOKUP(D847,DROPDOWN!B:C,2,0)</f>
        <v>5</v>
      </c>
      <c r="N847" t="str">
        <f t="shared" si="44"/>
        <v>CO81:DG92</v>
      </c>
      <c r="O847" s="4">
        <f t="shared" ca="1" si="45"/>
        <v>36853.990000000005</v>
      </c>
    </row>
    <row r="848" spans="1:15">
      <c r="A848" s="2" t="s">
        <v>16</v>
      </c>
      <c r="B848" t="s">
        <v>35</v>
      </c>
      <c r="C848" t="s">
        <v>36</v>
      </c>
      <c r="D848">
        <v>7</v>
      </c>
      <c r="E848" t="s">
        <v>46</v>
      </c>
      <c r="F848">
        <v>2</v>
      </c>
      <c r="G848">
        <v>2</v>
      </c>
      <c r="H848">
        <v>0</v>
      </c>
      <c r="I848">
        <v>1</v>
      </c>
      <c r="J848" s="4" t="s">
        <v>54</v>
      </c>
      <c r="K848" t="str">
        <f t="shared" si="46"/>
        <v>2+0</v>
      </c>
      <c r="L848">
        <f>VLOOKUP(A848,'ZONE 1 PREMIUM'!$A$4:$N$16,14,0)</f>
        <v>7</v>
      </c>
      <c r="M848">
        <f>VLOOKUP(D848,DROPDOWN!B:C,2,0)</f>
        <v>5</v>
      </c>
      <c r="N848" t="str">
        <f t="shared" si="44"/>
        <v>CO81:DG92</v>
      </c>
      <c r="O848" s="4">
        <f t="shared" ca="1" si="45"/>
        <v>49305.060000000005</v>
      </c>
    </row>
    <row r="849" spans="1:15">
      <c r="A849" s="2" t="s">
        <v>17</v>
      </c>
      <c r="B849" t="s">
        <v>37</v>
      </c>
      <c r="C849" t="s">
        <v>38</v>
      </c>
      <c r="D849">
        <v>7</v>
      </c>
      <c r="E849" t="s">
        <v>46</v>
      </c>
      <c r="F849">
        <v>2</v>
      </c>
      <c r="G849">
        <v>2</v>
      </c>
      <c r="H849">
        <v>0</v>
      </c>
      <c r="I849">
        <v>1</v>
      </c>
      <c r="J849" s="4" t="s">
        <v>54</v>
      </c>
      <c r="K849" t="str">
        <f t="shared" si="46"/>
        <v>2+0</v>
      </c>
      <c r="L849">
        <f>VLOOKUP(A849,'ZONE 1 PREMIUM'!$A$4:$N$16,14,0)</f>
        <v>8</v>
      </c>
      <c r="M849">
        <f>VLOOKUP(D849,DROPDOWN!B:C,2,0)</f>
        <v>5</v>
      </c>
      <c r="N849" t="str">
        <f t="shared" si="44"/>
        <v>CO81:DG92</v>
      </c>
      <c r="O849" s="4">
        <f t="shared" ca="1" si="45"/>
        <v>67241.010000000009</v>
      </c>
    </row>
    <row r="850" spans="1:15">
      <c r="A850" s="2" t="s">
        <v>18</v>
      </c>
      <c r="B850" t="s">
        <v>39</v>
      </c>
      <c r="C850" t="s">
        <v>40</v>
      </c>
      <c r="D850">
        <v>7</v>
      </c>
      <c r="E850" t="s">
        <v>46</v>
      </c>
      <c r="F850">
        <v>2</v>
      </c>
      <c r="G850">
        <v>2</v>
      </c>
      <c r="H850">
        <v>0</v>
      </c>
      <c r="I850">
        <v>1</v>
      </c>
      <c r="J850" s="4" t="s">
        <v>54</v>
      </c>
      <c r="K850" t="str">
        <f t="shared" si="46"/>
        <v>2+0</v>
      </c>
      <c r="L850">
        <f>VLOOKUP(A850,'ZONE 1 PREMIUM'!$A$4:$N$16,14,0)</f>
        <v>9</v>
      </c>
      <c r="M850">
        <f>VLOOKUP(D850,DROPDOWN!B:C,2,0)</f>
        <v>5</v>
      </c>
      <c r="N850" t="str">
        <f t="shared" ref="N850:N897" si="47">VLOOKUP(K850,$DH$4:$DI$13,2,0)</f>
        <v>CO81:DG92</v>
      </c>
      <c r="O850" s="4">
        <f t="shared" ca="1" si="45"/>
        <v>95171.170000000013</v>
      </c>
    </row>
    <row r="851" spans="1:15">
      <c r="A851" s="2" t="s">
        <v>19</v>
      </c>
      <c r="B851" t="s">
        <v>41</v>
      </c>
      <c r="C851" t="s">
        <v>42</v>
      </c>
      <c r="D851">
        <v>7</v>
      </c>
      <c r="E851" t="s">
        <v>46</v>
      </c>
      <c r="F851">
        <v>2</v>
      </c>
      <c r="G851">
        <v>2</v>
      </c>
      <c r="H851">
        <v>0</v>
      </c>
      <c r="I851">
        <v>1</v>
      </c>
      <c r="J851" s="4" t="s">
        <v>54</v>
      </c>
      <c r="K851" t="str">
        <f t="shared" si="46"/>
        <v>2+0</v>
      </c>
      <c r="L851">
        <f>VLOOKUP(A851,'ZONE 1 PREMIUM'!$A$4:$N$16,14,0)</f>
        <v>10</v>
      </c>
      <c r="M851">
        <f>VLOOKUP(D851,DROPDOWN!B:C,2,0)</f>
        <v>5</v>
      </c>
      <c r="N851" t="str">
        <f t="shared" si="47"/>
        <v>CO81:DG92</v>
      </c>
      <c r="O851" s="4">
        <f t="shared" ca="1" si="45"/>
        <v>132134.16</v>
      </c>
    </row>
    <row r="852" spans="1:15">
      <c r="A852" s="2" t="s">
        <v>20</v>
      </c>
      <c r="B852" t="s">
        <v>43</v>
      </c>
      <c r="C852" t="s">
        <v>44</v>
      </c>
      <c r="D852">
        <v>7</v>
      </c>
      <c r="E852" t="s">
        <v>46</v>
      </c>
      <c r="F852">
        <v>2</v>
      </c>
      <c r="G852">
        <v>2</v>
      </c>
      <c r="H852">
        <v>0</v>
      </c>
      <c r="I852">
        <v>1</v>
      </c>
      <c r="J852" s="4" t="s">
        <v>54</v>
      </c>
      <c r="K852" t="str">
        <f t="shared" si="46"/>
        <v>2+0</v>
      </c>
      <c r="L852">
        <f>VLOOKUP(A852,'ZONE 1 PREMIUM'!$A$4:$N$16,14,0)</f>
        <v>11</v>
      </c>
      <c r="M852">
        <f>VLOOKUP(D852,DROPDOWN!B:C,2,0)</f>
        <v>5</v>
      </c>
      <c r="N852" t="str">
        <f t="shared" si="47"/>
        <v>CO81:DG92</v>
      </c>
      <c r="O852" s="4">
        <f t="shared" ca="1" si="45"/>
        <v>162978.98000000001</v>
      </c>
    </row>
    <row r="853" spans="1:15">
      <c r="A853" s="2" t="s">
        <v>21</v>
      </c>
      <c r="B853" t="s">
        <v>22</v>
      </c>
      <c r="D853">
        <v>7</v>
      </c>
      <c r="E853" t="s">
        <v>46</v>
      </c>
      <c r="F853">
        <v>2</v>
      </c>
      <c r="G853">
        <v>2</v>
      </c>
      <c r="H853">
        <v>0</v>
      </c>
      <c r="I853">
        <v>1</v>
      </c>
      <c r="J853" s="4" t="s">
        <v>54</v>
      </c>
      <c r="K853" t="str">
        <f t="shared" si="46"/>
        <v>2+0</v>
      </c>
      <c r="L853">
        <f>VLOOKUP(A853,'ZONE 1 PREMIUM'!$A$4:$N$16,14,0)</f>
        <v>12</v>
      </c>
      <c r="M853">
        <f>VLOOKUP(D853,DROPDOWN!B:C,2,0)</f>
        <v>5</v>
      </c>
      <c r="N853" t="str">
        <f t="shared" si="47"/>
        <v>CO81:DG92</v>
      </c>
      <c r="O853" s="4">
        <f t="shared" ca="1" si="45"/>
        <v>208047.21000000002</v>
      </c>
    </row>
    <row r="854" spans="1:15">
      <c r="A854" s="2" t="s">
        <v>11</v>
      </c>
      <c r="B854" t="s">
        <v>45</v>
      </c>
      <c r="C854" t="s">
        <v>25</v>
      </c>
      <c r="D854">
        <v>7</v>
      </c>
      <c r="E854" t="s">
        <v>46</v>
      </c>
      <c r="F854">
        <v>3</v>
      </c>
      <c r="G854">
        <v>2</v>
      </c>
      <c r="H854">
        <v>1</v>
      </c>
      <c r="I854">
        <v>1</v>
      </c>
      <c r="J854" s="4" t="s">
        <v>54</v>
      </c>
      <c r="K854" t="str">
        <f t="shared" si="46"/>
        <v>2+1</v>
      </c>
      <c r="L854">
        <f>VLOOKUP(A854,'ZONE 1 PREMIUM'!$A$4:$N$16,14,0)</f>
        <v>2</v>
      </c>
      <c r="M854">
        <f>VLOOKUP(D854,DROPDOWN!B:C,2,0)</f>
        <v>5</v>
      </c>
      <c r="N854" t="str">
        <f t="shared" si="47"/>
        <v>CO98:DG109</v>
      </c>
      <c r="O854" s="4">
        <f t="shared" ca="1" si="45"/>
        <v>22967.390000000003</v>
      </c>
    </row>
    <row r="855" spans="1:15">
      <c r="A855" s="2" t="s">
        <v>12</v>
      </c>
      <c r="B855" t="s">
        <v>27</v>
      </c>
      <c r="C855" t="s">
        <v>28</v>
      </c>
      <c r="D855">
        <v>7</v>
      </c>
      <c r="E855" t="s">
        <v>46</v>
      </c>
      <c r="F855">
        <v>3</v>
      </c>
      <c r="G855">
        <v>2</v>
      </c>
      <c r="H855">
        <v>1</v>
      </c>
      <c r="I855">
        <v>1</v>
      </c>
      <c r="J855" s="4" t="s">
        <v>54</v>
      </c>
      <c r="K855" t="str">
        <f t="shared" si="46"/>
        <v>2+1</v>
      </c>
      <c r="L855">
        <f>VLOOKUP(A855,'ZONE 1 PREMIUM'!$A$4:$N$16,14,0)</f>
        <v>3</v>
      </c>
      <c r="M855">
        <f>VLOOKUP(D855,DROPDOWN!B:C,2,0)</f>
        <v>5</v>
      </c>
      <c r="N855" t="str">
        <f t="shared" si="47"/>
        <v>CO98:DG109</v>
      </c>
      <c r="O855" s="4">
        <f t="shared" ca="1" si="45"/>
        <v>25589.93</v>
      </c>
    </row>
    <row r="856" spans="1:15">
      <c r="A856" s="2" t="s">
        <v>13</v>
      </c>
      <c r="B856" t="s">
        <v>29</v>
      </c>
      <c r="C856" t="s">
        <v>30</v>
      </c>
      <c r="D856">
        <v>7</v>
      </c>
      <c r="E856" t="s">
        <v>46</v>
      </c>
      <c r="F856">
        <v>3</v>
      </c>
      <c r="G856">
        <v>2</v>
      </c>
      <c r="H856">
        <v>1</v>
      </c>
      <c r="I856">
        <v>1</v>
      </c>
      <c r="J856" s="4" t="s">
        <v>54</v>
      </c>
      <c r="K856" t="str">
        <f t="shared" si="46"/>
        <v>2+1</v>
      </c>
      <c r="L856">
        <f>VLOOKUP(A856,'ZONE 1 PREMIUM'!$A$4:$N$16,14,0)</f>
        <v>4</v>
      </c>
      <c r="M856">
        <f>VLOOKUP(D856,DROPDOWN!B:C,2,0)</f>
        <v>5</v>
      </c>
      <c r="N856" t="str">
        <f t="shared" si="47"/>
        <v>CO98:DG109</v>
      </c>
      <c r="O856" s="4">
        <f t="shared" ca="1" si="45"/>
        <v>28596.15</v>
      </c>
    </row>
    <row r="857" spans="1:15">
      <c r="A857" s="2" t="s">
        <v>14</v>
      </c>
      <c r="B857" t="s">
        <v>31</v>
      </c>
      <c r="C857" t="s">
        <v>32</v>
      </c>
      <c r="D857">
        <v>7</v>
      </c>
      <c r="E857" t="s">
        <v>46</v>
      </c>
      <c r="F857">
        <v>3</v>
      </c>
      <c r="G857">
        <v>2</v>
      </c>
      <c r="H857">
        <v>1</v>
      </c>
      <c r="I857">
        <v>1</v>
      </c>
      <c r="J857" s="4" t="s">
        <v>54</v>
      </c>
      <c r="K857" t="str">
        <f t="shared" si="46"/>
        <v>2+1</v>
      </c>
      <c r="L857">
        <f>VLOOKUP(A857,'ZONE 1 PREMIUM'!$A$4:$N$16,14,0)</f>
        <v>5</v>
      </c>
      <c r="M857">
        <f>VLOOKUP(D857,DROPDOWN!B:C,2,0)</f>
        <v>5</v>
      </c>
      <c r="N857" t="str">
        <f t="shared" si="47"/>
        <v>CO98:DG109</v>
      </c>
      <c r="O857" s="4">
        <f t="shared" ca="1" si="45"/>
        <v>32690.190000000002</v>
      </c>
    </row>
    <row r="858" spans="1:15">
      <c r="A858" s="2" t="s">
        <v>15</v>
      </c>
      <c r="B858" t="s">
        <v>33</v>
      </c>
      <c r="C858" t="s">
        <v>34</v>
      </c>
      <c r="D858">
        <v>7</v>
      </c>
      <c r="E858" t="s">
        <v>46</v>
      </c>
      <c r="F858">
        <v>3</v>
      </c>
      <c r="G858">
        <v>2</v>
      </c>
      <c r="H858">
        <v>1</v>
      </c>
      <c r="I858">
        <v>1</v>
      </c>
      <c r="J858" s="4" t="s">
        <v>54</v>
      </c>
      <c r="K858" t="str">
        <f t="shared" si="46"/>
        <v>2+1</v>
      </c>
      <c r="L858">
        <f>VLOOKUP(A858,'ZONE 1 PREMIUM'!$A$4:$N$16,14,0)</f>
        <v>6</v>
      </c>
      <c r="M858">
        <f>VLOOKUP(D858,DROPDOWN!B:C,2,0)</f>
        <v>5</v>
      </c>
      <c r="N858" t="str">
        <f t="shared" si="47"/>
        <v>CO98:DG109</v>
      </c>
      <c r="O858" s="4">
        <f t="shared" ca="1" si="45"/>
        <v>42399.91</v>
      </c>
    </row>
    <row r="859" spans="1:15">
      <c r="A859" s="2" t="s">
        <v>16</v>
      </c>
      <c r="B859" t="s">
        <v>35</v>
      </c>
      <c r="C859" t="s">
        <v>36</v>
      </c>
      <c r="D859">
        <v>7</v>
      </c>
      <c r="E859" t="s">
        <v>46</v>
      </c>
      <c r="F859">
        <v>3</v>
      </c>
      <c r="G859">
        <v>2</v>
      </c>
      <c r="H859">
        <v>1</v>
      </c>
      <c r="I859">
        <v>1</v>
      </c>
      <c r="J859" s="4" t="s">
        <v>54</v>
      </c>
      <c r="K859" t="str">
        <f t="shared" si="46"/>
        <v>2+1</v>
      </c>
      <c r="L859">
        <f>VLOOKUP(A859,'ZONE 1 PREMIUM'!$A$4:$N$16,14,0)</f>
        <v>7</v>
      </c>
      <c r="M859">
        <f>VLOOKUP(D859,DROPDOWN!B:C,2,0)</f>
        <v>5</v>
      </c>
      <c r="N859" t="str">
        <f t="shared" si="47"/>
        <v>CO98:DG109</v>
      </c>
      <c r="O859" s="4">
        <f t="shared" ca="1" si="45"/>
        <v>56175.33</v>
      </c>
    </row>
    <row r="860" spans="1:15">
      <c r="A860" s="2" t="s">
        <v>17</v>
      </c>
      <c r="B860" t="s">
        <v>37</v>
      </c>
      <c r="C860" t="s">
        <v>38</v>
      </c>
      <c r="D860">
        <v>7</v>
      </c>
      <c r="E860" t="s">
        <v>46</v>
      </c>
      <c r="F860">
        <v>3</v>
      </c>
      <c r="G860">
        <v>2</v>
      </c>
      <c r="H860">
        <v>1</v>
      </c>
      <c r="I860">
        <v>1</v>
      </c>
      <c r="J860" s="4" t="s">
        <v>54</v>
      </c>
      <c r="K860" t="str">
        <f t="shared" si="46"/>
        <v>2+1</v>
      </c>
      <c r="L860">
        <f>VLOOKUP(A860,'ZONE 1 PREMIUM'!$A$4:$N$16,14,0)</f>
        <v>8</v>
      </c>
      <c r="M860">
        <f>VLOOKUP(D860,DROPDOWN!B:C,2,0)</f>
        <v>5</v>
      </c>
      <c r="N860" t="str">
        <f t="shared" si="47"/>
        <v>CO98:DG109</v>
      </c>
      <c r="O860" s="4">
        <f t="shared" ca="1" si="45"/>
        <v>74641.02</v>
      </c>
    </row>
    <row r="861" spans="1:15">
      <c r="A861" s="2" t="s">
        <v>18</v>
      </c>
      <c r="B861" t="s">
        <v>39</v>
      </c>
      <c r="C861" t="s">
        <v>40</v>
      </c>
      <c r="D861">
        <v>7</v>
      </c>
      <c r="E861" t="s">
        <v>46</v>
      </c>
      <c r="F861">
        <v>3</v>
      </c>
      <c r="G861">
        <v>2</v>
      </c>
      <c r="H861">
        <v>1</v>
      </c>
      <c r="I861">
        <v>1</v>
      </c>
      <c r="J861" s="4" t="s">
        <v>54</v>
      </c>
      <c r="K861" t="str">
        <f t="shared" si="46"/>
        <v>2+1</v>
      </c>
      <c r="L861">
        <f>VLOOKUP(A861,'ZONE 1 PREMIUM'!$A$4:$N$16,14,0)</f>
        <v>9</v>
      </c>
      <c r="M861">
        <f>VLOOKUP(D861,DROPDOWN!B:C,2,0)</f>
        <v>5</v>
      </c>
      <c r="N861" t="str">
        <f t="shared" si="47"/>
        <v>CO98:DG109</v>
      </c>
      <c r="O861" s="4">
        <f t="shared" ca="1" si="45"/>
        <v>102704.16</v>
      </c>
    </row>
    <row r="862" spans="1:15">
      <c r="A862" s="2" t="s">
        <v>19</v>
      </c>
      <c r="B862" t="s">
        <v>41</v>
      </c>
      <c r="C862" t="s">
        <v>42</v>
      </c>
      <c r="D862">
        <v>7</v>
      </c>
      <c r="E862" t="s">
        <v>46</v>
      </c>
      <c r="F862">
        <v>3</v>
      </c>
      <c r="G862">
        <v>2</v>
      </c>
      <c r="H862">
        <v>1</v>
      </c>
      <c r="I862">
        <v>1</v>
      </c>
      <c r="J862" s="4" t="s">
        <v>54</v>
      </c>
      <c r="K862" t="str">
        <f t="shared" si="46"/>
        <v>2+1</v>
      </c>
      <c r="L862">
        <f>VLOOKUP(A862,'ZONE 1 PREMIUM'!$A$4:$N$16,14,0)</f>
        <v>10</v>
      </c>
      <c r="M862">
        <f>VLOOKUP(D862,DROPDOWN!B:C,2,0)</f>
        <v>5</v>
      </c>
      <c r="N862" t="str">
        <f t="shared" si="47"/>
        <v>CO98:DG109</v>
      </c>
      <c r="O862" s="4">
        <f t="shared" ca="1" si="45"/>
        <v>136692.54</v>
      </c>
    </row>
    <row r="863" spans="1:15">
      <c r="A863" s="2" t="s">
        <v>20</v>
      </c>
      <c r="B863" t="s">
        <v>43</v>
      </c>
      <c r="C863" t="s">
        <v>44</v>
      </c>
      <c r="D863">
        <v>7</v>
      </c>
      <c r="E863" t="s">
        <v>46</v>
      </c>
      <c r="F863">
        <v>3</v>
      </c>
      <c r="G863">
        <v>2</v>
      </c>
      <c r="H863">
        <v>1</v>
      </c>
      <c r="I863">
        <v>1</v>
      </c>
      <c r="J863" s="4" t="s">
        <v>54</v>
      </c>
      <c r="K863" t="str">
        <f t="shared" si="46"/>
        <v>2+1</v>
      </c>
      <c r="L863">
        <f>VLOOKUP(A863,'ZONE 1 PREMIUM'!$A$4:$N$16,14,0)</f>
        <v>11</v>
      </c>
      <c r="M863">
        <f>VLOOKUP(D863,DROPDOWN!B:C,2,0)</f>
        <v>5</v>
      </c>
      <c r="N863" t="str">
        <f t="shared" si="47"/>
        <v>CO98:DG109</v>
      </c>
      <c r="O863" s="4">
        <f t="shared" ca="1" si="45"/>
        <v>166466.98000000001</v>
      </c>
    </row>
    <row r="864" spans="1:15">
      <c r="A864" s="2" t="s">
        <v>21</v>
      </c>
      <c r="B864" t="s">
        <v>22</v>
      </c>
      <c r="D864">
        <v>7</v>
      </c>
      <c r="E864" t="s">
        <v>46</v>
      </c>
      <c r="F864">
        <v>3</v>
      </c>
      <c r="G864">
        <v>2</v>
      </c>
      <c r="H864">
        <v>1</v>
      </c>
      <c r="I864">
        <v>1</v>
      </c>
      <c r="J864" s="4" t="s">
        <v>54</v>
      </c>
      <c r="K864" t="str">
        <f t="shared" si="46"/>
        <v>2+1</v>
      </c>
      <c r="L864">
        <f>VLOOKUP(A864,'ZONE 1 PREMIUM'!$A$4:$N$16,14,0)</f>
        <v>12</v>
      </c>
      <c r="M864">
        <f>VLOOKUP(D864,DROPDOWN!B:C,2,0)</f>
        <v>5</v>
      </c>
      <c r="N864" t="str">
        <f t="shared" si="47"/>
        <v>CO98:DG109</v>
      </c>
      <c r="O864" s="4">
        <f t="shared" ca="1" si="45"/>
        <v>211377.16</v>
      </c>
    </row>
    <row r="865" spans="1:15">
      <c r="A865" s="2" t="s">
        <v>11</v>
      </c>
      <c r="B865" t="s">
        <v>45</v>
      </c>
      <c r="C865" t="s">
        <v>25</v>
      </c>
      <c r="D865">
        <v>7</v>
      </c>
      <c r="E865" t="s">
        <v>46</v>
      </c>
      <c r="F865">
        <v>4</v>
      </c>
      <c r="G865">
        <v>2</v>
      </c>
      <c r="H865">
        <v>2</v>
      </c>
      <c r="I865">
        <v>1</v>
      </c>
      <c r="J865" s="4" t="s">
        <v>54</v>
      </c>
      <c r="K865" t="str">
        <f t="shared" si="46"/>
        <v>2+2</v>
      </c>
      <c r="L865">
        <f>VLOOKUP(A865,'ZONE 1 PREMIUM'!$A$4:$N$16,14,0)</f>
        <v>2</v>
      </c>
      <c r="M865">
        <f>VLOOKUP(D865,DROPDOWN!B:C,2,0)</f>
        <v>5</v>
      </c>
      <c r="N865" t="str">
        <f t="shared" si="47"/>
        <v>CO113:DG124</v>
      </c>
      <c r="O865" s="4">
        <f t="shared" ca="1" si="45"/>
        <v>26875.040000000001</v>
      </c>
    </row>
    <row r="866" spans="1:15">
      <c r="A866" s="2" t="s">
        <v>12</v>
      </c>
      <c r="B866" t="s">
        <v>27</v>
      </c>
      <c r="C866" t="s">
        <v>28</v>
      </c>
      <c r="D866">
        <v>7</v>
      </c>
      <c r="E866" t="s">
        <v>46</v>
      </c>
      <c r="F866">
        <v>4</v>
      </c>
      <c r="G866">
        <v>2</v>
      </c>
      <c r="H866">
        <v>2</v>
      </c>
      <c r="I866">
        <v>1</v>
      </c>
      <c r="J866" s="4" t="s">
        <v>54</v>
      </c>
      <c r="K866" t="str">
        <f t="shared" si="46"/>
        <v>2+2</v>
      </c>
      <c r="L866">
        <f>VLOOKUP(A866,'ZONE 1 PREMIUM'!$A$4:$N$16,14,0)</f>
        <v>3</v>
      </c>
      <c r="M866">
        <f>VLOOKUP(D866,DROPDOWN!B:C,2,0)</f>
        <v>5</v>
      </c>
      <c r="N866" t="str">
        <f t="shared" si="47"/>
        <v>CO113:DG124</v>
      </c>
      <c r="O866" s="4">
        <f t="shared" ca="1" si="45"/>
        <v>29427.820000000003</v>
      </c>
    </row>
    <row r="867" spans="1:15">
      <c r="A867" s="2" t="s">
        <v>13</v>
      </c>
      <c r="B867" t="s">
        <v>29</v>
      </c>
      <c r="C867" t="s">
        <v>30</v>
      </c>
      <c r="D867">
        <v>7</v>
      </c>
      <c r="E867" t="s">
        <v>46</v>
      </c>
      <c r="F867">
        <v>4</v>
      </c>
      <c r="G867">
        <v>2</v>
      </c>
      <c r="H867">
        <v>2</v>
      </c>
      <c r="I867">
        <v>1</v>
      </c>
      <c r="J867" s="4" t="s">
        <v>54</v>
      </c>
      <c r="K867" t="str">
        <f t="shared" si="46"/>
        <v>2+2</v>
      </c>
      <c r="L867">
        <f>VLOOKUP(A867,'ZONE 1 PREMIUM'!$A$4:$N$16,14,0)</f>
        <v>4</v>
      </c>
      <c r="M867">
        <f>VLOOKUP(D867,DROPDOWN!B:C,2,0)</f>
        <v>5</v>
      </c>
      <c r="N867" t="str">
        <f t="shared" si="47"/>
        <v>CO113:DG124</v>
      </c>
      <c r="O867" s="4">
        <f t="shared" ca="1" si="45"/>
        <v>33040.080000000002</v>
      </c>
    </row>
    <row r="868" spans="1:15">
      <c r="A868" s="2" t="s">
        <v>14</v>
      </c>
      <c r="B868" t="s">
        <v>31</v>
      </c>
      <c r="C868" t="s">
        <v>32</v>
      </c>
      <c r="D868">
        <v>7</v>
      </c>
      <c r="E868" t="s">
        <v>46</v>
      </c>
      <c r="F868">
        <v>4</v>
      </c>
      <c r="G868">
        <v>2</v>
      </c>
      <c r="H868">
        <v>2</v>
      </c>
      <c r="I868">
        <v>1</v>
      </c>
      <c r="J868" s="4" t="s">
        <v>54</v>
      </c>
      <c r="K868" t="str">
        <f t="shared" si="46"/>
        <v>2+2</v>
      </c>
      <c r="L868">
        <f>VLOOKUP(A868,'ZONE 1 PREMIUM'!$A$4:$N$16,14,0)</f>
        <v>5</v>
      </c>
      <c r="M868">
        <f>VLOOKUP(D868,DROPDOWN!B:C,2,0)</f>
        <v>5</v>
      </c>
      <c r="N868" t="str">
        <f t="shared" si="47"/>
        <v>CO113:DG124</v>
      </c>
      <c r="O868" s="4">
        <f t="shared" ca="1" si="45"/>
        <v>37417.520000000004</v>
      </c>
    </row>
    <row r="869" spans="1:15">
      <c r="A869" s="2" t="s">
        <v>15</v>
      </c>
      <c r="B869" t="s">
        <v>33</v>
      </c>
      <c r="C869" t="s">
        <v>34</v>
      </c>
      <c r="D869">
        <v>7</v>
      </c>
      <c r="E869" t="s">
        <v>46</v>
      </c>
      <c r="F869">
        <v>4</v>
      </c>
      <c r="G869">
        <v>2</v>
      </c>
      <c r="H869">
        <v>2</v>
      </c>
      <c r="I869">
        <v>1</v>
      </c>
      <c r="J869" s="4" t="s">
        <v>54</v>
      </c>
      <c r="K869" t="str">
        <f t="shared" si="46"/>
        <v>2+2</v>
      </c>
      <c r="L869">
        <f>VLOOKUP(A869,'ZONE 1 PREMIUM'!$A$4:$N$16,14,0)</f>
        <v>6</v>
      </c>
      <c r="M869">
        <f>VLOOKUP(D869,DROPDOWN!B:C,2,0)</f>
        <v>5</v>
      </c>
      <c r="N869" t="str">
        <f t="shared" si="47"/>
        <v>CO113:DG124</v>
      </c>
      <c r="O869" s="4">
        <f t="shared" ca="1" si="45"/>
        <v>47701.670000000006</v>
      </c>
    </row>
    <row r="870" spans="1:15">
      <c r="A870" s="2" t="s">
        <v>16</v>
      </c>
      <c r="B870" t="s">
        <v>35</v>
      </c>
      <c r="C870" t="s">
        <v>36</v>
      </c>
      <c r="D870">
        <v>7</v>
      </c>
      <c r="E870" t="s">
        <v>46</v>
      </c>
      <c r="F870">
        <v>4</v>
      </c>
      <c r="G870">
        <v>2</v>
      </c>
      <c r="H870">
        <v>2</v>
      </c>
      <c r="I870">
        <v>1</v>
      </c>
      <c r="J870" s="4" t="s">
        <v>54</v>
      </c>
      <c r="K870" t="str">
        <f t="shared" si="46"/>
        <v>2+2</v>
      </c>
      <c r="L870">
        <f>VLOOKUP(A870,'ZONE 1 PREMIUM'!$A$4:$N$16,14,0)</f>
        <v>7</v>
      </c>
      <c r="M870">
        <f>VLOOKUP(D870,DROPDOWN!B:C,2,0)</f>
        <v>5</v>
      </c>
      <c r="N870" t="str">
        <f t="shared" si="47"/>
        <v>CO113:DG124</v>
      </c>
      <c r="O870" s="4">
        <f t="shared" ca="1" si="45"/>
        <v>62745.850000000006</v>
      </c>
    </row>
    <row r="871" spans="1:15">
      <c r="A871" s="2" t="s">
        <v>17</v>
      </c>
      <c r="B871" t="s">
        <v>37</v>
      </c>
      <c r="C871" t="s">
        <v>38</v>
      </c>
      <c r="D871">
        <v>7</v>
      </c>
      <c r="E871" t="s">
        <v>46</v>
      </c>
      <c r="F871">
        <v>4</v>
      </c>
      <c r="G871">
        <v>2</v>
      </c>
      <c r="H871">
        <v>2</v>
      </c>
      <c r="I871">
        <v>1</v>
      </c>
      <c r="J871" s="4" t="s">
        <v>54</v>
      </c>
      <c r="K871" t="str">
        <f t="shared" si="46"/>
        <v>2+2</v>
      </c>
      <c r="L871">
        <f>VLOOKUP(A871,'ZONE 1 PREMIUM'!$A$4:$N$16,14,0)</f>
        <v>8</v>
      </c>
      <c r="M871">
        <f>VLOOKUP(D871,DROPDOWN!B:C,2,0)</f>
        <v>5</v>
      </c>
      <c r="N871" t="str">
        <f t="shared" si="47"/>
        <v>CO113:DG124</v>
      </c>
      <c r="O871" s="4">
        <f t="shared" ca="1" si="45"/>
        <v>80779.900000000009</v>
      </c>
    </row>
    <row r="872" spans="1:15">
      <c r="A872" s="2" t="s">
        <v>18</v>
      </c>
      <c r="B872" t="s">
        <v>39</v>
      </c>
      <c r="C872" t="s">
        <v>40</v>
      </c>
      <c r="D872">
        <v>7</v>
      </c>
      <c r="E872" t="s">
        <v>46</v>
      </c>
      <c r="F872">
        <v>4</v>
      </c>
      <c r="G872">
        <v>2</v>
      </c>
      <c r="H872">
        <v>2</v>
      </c>
      <c r="I872">
        <v>1</v>
      </c>
      <c r="J872" s="4" t="s">
        <v>54</v>
      </c>
      <c r="K872" t="str">
        <f t="shared" si="46"/>
        <v>2+2</v>
      </c>
      <c r="L872">
        <f>VLOOKUP(A872,'ZONE 1 PREMIUM'!$A$4:$N$16,14,0)</f>
        <v>9</v>
      </c>
      <c r="M872">
        <f>VLOOKUP(D872,DROPDOWN!B:C,2,0)</f>
        <v>5</v>
      </c>
      <c r="N872" t="str">
        <f t="shared" si="47"/>
        <v>CO113:DG124</v>
      </c>
      <c r="O872" s="4">
        <f t="shared" ca="1" si="45"/>
        <v>107547.03000000001</v>
      </c>
    </row>
    <row r="873" spans="1:15">
      <c r="A873" s="2" t="s">
        <v>19</v>
      </c>
      <c r="B873" t="s">
        <v>41</v>
      </c>
      <c r="C873" t="s">
        <v>42</v>
      </c>
      <c r="D873">
        <v>7</v>
      </c>
      <c r="E873" t="s">
        <v>46</v>
      </c>
      <c r="F873">
        <v>4</v>
      </c>
      <c r="G873">
        <v>2</v>
      </c>
      <c r="H873">
        <v>2</v>
      </c>
      <c r="I873">
        <v>1</v>
      </c>
      <c r="J873" s="4" t="s">
        <v>54</v>
      </c>
      <c r="K873" t="str">
        <f t="shared" si="46"/>
        <v>2+2</v>
      </c>
      <c r="L873">
        <f>VLOOKUP(A873,'ZONE 1 PREMIUM'!$A$4:$N$16,14,0)</f>
        <v>10</v>
      </c>
      <c r="M873">
        <f>VLOOKUP(D873,DROPDOWN!B:C,2,0)</f>
        <v>5</v>
      </c>
      <c r="N873" t="str">
        <f t="shared" si="47"/>
        <v>CO113:DG124</v>
      </c>
      <c r="O873" s="4">
        <f t="shared" ca="1" si="45"/>
        <v>138666.53</v>
      </c>
    </row>
    <row r="874" spans="1:15">
      <c r="A874" s="2" t="s">
        <v>20</v>
      </c>
      <c r="B874" t="s">
        <v>43</v>
      </c>
      <c r="C874" t="s">
        <v>44</v>
      </c>
      <c r="D874">
        <v>7</v>
      </c>
      <c r="E874" t="s">
        <v>46</v>
      </c>
      <c r="F874">
        <v>4</v>
      </c>
      <c r="G874">
        <v>2</v>
      </c>
      <c r="H874">
        <v>2</v>
      </c>
      <c r="I874">
        <v>1</v>
      </c>
      <c r="J874" s="4" t="s">
        <v>54</v>
      </c>
      <c r="K874" t="str">
        <f t="shared" si="46"/>
        <v>2+2</v>
      </c>
      <c r="L874">
        <f>VLOOKUP(A874,'ZONE 1 PREMIUM'!$A$4:$N$16,14,0)</f>
        <v>11</v>
      </c>
      <c r="M874">
        <f>VLOOKUP(D874,DROPDOWN!B:C,2,0)</f>
        <v>5</v>
      </c>
      <c r="N874" t="str">
        <f t="shared" si="47"/>
        <v>CO113:DG124</v>
      </c>
      <c r="O874" s="4">
        <f t="shared" ca="1" si="45"/>
        <v>168721.1</v>
      </c>
    </row>
    <row r="875" spans="1:15">
      <c r="A875" s="2" t="s">
        <v>21</v>
      </c>
      <c r="B875" t="s">
        <v>22</v>
      </c>
      <c r="D875">
        <v>7</v>
      </c>
      <c r="E875" t="s">
        <v>46</v>
      </c>
      <c r="F875">
        <v>4</v>
      </c>
      <c r="G875">
        <v>2</v>
      </c>
      <c r="H875">
        <v>2</v>
      </c>
      <c r="I875">
        <v>1</v>
      </c>
      <c r="J875" s="4" t="s">
        <v>54</v>
      </c>
      <c r="K875" t="str">
        <f t="shared" si="46"/>
        <v>2+2</v>
      </c>
      <c r="L875">
        <f>VLOOKUP(A875,'ZONE 1 PREMIUM'!$A$4:$N$16,14,0)</f>
        <v>12</v>
      </c>
      <c r="M875">
        <f>VLOOKUP(D875,DROPDOWN!B:C,2,0)</f>
        <v>5</v>
      </c>
      <c r="N875" t="str">
        <f t="shared" si="47"/>
        <v>CO113:DG124</v>
      </c>
      <c r="O875" s="4">
        <f t="shared" ca="1" si="45"/>
        <v>213775.16</v>
      </c>
    </row>
    <row r="876" spans="1:15">
      <c r="A876" s="2" t="s">
        <v>11</v>
      </c>
      <c r="B876" t="s">
        <v>45</v>
      </c>
      <c r="C876" t="s">
        <v>25</v>
      </c>
      <c r="D876">
        <v>7</v>
      </c>
      <c r="E876" t="s">
        <v>46</v>
      </c>
      <c r="F876">
        <v>5</v>
      </c>
      <c r="G876">
        <v>2</v>
      </c>
      <c r="H876">
        <v>3</v>
      </c>
      <c r="I876">
        <v>1</v>
      </c>
      <c r="J876" s="4" t="s">
        <v>54</v>
      </c>
      <c r="K876" t="str">
        <f t="shared" si="46"/>
        <v>2+3</v>
      </c>
      <c r="L876">
        <f>VLOOKUP(A876,'ZONE 1 PREMIUM'!$A$4:$N$16,14,0)</f>
        <v>2</v>
      </c>
      <c r="M876">
        <f>VLOOKUP(D876,DROPDOWN!B:C,2,0)</f>
        <v>5</v>
      </c>
      <c r="N876" t="str">
        <f t="shared" si="47"/>
        <v>CO128:DG139</v>
      </c>
      <c r="O876" s="4">
        <f t="shared" ca="1" si="45"/>
        <v>30782.690000000002</v>
      </c>
    </row>
    <row r="877" spans="1:15">
      <c r="A877" s="2" t="s">
        <v>12</v>
      </c>
      <c r="B877" t="s">
        <v>27</v>
      </c>
      <c r="C877" t="s">
        <v>28</v>
      </c>
      <c r="D877">
        <v>7</v>
      </c>
      <c r="E877" t="s">
        <v>46</v>
      </c>
      <c r="F877">
        <v>5</v>
      </c>
      <c r="G877">
        <v>2</v>
      </c>
      <c r="H877">
        <v>3</v>
      </c>
      <c r="I877">
        <v>1</v>
      </c>
      <c r="J877" s="4" t="s">
        <v>54</v>
      </c>
      <c r="K877" t="str">
        <f t="shared" si="46"/>
        <v>2+3</v>
      </c>
      <c r="L877">
        <f>VLOOKUP(A877,'ZONE 1 PREMIUM'!$A$4:$N$16,14,0)</f>
        <v>3</v>
      </c>
      <c r="M877">
        <f>VLOOKUP(D877,DROPDOWN!B:C,2,0)</f>
        <v>5</v>
      </c>
      <c r="N877" t="str">
        <f t="shared" si="47"/>
        <v>CO128:DG139</v>
      </c>
      <c r="O877" s="4">
        <f t="shared" ca="1" si="45"/>
        <v>33265.71</v>
      </c>
    </row>
    <row r="878" spans="1:15">
      <c r="A878" s="2" t="s">
        <v>13</v>
      </c>
      <c r="B878" t="s">
        <v>29</v>
      </c>
      <c r="C878" t="s">
        <v>30</v>
      </c>
      <c r="D878">
        <v>7</v>
      </c>
      <c r="E878" t="s">
        <v>46</v>
      </c>
      <c r="F878">
        <v>5</v>
      </c>
      <c r="G878">
        <v>2</v>
      </c>
      <c r="H878">
        <v>3</v>
      </c>
      <c r="I878">
        <v>1</v>
      </c>
      <c r="J878" s="4" t="s">
        <v>54</v>
      </c>
      <c r="K878" t="str">
        <f t="shared" si="46"/>
        <v>2+3</v>
      </c>
      <c r="L878">
        <f>VLOOKUP(A878,'ZONE 1 PREMIUM'!$A$4:$N$16,14,0)</f>
        <v>4</v>
      </c>
      <c r="M878">
        <f>VLOOKUP(D878,DROPDOWN!B:C,2,0)</f>
        <v>5</v>
      </c>
      <c r="N878" t="str">
        <f t="shared" si="47"/>
        <v>CO128:DG139</v>
      </c>
      <c r="O878" s="4">
        <f t="shared" ca="1" si="45"/>
        <v>37485.100000000006</v>
      </c>
    </row>
    <row r="879" spans="1:15">
      <c r="A879" s="2" t="s">
        <v>14</v>
      </c>
      <c r="B879" t="s">
        <v>31</v>
      </c>
      <c r="C879" t="s">
        <v>32</v>
      </c>
      <c r="D879">
        <v>7</v>
      </c>
      <c r="E879" t="s">
        <v>46</v>
      </c>
      <c r="F879">
        <v>5</v>
      </c>
      <c r="G879">
        <v>2</v>
      </c>
      <c r="H879">
        <v>3</v>
      </c>
      <c r="I879">
        <v>1</v>
      </c>
      <c r="J879" s="4" t="s">
        <v>54</v>
      </c>
      <c r="K879" t="str">
        <f t="shared" si="46"/>
        <v>2+3</v>
      </c>
      <c r="L879">
        <f>VLOOKUP(A879,'ZONE 1 PREMIUM'!$A$4:$N$16,14,0)</f>
        <v>5</v>
      </c>
      <c r="M879">
        <f>VLOOKUP(D879,DROPDOWN!B:C,2,0)</f>
        <v>5</v>
      </c>
      <c r="N879" t="str">
        <f t="shared" si="47"/>
        <v>CO128:DG139</v>
      </c>
      <c r="O879" s="4">
        <f t="shared" ca="1" si="45"/>
        <v>42144.850000000006</v>
      </c>
    </row>
    <row r="880" spans="1:15">
      <c r="A880" s="2" t="s">
        <v>15</v>
      </c>
      <c r="B880" t="s">
        <v>33</v>
      </c>
      <c r="C880" t="s">
        <v>34</v>
      </c>
      <c r="D880">
        <v>7</v>
      </c>
      <c r="E880" t="s">
        <v>46</v>
      </c>
      <c r="F880">
        <v>5</v>
      </c>
      <c r="G880">
        <v>2</v>
      </c>
      <c r="H880">
        <v>3</v>
      </c>
      <c r="I880">
        <v>1</v>
      </c>
      <c r="J880" s="4" t="s">
        <v>54</v>
      </c>
      <c r="K880" t="str">
        <f t="shared" si="46"/>
        <v>2+3</v>
      </c>
      <c r="L880">
        <f>VLOOKUP(A880,'ZONE 1 PREMIUM'!$A$4:$N$16,14,0)</f>
        <v>6</v>
      </c>
      <c r="M880">
        <f>VLOOKUP(D880,DROPDOWN!B:C,2,0)</f>
        <v>5</v>
      </c>
      <c r="N880" t="str">
        <f t="shared" si="47"/>
        <v>CO128:DG139</v>
      </c>
      <c r="O880" s="4">
        <f t="shared" ca="1" si="45"/>
        <v>53002.340000000004</v>
      </c>
    </row>
    <row r="881" spans="1:15">
      <c r="A881" s="2" t="s">
        <v>16</v>
      </c>
      <c r="B881" t="s">
        <v>35</v>
      </c>
      <c r="C881" t="s">
        <v>36</v>
      </c>
      <c r="D881">
        <v>7</v>
      </c>
      <c r="E881" t="s">
        <v>46</v>
      </c>
      <c r="F881">
        <v>5</v>
      </c>
      <c r="G881">
        <v>2</v>
      </c>
      <c r="H881">
        <v>3</v>
      </c>
      <c r="I881">
        <v>1</v>
      </c>
      <c r="J881" s="4" t="s">
        <v>54</v>
      </c>
      <c r="K881" t="str">
        <f t="shared" si="46"/>
        <v>2+3</v>
      </c>
      <c r="L881">
        <f>VLOOKUP(A881,'ZONE 1 PREMIUM'!$A$4:$N$16,14,0)</f>
        <v>7</v>
      </c>
      <c r="M881">
        <f>VLOOKUP(D881,DROPDOWN!B:C,2,0)</f>
        <v>5</v>
      </c>
      <c r="N881" t="str">
        <f t="shared" si="47"/>
        <v>CO128:DG139</v>
      </c>
      <c r="O881" s="4">
        <f t="shared" ca="1" si="45"/>
        <v>68069.41</v>
      </c>
    </row>
    <row r="882" spans="1:15">
      <c r="A882" s="2" t="s">
        <v>17</v>
      </c>
      <c r="B882" t="s">
        <v>37</v>
      </c>
      <c r="C882" t="s">
        <v>38</v>
      </c>
      <c r="D882">
        <v>7</v>
      </c>
      <c r="E882" t="s">
        <v>46</v>
      </c>
      <c r="F882">
        <v>5</v>
      </c>
      <c r="G882">
        <v>2</v>
      </c>
      <c r="H882">
        <v>3</v>
      </c>
      <c r="I882">
        <v>1</v>
      </c>
      <c r="J882" s="4" t="s">
        <v>54</v>
      </c>
      <c r="K882" t="str">
        <f t="shared" si="46"/>
        <v>2+3</v>
      </c>
      <c r="L882">
        <f>VLOOKUP(A882,'ZONE 1 PREMIUM'!$A$4:$N$16,14,0)</f>
        <v>8</v>
      </c>
      <c r="M882">
        <f>VLOOKUP(D882,DROPDOWN!B:C,2,0)</f>
        <v>5</v>
      </c>
      <c r="N882" t="str">
        <f t="shared" si="47"/>
        <v>CO128:DG139</v>
      </c>
      <c r="O882" s="4">
        <f t="shared" ca="1" si="45"/>
        <v>85602.060000000012</v>
      </c>
    </row>
    <row r="883" spans="1:15">
      <c r="A883" s="2" t="s">
        <v>18</v>
      </c>
      <c r="B883" t="s">
        <v>39</v>
      </c>
      <c r="C883" t="s">
        <v>40</v>
      </c>
      <c r="D883">
        <v>7</v>
      </c>
      <c r="E883" t="s">
        <v>46</v>
      </c>
      <c r="F883">
        <v>5</v>
      </c>
      <c r="G883">
        <v>2</v>
      </c>
      <c r="H883">
        <v>3</v>
      </c>
      <c r="I883">
        <v>1</v>
      </c>
      <c r="J883" s="4" t="s">
        <v>54</v>
      </c>
      <c r="K883" t="str">
        <f t="shared" si="46"/>
        <v>2+3</v>
      </c>
      <c r="L883">
        <f>VLOOKUP(A883,'ZONE 1 PREMIUM'!$A$4:$N$16,14,0)</f>
        <v>9</v>
      </c>
      <c r="M883">
        <f>VLOOKUP(D883,DROPDOWN!B:C,2,0)</f>
        <v>5</v>
      </c>
      <c r="N883" t="str">
        <f t="shared" si="47"/>
        <v>CO128:DG139</v>
      </c>
      <c r="O883" s="4">
        <f t="shared" ca="1" si="45"/>
        <v>112313.60000000001</v>
      </c>
    </row>
    <row r="884" spans="1:15">
      <c r="A884" s="2" t="s">
        <v>19</v>
      </c>
      <c r="B884" t="s">
        <v>41</v>
      </c>
      <c r="C884" t="s">
        <v>42</v>
      </c>
      <c r="D884">
        <v>7</v>
      </c>
      <c r="E884" t="s">
        <v>46</v>
      </c>
      <c r="F884">
        <v>5</v>
      </c>
      <c r="G884">
        <v>2</v>
      </c>
      <c r="H884">
        <v>3</v>
      </c>
      <c r="I884">
        <v>1</v>
      </c>
      <c r="J884" s="4" t="s">
        <v>54</v>
      </c>
      <c r="K884" t="str">
        <f t="shared" si="46"/>
        <v>2+3</v>
      </c>
      <c r="L884">
        <f>VLOOKUP(A884,'ZONE 1 PREMIUM'!$A$4:$N$16,14,0)</f>
        <v>10</v>
      </c>
      <c r="M884">
        <f>VLOOKUP(D884,DROPDOWN!B:C,2,0)</f>
        <v>5</v>
      </c>
      <c r="N884" t="str">
        <f t="shared" si="47"/>
        <v>CO128:DG139</v>
      </c>
      <c r="O884" s="4">
        <f t="shared" ca="1" si="45"/>
        <v>143173.68000000002</v>
      </c>
    </row>
    <row r="885" spans="1:15">
      <c r="A885" s="2" t="s">
        <v>20</v>
      </c>
      <c r="B885" t="s">
        <v>43</v>
      </c>
      <c r="C885" t="s">
        <v>44</v>
      </c>
      <c r="D885">
        <v>7</v>
      </c>
      <c r="E885" t="s">
        <v>46</v>
      </c>
      <c r="F885">
        <v>5</v>
      </c>
      <c r="G885">
        <v>2</v>
      </c>
      <c r="H885">
        <v>3</v>
      </c>
      <c r="I885">
        <v>1</v>
      </c>
      <c r="J885" s="4" t="s">
        <v>54</v>
      </c>
      <c r="K885" t="str">
        <f t="shared" si="46"/>
        <v>2+3</v>
      </c>
      <c r="L885">
        <f>VLOOKUP(A885,'ZONE 1 PREMIUM'!$A$4:$N$16,14,0)</f>
        <v>11</v>
      </c>
      <c r="M885">
        <f>VLOOKUP(D885,DROPDOWN!B:C,2,0)</f>
        <v>5</v>
      </c>
      <c r="N885" t="str">
        <f t="shared" si="47"/>
        <v>CO128:DG139</v>
      </c>
      <c r="O885" s="4">
        <f t="shared" ca="1" si="45"/>
        <v>173774.34000000003</v>
      </c>
    </row>
    <row r="886" spans="1:15">
      <c r="A886" s="2" t="s">
        <v>21</v>
      </c>
      <c r="B886" t="s">
        <v>22</v>
      </c>
      <c r="D886">
        <v>7</v>
      </c>
      <c r="E886" t="s">
        <v>46</v>
      </c>
      <c r="F886">
        <v>5</v>
      </c>
      <c r="G886">
        <v>2</v>
      </c>
      <c r="H886">
        <v>3</v>
      </c>
      <c r="I886">
        <v>1</v>
      </c>
      <c r="J886" s="4" t="s">
        <v>54</v>
      </c>
      <c r="K886" t="str">
        <f t="shared" si="46"/>
        <v>2+3</v>
      </c>
      <c r="L886">
        <f>VLOOKUP(A886,'ZONE 1 PREMIUM'!$A$4:$N$16,14,0)</f>
        <v>12</v>
      </c>
      <c r="M886">
        <f>VLOOKUP(D886,DROPDOWN!B:C,2,0)</f>
        <v>5</v>
      </c>
      <c r="N886" t="str">
        <f t="shared" si="47"/>
        <v>CO128:DG139</v>
      </c>
      <c r="O886" s="4">
        <f t="shared" ca="1" si="45"/>
        <v>219167.39</v>
      </c>
    </row>
    <row r="887" spans="1:15">
      <c r="A887" s="2" t="s">
        <v>11</v>
      </c>
      <c r="B887" t="s">
        <v>45</v>
      </c>
      <c r="C887" t="s">
        <v>25</v>
      </c>
      <c r="D887">
        <v>7</v>
      </c>
      <c r="E887" t="s">
        <v>46</v>
      </c>
      <c r="F887">
        <v>6</v>
      </c>
      <c r="G887">
        <v>2</v>
      </c>
      <c r="H887">
        <v>4</v>
      </c>
      <c r="I887">
        <v>1</v>
      </c>
      <c r="J887" s="4" t="s">
        <v>54</v>
      </c>
      <c r="K887" t="str">
        <f t="shared" si="46"/>
        <v>2+4</v>
      </c>
      <c r="L887">
        <f>VLOOKUP(A887,'ZONE 1 PREMIUM'!$A$4:$N$16,14,0)</f>
        <v>2</v>
      </c>
      <c r="M887">
        <f>VLOOKUP(D887,DROPDOWN!B:C,2,0)</f>
        <v>5</v>
      </c>
      <c r="N887" t="str">
        <f t="shared" si="47"/>
        <v>CO143:DG154</v>
      </c>
      <c r="O887" s="4">
        <f t="shared" ca="1" si="45"/>
        <v>34691.43</v>
      </c>
    </row>
    <row r="888" spans="1:15">
      <c r="A888" s="2" t="s">
        <v>12</v>
      </c>
      <c r="B888" t="s">
        <v>27</v>
      </c>
      <c r="C888" t="s">
        <v>28</v>
      </c>
      <c r="D888">
        <v>7</v>
      </c>
      <c r="E888" t="s">
        <v>46</v>
      </c>
      <c r="F888">
        <v>6</v>
      </c>
      <c r="G888">
        <v>2</v>
      </c>
      <c r="H888">
        <v>4</v>
      </c>
      <c r="I888">
        <v>1</v>
      </c>
      <c r="J888" s="4" t="s">
        <v>54</v>
      </c>
      <c r="K888" t="str">
        <f t="shared" si="46"/>
        <v>2+4</v>
      </c>
      <c r="L888">
        <f>VLOOKUP(A888,'ZONE 1 PREMIUM'!$A$4:$N$16,14,0)</f>
        <v>3</v>
      </c>
      <c r="M888">
        <f>VLOOKUP(D888,DROPDOWN!B:C,2,0)</f>
        <v>5</v>
      </c>
      <c r="N888" t="str">
        <f t="shared" si="47"/>
        <v>CO143:DG154</v>
      </c>
      <c r="O888" s="4">
        <f t="shared" ca="1" si="45"/>
        <v>37102.51</v>
      </c>
    </row>
    <row r="889" spans="1:15">
      <c r="A889" s="2" t="s">
        <v>13</v>
      </c>
      <c r="B889" t="s">
        <v>29</v>
      </c>
      <c r="C889" t="s">
        <v>30</v>
      </c>
      <c r="D889">
        <v>7</v>
      </c>
      <c r="E889" t="s">
        <v>46</v>
      </c>
      <c r="F889">
        <v>6</v>
      </c>
      <c r="G889">
        <v>2</v>
      </c>
      <c r="H889">
        <v>4</v>
      </c>
      <c r="I889">
        <v>1</v>
      </c>
      <c r="J889" s="4" t="s">
        <v>54</v>
      </c>
      <c r="K889" t="str">
        <f t="shared" si="46"/>
        <v>2+4</v>
      </c>
      <c r="L889">
        <f>VLOOKUP(A889,'ZONE 1 PREMIUM'!$A$4:$N$16,14,0)</f>
        <v>4</v>
      </c>
      <c r="M889">
        <f>VLOOKUP(D889,DROPDOWN!B:C,2,0)</f>
        <v>5</v>
      </c>
      <c r="N889" t="str">
        <f t="shared" si="47"/>
        <v>CO143:DG154</v>
      </c>
      <c r="O889" s="4">
        <f t="shared" ca="1" si="45"/>
        <v>41930.120000000003</v>
      </c>
    </row>
    <row r="890" spans="1:15">
      <c r="A890" s="2" t="s">
        <v>14</v>
      </c>
      <c r="B890" t="s">
        <v>31</v>
      </c>
      <c r="C890" t="s">
        <v>32</v>
      </c>
      <c r="D890">
        <v>7</v>
      </c>
      <c r="E890" t="s">
        <v>46</v>
      </c>
      <c r="F890">
        <v>6</v>
      </c>
      <c r="G890">
        <v>2</v>
      </c>
      <c r="H890">
        <v>4</v>
      </c>
      <c r="I890">
        <v>1</v>
      </c>
      <c r="J890" s="4" t="s">
        <v>54</v>
      </c>
      <c r="K890" t="str">
        <f t="shared" si="46"/>
        <v>2+4</v>
      </c>
      <c r="L890">
        <f>VLOOKUP(A890,'ZONE 1 PREMIUM'!$A$4:$N$16,14,0)</f>
        <v>5</v>
      </c>
      <c r="M890">
        <f>VLOOKUP(D890,DROPDOWN!B:C,2,0)</f>
        <v>5</v>
      </c>
      <c r="N890" t="str">
        <f t="shared" si="47"/>
        <v>CO143:DG154</v>
      </c>
      <c r="O890" s="4">
        <f t="shared" ca="1" si="45"/>
        <v>46872.18</v>
      </c>
    </row>
    <row r="891" spans="1:15">
      <c r="A891" s="2" t="s">
        <v>15</v>
      </c>
      <c r="B891" t="s">
        <v>33</v>
      </c>
      <c r="C891" t="s">
        <v>34</v>
      </c>
      <c r="D891">
        <v>7</v>
      </c>
      <c r="E891" t="s">
        <v>46</v>
      </c>
      <c r="F891">
        <v>6</v>
      </c>
      <c r="G891">
        <v>2</v>
      </c>
      <c r="H891">
        <v>4</v>
      </c>
      <c r="I891">
        <v>1</v>
      </c>
      <c r="J891" s="4" t="s">
        <v>54</v>
      </c>
      <c r="K891" t="str">
        <f t="shared" si="46"/>
        <v>2+4</v>
      </c>
      <c r="L891">
        <f>VLOOKUP(A891,'ZONE 1 PREMIUM'!$A$4:$N$16,14,0)</f>
        <v>6</v>
      </c>
      <c r="M891">
        <f>VLOOKUP(D891,DROPDOWN!B:C,2,0)</f>
        <v>5</v>
      </c>
      <c r="N891" t="str">
        <f t="shared" si="47"/>
        <v>CO143:DG154</v>
      </c>
      <c r="O891" s="4">
        <f t="shared" ca="1" si="45"/>
        <v>58304.100000000006</v>
      </c>
    </row>
    <row r="892" spans="1:15">
      <c r="A892" s="2" t="s">
        <v>16</v>
      </c>
      <c r="B892" t="s">
        <v>35</v>
      </c>
      <c r="C892" t="s">
        <v>36</v>
      </c>
      <c r="D892">
        <v>7</v>
      </c>
      <c r="E892" t="s">
        <v>46</v>
      </c>
      <c r="F892">
        <v>6</v>
      </c>
      <c r="G892">
        <v>2</v>
      </c>
      <c r="H892">
        <v>4</v>
      </c>
      <c r="I892">
        <v>1</v>
      </c>
      <c r="J892" s="4" t="s">
        <v>54</v>
      </c>
      <c r="K892" t="str">
        <f t="shared" si="46"/>
        <v>2+4</v>
      </c>
      <c r="L892">
        <f>VLOOKUP(A892,'ZONE 1 PREMIUM'!$A$4:$N$16,14,0)</f>
        <v>7</v>
      </c>
      <c r="M892">
        <f>VLOOKUP(D892,DROPDOWN!B:C,2,0)</f>
        <v>5</v>
      </c>
      <c r="N892" t="str">
        <f t="shared" si="47"/>
        <v>CO143:DG154</v>
      </c>
      <c r="O892" s="4">
        <f t="shared" ca="1" si="45"/>
        <v>72852.33</v>
      </c>
    </row>
    <row r="893" spans="1:15">
      <c r="A893" s="2" t="s">
        <v>17</v>
      </c>
      <c r="B893" t="s">
        <v>37</v>
      </c>
      <c r="C893" t="s">
        <v>38</v>
      </c>
      <c r="D893">
        <v>7</v>
      </c>
      <c r="E893" t="s">
        <v>46</v>
      </c>
      <c r="F893">
        <v>6</v>
      </c>
      <c r="G893">
        <v>2</v>
      </c>
      <c r="H893">
        <v>4</v>
      </c>
      <c r="I893">
        <v>1</v>
      </c>
      <c r="J893" s="4" t="s">
        <v>54</v>
      </c>
      <c r="K893" t="str">
        <f t="shared" si="46"/>
        <v>2+4</v>
      </c>
      <c r="L893">
        <f>VLOOKUP(A893,'ZONE 1 PREMIUM'!$A$4:$N$16,14,0)</f>
        <v>8</v>
      </c>
      <c r="M893">
        <f>VLOOKUP(D893,DROPDOWN!B:C,2,0)</f>
        <v>5</v>
      </c>
      <c r="N893" t="str">
        <f t="shared" si="47"/>
        <v>CO143:DG154</v>
      </c>
      <c r="O893" s="4">
        <f t="shared" ca="1" si="45"/>
        <v>90364.27</v>
      </c>
    </row>
    <row r="894" spans="1:15">
      <c r="A894" s="2" t="s">
        <v>18</v>
      </c>
      <c r="B894" t="s">
        <v>39</v>
      </c>
      <c r="C894" t="s">
        <v>40</v>
      </c>
      <c r="D894">
        <v>7</v>
      </c>
      <c r="E894" t="s">
        <v>46</v>
      </c>
      <c r="F894">
        <v>6</v>
      </c>
      <c r="G894">
        <v>2</v>
      </c>
      <c r="H894">
        <v>4</v>
      </c>
      <c r="I894">
        <v>1</v>
      </c>
      <c r="J894" s="4" t="s">
        <v>54</v>
      </c>
      <c r="K894" t="str">
        <f t="shared" si="46"/>
        <v>2+4</v>
      </c>
      <c r="L894">
        <f>VLOOKUP(A894,'ZONE 1 PREMIUM'!$A$4:$N$16,14,0)</f>
        <v>9</v>
      </c>
      <c r="M894">
        <f>VLOOKUP(D894,DROPDOWN!B:C,2,0)</f>
        <v>5</v>
      </c>
      <c r="N894" t="str">
        <f t="shared" si="47"/>
        <v>CO143:DG154</v>
      </c>
      <c r="O894" s="4">
        <f t="shared" ca="1" si="45"/>
        <v>116861.08</v>
      </c>
    </row>
    <row r="895" spans="1:15">
      <c r="A895" s="2" t="s">
        <v>19</v>
      </c>
      <c r="B895" t="s">
        <v>41</v>
      </c>
      <c r="C895" t="s">
        <v>42</v>
      </c>
      <c r="D895">
        <v>7</v>
      </c>
      <c r="E895" t="s">
        <v>46</v>
      </c>
      <c r="F895">
        <v>6</v>
      </c>
      <c r="G895">
        <v>2</v>
      </c>
      <c r="H895">
        <v>4</v>
      </c>
      <c r="I895">
        <v>1</v>
      </c>
      <c r="J895" s="4" t="s">
        <v>54</v>
      </c>
      <c r="K895" t="str">
        <f t="shared" si="46"/>
        <v>2+4</v>
      </c>
      <c r="L895">
        <f>VLOOKUP(A895,'ZONE 1 PREMIUM'!$A$4:$N$16,14,0)</f>
        <v>10</v>
      </c>
      <c r="M895">
        <f>VLOOKUP(D895,DROPDOWN!B:C,2,0)</f>
        <v>5</v>
      </c>
      <c r="N895" t="str">
        <f t="shared" si="47"/>
        <v>CO143:DG154</v>
      </c>
      <c r="O895" s="4">
        <f t="shared" ca="1" si="45"/>
        <v>148228.01</v>
      </c>
    </row>
    <row r="896" spans="1:15">
      <c r="A896" s="2" t="s">
        <v>20</v>
      </c>
      <c r="B896" t="s">
        <v>43</v>
      </c>
      <c r="C896" t="s">
        <v>44</v>
      </c>
      <c r="D896">
        <v>7</v>
      </c>
      <c r="E896" t="s">
        <v>46</v>
      </c>
      <c r="F896">
        <v>6</v>
      </c>
      <c r="G896">
        <v>2</v>
      </c>
      <c r="H896">
        <v>4</v>
      </c>
      <c r="I896">
        <v>1</v>
      </c>
      <c r="J896" s="4" t="s">
        <v>54</v>
      </c>
      <c r="K896" t="str">
        <f t="shared" si="46"/>
        <v>2+4</v>
      </c>
      <c r="L896">
        <f>VLOOKUP(A896,'ZONE 1 PREMIUM'!$A$4:$N$16,14,0)</f>
        <v>11</v>
      </c>
      <c r="M896">
        <f>VLOOKUP(D896,DROPDOWN!B:C,2,0)</f>
        <v>5</v>
      </c>
      <c r="N896" t="str">
        <f t="shared" si="47"/>
        <v>CO143:DG154</v>
      </c>
      <c r="O896" s="4">
        <f t="shared" ca="1" si="45"/>
        <v>178437.36000000002</v>
      </c>
    </row>
    <row r="897" spans="1:15">
      <c r="A897" s="2" t="s">
        <v>21</v>
      </c>
      <c r="B897" t="s">
        <v>22</v>
      </c>
      <c r="D897">
        <v>7</v>
      </c>
      <c r="E897" t="s">
        <v>46</v>
      </c>
      <c r="F897">
        <v>6</v>
      </c>
      <c r="G897">
        <v>2</v>
      </c>
      <c r="H897">
        <v>4</v>
      </c>
      <c r="I897">
        <v>1</v>
      </c>
      <c r="J897" s="4" t="s">
        <v>54</v>
      </c>
      <c r="K897" t="str">
        <f t="shared" si="46"/>
        <v>2+4</v>
      </c>
      <c r="L897">
        <f>VLOOKUP(A897,'ZONE 1 PREMIUM'!$A$4:$N$16,14,0)</f>
        <v>12</v>
      </c>
      <c r="M897">
        <f>VLOOKUP(D897,DROPDOWN!B:C,2,0)</f>
        <v>5</v>
      </c>
      <c r="N897" t="str">
        <f t="shared" si="47"/>
        <v>CO143:DG154</v>
      </c>
      <c r="O897" s="4">
        <f t="shared" ca="1" si="45"/>
        <v>222979.12000000002</v>
      </c>
    </row>
    <row r="898" spans="1:15">
      <c r="A898" s="2" t="s">
        <v>9</v>
      </c>
      <c r="B898" t="s">
        <v>47</v>
      </c>
      <c r="C898" t="s">
        <v>48</v>
      </c>
      <c r="D898">
        <v>10</v>
      </c>
      <c r="E898" t="s">
        <v>26</v>
      </c>
      <c r="F898">
        <v>1</v>
      </c>
      <c r="H898">
        <v>1</v>
      </c>
      <c r="I898">
        <v>1</v>
      </c>
      <c r="J898" s="4" t="s">
        <v>52</v>
      </c>
      <c r="K898" t="str">
        <f t="shared" si="46"/>
        <v>+1</v>
      </c>
      <c r="L898">
        <f>VLOOKUP(A898,'ZONE 1 PREMIUM'!$A$3:$M$16,13,0)</f>
        <v>2</v>
      </c>
      <c r="M898">
        <f>VLOOKUP(D898,DROPDOWN!B:C,2,0)</f>
        <v>6</v>
      </c>
      <c r="N898" t="e">
        <f t="shared" ref="N898:N961" si="48">VLOOKUP(K898,$AQ$3:$AR$12,2,0)</f>
        <v>#N/A</v>
      </c>
      <c r="O898" s="13">
        <v>3869.0765792004154</v>
      </c>
    </row>
    <row r="899" spans="1:15">
      <c r="A899" s="2" t="s">
        <v>10</v>
      </c>
      <c r="B899" t="s">
        <v>49</v>
      </c>
      <c r="C899" t="s">
        <v>50</v>
      </c>
      <c r="D899">
        <v>10</v>
      </c>
      <c r="E899" t="s">
        <v>26</v>
      </c>
      <c r="F899">
        <v>1</v>
      </c>
      <c r="G899">
        <v>1</v>
      </c>
      <c r="H899">
        <v>0</v>
      </c>
      <c r="I899">
        <v>1</v>
      </c>
      <c r="J899" s="4" t="s">
        <v>52</v>
      </c>
      <c r="K899" t="str">
        <f t="shared" si="46"/>
        <v>1+0</v>
      </c>
      <c r="L899">
        <f>VLOOKUP(A899,'ZONE 1 PREMIUM'!$A$3:$M$16,13,0)</f>
        <v>3</v>
      </c>
      <c r="M899">
        <f>VLOOKUP(D899,DROPDOWN!B:C,2,0)</f>
        <v>6</v>
      </c>
      <c r="N899" t="str">
        <f t="shared" si="48"/>
        <v>X3:AP16</v>
      </c>
      <c r="O899" s="4">
        <f t="shared" ref="O899:O961" ca="1" si="49">INDEX(INDIRECT(N899),L899,M899)</f>
        <v>6833.2999999999993</v>
      </c>
    </row>
    <row r="900" spans="1:15">
      <c r="A900" s="2" t="s">
        <v>11</v>
      </c>
      <c r="B900" t="s">
        <v>45</v>
      </c>
      <c r="C900" t="s">
        <v>25</v>
      </c>
      <c r="D900">
        <v>10</v>
      </c>
      <c r="E900" t="s">
        <v>26</v>
      </c>
      <c r="F900">
        <v>1</v>
      </c>
      <c r="G900">
        <v>1</v>
      </c>
      <c r="H900">
        <v>0</v>
      </c>
      <c r="I900">
        <v>1</v>
      </c>
      <c r="J900" s="4" t="s">
        <v>52</v>
      </c>
      <c r="K900" t="str">
        <f t="shared" ref="K900:K963" si="50">G900&amp;"+"&amp;H900</f>
        <v>1+0</v>
      </c>
      <c r="L900">
        <f>VLOOKUP(A900,'ZONE 1 PREMIUM'!$A$3:$M$16,13,0)</f>
        <v>4</v>
      </c>
      <c r="M900">
        <f>VLOOKUP(D900,DROPDOWN!B:C,2,0)</f>
        <v>6</v>
      </c>
      <c r="N900" t="str">
        <f t="shared" si="48"/>
        <v>X3:AP16</v>
      </c>
      <c r="O900" s="4">
        <f t="shared" ca="1" si="49"/>
        <v>18303.399999999998</v>
      </c>
    </row>
    <row r="901" spans="1:15">
      <c r="A901" s="2" t="s">
        <v>12</v>
      </c>
      <c r="B901" t="s">
        <v>27</v>
      </c>
      <c r="C901" t="s">
        <v>28</v>
      </c>
      <c r="D901">
        <v>10</v>
      </c>
      <c r="E901" t="s">
        <v>26</v>
      </c>
      <c r="F901">
        <v>1</v>
      </c>
      <c r="G901">
        <v>1</v>
      </c>
      <c r="H901">
        <v>0</v>
      </c>
      <c r="I901">
        <v>1</v>
      </c>
      <c r="J901" s="4" t="s">
        <v>52</v>
      </c>
      <c r="K901" t="str">
        <f t="shared" si="50"/>
        <v>1+0</v>
      </c>
      <c r="L901">
        <f>VLOOKUP(A901,'ZONE 1 PREMIUM'!$A$3:$M$16,13,0)</f>
        <v>5</v>
      </c>
      <c r="M901">
        <f>VLOOKUP(D901,DROPDOWN!B:C,2,0)</f>
        <v>6</v>
      </c>
      <c r="N901" t="str">
        <f t="shared" si="48"/>
        <v>X3:AP16</v>
      </c>
      <c r="O901" s="4">
        <f t="shared" ca="1" si="49"/>
        <v>21061.1</v>
      </c>
    </row>
    <row r="902" spans="1:15">
      <c r="A902" s="2" t="s">
        <v>13</v>
      </c>
      <c r="B902" t="s">
        <v>29</v>
      </c>
      <c r="C902" t="s">
        <v>30</v>
      </c>
      <c r="D902">
        <v>10</v>
      </c>
      <c r="E902" t="s">
        <v>26</v>
      </c>
      <c r="F902">
        <v>1</v>
      </c>
      <c r="G902">
        <v>1</v>
      </c>
      <c r="H902">
        <v>0</v>
      </c>
      <c r="I902">
        <v>1</v>
      </c>
      <c r="J902" s="4" t="s">
        <v>52</v>
      </c>
      <c r="K902" t="str">
        <f t="shared" si="50"/>
        <v>1+0</v>
      </c>
      <c r="L902">
        <f>VLOOKUP(A902,'ZONE 1 PREMIUM'!$A$3:$M$16,13,0)</f>
        <v>6</v>
      </c>
      <c r="M902">
        <f>VLOOKUP(D902,DROPDOWN!B:C,2,0)</f>
        <v>6</v>
      </c>
      <c r="N902" t="str">
        <f t="shared" si="48"/>
        <v>X3:AP16</v>
      </c>
      <c r="O902" s="4">
        <f t="shared" ca="1" si="49"/>
        <v>24330.55</v>
      </c>
    </row>
    <row r="903" spans="1:15">
      <c r="A903" s="2" t="s">
        <v>14</v>
      </c>
      <c r="B903" t="s">
        <v>31</v>
      </c>
      <c r="C903" t="s">
        <v>32</v>
      </c>
      <c r="D903">
        <v>10</v>
      </c>
      <c r="E903" t="s">
        <v>26</v>
      </c>
      <c r="F903">
        <v>1</v>
      </c>
      <c r="G903">
        <v>1</v>
      </c>
      <c r="H903">
        <v>0</v>
      </c>
      <c r="I903">
        <v>1</v>
      </c>
      <c r="J903" s="4" t="s">
        <v>52</v>
      </c>
      <c r="K903" t="str">
        <f t="shared" si="50"/>
        <v>1+0</v>
      </c>
      <c r="L903">
        <f>VLOOKUP(A903,'ZONE 1 PREMIUM'!$A$3:$M$16,13,0)</f>
        <v>7</v>
      </c>
      <c r="M903">
        <f>VLOOKUP(D903,DROPDOWN!B:C,2,0)</f>
        <v>6</v>
      </c>
      <c r="N903" t="str">
        <f t="shared" si="48"/>
        <v>X3:AP16</v>
      </c>
      <c r="O903" s="4">
        <f t="shared" ca="1" si="49"/>
        <v>28349.8</v>
      </c>
    </row>
    <row r="904" spans="1:15">
      <c r="A904" s="2" t="s">
        <v>15</v>
      </c>
      <c r="B904" t="s">
        <v>33</v>
      </c>
      <c r="C904" t="s">
        <v>34</v>
      </c>
      <c r="D904">
        <v>10</v>
      </c>
      <c r="E904" t="s">
        <v>26</v>
      </c>
      <c r="F904">
        <v>1</v>
      </c>
      <c r="G904">
        <v>1</v>
      </c>
      <c r="H904">
        <v>0</v>
      </c>
      <c r="I904">
        <v>1</v>
      </c>
      <c r="J904" s="4" t="s">
        <v>52</v>
      </c>
      <c r="K904" t="str">
        <f t="shared" si="50"/>
        <v>1+0</v>
      </c>
      <c r="L904">
        <f>VLOOKUP(A904,'ZONE 1 PREMIUM'!$A$3:$M$16,13,0)</f>
        <v>8</v>
      </c>
      <c r="M904">
        <f>VLOOKUP(D904,DROPDOWN!B:C,2,0)</f>
        <v>6</v>
      </c>
      <c r="N904" t="str">
        <f t="shared" si="48"/>
        <v>X3:AP16</v>
      </c>
      <c r="O904" s="4">
        <f t="shared" ca="1" si="49"/>
        <v>35214.149999999994</v>
      </c>
    </row>
    <row r="905" spans="1:15">
      <c r="A905" s="2" t="s">
        <v>16</v>
      </c>
      <c r="B905" t="s">
        <v>35</v>
      </c>
      <c r="C905" t="s">
        <v>36</v>
      </c>
      <c r="D905">
        <v>10</v>
      </c>
      <c r="E905" t="s">
        <v>26</v>
      </c>
      <c r="F905">
        <v>1</v>
      </c>
      <c r="G905">
        <v>1</v>
      </c>
      <c r="H905">
        <v>0</v>
      </c>
      <c r="I905">
        <v>1</v>
      </c>
      <c r="J905" s="4" t="s">
        <v>52</v>
      </c>
      <c r="K905" t="str">
        <f t="shared" si="50"/>
        <v>1+0</v>
      </c>
      <c r="L905">
        <f>VLOOKUP(A905,'ZONE 1 PREMIUM'!$A$3:$M$16,13,0)</f>
        <v>9</v>
      </c>
      <c r="M905">
        <f>VLOOKUP(D905,DROPDOWN!B:C,2,0)</f>
        <v>6</v>
      </c>
      <c r="N905" t="str">
        <f t="shared" si="48"/>
        <v>X3:AP16</v>
      </c>
      <c r="O905" s="4">
        <f t="shared" ca="1" si="49"/>
        <v>46374.899999999994</v>
      </c>
    </row>
    <row r="906" spans="1:15">
      <c r="A906" s="2" t="s">
        <v>17</v>
      </c>
      <c r="B906" t="s">
        <v>37</v>
      </c>
      <c r="C906" t="s">
        <v>38</v>
      </c>
      <c r="D906">
        <v>10</v>
      </c>
      <c r="E906" t="s">
        <v>26</v>
      </c>
      <c r="F906">
        <v>1</v>
      </c>
      <c r="G906">
        <v>1</v>
      </c>
      <c r="H906">
        <v>0</v>
      </c>
      <c r="I906">
        <v>1</v>
      </c>
      <c r="J906" s="4" t="s">
        <v>52</v>
      </c>
      <c r="K906" t="str">
        <f t="shared" si="50"/>
        <v>1+0</v>
      </c>
      <c r="L906">
        <f>VLOOKUP(A906,'ZONE 1 PREMIUM'!$A$3:$M$16,13,0)</f>
        <v>10</v>
      </c>
      <c r="M906">
        <f>VLOOKUP(D906,DROPDOWN!B:C,2,0)</f>
        <v>6</v>
      </c>
      <c r="N906" t="str">
        <f t="shared" si="48"/>
        <v>X3:AP16</v>
      </c>
      <c r="O906" s="4">
        <f t="shared" ca="1" si="49"/>
        <v>62829.1</v>
      </c>
    </row>
    <row r="907" spans="1:15">
      <c r="A907" s="2" t="s">
        <v>18</v>
      </c>
      <c r="B907" t="s">
        <v>39</v>
      </c>
      <c r="C907" t="s">
        <v>40</v>
      </c>
      <c r="D907">
        <v>10</v>
      </c>
      <c r="E907" t="s">
        <v>26</v>
      </c>
      <c r="F907">
        <v>1</v>
      </c>
      <c r="G907">
        <v>1</v>
      </c>
      <c r="H907">
        <v>0</v>
      </c>
      <c r="I907">
        <v>1</v>
      </c>
      <c r="J907" s="4" t="s">
        <v>52</v>
      </c>
      <c r="K907" t="str">
        <f t="shared" si="50"/>
        <v>1+0</v>
      </c>
      <c r="L907">
        <f>VLOOKUP(A907,'ZONE 1 PREMIUM'!$A$3:$M$16,13,0)</f>
        <v>11</v>
      </c>
      <c r="M907">
        <f>VLOOKUP(D907,DROPDOWN!B:C,2,0)</f>
        <v>6</v>
      </c>
      <c r="N907" t="str">
        <f t="shared" si="48"/>
        <v>X3:AP16</v>
      </c>
      <c r="O907" s="4">
        <f t="shared" ca="1" si="49"/>
        <v>86946.9</v>
      </c>
    </row>
    <row r="908" spans="1:15">
      <c r="A908" s="2" t="s">
        <v>19</v>
      </c>
      <c r="B908" t="s">
        <v>41</v>
      </c>
      <c r="C908" t="s">
        <v>42</v>
      </c>
      <c r="D908">
        <v>10</v>
      </c>
      <c r="E908" t="s">
        <v>26</v>
      </c>
      <c r="F908">
        <v>1</v>
      </c>
      <c r="G908">
        <v>1</v>
      </c>
      <c r="H908">
        <v>0</v>
      </c>
      <c r="I908">
        <v>1</v>
      </c>
      <c r="J908" s="4" t="s">
        <v>52</v>
      </c>
      <c r="K908" t="str">
        <f t="shared" si="50"/>
        <v>1+0</v>
      </c>
      <c r="L908">
        <f>VLOOKUP(A908,'ZONE 1 PREMIUM'!$A$3:$M$16,13,0)</f>
        <v>12</v>
      </c>
      <c r="M908">
        <f>VLOOKUP(D908,DROPDOWN!B:C,2,0)</f>
        <v>6</v>
      </c>
      <c r="N908" t="str">
        <f t="shared" si="48"/>
        <v>X3:AP16</v>
      </c>
      <c r="O908" s="4">
        <f t="shared" ca="1" si="49"/>
        <v>111062.39999999999</v>
      </c>
    </row>
    <row r="909" spans="1:15">
      <c r="A909" s="2" t="s">
        <v>20</v>
      </c>
      <c r="B909" t="s">
        <v>43</v>
      </c>
      <c r="C909" t="s">
        <v>44</v>
      </c>
      <c r="D909">
        <v>10</v>
      </c>
      <c r="E909" t="s">
        <v>26</v>
      </c>
      <c r="F909">
        <v>1</v>
      </c>
      <c r="G909">
        <v>1</v>
      </c>
      <c r="H909">
        <v>0</v>
      </c>
      <c r="I909">
        <v>1</v>
      </c>
      <c r="J909" s="4" t="s">
        <v>52</v>
      </c>
      <c r="K909" t="str">
        <f t="shared" si="50"/>
        <v>1+0</v>
      </c>
      <c r="L909">
        <f>VLOOKUP(A909,'ZONE 1 PREMIUM'!$A$3:$M$16,13,0)</f>
        <v>13</v>
      </c>
      <c r="M909">
        <f>VLOOKUP(D909,DROPDOWN!B:C,2,0)</f>
        <v>6</v>
      </c>
      <c r="N909" t="str">
        <f t="shared" si="48"/>
        <v>X3:AP16</v>
      </c>
      <c r="O909" s="4">
        <f t="shared" ca="1" si="49"/>
        <v>133374.69999999998</v>
      </c>
    </row>
    <row r="910" spans="1:15">
      <c r="A910" s="2" t="s">
        <v>21</v>
      </c>
      <c r="B910" t="s">
        <v>22</v>
      </c>
      <c r="D910">
        <v>10</v>
      </c>
      <c r="E910" t="s">
        <v>26</v>
      </c>
      <c r="F910">
        <v>1</v>
      </c>
      <c r="G910">
        <v>1</v>
      </c>
      <c r="H910">
        <v>0</v>
      </c>
      <c r="I910">
        <v>1</v>
      </c>
      <c r="J910" s="4" t="s">
        <v>52</v>
      </c>
      <c r="K910" t="str">
        <f t="shared" si="50"/>
        <v>1+0</v>
      </c>
      <c r="L910">
        <f>VLOOKUP(A910,'ZONE 1 PREMIUM'!$A$3:$M$16,13,0)</f>
        <v>14</v>
      </c>
      <c r="M910">
        <f>VLOOKUP(D910,DROPDOWN!B:C,2,0)</f>
        <v>6</v>
      </c>
      <c r="N910" t="str">
        <f t="shared" si="48"/>
        <v>X3:AP16</v>
      </c>
      <c r="O910" s="4">
        <f t="shared" ca="1" si="49"/>
        <v>179030.84999999998</v>
      </c>
    </row>
    <row r="911" spans="1:15">
      <c r="A911" s="2" t="s">
        <v>11</v>
      </c>
      <c r="B911" t="s">
        <v>45</v>
      </c>
      <c r="C911" t="s">
        <v>25</v>
      </c>
      <c r="D911">
        <v>10</v>
      </c>
      <c r="E911" t="s">
        <v>46</v>
      </c>
      <c r="F911">
        <v>2</v>
      </c>
      <c r="G911">
        <v>1</v>
      </c>
      <c r="H911">
        <v>1</v>
      </c>
      <c r="I911">
        <v>1</v>
      </c>
      <c r="J911" s="4" t="s">
        <v>52</v>
      </c>
      <c r="K911" t="str">
        <f t="shared" si="50"/>
        <v>1+1</v>
      </c>
      <c r="L911">
        <f>VLOOKUP(A911,'ZONE 1 PREMIUM'!$A$4:$N$16,14,0)</f>
        <v>2</v>
      </c>
      <c r="M911">
        <f>VLOOKUP(D911,DROPDOWN!B:C,2,0)</f>
        <v>6</v>
      </c>
      <c r="N911" t="str">
        <f t="shared" si="48"/>
        <v>X20:AP31</v>
      </c>
      <c r="O911" s="4">
        <f t="shared" ca="1" si="49"/>
        <v>19245.25</v>
      </c>
    </row>
    <row r="912" spans="1:15">
      <c r="A912" s="2" t="s">
        <v>12</v>
      </c>
      <c r="B912" t="s">
        <v>27</v>
      </c>
      <c r="C912" t="s">
        <v>28</v>
      </c>
      <c r="D912">
        <v>10</v>
      </c>
      <c r="E912" t="s">
        <v>46</v>
      </c>
      <c r="F912">
        <v>2</v>
      </c>
      <c r="G912">
        <v>1</v>
      </c>
      <c r="H912">
        <v>1</v>
      </c>
      <c r="I912">
        <v>1</v>
      </c>
      <c r="J912" s="4" t="s">
        <v>52</v>
      </c>
      <c r="K912" t="str">
        <f t="shared" si="50"/>
        <v>1+1</v>
      </c>
      <c r="L912">
        <f>VLOOKUP(A912,'ZONE 1 PREMIUM'!$A$4:$N$16,14,0)</f>
        <v>3</v>
      </c>
      <c r="M912">
        <f>VLOOKUP(D912,DROPDOWN!B:C,2,0)</f>
        <v>6</v>
      </c>
      <c r="N912" t="str">
        <f t="shared" si="48"/>
        <v>X20:AP31</v>
      </c>
      <c r="O912" s="4">
        <f t="shared" ca="1" si="49"/>
        <v>21307.199999999997</v>
      </c>
    </row>
    <row r="913" spans="1:15">
      <c r="A913" s="2" t="s">
        <v>13</v>
      </c>
      <c r="B913" t="s">
        <v>29</v>
      </c>
      <c r="C913" t="s">
        <v>30</v>
      </c>
      <c r="D913">
        <v>10</v>
      </c>
      <c r="E913" t="s">
        <v>46</v>
      </c>
      <c r="F913">
        <v>2</v>
      </c>
      <c r="G913">
        <v>1</v>
      </c>
      <c r="H913">
        <v>1</v>
      </c>
      <c r="I913">
        <v>1</v>
      </c>
      <c r="J913" s="4" t="s">
        <v>52</v>
      </c>
      <c r="K913" t="str">
        <f t="shared" si="50"/>
        <v>1+1</v>
      </c>
      <c r="L913">
        <f>VLOOKUP(A913,'ZONE 1 PREMIUM'!$A$4:$N$16,14,0)</f>
        <v>4</v>
      </c>
      <c r="M913">
        <f>VLOOKUP(D913,DROPDOWN!B:C,2,0)</f>
        <v>6</v>
      </c>
      <c r="N913" t="str">
        <f t="shared" si="48"/>
        <v>X20:AP31</v>
      </c>
      <c r="O913" s="4">
        <f t="shared" ca="1" si="49"/>
        <v>24628.399999999998</v>
      </c>
    </row>
    <row r="914" spans="1:15">
      <c r="A914" s="2" t="s">
        <v>14</v>
      </c>
      <c r="B914" t="s">
        <v>31</v>
      </c>
      <c r="C914" t="s">
        <v>32</v>
      </c>
      <c r="D914">
        <v>10</v>
      </c>
      <c r="E914" t="s">
        <v>46</v>
      </c>
      <c r="F914">
        <v>2</v>
      </c>
      <c r="G914">
        <v>1</v>
      </c>
      <c r="H914">
        <v>1</v>
      </c>
      <c r="I914">
        <v>1</v>
      </c>
      <c r="J914" s="4" t="s">
        <v>52</v>
      </c>
      <c r="K914" t="str">
        <f t="shared" si="50"/>
        <v>1+1</v>
      </c>
      <c r="L914">
        <f>VLOOKUP(A914,'ZONE 1 PREMIUM'!$A$4:$N$16,14,0)</f>
        <v>5</v>
      </c>
      <c r="M914">
        <f>VLOOKUP(D914,DROPDOWN!B:C,2,0)</f>
        <v>6</v>
      </c>
      <c r="N914" t="str">
        <f t="shared" si="48"/>
        <v>X20:AP31</v>
      </c>
      <c r="O914" s="4">
        <f t="shared" ca="1" si="49"/>
        <v>28992.649999999998</v>
      </c>
    </row>
    <row r="915" spans="1:15">
      <c r="A915" s="2" t="s">
        <v>15</v>
      </c>
      <c r="B915" t="s">
        <v>33</v>
      </c>
      <c r="C915" t="s">
        <v>34</v>
      </c>
      <c r="D915">
        <v>10</v>
      </c>
      <c r="E915" t="s">
        <v>46</v>
      </c>
      <c r="F915">
        <v>2</v>
      </c>
      <c r="G915">
        <v>1</v>
      </c>
      <c r="H915">
        <v>1</v>
      </c>
      <c r="I915">
        <v>1</v>
      </c>
      <c r="J915" s="4" t="s">
        <v>52</v>
      </c>
      <c r="K915" t="str">
        <f t="shared" si="50"/>
        <v>1+1</v>
      </c>
      <c r="L915">
        <f>VLOOKUP(A915,'ZONE 1 PREMIUM'!$A$4:$N$16,14,0)</f>
        <v>6</v>
      </c>
      <c r="M915">
        <f>VLOOKUP(D915,DROPDOWN!B:C,2,0)</f>
        <v>6</v>
      </c>
      <c r="N915" t="str">
        <f t="shared" si="48"/>
        <v>X20:AP31</v>
      </c>
      <c r="O915" s="4">
        <f t="shared" ca="1" si="49"/>
        <v>37243.899999999994</v>
      </c>
    </row>
    <row r="916" spans="1:15">
      <c r="A916" s="2" t="s">
        <v>16</v>
      </c>
      <c r="B916" t="s">
        <v>35</v>
      </c>
      <c r="C916" t="s">
        <v>36</v>
      </c>
      <c r="D916">
        <v>10</v>
      </c>
      <c r="E916" t="s">
        <v>46</v>
      </c>
      <c r="F916">
        <v>2</v>
      </c>
      <c r="G916">
        <v>1</v>
      </c>
      <c r="H916">
        <v>1</v>
      </c>
      <c r="I916">
        <v>1</v>
      </c>
      <c r="J916" s="4" t="s">
        <v>52</v>
      </c>
      <c r="K916" t="str">
        <f t="shared" si="50"/>
        <v>1+1</v>
      </c>
      <c r="L916">
        <f>VLOOKUP(A916,'ZONE 1 PREMIUM'!$A$4:$N$16,14,0)</f>
        <v>7</v>
      </c>
      <c r="M916">
        <f>VLOOKUP(D916,DROPDOWN!B:C,2,0)</f>
        <v>6</v>
      </c>
      <c r="N916" t="str">
        <f t="shared" si="48"/>
        <v>X20:AP31</v>
      </c>
      <c r="O916" s="4">
        <f t="shared" ca="1" si="49"/>
        <v>48391.999999999993</v>
      </c>
    </row>
    <row r="917" spans="1:15">
      <c r="A917" s="2" t="s">
        <v>17</v>
      </c>
      <c r="B917" t="s">
        <v>37</v>
      </c>
      <c r="C917" t="s">
        <v>38</v>
      </c>
      <c r="D917">
        <v>10</v>
      </c>
      <c r="E917" t="s">
        <v>46</v>
      </c>
      <c r="F917">
        <v>2</v>
      </c>
      <c r="G917">
        <v>1</v>
      </c>
      <c r="H917">
        <v>1</v>
      </c>
      <c r="I917">
        <v>1</v>
      </c>
      <c r="J917" s="4" t="s">
        <v>52</v>
      </c>
      <c r="K917" t="str">
        <f t="shared" si="50"/>
        <v>1+1</v>
      </c>
      <c r="L917">
        <f>VLOOKUP(A917,'ZONE 1 PREMIUM'!$A$4:$N$16,14,0)</f>
        <v>8</v>
      </c>
      <c r="M917">
        <f>VLOOKUP(D917,DROPDOWN!B:C,2,0)</f>
        <v>6</v>
      </c>
      <c r="N917" t="str">
        <f t="shared" si="48"/>
        <v>X20:AP31</v>
      </c>
      <c r="O917" s="4">
        <f t="shared" ca="1" si="49"/>
        <v>64081.45</v>
      </c>
    </row>
    <row r="918" spans="1:15">
      <c r="A918" s="2" t="s">
        <v>18</v>
      </c>
      <c r="B918" t="s">
        <v>39</v>
      </c>
      <c r="C918" t="s">
        <v>40</v>
      </c>
      <c r="D918">
        <v>10</v>
      </c>
      <c r="E918" t="s">
        <v>46</v>
      </c>
      <c r="F918">
        <v>2</v>
      </c>
      <c r="G918">
        <v>1</v>
      </c>
      <c r="H918">
        <v>1</v>
      </c>
      <c r="I918">
        <v>1</v>
      </c>
      <c r="J918" s="4" t="s">
        <v>52</v>
      </c>
      <c r="K918" t="str">
        <f t="shared" si="50"/>
        <v>1+1</v>
      </c>
      <c r="L918">
        <f>VLOOKUP(A918,'ZONE 1 PREMIUM'!$A$4:$N$16,14,0)</f>
        <v>9</v>
      </c>
      <c r="M918">
        <f>VLOOKUP(D918,DROPDOWN!B:C,2,0)</f>
        <v>6</v>
      </c>
      <c r="N918" t="str">
        <f t="shared" si="48"/>
        <v>X20:AP31</v>
      </c>
      <c r="O918" s="4">
        <f t="shared" ca="1" si="49"/>
        <v>89534.399999999994</v>
      </c>
    </row>
    <row r="919" spans="1:15">
      <c r="A919" s="2" t="s">
        <v>19</v>
      </c>
      <c r="B919" t="s">
        <v>41</v>
      </c>
      <c r="C919" t="s">
        <v>42</v>
      </c>
      <c r="D919">
        <v>10</v>
      </c>
      <c r="E919" t="s">
        <v>46</v>
      </c>
      <c r="F919">
        <v>2</v>
      </c>
      <c r="G919">
        <v>1</v>
      </c>
      <c r="H919">
        <v>1</v>
      </c>
      <c r="I919">
        <v>1</v>
      </c>
      <c r="J919" s="4" t="s">
        <v>52</v>
      </c>
      <c r="K919" t="str">
        <f t="shared" si="50"/>
        <v>1+1</v>
      </c>
      <c r="L919">
        <f>VLOOKUP(A919,'ZONE 1 PREMIUM'!$A$4:$N$16,14,0)</f>
        <v>10</v>
      </c>
      <c r="M919">
        <f>VLOOKUP(D919,DROPDOWN!B:C,2,0)</f>
        <v>6</v>
      </c>
      <c r="N919" t="str">
        <f t="shared" si="48"/>
        <v>X20:AP31</v>
      </c>
      <c r="O919" s="4">
        <f t="shared" ca="1" si="49"/>
        <v>113522.24999999999</v>
      </c>
    </row>
    <row r="920" spans="1:15">
      <c r="A920" s="2" t="s">
        <v>20</v>
      </c>
      <c r="B920" t="s">
        <v>43</v>
      </c>
      <c r="C920" t="s">
        <v>44</v>
      </c>
      <c r="D920">
        <v>10</v>
      </c>
      <c r="E920" t="s">
        <v>46</v>
      </c>
      <c r="F920">
        <v>2</v>
      </c>
      <c r="G920">
        <v>1</v>
      </c>
      <c r="H920">
        <v>1</v>
      </c>
      <c r="I920">
        <v>1</v>
      </c>
      <c r="J920" s="4" t="s">
        <v>52</v>
      </c>
      <c r="K920" t="str">
        <f t="shared" si="50"/>
        <v>1+1</v>
      </c>
      <c r="L920">
        <f>VLOOKUP(A920,'ZONE 1 PREMIUM'!$A$4:$N$16,14,0)</f>
        <v>11</v>
      </c>
      <c r="M920">
        <f>VLOOKUP(D920,DROPDOWN!B:C,2,0)</f>
        <v>6</v>
      </c>
      <c r="N920" t="str">
        <f t="shared" si="48"/>
        <v>X20:AP31</v>
      </c>
      <c r="O920" s="4">
        <f t="shared" ca="1" si="49"/>
        <v>133919.79999999999</v>
      </c>
    </row>
    <row r="921" spans="1:15">
      <c r="A921" s="2" t="s">
        <v>21</v>
      </c>
      <c r="B921" t="s">
        <v>22</v>
      </c>
      <c r="D921">
        <v>10</v>
      </c>
      <c r="E921" t="s">
        <v>46</v>
      </c>
      <c r="F921">
        <v>2</v>
      </c>
      <c r="G921">
        <v>1</v>
      </c>
      <c r="H921">
        <v>1</v>
      </c>
      <c r="I921">
        <v>1</v>
      </c>
      <c r="J921" s="4" t="s">
        <v>52</v>
      </c>
      <c r="K921" t="str">
        <f t="shared" si="50"/>
        <v>1+1</v>
      </c>
      <c r="L921">
        <f>VLOOKUP(A921,'ZONE 1 PREMIUM'!$A$4:$N$16,14,0)</f>
        <v>12</v>
      </c>
      <c r="M921">
        <f>VLOOKUP(D921,DROPDOWN!B:C,2,0)</f>
        <v>6</v>
      </c>
      <c r="N921" t="str">
        <f t="shared" si="48"/>
        <v>X20:AP31</v>
      </c>
      <c r="O921" s="4">
        <f t="shared" ca="1" si="49"/>
        <v>181792</v>
      </c>
    </row>
    <row r="922" spans="1:15">
      <c r="A922" s="2" t="s">
        <v>11</v>
      </c>
      <c r="B922" t="s">
        <v>45</v>
      </c>
      <c r="C922" t="s">
        <v>25</v>
      </c>
      <c r="D922">
        <v>10</v>
      </c>
      <c r="E922" t="s">
        <v>46</v>
      </c>
      <c r="F922">
        <v>3</v>
      </c>
      <c r="G922">
        <v>1</v>
      </c>
      <c r="H922">
        <v>2</v>
      </c>
      <c r="I922">
        <v>1</v>
      </c>
      <c r="J922" s="4" t="s">
        <v>52</v>
      </c>
      <c r="K922" t="str">
        <f t="shared" si="50"/>
        <v>1+2</v>
      </c>
      <c r="L922">
        <f>VLOOKUP(A922,'ZONE 1 PREMIUM'!$A$4:$N$16,14,0)</f>
        <v>2</v>
      </c>
      <c r="M922">
        <f>VLOOKUP(D922,DROPDOWN!B:C,2,0)</f>
        <v>6</v>
      </c>
      <c r="N922" t="str">
        <f t="shared" si="48"/>
        <v>X35:AP46</v>
      </c>
      <c r="O922" s="4">
        <f t="shared" ca="1" si="49"/>
        <v>24856.1</v>
      </c>
    </row>
    <row r="923" spans="1:15">
      <c r="A923" s="2" t="s">
        <v>12</v>
      </c>
      <c r="B923" t="s">
        <v>27</v>
      </c>
      <c r="C923" t="s">
        <v>28</v>
      </c>
      <c r="D923">
        <v>10</v>
      </c>
      <c r="E923" t="s">
        <v>46</v>
      </c>
      <c r="F923">
        <v>3</v>
      </c>
      <c r="G923">
        <v>1</v>
      </c>
      <c r="H923">
        <v>2</v>
      </c>
      <c r="I923">
        <v>1</v>
      </c>
      <c r="J923" s="4" t="s">
        <v>52</v>
      </c>
      <c r="K923" t="str">
        <f t="shared" si="50"/>
        <v>1+2</v>
      </c>
      <c r="L923">
        <f>VLOOKUP(A923,'ZONE 1 PREMIUM'!$A$4:$N$16,14,0)</f>
        <v>3</v>
      </c>
      <c r="M923">
        <f>VLOOKUP(D923,DROPDOWN!B:C,2,0)</f>
        <v>6</v>
      </c>
      <c r="N923" t="str">
        <f t="shared" si="48"/>
        <v>X35:AP46</v>
      </c>
      <c r="O923" s="4">
        <f t="shared" ca="1" si="49"/>
        <v>26712.199999999997</v>
      </c>
    </row>
    <row r="924" spans="1:15">
      <c r="A924" s="2" t="s">
        <v>13</v>
      </c>
      <c r="B924" t="s">
        <v>29</v>
      </c>
      <c r="C924" t="s">
        <v>30</v>
      </c>
      <c r="D924">
        <v>10</v>
      </c>
      <c r="E924" t="s">
        <v>46</v>
      </c>
      <c r="F924">
        <v>3</v>
      </c>
      <c r="G924">
        <v>1</v>
      </c>
      <c r="H924">
        <v>2</v>
      </c>
      <c r="I924">
        <v>1</v>
      </c>
      <c r="J924" s="4" t="s">
        <v>52</v>
      </c>
      <c r="K924" t="str">
        <f t="shared" si="50"/>
        <v>1+2</v>
      </c>
      <c r="L924">
        <f>VLOOKUP(A924,'ZONE 1 PREMIUM'!$A$4:$N$16,14,0)</f>
        <v>4</v>
      </c>
      <c r="M924">
        <f>VLOOKUP(D924,DROPDOWN!B:C,2,0)</f>
        <v>6</v>
      </c>
      <c r="N924" t="str">
        <f t="shared" si="48"/>
        <v>X35:AP46</v>
      </c>
      <c r="O924" s="4">
        <f t="shared" ca="1" si="49"/>
        <v>30890.149999999998</v>
      </c>
    </row>
    <row r="925" spans="1:15">
      <c r="A925" s="2" t="s">
        <v>14</v>
      </c>
      <c r="B925" t="s">
        <v>31</v>
      </c>
      <c r="C925" t="s">
        <v>32</v>
      </c>
      <c r="D925">
        <v>10</v>
      </c>
      <c r="E925" t="s">
        <v>46</v>
      </c>
      <c r="F925">
        <v>3</v>
      </c>
      <c r="G925">
        <v>1</v>
      </c>
      <c r="H925">
        <v>2</v>
      </c>
      <c r="I925">
        <v>1</v>
      </c>
      <c r="J925" s="4" t="s">
        <v>52</v>
      </c>
      <c r="K925" t="str">
        <f t="shared" si="50"/>
        <v>1+2</v>
      </c>
      <c r="L925">
        <f>VLOOKUP(A925,'ZONE 1 PREMIUM'!$A$4:$N$16,14,0)</f>
        <v>5</v>
      </c>
      <c r="M925">
        <f>VLOOKUP(D925,DROPDOWN!B:C,2,0)</f>
        <v>6</v>
      </c>
      <c r="N925" t="str">
        <f t="shared" si="48"/>
        <v>X35:AP46</v>
      </c>
      <c r="O925" s="4">
        <f t="shared" ca="1" si="49"/>
        <v>34671.35</v>
      </c>
    </row>
    <row r="926" spans="1:15">
      <c r="A926" s="2" t="s">
        <v>15</v>
      </c>
      <c r="B926" t="s">
        <v>33</v>
      </c>
      <c r="C926" t="s">
        <v>34</v>
      </c>
      <c r="D926">
        <v>10</v>
      </c>
      <c r="E926" t="s">
        <v>46</v>
      </c>
      <c r="F926">
        <v>3</v>
      </c>
      <c r="G926">
        <v>1</v>
      </c>
      <c r="H926">
        <v>2</v>
      </c>
      <c r="I926">
        <v>1</v>
      </c>
      <c r="J926" s="4" t="s">
        <v>52</v>
      </c>
      <c r="K926" t="str">
        <f t="shared" si="50"/>
        <v>1+2</v>
      </c>
      <c r="L926">
        <f>VLOOKUP(A926,'ZONE 1 PREMIUM'!$A$4:$N$16,14,0)</f>
        <v>6</v>
      </c>
      <c r="M926">
        <f>VLOOKUP(D926,DROPDOWN!B:C,2,0)</f>
        <v>6</v>
      </c>
      <c r="N926" t="str">
        <f t="shared" si="48"/>
        <v>X35:AP46</v>
      </c>
      <c r="O926" s="4">
        <f t="shared" ca="1" si="49"/>
        <v>44862.649999999994</v>
      </c>
    </row>
    <row r="927" spans="1:15">
      <c r="A927" s="2" t="s">
        <v>16</v>
      </c>
      <c r="B927" t="s">
        <v>35</v>
      </c>
      <c r="C927" t="s">
        <v>36</v>
      </c>
      <c r="D927">
        <v>10</v>
      </c>
      <c r="E927" t="s">
        <v>46</v>
      </c>
      <c r="F927">
        <v>3</v>
      </c>
      <c r="G927">
        <v>1</v>
      </c>
      <c r="H927">
        <v>2</v>
      </c>
      <c r="I927">
        <v>1</v>
      </c>
      <c r="J927" s="4" t="s">
        <v>52</v>
      </c>
      <c r="K927" t="str">
        <f t="shared" si="50"/>
        <v>1+2</v>
      </c>
      <c r="L927">
        <f>VLOOKUP(A927,'ZONE 1 PREMIUM'!$A$4:$N$16,14,0)</f>
        <v>7</v>
      </c>
      <c r="M927">
        <f>VLOOKUP(D927,DROPDOWN!B:C,2,0)</f>
        <v>6</v>
      </c>
      <c r="N927" t="str">
        <f t="shared" si="48"/>
        <v>X35:AP46</v>
      </c>
      <c r="O927" s="4">
        <f t="shared" ca="1" si="49"/>
        <v>57835.799999999996</v>
      </c>
    </row>
    <row r="928" spans="1:15">
      <c r="A928" s="2" t="s">
        <v>17</v>
      </c>
      <c r="B928" t="s">
        <v>37</v>
      </c>
      <c r="C928" t="s">
        <v>38</v>
      </c>
      <c r="D928">
        <v>10</v>
      </c>
      <c r="E928" t="s">
        <v>46</v>
      </c>
      <c r="F928">
        <v>3</v>
      </c>
      <c r="G928">
        <v>1</v>
      </c>
      <c r="H928">
        <v>2</v>
      </c>
      <c r="I928">
        <v>1</v>
      </c>
      <c r="J928" s="4" t="s">
        <v>52</v>
      </c>
      <c r="K928" t="str">
        <f t="shared" si="50"/>
        <v>1+2</v>
      </c>
      <c r="L928">
        <f>VLOOKUP(A928,'ZONE 1 PREMIUM'!$A$4:$N$16,14,0)</f>
        <v>8</v>
      </c>
      <c r="M928">
        <f>VLOOKUP(D928,DROPDOWN!B:C,2,0)</f>
        <v>6</v>
      </c>
      <c r="N928" t="str">
        <f t="shared" si="48"/>
        <v>X35:AP46</v>
      </c>
      <c r="O928" s="4">
        <f t="shared" ca="1" si="49"/>
        <v>74255.5</v>
      </c>
    </row>
    <row r="929" spans="1:15">
      <c r="A929" s="2" t="s">
        <v>18</v>
      </c>
      <c r="B929" t="s">
        <v>39</v>
      </c>
      <c r="C929" t="s">
        <v>40</v>
      </c>
      <c r="D929">
        <v>10</v>
      </c>
      <c r="E929" t="s">
        <v>46</v>
      </c>
      <c r="F929">
        <v>3</v>
      </c>
      <c r="G929">
        <v>1</v>
      </c>
      <c r="H929">
        <v>2</v>
      </c>
      <c r="I929">
        <v>1</v>
      </c>
      <c r="J929" s="4" t="s">
        <v>52</v>
      </c>
      <c r="K929" t="str">
        <f t="shared" si="50"/>
        <v>1+2</v>
      </c>
      <c r="L929">
        <f>VLOOKUP(A929,'ZONE 1 PREMIUM'!$A$4:$N$16,14,0)</f>
        <v>9</v>
      </c>
      <c r="M929">
        <f>VLOOKUP(D929,DROPDOWN!B:C,2,0)</f>
        <v>6</v>
      </c>
      <c r="N929" t="str">
        <f t="shared" si="48"/>
        <v>X35:AP46</v>
      </c>
      <c r="O929" s="4">
        <f t="shared" ca="1" si="49"/>
        <v>97706.299999999988</v>
      </c>
    </row>
    <row r="930" spans="1:15">
      <c r="A930" s="2" t="s">
        <v>19</v>
      </c>
      <c r="B930" t="s">
        <v>41</v>
      </c>
      <c r="C930" t="s">
        <v>42</v>
      </c>
      <c r="D930">
        <v>10</v>
      </c>
      <c r="E930" t="s">
        <v>46</v>
      </c>
      <c r="F930">
        <v>3</v>
      </c>
      <c r="G930">
        <v>1</v>
      </c>
      <c r="H930">
        <v>2</v>
      </c>
      <c r="I930">
        <v>1</v>
      </c>
      <c r="J930" s="4" t="s">
        <v>52</v>
      </c>
      <c r="K930" t="str">
        <f t="shared" si="50"/>
        <v>1+2</v>
      </c>
      <c r="L930">
        <f>VLOOKUP(A930,'ZONE 1 PREMIUM'!$A$4:$N$16,14,0)</f>
        <v>10</v>
      </c>
      <c r="M930">
        <f>VLOOKUP(D930,DROPDOWN!B:C,2,0)</f>
        <v>6</v>
      </c>
      <c r="N930" t="str">
        <f t="shared" si="48"/>
        <v>X35:AP46</v>
      </c>
      <c r="O930" s="4">
        <f t="shared" ca="1" si="49"/>
        <v>123634.2</v>
      </c>
    </row>
    <row r="931" spans="1:15">
      <c r="A931" s="2" t="s">
        <v>20</v>
      </c>
      <c r="B931" t="s">
        <v>43</v>
      </c>
      <c r="C931" t="s">
        <v>44</v>
      </c>
      <c r="D931">
        <v>10</v>
      </c>
      <c r="E931" t="s">
        <v>46</v>
      </c>
      <c r="F931">
        <v>3</v>
      </c>
      <c r="G931">
        <v>1</v>
      </c>
      <c r="H931">
        <v>2</v>
      </c>
      <c r="I931">
        <v>1</v>
      </c>
      <c r="J931" s="4" t="s">
        <v>52</v>
      </c>
      <c r="K931" t="str">
        <f t="shared" si="50"/>
        <v>1+2</v>
      </c>
      <c r="L931">
        <f>VLOOKUP(A931,'ZONE 1 PREMIUM'!$A$4:$N$16,14,0)</f>
        <v>11</v>
      </c>
      <c r="M931">
        <f>VLOOKUP(D931,DROPDOWN!B:C,2,0)</f>
        <v>6</v>
      </c>
      <c r="N931" t="str">
        <f t="shared" si="48"/>
        <v>X35:AP46</v>
      </c>
      <c r="O931" s="4">
        <f t="shared" ca="1" si="49"/>
        <v>145944.19999999998</v>
      </c>
    </row>
    <row r="932" spans="1:15">
      <c r="A932" s="2" t="s">
        <v>21</v>
      </c>
      <c r="B932" t="s">
        <v>22</v>
      </c>
      <c r="D932">
        <v>10</v>
      </c>
      <c r="E932" t="s">
        <v>46</v>
      </c>
      <c r="F932">
        <v>3</v>
      </c>
      <c r="G932">
        <v>1</v>
      </c>
      <c r="H932">
        <v>2</v>
      </c>
      <c r="I932">
        <v>1</v>
      </c>
      <c r="J932" s="4" t="s">
        <v>52</v>
      </c>
      <c r="K932" t="str">
        <f t="shared" si="50"/>
        <v>1+2</v>
      </c>
      <c r="L932">
        <f>VLOOKUP(A932,'ZONE 1 PREMIUM'!$A$4:$N$16,14,0)</f>
        <v>12</v>
      </c>
      <c r="M932">
        <f>VLOOKUP(D932,DROPDOWN!B:C,2,0)</f>
        <v>6</v>
      </c>
      <c r="N932" t="str">
        <f t="shared" si="48"/>
        <v>X35:AP46</v>
      </c>
      <c r="O932" s="4">
        <f t="shared" ca="1" si="49"/>
        <v>190646.99999999997</v>
      </c>
    </row>
    <row r="933" spans="1:15">
      <c r="A933" s="2" t="s">
        <v>11</v>
      </c>
      <c r="B933" t="s">
        <v>45</v>
      </c>
      <c r="C933" t="s">
        <v>25</v>
      </c>
      <c r="D933">
        <v>10</v>
      </c>
      <c r="E933" t="s">
        <v>46</v>
      </c>
      <c r="F933">
        <v>4</v>
      </c>
      <c r="G933">
        <v>1</v>
      </c>
      <c r="H933">
        <v>3</v>
      </c>
      <c r="I933">
        <v>1</v>
      </c>
      <c r="J933" s="4" t="s">
        <v>52</v>
      </c>
      <c r="K933" t="str">
        <f t="shared" si="50"/>
        <v>1+3</v>
      </c>
      <c r="L933">
        <f>VLOOKUP(A933,'ZONE 1 PREMIUM'!$A$4:$N$16,14,0)</f>
        <v>2</v>
      </c>
      <c r="M933">
        <f>VLOOKUP(D933,DROPDOWN!B:C,2,0)</f>
        <v>6</v>
      </c>
      <c r="N933" t="str">
        <f t="shared" si="48"/>
        <v>X50:AP61</v>
      </c>
      <c r="O933" s="4">
        <f t="shared" ca="1" si="49"/>
        <v>30468.1</v>
      </c>
    </row>
    <row r="934" spans="1:15">
      <c r="A934" s="2" t="s">
        <v>12</v>
      </c>
      <c r="B934" t="s">
        <v>27</v>
      </c>
      <c r="C934" t="s">
        <v>28</v>
      </c>
      <c r="D934">
        <v>10</v>
      </c>
      <c r="E934" t="s">
        <v>46</v>
      </c>
      <c r="F934">
        <v>4</v>
      </c>
      <c r="G934">
        <v>1</v>
      </c>
      <c r="H934">
        <v>3</v>
      </c>
      <c r="I934">
        <v>1</v>
      </c>
      <c r="J934" s="4" t="s">
        <v>52</v>
      </c>
      <c r="K934" t="str">
        <f t="shared" si="50"/>
        <v>1+3</v>
      </c>
      <c r="L934">
        <f>VLOOKUP(A934,'ZONE 1 PREMIUM'!$A$4:$N$16,14,0)</f>
        <v>3</v>
      </c>
      <c r="M934">
        <f>VLOOKUP(D934,DROPDOWN!B:C,2,0)</f>
        <v>6</v>
      </c>
      <c r="N934" t="str">
        <f t="shared" si="48"/>
        <v>X50:AP61</v>
      </c>
      <c r="O934" s="4">
        <f t="shared" ca="1" si="49"/>
        <v>32222.999999999996</v>
      </c>
    </row>
    <row r="935" spans="1:15">
      <c r="A935" s="2" t="s">
        <v>13</v>
      </c>
      <c r="B935" t="s">
        <v>29</v>
      </c>
      <c r="C935" t="s">
        <v>30</v>
      </c>
      <c r="D935">
        <v>10</v>
      </c>
      <c r="E935" t="s">
        <v>46</v>
      </c>
      <c r="F935">
        <v>4</v>
      </c>
      <c r="G935">
        <v>1</v>
      </c>
      <c r="H935">
        <v>3</v>
      </c>
      <c r="I935">
        <v>1</v>
      </c>
      <c r="J935" s="4" t="s">
        <v>52</v>
      </c>
      <c r="K935" t="str">
        <f t="shared" si="50"/>
        <v>1+3</v>
      </c>
      <c r="L935">
        <f>VLOOKUP(A935,'ZONE 1 PREMIUM'!$A$4:$N$16,14,0)</f>
        <v>4</v>
      </c>
      <c r="M935">
        <f>VLOOKUP(D935,DROPDOWN!B:C,2,0)</f>
        <v>6</v>
      </c>
      <c r="N935" t="str">
        <f t="shared" si="48"/>
        <v>X50:AP61</v>
      </c>
      <c r="O935" s="4">
        <f t="shared" ca="1" si="49"/>
        <v>37274.949999999997</v>
      </c>
    </row>
    <row r="936" spans="1:15">
      <c r="A936" s="2" t="s">
        <v>14</v>
      </c>
      <c r="B936" t="s">
        <v>31</v>
      </c>
      <c r="C936" t="s">
        <v>32</v>
      </c>
      <c r="D936">
        <v>10</v>
      </c>
      <c r="E936" t="s">
        <v>46</v>
      </c>
      <c r="F936">
        <v>4</v>
      </c>
      <c r="G936">
        <v>1</v>
      </c>
      <c r="H936">
        <v>3</v>
      </c>
      <c r="I936">
        <v>1</v>
      </c>
      <c r="J936" s="4" t="s">
        <v>52</v>
      </c>
      <c r="K936" t="str">
        <f t="shared" si="50"/>
        <v>1+3</v>
      </c>
      <c r="L936">
        <f>VLOOKUP(A936,'ZONE 1 PREMIUM'!$A$4:$N$16,14,0)</f>
        <v>5</v>
      </c>
      <c r="M936">
        <f>VLOOKUP(D936,DROPDOWN!B:C,2,0)</f>
        <v>6</v>
      </c>
      <c r="N936" t="str">
        <f t="shared" si="48"/>
        <v>X50:AP61</v>
      </c>
      <c r="O936" s="4">
        <f t="shared" ca="1" si="49"/>
        <v>41464.399999999994</v>
      </c>
    </row>
    <row r="937" spans="1:15">
      <c r="A937" s="2" t="s">
        <v>15</v>
      </c>
      <c r="B937" t="s">
        <v>33</v>
      </c>
      <c r="C937" t="s">
        <v>34</v>
      </c>
      <c r="D937">
        <v>10</v>
      </c>
      <c r="E937" t="s">
        <v>46</v>
      </c>
      <c r="F937">
        <v>4</v>
      </c>
      <c r="G937">
        <v>1</v>
      </c>
      <c r="H937">
        <v>3</v>
      </c>
      <c r="I937">
        <v>1</v>
      </c>
      <c r="J937" s="4" t="s">
        <v>52</v>
      </c>
      <c r="K937" t="str">
        <f t="shared" si="50"/>
        <v>1+3</v>
      </c>
      <c r="L937">
        <f>VLOOKUP(A937,'ZONE 1 PREMIUM'!$A$4:$N$16,14,0)</f>
        <v>6</v>
      </c>
      <c r="M937">
        <f>VLOOKUP(D937,DROPDOWN!B:C,2,0)</f>
        <v>6</v>
      </c>
      <c r="N937" t="str">
        <f t="shared" si="48"/>
        <v>X50:AP61</v>
      </c>
      <c r="O937" s="4">
        <f t="shared" ca="1" si="49"/>
        <v>52482.549999999996</v>
      </c>
    </row>
    <row r="938" spans="1:15">
      <c r="A938" s="2" t="s">
        <v>16</v>
      </c>
      <c r="B938" t="s">
        <v>35</v>
      </c>
      <c r="C938" t="s">
        <v>36</v>
      </c>
      <c r="D938">
        <v>10</v>
      </c>
      <c r="E938" t="s">
        <v>46</v>
      </c>
      <c r="F938">
        <v>4</v>
      </c>
      <c r="G938">
        <v>1</v>
      </c>
      <c r="H938">
        <v>3</v>
      </c>
      <c r="I938">
        <v>1</v>
      </c>
      <c r="J938" s="4" t="s">
        <v>52</v>
      </c>
      <c r="K938" t="str">
        <f t="shared" si="50"/>
        <v>1+3</v>
      </c>
      <c r="L938">
        <f>VLOOKUP(A938,'ZONE 1 PREMIUM'!$A$4:$N$16,14,0)</f>
        <v>7</v>
      </c>
      <c r="M938">
        <f>VLOOKUP(D938,DROPDOWN!B:C,2,0)</f>
        <v>6</v>
      </c>
      <c r="N938" t="str">
        <f t="shared" si="48"/>
        <v>X50:AP61</v>
      </c>
      <c r="O938" s="4">
        <f t="shared" ca="1" si="49"/>
        <v>66269.899999999994</v>
      </c>
    </row>
    <row r="939" spans="1:15">
      <c r="A939" s="2" t="s">
        <v>17</v>
      </c>
      <c r="B939" t="s">
        <v>37</v>
      </c>
      <c r="C939" t="s">
        <v>38</v>
      </c>
      <c r="D939">
        <v>10</v>
      </c>
      <c r="E939" t="s">
        <v>46</v>
      </c>
      <c r="F939">
        <v>4</v>
      </c>
      <c r="G939">
        <v>1</v>
      </c>
      <c r="H939">
        <v>3</v>
      </c>
      <c r="I939">
        <v>1</v>
      </c>
      <c r="J939" s="4" t="s">
        <v>52</v>
      </c>
      <c r="K939" t="str">
        <f t="shared" si="50"/>
        <v>1+3</v>
      </c>
      <c r="L939">
        <f>VLOOKUP(A939,'ZONE 1 PREMIUM'!$A$4:$N$16,14,0)</f>
        <v>8</v>
      </c>
      <c r="M939">
        <f>VLOOKUP(D939,DROPDOWN!B:C,2,0)</f>
        <v>6</v>
      </c>
      <c r="N939" t="str">
        <f t="shared" si="48"/>
        <v>X50:AP61</v>
      </c>
      <c r="O939" s="4">
        <f t="shared" ca="1" si="49"/>
        <v>81684.5</v>
      </c>
    </row>
    <row r="940" spans="1:15">
      <c r="A940" s="2" t="s">
        <v>18</v>
      </c>
      <c r="B940" t="s">
        <v>39</v>
      </c>
      <c r="C940" t="s">
        <v>40</v>
      </c>
      <c r="D940">
        <v>10</v>
      </c>
      <c r="E940" t="s">
        <v>46</v>
      </c>
      <c r="F940">
        <v>4</v>
      </c>
      <c r="G940">
        <v>1</v>
      </c>
      <c r="H940">
        <v>3</v>
      </c>
      <c r="I940">
        <v>1</v>
      </c>
      <c r="J940" s="4" t="s">
        <v>52</v>
      </c>
      <c r="K940" t="str">
        <f t="shared" si="50"/>
        <v>1+3</v>
      </c>
      <c r="L940">
        <f>VLOOKUP(A940,'ZONE 1 PREMIUM'!$A$4:$N$16,14,0)</f>
        <v>9</v>
      </c>
      <c r="M940">
        <f>VLOOKUP(D940,DROPDOWN!B:C,2,0)</f>
        <v>6</v>
      </c>
      <c r="N940" t="str">
        <f t="shared" si="48"/>
        <v>X50:AP61</v>
      </c>
      <c r="O940" s="4">
        <f t="shared" ca="1" si="49"/>
        <v>105901.2</v>
      </c>
    </row>
    <row r="941" spans="1:15">
      <c r="A941" s="2" t="s">
        <v>19</v>
      </c>
      <c r="B941" t="s">
        <v>41</v>
      </c>
      <c r="C941" t="s">
        <v>42</v>
      </c>
      <c r="D941">
        <v>10</v>
      </c>
      <c r="E941" t="s">
        <v>46</v>
      </c>
      <c r="F941">
        <v>4</v>
      </c>
      <c r="G941">
        <v>1</v>
      </c>
      <c r="H941">
        <v>3</v>
      </c>
      <c r="I941">
        <v>1</v>
      </c>
      <c r="J941" s="4" t="s">
        <v>52</v>
      </c>
      <c r="K941" t="str">
        <f t="shared" si="50"/>
        <v>1+3</v>
      </c>
      <c r="L941">
        <f>VLOOKUP(A941,'ZONE 1 PREMIUM'!$A$4:$N$16,14,0)</f>
        <v>10</v>
      </c>
      <c r="M941">
        <f>VLOOKUP(D941,DROPDOWN!B:C,2,0)</f>
        <v>6</v>
      </c>
      <c r="N941" t="str">
        <f t="shared" si="48"/>
        <v>X50:AP61</v>
      </c>
      <c r="O941" s="4">
        <f t="shared" ca="1" si="49"/>
        <v>130155.84999999999</v>
      </c>
    </row>
    <row r="942" spans="1:15">
      <c r="A942" s="2" t="s">
        <v>20</v>
      </c>
      <c r="B942" t="s">
        <v>43</v>
      </c>
      <c r="C942" t="s">
        <v>44</v>
      </c>
      <c r="D942">
        <v>10</v>
      </c>
      <c r="E942" t="s">
        <v>46</v>
      </c>
      <c r="F942">
        <v>4</v>
      </c>
      <c r="G942">
        <v>1</v>
      </c>
      <c r="H942">
        <v>3</v>
      </c>
      <c r="I942">
        <v>1</v>
      </c>
      <c r="J942" s="4" t="s">
        <v>52</v>
      </c>
      <c r="K942" t="str">
        <f t="shared" si="50"/>
        <v>1+3</v>
      </c>
      <c r="L942">
        <f>VLOOKUP(A942,'ZONE 1 PREMIUM'!$A$4:$N$16,14,0)</f>
        <v>11</v>
      </c>
      <c r="M942">
        <f>VLOOKUP(D942,DROPDOWN!B:C,2,0)</f>
        <v>6</v>
      </c>
      <c r="N942" t="str">
        <f t="shared" si="48"/>
        <v>X50:AP61</v>
      </c>
      <c r="O942" s="4">
        <f t="shared" ca="1" si="49"/>
        <v>152102.44999999998</v>
      </c>
    </row>
    <row r="943" spans="1:15">
      <c r="A943" s="2" t="s">
        <v>21</v>
      </c>
      <c r="B943" t="s">
        <v>22</v>
      </c>
      <c r="D943">
        <v>10</v>
      </c>
      <c r="E943" t="s">
        <v>46</v>
      </c>
      <c r="F943">
        <v>4</v>
      </c>
      <c r="G943">
        <v>1</v>
      </c>
      <c r="H943">
        <v>3</v>
      </c>
      <c r="I943">
        <v>1</v>
      </c>
      <c r="J943" s="4" t="s">
        <v>52</v>
      </c>
      <c r="K943" t="str">
        <f t="shared" si="50"/>
        <v>1+3</v>
      </c>
      <c r="L943">
        <f>VLOOKUP(A943,'ZONE 1 PREMIUM'!$A$4:$N$16,14,0)</f>
        <v>12</v>
      </c>
      <c r="M943">
        <f>VLOOKUP(D943,DROPDOWN!B:C,2,0)</f>
        <v>6</v>
      </c>
      <c r="N943" t="str">
        <f t="shared" si="48"/>
        <v>X50:AP61</v>
      </c>
      <c r="O943" s="4">
        <f t="shared" ca="1" si="49"/>
        <v>197176.69999999998</v>
      </c>
    </row>
    <row r="944" spans="1:15">
      <c r="A944" s="2" t="s">
        <v>11</v>
      </c>
      <c r="B944" t="s">
        <v>45</v>
      </c>
      <c r="C944" t="s">
        <v>25</v>
      </c>
      <c r="D944">
        <v>10</v>
      </c>
      <c r="E944" t="s">
        <v>46</v>
      </c>
      <c r="F944">
        <v>5</v>
      </c>
      <c r="G944">
        <v>1</v>
      </c>
      <c r="H944">
        <v>4</v>
      </c>
      <c r="I944">
        <v>1</v>
      </c>
      <c r="J944" s="4" t="s">
        <v>52</v>
      </c>
      <c r="K944" t="str">
        <f t="shared" si="50"/>
        <v>1+4</v>
      </c>
      <c r="L944">
        <f>VLOOKUP(A944,'ZONE 1 PREMIUM'!$A$4:$N$16,14,0)</f>
        <v>2</v>
      </c>
      <c r="M944">
        <f>VLOOKUP(D944,DROPDOWN!B:C,2,0)</f>
        <v>6</v>
      </c>
      <c r="N944" t="str">
        <f t="shared" si="48"/>
        <v>X65:AP76</v>
      </c>
      <c r="O944" s="4">
        <f t="shared" ca="1" si="49"/>
        <v>36078.949999999997</v>
      </c>
    </row>
    <row r="945" spans="1:15">
      <c r="A945" s="2" t="s">
        <v>12</v>
      </c>
      <c r="B945" t="s">
        <v>27</v>
      </c>
      <c r="C945" t="s">
        <v>28</v>
      </c>
      <c r="D945">
        <v>10</v>
      </c>
      <c r="E945" t="s">
        <v>46</v>
      </c>
      <c r="F945">
        <v>5</v>
      </c>
      <c r="G945">
        <v>1</v>
      </c>
      <c r="H945">
        <v>4</v>
      </c>
      <c r="I945">
        <v>1</v>
      </c>
      <c r="J945" s="4" t="s">
        <v>52</v>
      </c>
      <c r="K945" t="str">
        <f t="shared" si="50"/>
        <v>1+4</v>
      </c>
      <c r="L945">
        <f>VLOOKUP(A945,'ZONE 1 PREMIUM'!$A$4:$N$16,14,0)</f>
        <v>3</v>
      </c>
      <c r="M945">
        <f>VLOOKUP(D945,DROPDOWN!B:C,2,0)</f>
        <v>6</v>
      </c>
      <c r="N945" t="str">
        <f t="shared" si="48"/>
        <v>X65:AP76</v>
      </c>
      <c r="O945" s="4">
        <f t="shared" ca="1" si="49"/>
        <v>37733.799999999996</v>
      </c>
    </row>
    <row r="946" spans="1:15">
      <c r="A946" s="2" t="s">
        <v>13</v>
      </c>
      <c r="B946" t="s">
        <v>29</v>
      </c>
      <c r="C946" t="s">
        <v>30</v>
      </c>
      <c r="D946">
        <v>10</v>
      </c>
      <c r="E946" t="s">
        <v>46</v>
      </c>
      <c r="F946">
        <v>5</v>
      </c>
      <c r="G946">
        <v>1</v>
      </c>
      <c r="H946">
        <v>4</v>
      </c>
      <c r="I946">
        <v>1</v>
      </c>
      <c r="J946" s="4" t="s">
        <v>52</v>
      </c>
      <c r="K946" t="str">
        <f t="shared" si="50"/>
        <v>1+4</v>
      </c>
      <c r="L946">
        <f>VLOOKUP(A946,'ZONE 1 PREMIUM'!$A$4:$N$16,14,0)</f>
        <v>4</v>
      </c>
      <c r="M946">
        <f>VLOOKUP(D946,DROPDOWN!B:C,2,0)</f>
        <v>6</v>
      </c>
      <c r="N946" t="str">
        <f t="shared" si="48"/>
        <v>X65:AP76</v>
      </c>
      <c r="O946" s="4">
        <f t="shared" ca="1" si="49"/>
        <v>43659.75</v>
      </c>
    </row>
    <row r="947" spans="1:15">
      <c r="A947" s="2" t="s">
        <v>14</v>
      </c>
      <c r="B947" t="s">
        <v>31</v>
      </c>
      <c r="C947" t="s">
        <v>32</v>
      </c>
      <c r="D947">
        <v>10</v>
      </c>
      <c r="E947" t="s">
        <v>46</v>
      </c>
      <c r="F947">
        <v>5</v>
      </c>
      <c r="G947">
        <v>1</v>
      </c>
      <c r="H947">
        <v>4</v>
      </c>
      <c r="I947">
        <v>1</v>
      </c>
      <c r="J947" s="4" t="s">
        <v>52</v>
      </c>
      <c r="K947" t="str">
        <f t="shared" si="50"/>
        <v>1+4</v>
      </c>
      <c r="L947">
        <f>VLOOKUP(A947,'ZONE 1 PREMIUM'!$A$4:$N$16,14,0)</f>
        <v>5</v>
      </c>
      <c r="M947">
        <f>VLOOKUP(D947,DROPDOWN!B:C,2,0)</f>
        <v>6</v>
      </c>
      <c r="N947" t="str">
        <f t="shared" si="48"/>
        <v>X65:AP76</v>
      </c>
      <c r="O947" s="4">
        <f t="shared" ca="1" si="49"/>
        <v>48257.45</v>
      </c>
    </row>
    <row r="948" spans="1:15">
      <c r="A948" s="2" t="s">
        <v>15</v>
      </c>
      <c r="B948" t="s">
        <v>33</v>
      </c>
      <c r="C948" t="s">
        <v>34</v>
      </c>
      <c r="D948">
        <v>10</v>
      </c>
      <c r="E948" t="s">
        <v>46</v>
      </c>
      <c r="F948">
        <v>5</v>
      </c>
      <c r="G948">
        <v>1</v>
      </c>
      <c r="H948">
        <v>4</v>
      </c>
      <c r="I948">
        <v>1</v>
      </c>
      <c r="J948" s="4" t="s">
        <v>52</v>
      </c>
      <c r="K948" t="str">
        <f t="shared" si="50"/>
        <v>1+4</v>
      </c>
      <c r="L948">
        <f>VLOOKUP(A948,'ZONE 1 PREMIUM'!$A$4:$N$16,14,0)</f>
        <v>6</v>
      </c>
      <c r="M948">
        <f>VLOOKUP(D948,DROPDOWN!B:C,2,0)</f>
        <v>6</v>
      </c>
      <c r="N948" t="str">
        <f t="shared" si="48"/>
        <v>X65:AP76</v>
      </c>
      <c r="O948" s="4">
        <f t="shared" ca="1" si="49"/>
        <v>60101.299999999996</v>
      </c>
    </row>
    <row r="949" spans="1:15">
      <c r="A949" s="2" t="s">
        <v>16</v>
      </c>
      <c r="B949" t="s">
        <v>35</v>
      </c>
      <c r="C949" t="s">
        <v>36</v>
      </c>
      <c r="D949">
        <v>10</v>
      </c>
      <c r="E949" t="s">
        <v>46</v>
      </c>
      <c r="F949">
        <v>5</v>
      </c>
      <c r="G949">
        <v>1</v>
      </c>
      <c r="H949">
        <v>4</v>
      </c>
      <c r="I949">
        <v>1</v>
      </c>
      <c r="J949" s="4" t="s">
        <v>52</v>
      </c>
      <c r="K949" t="str">
        <f t="shared" si="50"/>
        <v>1+4</v>
      </c>
      <c r="L949">
        <f>VLOOKUP(A949,'ZONE 1 PREMIUM'!$A$4:$N$16,14,0)</f>
        <v>7</v>
      </c>
      <c r="M949">
        <f>VLOOKUP(D949,DROPDOWN!B:C,2,0)</f>
        <v>6</v>
      </c>
      <c r="N949" t="str">
        <f t="shared" si="48"/>
        <v>X65:AP76</v>
      </c>
      <c r="O949" s="4">
        <f t="shared" ca="1" si="49"/>
        <v>73269.95</v>
      </c>
    </row>
    <row r="950" spans="1:15">
      <c r="A950" s="2" t="s">
        <v>17</v>
      </c>
      <c r="B950" t="s">
        <v>37</v>
      </c>
      <c r="C950" t="s">
        <v>38</v>
      </c>
      <c r="D950">
        <v>10</v>
      </c>
      <c r="E950" t="s">
        <v>46</v>
      </c>
      <c r="F950">
        <v>5</v>
      </c>
      <c r="G950">
        <v>1</v>
      </c>
      <c r="H950">
        <v>4</v>
      </c>
      <c r="I950">
        <v>1</v>
      </c>
      <c r="J950" s="4" t="s">
        <v>52</v>
      </c>
      <c r="K950" t="str">
        <f t="shared" si="50"/>
        <v>1+4</v>
      </c>
      <c r="L950">
        <f>VLOOKUP(A950,'ZONE 1 PREMIUM'!$A$4:$N$16,14,0)</f>
        <v>8</v>
      </c>
      <c r="M950">
        <f>VLOOKUP(D950,DROPDOWN!B:C,2,0)</f>
        <v>6</v>
      </c>
      <c r="N950" t="str">
        <f t="shared" si="48"/>
        <v>X65:AP76</v>
      </c>
      <c r="O950" s="4">
        <f t="shared" ca="1" si="49"/>
        <v>88452.25</v>
      </c>
    </row>
    <row r="951" spans="1:15">
      <c r="A951" s="2" t="s">
        <v>18</v>
      </c>
      <c r="B951" t="s">
        <v>39</v>
      </c>
      <c r="C951" t="s">
        <v>40</v>
      </c>
      <c r="D951">
        <v>10</v>
      </c>
      <c r="E951" t="s">
        <v>46</v>
      </c>
      <c r="F951">
        <v>5</v>
      </c>
      <c r="G951">
        <v>1</v>
      </c>
      <c r="H951">
        <v>4</v>
      </c>
      <c r="I951">
        <v>1</v>
      </c>
      <c r="J951" s="4" t="s">
        <v>52</v>
      </c>
      <c r="K951" t="str">
        <f t="shared" si="50"/>
        <v>1+4</v>
      </c>
      <c r="L951">
        <f>VLOOKUP(A951,'ZONE 1 PREMIUM'!$A$4:$N$16,14,0)</f>
        <v>9</v>
      </c>
      <c r="M951">
        <f>VLOOKUP(D951,DROPDOWN!B:C,2,0)</f>
        <v>6</v>
      </c>
      <c r="N951" t="str">
        <f t="shared" si="48"/>
        <v>X65:AP76</v>
      </c>
      <c r="O951" s="4">
        <f t="shared" ca="1" si="49"/>
        <v>112793.15</v>
      </c>
    </row>
    <row r="952" spans="1:15">
      <c r="A952" s="2" t="s">
        <v>19</v>
      </c>
      <c r="B952" t="s">
        <v>41</v>
      </c>
      <c r="C952" t="s">
        <v>42</v>
      </c>
      <c r="D952">
        <v>10</v>
      </c>
      <c r="E952" t="s">
        <v>46</v>
      </c>
      <c r="F952">
        <v>5</v>
      </c>
      <c r="G952">
        <v>1</v>
      </c>
      <c r="H952">
        <v>4</v>
      </c>
      <c r="I952">
        <v>1</v>
      </c>
      <c r="J952" s="4" t="s">
        <v>52</v>
      </c>
      <c r="K952" t="str">
        <f t="shared" si="50"/>
        <v>1+4</v>
      </c>
      <c r="L952">
        <f>VLOOKUP(A952,'ZONE 1 PREMIUM'!$A$4:$N$16,14,0)</f>
        <v>10</v>
      </c>
      <c r="M952">
        <f>VLOOKUP(D952,DROPDOWN!B:C,2,0)</f>
        <v>6</v>
      </c>
      <c r="N952" t="str">
        <f t="shared" si="48"/>
        <v>X65:AP76</v>
      </c>
      <c r="O952" s="4">
        <f t="shared" ca="1" si="49"/>
        <v>136913.25</v>
      </c>
    </row>
    <row r="953" spans="1:15">
      <c r="A953" s="2" t="s">
        <v>20</v>
      </c>
      <c r="B953" t="s">
        <v>43</v>
      </c>
      <c r="C953" t="s">
        <v>44</v>
      </c>
      <c r="D953">
        <v>10</v>
      </c>
      <c r="E953" t="s">
        <v>46</v>
      </c>
      <c r="F953">
        <v>5</v>
      </c>
      <c r="G953">
        <v>1</v>
      </c>
      <c r="H953">
        <v>4</v>
      </c>
      <c r="I953">
        <v>1</v>
      </c>
      <c r="J953" s="4" t="s">
        <v>52</v>
      </c>
      <c r="K953" t="str">
        <f t="shared" si="50"/>
        <v>1+4</v>
      </c>
      <c r="L953">
        <f>VLOOKUP(A953,'ZONE 1 PREMIUM'!$A$4:$N$16,14,0)</f>
        <v>11</v>
      </c>
      <c r="M953">
        <f>VLOOKUP(D953,DROPDOWN!B:C,2,0)</f>
        <v>6</v>
      </c>
      <c r="N953" t="str">
        <f t="shared" si="48"/>
        <v>X65:AP76</v>
      </c>
      <c r="O953" s="4">
        <f t="shared" ca="1" si="49"/>
        <v>158874.79999999999</v>
      </c>
    </row>
    <row r="954" spans="1:15">
      <c r="A954" s="2" t="s">
        <v>21</v>
      </c>
      <c r="B954" t="s">
        <v>22</v>
      </c>
      <c r="D954">
        <v>10</v>
      </c>
      <c r="E954" t="s">
        <v>46</v>
      </c>
      <c r="F954">
        <v>5</v>
      </c>
      <c r="G954">
        <v>1</v>
      </c>
      <c r="H954">
        <v>4</v>
      </c>
      <c r="I954">
        <v>1</v>
      </c>
      <c r="J954" s="4" t="s">
        <v>52</v>
      </c>
      <c r="K954" t="str">
        <f t="shared" si="50"/>
        <v>1+4</v>
      </c>
      <c r="L954">
        <f>VLOOKUP(A954,'ZONE 1 PREMIUM'!$A$4:$N$16,14,0)</f>
        <v>12</v>
      </c>
      <c r="M954">
        <f>VLOOKUP(D954,DROPDOWN!B:C,2,0)</f>
        <v>6</v>
      </c>
      <c r="N954" t="str">
        <f t="shared" si="48"/>
        <v>X65:AP76</v>
      </c>
      <c r="O954" s="4">
        <f t="shared" ca="1" si="49"/>
        <v>204168.69999999998</v>
      </c>
    </row>
    <row r="955" spans="1:15">
      <c r="A955" s="2" t="s">
        <v>11</v>
      </c>
      <c r="B955" t="s">
        <v>45</v>
      </c>
      <c r="C955" t="s">
        <v>25</v>
      </c>
      <c r="D955">
        <v>10</v>
      </c>
      <c r="E955" t="s">
        <v>46</v>
      </c>
      <c r="F955">
        <v>2</v>
      </c>
      <c r="G955">
        <v>2</v>
      </c>
      <c r="H955">
        <v>0</v>
      </c>
      <c r="I955">
        <v>1</v>
      </c>
      <c r="J955" s="4" t="s">
        <v>52</v>
      </c>
      <c r="K955" t="str">
        <f t="shared" si="50"/>
        <v>2+0</v>
      </c>
      <c r="L955">
        <f>VLOOKUP(A955,'ZONE 1 PREMIUM'!$A$4:$N$16,14,0)</f>
        <v>2</v>
      </c>
      <c r="M955">
        <f>VLOOKUP(D955,DROPDOWN!B:C,2,0)</f>
        <v>6</v>
      </c>
      <c r="N955" t="str">
        <f t="shared" si="48"/>
        <v>X81:AP92</v>
      </c>
      <c r="O955" s="4">
        <f t="shared" ca="1" si="49"/>
        <v>26942.199999999997</v>
      </c>
    </row>
    <row r="956" spans="1:15">
      <c r="A956" s="2" t="s">
        <v>12</v>
      </c>
      <c r="B956" t="s">
        <v>27</v>
      </c>
      <c r="C956" t="s">
        <v>28</v>
      </c>
      <c r="D956">
        <v>10</v>
      </c>
      <c r="E956" t="s">
        <v>46</v>
      </c>
      <c r="F956">
        <v>2</v>
      </c>
      <c r="G956">
        <v>2</v>
      </c>
      <c r="H956">
        <v>0</v>
      </c>
      <c r="I956">
        <v>1</v>
      </c>
      <c r="J956" s="4" t="s">
        <v>52</v>
      </c>
      <c r="K956" t="str">
        <f t="shared" si="50"/>
        <v>2+0</v>
      </c>
      <c r="L956">
        <f>VLOOKUP(A956,'ZONE 1 PREMIUM'!$A$4:$N$16,14,0)</f>
        <v>3</v>
      </c>
      <c r="M956">
        <f>VLOOKUP(D956,DROPDOWN!B:C,2,0)</f>
        <v>6</v>
      </c>
      <c r="N956" t="str">
        <f t="shared" si="48"/>
        <v>X81:AP92</v>
      </c>
      <c r="O956" s="4">
        <f t="shared" ca="1" si="49"/>
        <v>30747.55</v>
      </c>
    </row>
    <row r="957" spans="1:15">
      <c r="A957" s="2" t="s">
        <v>13</v>
      </c>
      <c r="B957" t="s">
        <v>29</v>
      </c>
      <c r="C957" t="s">
        <v>30</v>
      </c>
      <c r="D957">
        <v>10</v>
      </c>
      <c r="E957" t="s">
        <v>46</v>
      </c>
      <c r="F957">
        <v>2</v>
      </c>
      <c r="G957">
        <v>2</v>
      </c>
      <c r="H957">
        <v>0</v>
      </c>
      <c r="I957">
        <v>1</v>
      </c>
      <c r="J957" s="4" t="s">
        <v>52</v>
      </c>
      <c r="K957" t="str">
        <f t="shared" si="50"/>
        <v>2+0</v>
      </c>
      <c r="L957">
        <f>VLOOKUP(A957,'ZONE 1 PREMIUM'!$A$4:$N$16,14,0)</f>
        <v>4</v>
      </c>
      <c r="M957">
        <f>VLOOKUP(D957,DROPDOWN!B:C,2,0)</f>
        <v>6</v>
      </c>
      <c r="N957" t="str">
        <f t="shared" si="48"/>
        <v>X81:AP92</v>
      </c>
      <c r="O957" s="4">
        <f t="shared" ca="1" si="49"/>
        <v>34159.599999999999</v>
      </c>
    </row>
    <row r="958" spans="1:15">
      <c r="A958" s="2" t="s">
        <v>14</v>
      </c>
      <c r="B958" t="s">
        <v>31</v>
      </c>
      <c r="C958" t="s">
        <v>32</v>
      </c>
      <c r="D958">
        <v>10</v>
      </c>
      <c r="E958" t="s">
        <v>46</v>
      </c>
      <c r="F958">
        <v>2</v>
      </c>
      <c r="G958">
        <v>2</v>
      </c>
      <c r="H958">
        <v>0</v>
      </c>
      <c r="I958">
        <v>1</v>
      </c>
      <c r="J958" s="4" t="s">
        <v>52</v>
      </c>
      <c r="K958" t="str">
        <f t="shared" si="50"/>
        <v>2+0</v>
      </c>
      <c r="L958">
        <f>VLOOKUP(A958,'ZONE 1 PREMIUM'!$A$4:$N$16,14,0)</f>
        <v>5</v>
      </c>
      <c r="M958">
        <f>VLOOKUP(D958,DROPDOWN!B:C,2,0)</f>
        <v>6</v>
      </c>
      <c r="N958" t="str">
        <f t="shared" si="48"/>
        <v>X81:AP92</v>
      </c>
      <c r="O958" s="4">
        <f t="shared" ca="1" si="49"/>
        <v>39643.949999999997</v>
      </c>
    </row>
    <row r="959" spans="1:15">
      <c r="A959" s="2" t="s">
        <v>15</v>
      </c>
      <c r="B959" t="s">
        <v>33</v>
      </c>
      <c r="C959" t="s">
        <v>34</v>
      </c>
      <c r="D959">
        <v>10</v>
      </c>
      <c r="E959" t="s">
        <v>46</v>
      </c>
      <c r="F959">
        <v>2</v>
      </c>
      <c r="G959">
        <v>2</v>
      </c>
      <c r="H959">
        <v>0</v>
      </c>
      <c r="I959">
        <v>1</v>
      </c>
      <c r="J959" s="4" t="s">
        <v>52</v>
      </c>
      <c r="K959" t="str">
        <f t="shared" si="50"/>
        <v>2+0</v>
      </c>
      <c r="L959">
        <f>VLOOKUP(A959,'ZONE 1 PREMIUM'!$A$4:$N$16,14,0)</f>
        <v>6</v>
      </c>
      <c r="M959">
        <f>VLOOKUP(D959,DROPDOWN!B:C,2,0)</f>
        <v>6</v>
      </c>
      <c r="N959" t="str">
        <f t="shared" si="48"/>
        <v>X81:AP92</v>
      </c>
      <c r="O959" s="4">
        <f t="shared" ca="1" si="49"/>
        <v>52751.649999999994</v>
      </c>
    </row>
    <row r="960" spans="1:15">
      <c r="A960" s="2" t="s">
        <v>16</v>
      </c>
      <c r="B960" t="s">
        <v>35</v>
      </c>
      <c r="C960" t="s">
        <v>36</v>
      </c>
      <c r="D960">
        <v>10</v>
      </c>
      <c r="E960" t="s">
        <v>46</v>
      </c>
      <c r="F960">
        <v>2</v>
      </c>
      <c r="G960">
        <v>2</v>
      </c>
      <c r="H960">
        <v>0</v>
      </c>
      <c r="I960">
        <v>1</v>
      </c>
      <c r="J960" s="4" t="s">
        <v>52</v>
      </c>
      <c r="K960" t="str">
        <f t="shared" si="50"/>
        <v>2+0</v>
      </c>
      <c r="L960">
        <f>VLOOKUP(A960,'ZONE 1 PREMIUM'!$A$4:$N$16,14,0)</f>
        <v>7</v>
      </c>
      <c r="M960">
        <f>VLOOKUP(D960,DROPDOWN!B:C,2,0)</f>
        <v>6</v>
      </c>
      <c r="N960" t="str">
        <f t="shared" si="48"/>
        <v>X81:AP92</v>
      </c>
      <c r="O960" s="4">
        <f t="shared" ca="1" si="49"/>
        <v>70746.849999999991</v>
      </c>
    </row>
    <row r="961" spans="1:15">
      <c r="A961" s="2" t="s">
        <v>17</v>
      </c>
      <c r="B961" t="s">
        <v>37</v>
      </c>
      <c r="C961" t="s">
        <v>38</v>
      </c>
      <c r="D961">
        <v>10</v>
      </c>
      <c r="E961" t="s">
        <v>46</v>
      </c>
      <c r="F961">
        <v>2</v>
      </c>
      <c r="G961">
        <v>2</v>
      </c>
      <c r="H961">
        <v>0</v>
      </c>
      <c r="I961">
        <v>1</v>
      </c>
      <c r="J961" s="4" t="s">
        <v>52</v>
      </c>
      <c r="K961" t="str">
        <f t="shared" si="50"/>
        <v>2+0</v>
      </c>
      <c r="L961">
        <f>VLOOKUP(A961,'ZONE 1 PREMIUM'!$A$4:$N$16,14,0)</f>
        <v>8</v>
      </c>
      <c r="M961">
        <f>VLOOKUP(D961,DROPDOWN!B:C,2,0)</f>
        <v>6</v>
      </c>
      <c r="N961" t="str">
        <f t="shared" si="48"/>
        <v>X81:AP92</v>
      </c>
      <c r="O961" s="4">
        <f t="shared" ca="1" si="49"/>
        <v>96647.15</v>
      </c>
    </row>
    <row r="962" spans="1:15">
      <c r="A962" s="2" t="s">
        <v>18</v>
      </c>
      <c r="B962" t="s">
        <v>39</v>
      </c>
      <c r="C962" t="s">
        <v>40</v>
      </c>
      <c r="D962">
        <v>10</v>
      </c>
      <c r="E962" t="s">
        <v>46</v>
      </c>
      <c r="F962">
        <v>2</v>
      </c>
      <c r="G962">
        <v>2</v>
      </c>
      <c r="H962">
        <v>0</v>
      </c>
      <c r="I962">
        <v>1</v>
      </c>
      <c r="J962" s="4" t="s">
        <v>52</v>
      </c>
      <c r="K962" t="str">
        <f t="shared" si="50"/>
        <v>2+0</v>
      </c>
      <c r="L962">
        <f>VLOOKUP(A962,'ZONE 1 PREMIUM'!$A$4:$N$16,14,0)</f>
        <v>9</v>
      </c>
      <c r="M962">
        <f>VLOOKUP(D962,DROPDOWN!B:C,2,0)</f>
        <v>6</v>
      </c>
      <c r="N962" t="str">
        <f t="shared" ref="N962:N1009" si="51">VLOOKUP(K962,$AQ$3:$AR$12,2,0)</f>
        <v>X81:AP92</v>
      </c>
      <c r="O962" s="4">
        <f t="shared" ref="O962:O1025" ca="1" si="52">INDEX(INDIRECT(N962),L962,M962)</f>
        <v>137105.29999999999</v>
      </c>
    </row>
    <row r="963" spans="1:15">
      <c r="A963" s="2" t="s">
        <v>19</v>
      </c>
      <c r="B963" t="s">
        <v>41</v>
      </c>
      <c r="C963" t="s">
        <v>42</v>
      </c>
      <c r="D963">
        <v>10</v>
      </c>
      <c r="E963" t="s">
        <v>46</v>
      </c>
      <c r="F963">
        <v>2</v>
      </c>
      <c r="G963">
        <v>2</v>
      </c>
      <c r="H963">
        <v>0</v>
      </c>
      <c r="I963">
        <v>1</v>
      </c>
      <c r="J963" s="4" t="s">
        <v>52</v>
      </c>
      <c r="K963" t="str">
        <f t="shared" si="50"/>
        <v>2+0</v>
      </c>
      <c r="L963">
        <f>VLOOKUP(A963,'ZONE 1 PREMIUM'!$A$4:$N$16,14,0)</f>
        <v>10</v>
      </c>
      <c r="M963">
        <f>VLOOKUP(D963,DROPDOWN!B:C,2,0)</f>
        <v>6</v>
      </c>
      <c r="N963" t="str">
        <f t="shared" si="51"/>
        <v>X81:AP92</v>
      </c>
      <c r="O963" s="4">
        <f t="shared" ca="1" si="52"/>
        <v>190773.49999999997</v>
      </c>
    </row>
    <row r="964" spans="1:15">
      <c r="A964" s="2" t="s">
        <v>20</v>
      </c>
      <c r="B964" t="s">
        <v>43</v>
      </c>
      <c r="C964" t="s">
        <v>44</v>
      </c>
      <c r="D964">
        <v>10</v>
      </c>
      <c r="E964" t="s">
        <v>46</v>
      </c>
      <c r="F964">
        <v>2</v>
      </c>
      <c r="G964">
        <v>2</v>
      </c>
      <c r="H964">
        <v>0</v>
      </c>
      <c r="I964">
        <v>1</v>
      </c>
      <c r="J964" s="4" t="s">
        <v>52</v>
      </c>
      <c r="K964" t="str">
        <f t="shared" ref="K964:K1027" si="53">G964&amp;"+"&amp;H964</f>
        <v>2+0</v>
      </c>
      <c r="L964">
        <f>VLOOKUP(A964,'ZONE 1 PREMIUM'!$A$4:$N$16,14,0)</f>
        <v>11</v>
      </c>
      <c r="M964">
        <f>VLOOKUP(D964,DROPDOWN!B:C,2,0)</f>
        <v>6</v>
      </c>
      <c r="N964" t="str">
        <f t="shared" si="51"/>
        <v>X81:AP92</v>
      </c>
      <c r="O964" s="4">
        <f t="shared" ca="1" si="52"/>
        <v>235691.34999999998</v>
      </c>
    </row>
    <row r="965" spans="1:15">
      <c r="A965" s="2" t="s">
        <v>21</v>
      </c>
      <c r="B965" t="s">
        <v>22</v>
      </c>
      <c r="D965">
        <v>10</v>
      </c>
      <c r="E965" t="s">
        <v>46</v>
      </c>
      <c r="F965">
        <v>2</v>
      </c>
      <c r="G965">
        <v>2</v>
      </c>
      <c r="H965">
        <v>0</v>
      </c>
      <c r="I965">
        <v>1</v>
      </c>
      <c r="J965" s="4" t="s">
        <v>52</v>
      </c>
      <c r="K965" t="str">
        <f t="shared" si="53"/>
        <v>2+0</v>
      </c>
      <c r="L965">
        <f>VLOOKUP(A965,'ZONE 1 PREMIUM'!$A$4:$N$16,14,0)</f>
        <v>12</v>
      </c>
      <c r="M965">
        <f>VLOOKUP(D965,DROPDOWN!B:C,2,0)</f>
        <v>6</v>
      </c>
      <c r="N965" t="str">
        <f t="shared" si="51"/>
        <v>X81:AP92</v>
      </c>
      <c r="O965" s="4">
        <f t="shared" ca="1" si="52"/>
        <v>301375.89999999997</v>
      </c>
    </row>
    <row r="966" spans="1:15">
      <c r="A966" s="2" t="s">
        <v>11</v>
      </c>
      <c r="B966" t="s">
        <v>45</v>
      </c>
      <c r="C966" t="s">
        <v>25</v>
      </c>
      <c r="D966">
        <v>10</v>
      </c>
      <c r="E966" t="s">
        <v>46</v>
      </c>
      <c r="F966">
        <v>3</v>
      </c>
      <c r="G966">
        <v>2</v>
      </c>
      <c r="H966">
        <v>1</v>
      </c>
      <c r="I966">
        <v>1</v>
      </c>
      <c r="J966" s="4" t="s">
        <v>52</v>
      </c>
      <c r="K966" t="str">
        <f t="shared" si="53"/>
        <v>2+1</v>
      </c>
      <c r="L966">
        <f>VLOOKUP(A966,'ZONE 1 PREMIUM'!$A$4:$N$16,14,0)</f>
        <v>2</v>
      </c>
      <c r="M966">
        <f>VLOOKUP(D966,DROPDOWN!B:C,2,0)</f>
        <v>6</v>
      </c>
      <c r="N966" t="str">
        <f t="shared" si="51"/>
        <v>X98:AP109</v>
      </c>
      <c r="O966" s="4">
        <f t="shared" ca="1" si="52"/>
        <v>32716.35</v>
      </c>
    </row>
    <row r="967" spans="1:15">
      <c r="A967" s="2" t="s">
        <v>12</v>
      </c>
      <c r="B967" t="s">
        <v>27</v>
      </c>
      <c r="C967" t="s">
        <v>28</v>
      </c>
      <c r="D967">
        <v>10</v>
      </c>
      <c r="E967" t="s">
        <v>46</v>
      </c>
      <c r="F967">
        <v>3</v>
      </c>
      <c r="G967">
        <v>2</v>
      </c>
      <c r="H967">
        <v>1</v>
      </c>
      <c r="I967">
        <v>1</v>
      </c>
      <c r="J967" s="4" t="s">
        <v>52</v>
      </c>
      <c r="K967" t="str">
        <f t="shared" si="53"/>
        <v>2+1</v>
      </c>
      <c r="L967">
        <f>VLOOKUP(A967,'ZONE 1 PREMIUM'!$A$4:$N$16,14,0)</f>
        <v>3</v>
      </c>
      <c r="M967">
        <f>VLOOKUP(D967,DROPDOWN!B:C,2,0)</f>
        <v>6</v>
      </c>
      <c r="N967" t="str">
        <f t="shared" si="51"/>
        <v>X98:AP109</v>
      </c>
      <c r="O967" s="4">
        <f t="shared" ca="1" si="52"/>
        <v>36420.5</v>
      </c>
    </row>
    <row r="968" spans="1:15">
      <c r="A968" s="2" t="s">
        <v>13</v>
      </c>
      <c r="B968" t="s">
        <v>29</v>
      </c>
      <c r="C968" t="s">
        <v>30</v>
      </c>
      <c r="D968">
        <v>10</v>
      </c>
      <c r="E968" t="s">
        <v>46</v>
      </c>
      <c r="F968">
        <v>3</v>
      </c>
      <c r="G968">
        <v>2</v>
      </c>
      <c r="H968">
        <v>1</v>
      </c>
      <c r="I968">
        <v>1</v>
      </c>
      <c r="J968" s="4" t="s">
        <v>52</v>
      </c>
      <c r="K968" t="str">
        <f t="shared" si="53"/>
        <v>2+1</v>
      </c>
      <c r="L968">
        <f>VLOOKUP(A968,'ZONE 1 PREMIUM'!$A$4:$N$16,14,0)</f>
        <v>4</v>
      </c>
      <c r="M968">
        <f>VLOOKUP(D968,DROPDOWN!B:C,2,0)</f>
        <v>6</v>
      </c>
      <c r="N968" t="str">
        <f t="shared" si="51"/>
        <v>X98:AP109</v>
      </c>
      <c r="O968" s="4">
        <f t="shared" ca="1" si="52"/>
        <v>40749.1</v>
      </c>
    </row>
    <row r="969" spans="1:15">
      <c r="A969" s="2" t="s">
        <v>14</v>
      </c>
      <c r="B969" t="s">
        <v>31</v>
      </c>
      <c r="C969" t="s">
        <v>32</v>
      </c>
      <c r="D969">
        <v>10</v>
      </c>
      <c r="E969" t="s">
        <v>46</v>
      </c>
      <c r="F969">
        <v>3</v>
      </c>
      <c r="G969">
        <v>2</v>
      </c>
      <c r="H969">
        <v>1</v>
      </c>
      <c r="I969">
        <v>1</v>
      </c>
      <c r="J969" s="4" t="s">
        <v>52</v>
      </c>
      <c r="K969" t="str">
        <f t="shared" si="53"/>
        <v>2+1</v>
      </c>
      <c r="L969">
        <f>VLOOKUP(A969,'ZONE 1 PREMIUM'!$A$4:$N$16,14,0)</f>
        <v>5</v>
      </c>
      <c r="M969">
        <f>VLOOKUP(D969,DROPDOWN!B:C,2,0)</f>
        <v>6</v>
      </c>
      <c r="N969" t="str">
        <f t="shared" si="51"/>
        <v>X98:AP109</v>
      </c>
      <c r="O969" s="4">
        <f t="shared" ca="1" si="52"/>
        <v>46673.899999999994</v>
      </c>
    </row>
    <row r="970" spans="1:15">
      <c r="A970" s="2" t="s">
        <v>15</v>
      </c>
      <c r="B970" t="s">
        <v>33</v>
      </c>
      <c r="C970" t="s">
        <v>34</v>
      </c>
      <c r="D970">
        <v>10</v>
      </c>
      <c r="E970" t="s">
        <v>46</v>
      </c>
      <c r="F970">
        <v>3</v>
      </c>
      <c r="G970">
        <v>2</v>
      </c>
      <c r="H970">
        <v>1</v>
      </c>
      <c r="I970">
        <v>1</v>
      </c>
      <c r="J970" s="4" t="s">
        <v>52</v>
      </c>
      <c r="K970" t="str">
        <f t="shared" si="53"/>
        <v>2+1</v>
      </c>
      <c r="L970">
        <f>VLOOKUP(A970,'ZONE 1 PREMIUM'!$A$4:$N$16,14,0)</f>
        <v>6</v>
      </c>
      <c r="M970">
        <f>VLOOKUP(D970,DROPDOWN!B:C,2,0)</f>
        <v>6</v>
      </c>
      <c r="N970" t="str">
        <f t="shared" si="51"/>
        <v>X98:AP109</v>
      </c>
      <c r="O970" s="4">
        <f t="shared" ca="1" si="52"/>
        <v>60642.95</v>
      </c>
    </row>
    <row r="971" spans="1:15">
      <c r="A971" s="2" t="s">
        <v>16</v>
      </c>
      <c r="B971" t="s">
        <v>35</v>
      </c>
      <c r="C971" t="s">
        <v>36</v>
      </c>
      <c r="D971">
        <v>10</v>
      </c>
      <c r="E971" t="s">
        <v>46</v>
      </c>
      <c r="F971">
        <v>3</v>
      </c>
      <c r="G971">
        <v>2</v>
      </c>
      <c r="H971">
        <v>1</v>
      </c>
      <c r="I971">
        <v>1</v>
      </c>
      <c r="J971" s="4" t="s">
        <v>52</v>
      </c>
      <c r="K971" t="str">
        <f t="shared" si="53"/>
        <v>2+1</v>
      </c>
      <c r="L971">
        <f>VLOOKUP(A971,'ZONE 1 PREMIUM'!$A$4:$N$16,14,0)</f>
        <v>7</v>
      </c>
      <c r="M971">
        <f>VLOOKUP(D971,DROPDOWN!B:C,2,0)</f>
        <v>6</v>
      </c>
      <c r="N971" t="str">
        <f t="shared" si="51"/>
        <v>X98:AP109</v>
      </c>
      <c r="O971" s="4">
        <f t="shared" ca="1" si="52"/>
        <v>80523</v>
      </c>
    </row>
    <row r="972" spans="1:15">
      <c r="A972" s="2" t="s">
        <v>17</v>
      </c>
      <c r="B972" t="s">
        <v>37</v>
      </c>
      <c r="C972" t="s">
        <v>38</v>
      </c>
      <c r="D972">
        <v>10</v>
      </c>
      <c r="E972" t="s">
        <v>46</v>
      </c>
      <c r="F972">
        <v>3</v>
      </c>
      <c r="G972">
        <v>2</v>
      </c>
      <c r="H972">
        <v>1</v>
      </c>
      <c r="I972">
        <v>1</v>
      </c>
      <c r="J972" s="4" t="s">
        <v>52</v>
      </c>
      <c r="K972" t="str">
        <f t="shared" si="53"/>
        <v>2+1</v>
      </c>
      <c r="L972">
        <f>VLOOKUP(A972,'ZONE 1 PREMIUM'!$A$4:$N$16,14,0)</f>
        <v>8</v>
      </c>
      <c r="M972">
        <f>VLOOKUP(D972,DROPDOWN!B:C,2,0)</f>
        <v>6</v>
      </c>
      <c r="N972" t="str">
        <f t="shared" si="51"/>
        <v>X98:AP109</v>
      </c>
      <c r="O972" s="4">
        <f t="shared" ca="1" si="52"/>
        <v>107177.7</v>
      </c>
    </row>
    <row r="973" spans="1:15">
      <c r="A973" s="2" t="s">
        <v>18</v>
      </c>
      <c r="B973" t="s">
        <v>39</v>
      </c>
      <c r="C973" t="s">
        <v>40</v>
      </c>
      <c r="D973">
        <v>10</v>
      </c>
      <c r="E973" t="s">
        <v>46</v>
      </c>
      <c r="F973">
        <v>3</v>
      </c>
      <c r="G973">
        <v>2</v>
      </c>
      <c r="H973">
        <v>1</v>
      </c>
      <c r="I973">
        <v>1</v>
      </c>
      <c r="J973" s="4" t="s">
        <v>52</v>
      </c>
      <c r="K973" t="str">
        <f t="shared" si="53"/>
        <v>2+1</v>
      </c>
      <c r="L973">
        <f>VLOOKUP(A973,'ZONE 1 PREMIUM'!$A$4:$N$16,14,0)</f>
        <v>9</v>
      </c>
      <c r="M973">
        <f>VLOOKUP(D973,DROPDOWN!B:C,2,0)</f>
        <v>6</v>
      </c>
      <c r="N973" t="str">
        <f t="shared" si="51"/>
        <v>X98:AP109</v>
      </c>
      <c r="O973" s="4">
        <f t="shared" ca="1" si="52"/>
        <v>147825.59999999998</v>
      </c>
    </row>
    <row r="974" spans="1:15">
      <c r="A974" s="2" t="s">
        <v>19</v>
      </c>
      <c r="B974" t="s">
        <v>41</v>
      </c>
      <c r="C974" t="s">
        <v>42</v>
      </c>
      <c r="D974">
        <v>10</v>
      </c>
      <c r="E974" t="s">
        <v>46</v>
      </c>
      <c r="F974">
        <v>3</v>
      </c>
      <c r="G974">
        <v>2</v>
      </c>
      <c r="H974">
        <v>1</v>
      </c>
      <c r="I974">
        <v>1</v>
      </c>
      <c r="J974" s="4" t="s">
        <v>52</v>
      </c>
      <c r="K974" t="str">
        <f t="shared" si="53"/>
        <v>2+1</v>
      </c>
      <c r="L974">
        <f>VLOOKUP(A974,'ZONE 1 PREMIUM'!$A$4:$N$16,14,0)</f>
        <v>10</v>
      </c>
      <c r="M974">
        <f>VLOOKUP(D974,DROPDOWN!B:C,2,0)</f>
        <v>6</v>
      </c>
      <c r="N974" t="str">
        <f t="shared" si="51"/>
        <v>X98:AP109</v>
      </c>
      <c r="O974" s="4">
        <f t="shared" ca="1" si="52"/>
        <v>197190.49999999997</v>
      </c>
    </row>
    <row r="975" spans="1:15">
      <c r="A975" s="2" t="s">
        <v>20</v>
      </c>
      <c r="B975" t="s">
        <v>43</v>
      </c>
      <c r="C975" t="s">
        <v>44</v>
      </c>
      <c r="D975">
        <v>10</v>
      </c>
      <c r="E975" t="s">
        <v>46</v>
      </c>
      <c r="F975">
        <v>3</v>
      </c>
      <c r="G975">
        <v>2</v>
      </c>
      <c r="H975">
        <v>1</v>
      </c>
      <c r="I975">
        <v>1</v>
      </c>
      <c r="J975" s="4" t="s">
        <v>52</v>
      </c>
      <c r="K975" t="str">
        <f t="shared" si="53"/>
        <v>2+1</v>
      </c>
      <c r="L975">
        <f>VLOOKUP(A975,'ZONE 1 PREMIUM'!$A$4:$N$16,14,0)</f>
        <v>11</v>
      </c>
      <c r="M975">
        <f>VLOOKUP(D975,DROPDOWN!B:C,2,0)</f>
        <v>6</v>
      </c>
      <c r="N975" t="str">
        <f t="shared" si="51"/>
        <v>X98:AP109</v>
      </c>
      <c r="O975" s="4">
        <f t="shared" ca="1" si="52"/>
        <v>240551.24999999997</v>
      </c>
    </row>
    <row r="976" spans="1:15">
      <c r="A976" s="2" t="s">
        <v>21</v>
      </c>
      <c r="B976" t="s">
        <v>22</v>
      </c>
      <c r="D976">
        <v>10</v>
      </c>
      <c r="E976" t="s">
        <v>46</v>
      </c>
      <c r="F976">
        <v>3</v>
      </c>
      <c r="G976">
        <v>2</v>
      </c>
      <c r="H976">
        <v>1</v>
      </c>
      <c r="I976">
        <v>1</v>
      </c>
      <c r="J976" s="4" t="s">
        <v>52</v>
      </c>
      <c r="K976" t="str">
        <f t="shared" si="53"/>
        <v>2+1</v>
      </c>
      <c r="L976">
        <f>VLOOKUP(A976,'ZONE 1 PREMIUM'!$A$4:$N$16,14,0)</f>
        <v>12</v>
      </c>
      <c r="M976">
        <f>VLOOKUP(D976,DROPDOWN!B:C,2,0)</f>
        <v>6</v>
      </c>
      <c r="N976" t="str">
        <f t="shared" si="51"/>
        <v>X98:AP109</v>
      </c>
      <c r="O976" s="4">
        <f t="shared" ca="1" si="52"/>
        <v>305994.3</v>
      </c>
    </row>
    <row r="977" spans="1:15">
      <c r="A977" s="2" t="s">
        <v>11</v>
      </c>
      <c r="B977" t="s">
        <v>45</v>
      </c>
      <c r="C977" t="s">
        <v>25</v>
      </c>
      <c r="D977">
        <v>10</v>
      </c>
      <c r="E977" t="s">
        <v>46</v>
      </c>
      <c r="F977">
        <v>4</v>
      </c>
      <c r="G977">
        <v>2</v>
      </c>
      <c r="H977">
        <v>2</v>
      </c>
      <c r="I977">
        <v>1</v>
      </c>
      <c r="J977" s="4" t="s">
        <v>52</v>
      </c>
      <c r="K977" t="str">
        <f t="shared" si="53"/>
        <v>2+2</v>
      </c>
      <c r="L977">
        <f>VLOOKUP(A977,'ZONE 1 PREMIUM'!$A$4:$N$16,14,0)</f>
        <v>2</v>
      </c>
      <c r="M977">
        <f>VLOOKUP(D977,DROPDOWN!B:C,2,0)</f>
        <v>6</v>
      </c>
      <c r="N977" t="str">
        <f t="shared" si="51"/>
        <v>X113:AP124</v>
      </c>
      <c r="O977" s="4">
        <f t="shared" ca="1" si="52"/>
        <v>38327.199999999997</v>
      </c>
    </row>
    <row r="978" spans="1:15">
      <c r="A978" s="2" t="s">
        <v>12</v>
      </c>
      <c r="B978" t="s">
        <v>27</v>
      </c>
      <c r="C978" t="s">
        <v>28</v>
      </c>
      <c r="D978">
        <v>10</v>
      </c>
      <c r="E978" t="s">
        <v>46</v>
      </c>
      <c r="F978">
        <v>4</v>
      </c>
      <c r="G978">
        <v>2</v>
      </c>
      <c r="H978">
        <v>2</v>
      </c>
      <c r="I978">
        <v>1</v>
      </c>
      <c r="J978" s="4" t="s">
        <v>52</v>
      </c>
      <c r="K978" t="str">
        <f t="shared" si="53"/>
        <v>2+2</v>
      </c>
      <c r="L978">
        <f>VLOOKUP(A978,'ZONE 1 PREMIUM'!$A$4:$N$16,14,0)</f>
        <v>3</v>
      </c>
      <c r="M978">
        <f>VLOOKUP(D978,DROPDOWN!B:C,2,0)</f>
        <v>6</v>
      </c>
      <c r="N978" t="str">
        <f t="shared" si="51"/>
        <v>X113:AP124</v>
      </c>
      <c r="O978" s="4">
        <f t="shared" ca="1" si="52"/>
        <v>41931.299999999996</v>
      </c>
    </row>
    <row r="979" spans="1:15">
      <c r="A979" s="2" t="s">
        <v>13</v>
      </c>
      <c r="B979" t="s">
        <v>29</v>
      </c>
      <c r="C979" t="s">
        <v>30</v>
      </c>
      <c r="D979">
        <v>10</v>
      </c>
      <c r="E979" t="s">
        <v>46</v>
      </c>
      <c r="F979">
        <v>4</v>
      </c>
      <c r="G979">
        <v>2</v>
      </c>
      <c r="H979">
        <v>2</v>
      </c>
      <c r="I979">
        <v>1</v>
      </c>
      <c r="J979" s="4" t="s">
        <v>52</v>
      </c>
      <c r="K979" t="str">
        <f t="shared" si="53"/>
        <v>2+2</v>
      </c>
      <c r="L979">
        <f>VLOOKUP(A979,'ZONE 1 PREMIUM'!$A$4:$N$16,14,0)</f>
        <v>4</v>
      </c>
      <c r="M979">
        <f>VLOOKUP(D979,DROPDOWN!B:C,2,0)</f>
        <v>6</v>
      </c>
      <c r="N979" t="str">
        <f t="shared" si="51"/>
        <v>X113:AP124</v>
      </c>
      <c r="O979" s="4">
        <f t="shared" ca="1" si="52"/>
        <v>47133.899999999994</v>
      </c>
    </row>
    <row r="980" spans="1:15">
      <c r="A980" s="2" t="s">
        <v>14</v>
      </c>
      <c r="B980" t="s">
        <v>31</v>
      </c>
      <c r="C980" t="s">
        <v>32</v>
      </c>
      <c r="D980">
        <v>10</v>
      </c>
      <c r="E980" t="s">
        <v>46</v>
      </c>
      <c r="F980">
        <v>4</v>
      </c>
      <c r="G980">
        <v>2</v>
      </c>
      <c r="H980">
        <v>2</v>
      </c>
      <c r="I980">
        <v>1</v>
      </c>
      <c r="J980" s="4" t="s">
        <v>52</v>
      </c>
      <c r="K980" t="str">
        <f t="shared" si="53"/>
        <v>2+2</v>
      </c>
      <c r="L980">
        <f>VLOOKUP(A980,'ZONE 1 PREMIUM'!$A$4:$N$16,14,0)</f>
        <v>5</v>
      </c>
      <c r="M980">
        <f>VLOOKUP(D980,DROPDOWN!B:C,2,0)</f>
        <v>6</v>
      </c>
      <c r="N980" t="str">
        <f t="shared" si="51"/>
        <v>X113:AP124</v>
      </c>
      <c r="O980" s="4">
        <f t="shared" ca="1" si="52"/>
        <v>53466.95</v>
      </c>
    </row>
    <row r="981" spans="1:15">
      <c r="A981" s="2" t="s">
        <v>15</v>
      </c>
      <c r="B981" t="s">
        <v>33</v>
      </c>
      <c r="C981" t="s">
        <v>34</v>
      </c>
      <c r="D981">
        <v>10</v>
      </c>
      <c r="E981" t="s">
        <v>46</v>
      </c>
      <c r="F981">
        <v>4</v>
      </c>
      <c r="G981">
        <v>2</v>
      </c>
      <c r="H981">
        <v>2</v>
      </c>
      <c r="I981">
        <v>1</v>
      </c>
      <c r="J981" s="4" t="s">
        <v>52</v>
      </c>
      <c r="K981" t="str">
        <f t="shared" si="53"/>
        <v>2+2</v>
      </c>
      <c r="L981">
        <f>VLOOKUP(A981,'ZONE 1 PREMIUM'!$A$4:$N$16,14,0)</f>
        <v>6</v>
      </c>
      <c r="M981">
        <f>VLOOKUP(D981,DROPDOWN!B:C,2,0)</f>
        <v>6</v>
      </c>
      <c r="N981" t="str">
        <f t="shared" si="51"/>
        <v>X113:AP124</v>
      </c>
      <c r="O981" s="4">
        <f t="shared" ca="1" si="52"/>
        <v>68262.849999999991</v>
      </c>
    </row>
    <row r="982" spans="1:15">
      <c r="A982" s="2" t="s">
        <v>16</v>
      </c>
      <c r="B982" t="s">
        <v>35</v>
      </c>
      <c r="C982" t="s">
        <v>36</v>
      </c>
      <c r="D982">
        <v>10</v>
      </c>
      <c r="E982" t="s">
        <v>46</v>
      </c>
      <c r="F982">
        <v>4</v>
      </c>
      <c r="G982">
        <v>2</v>
      </c>
      <c r="H982">
        <v>2</v>
      </c>
      <c r="I982">
        <v>1</v>
      </c>
      <c r="J982" s="4" t="s">
        <v>52</v>
      </c>
      <c r="K982" t="str">
        <f t="shared" si="53"/>
        <v>2+2</v>
      </c>
      <c r="L982">
        <f>VLOOKUP(A982,'ZONE 1 PREMIUM'!$A$4:$N$16,14,0)</f>
        <v>7</v>
      </c>
      <c r="M982">
        <f>VLOOKUP(D982,DROPDOWN!B:C,2,0)</f>
        <v>6</v>
      </c>
      <c r="N982" t="str">
        <f t="shared" si="51"/>
        <v>X113:AP124</v>
      </c>
      <c r="O982" s="4">
        <f t="shared" ca="1" si="52"/>
        <v>89966.799999999988</v>
      </c>
    </row>
    <row r="983" spans="1:15">
      <c r="A983" s="2" t="s">
        <v>17</v>
      </c>
      <c r="B983" t="s">
        <v>37</v>
      </c>
      <c r="C983" t="s">
        <v>38</v>
      </c>
      <c r="D983">
        <v>10</v>
      </c>
      <c r="E983" t="s">
        <v>46</v>
      </c>
      <c r="F983">
        <v>4</v>
      </c>
      <c r="G983">
        <v>2</v>
      </c>
      <c r="H983">
        <v>2</v>
      </c>
      <c r="I983">
        <v>1</v>
      </c>
      <c r="J983" s="4" t="s">
        <v>52</v>
      </c>
      <c r="K983" t="str">
        <f t="shared" si="53"/>
        <v>2+2</v>
      </c>
      <c r="L983">
        <f>VLOOKUP(A983,'ZONE 1 PREMIUM'!$A$4:$N$16,14,0)</f>
        <v>8</v>
      </c>
      <c r="M983">
        <f>VLOOKUP(D983,DROPDOWN!B:C,2,0)</f>
        <v>6</v>
      </c>
      <c r="N983" t="str">
        <f t="shared" si="51"/>
        <v>X113:AP124</v>
      </c>
      <c r="O983" s="4">
        <f t="shared" ca="1" si="52"/>
        <v>116001.65</v>
      </c>
    </row>
    <row r="984" spans="1:15">
      <c r="A984" s="2" t="s">
        <v>18</v>
      </c>
      <c r="B984" t="s">
        <v>39</v>
      </c>
      <c r="C984" t="s">
        <v>40</v>
      </c>
      <c r="D984">
        <v>10</v>
      </c>
      <c r="E984" t="s">
        <v>46</v>
      </c>
      <c r="F984">
        <v>4</v>
      </c>
      <c r="G984">
        <v>2</v>
      </c>
      <c r="H984">
        <v>2</v>
      </c>
      <c r="I984">
        <v>1</v>
      </c>
      <c r="J984" s="4" t="s">
        <v>52</v>
      </c>
      <c r="K984" t="str">
        <f t="shared" si="53"/>
        <v>2+2</v>
      </c>
      <c r="L984">
        <f>VLOOKUP(A984,'ZONE 1 PREMIUM'!$A$4:$N$16,14,0)</f>
        <v>9</v>
      </c>
      <c r="M984">
        <f>VLOOKUP(D984,DROPDOWN!B:C,2,0)</f>
        <v>6</v>
      </c>
      <c r="N984" t="str">
        <f t="shared" si="51"/>
        <v>X113:AP124</v>
      </c>
      <c r="O984" s="4">
        <f t="shared" ca="1" si="52"/>
        <v>154779.65</v>
      </c>
    </row>
    <row r="985" spans="1:15">
      <c r="A985" s="2" t="s">
        <v>19</v>
      </c>
      <c r="B985" t="s">
        <v>41</v>
      </c>
      <c r="C985" t="s">
        <v>42</v>
      </c>
      <c r="D985">
        <v>10</v>
      </c>
      <c r="E985" t="s">
        <v>46</v>
      </c>
      <c r="F985">
        <v>4</v>
      </c>
      <c r="G985">
        <v>2</v>
      </c>
      <c r="H985">
        <v>2</v>
      </c>
      <c r="I985">
        <v>1</v>
      </c>
      <c r="J985" s="4" t="s">
        <v>52</v>
      </c>
      <c r="K985" t="str">
        <f t="shared" si="53"/>
        <v>2+2</v>
      </c>
      <c r="L985">
        <f>VLOOKUP(A985,'ZONE 1 PREMIUM'!$A$4:$N$16,14,0)</f>
        <v>10</v>
      </c>
      <c r="M985">
        <f>VLOOKUP(D985,DROPDOWN!B:C,2,0)</f>
        <v>6</v>
      </c>
      <c r="N985" t="str">
        <f t="shared" si="51"/>
        <v>X113:AP124</v>
      </c>
      <c r="O985" s="4">
        <f t="shared" ca="1" si="52"/>
        <v>199998.8</v>
      </c>
    </row>
    <row r="986" spans="1:15">
      <c r="A986" s="2" t="s">
        <v>20</v>
      </c>
      <c r="B986" t="s">
        <v>43</v>
      </c>
      <c r="C986" t="s">
        <v>44</v>
      </c>
      <c r="D986">
        <v>10</v>
      </c>
      <c r="E986" t="s">
        <v>46</v>
      </c>
      <c r="F986">
        <v>4</v>
      </c>
      <c r="G986">
        <v>2</v>
      </c>
      <c r="H986">
        <v>2</v>
      </c>
      <c r="I986">
        <v>1</v>
      </c>
      <c r="J986" s="4" t="s">
        <v>52</v>
      </c>
      <c r="K986" t="str">
        <f t="shared" si="53"/>
        <v>2+2</v>
      </c>
      <c r="L986">
        <f>VLOOKUP(A986,'ZONE 1 PREMIUM'!$A$4:$N$16,14,0)</f>
        <v>11</v>
      </c>
      <c r="M986">
        <f>VLOOKUP(D986,DROPDOWN!B:C,2,0)</f>
        <v>6</v>
      </c>
      <c r="N986" t="str">
        <f t="shared" si="51"/>
        <v>X113:AP124</v>
      </c>
      <c r="O986" s="4">
        <f t="shared" ca="1" si="52"/>
        <v>243750.55</v>
      </c>
    </row>
    <row r="987" spans="1:15">
      <c r="A987" s="2" t="s">
        <v>21</v>
      </c>
      <c r="B987" t="s">
        <v>22</v>
      </c>
      <c r="D987">
        <v>10</v>
      </c>
      <c r="E987" t="s">
        <v>46</v>
      </c>
      <c r="F987">
        <v>4</v>
      </c>
      <c r="G987">
        <v>2</v>
      </c>
      <c r="H987">
        <v>2</v>
      </c>
      <c r="I987">
        <v>1</v>
      </c>
      <c r="J987" s="4" t="s">
        <v>52</v>
      </c>
      <c r="K987" t="str">
        <f t="shared" si="53"/>
        <v>2+2</v>
      </c>
      <c r="L987">
        <f>VLOOKUP(A987,'ZONE 1 PREMIUM'!$A$4:$N$16,14,0)</f>
        <v>12</v>
      </c>
      <c r="M987">
        <f>VLOOKUP(D987,DROPDOWN!B:C,2,0)</f>
        <v>6</v>
      </c>
      <c r="N987" t="str">
        <f t="shared" si="51"/>
        <v>X113:AP124</v>
      </c>
      <c r="O987" s="4">
        <f t="shared" ca="1" si="52"/>
        <v>309387.94999999995</v>
      </c>
    </row>
    <row r="988" spans="1:15">
      <c r="A988" s="2" t="s">
        <v>11</v>
      </c>
      <c r="B988" t="s">
        <v>45</v>
      </c>
      <c r="C988" t="s">
        <v>25</v>
      </c>
      <c r="D988">
        <v>10</v>
      </c>
      <c r="E988" t="s">
        <v>46</v>
      </c>
      <c r="F988">
        <v>5</v>
      </c>
      <c r="G988">
        <v>2</v>
      </c>
      <c r="H988">
        <v>3</v>
      </c>
      <c r="I988">
        <v>1</v>
      </c>
      <c r="J988" s="4" t="s">
        <v>52</v>
      </c>
      <c r="K988" t="str">
        <f t="shared" si="53"/>
        <v>2+3</v>
      </c>
      <c r="L988">
        <f>VLOOKUP(A988,'ZONE 1 PREMIUM'!$A$4:$N$16,14,0)</f>
        <v>2</v>
      </c>
      <c r="M988">
        <f>VLOOKUP(D988,DROPDOWN!B:C,2,0)</f>
        <v>6</v>
      </c>
      <c r="N988" t="str">
        <f t="shared" si="51"/>
        <v>X128:AP139</v>
      </c>
      <c r="O988" s="4">
        <f t="shared" ca="1" si="52"/>
        <v>43939.199999999997</v>
      </c>
    </row>
    <row r="989" spans="1:15">
      <c r="A989" s="2" t="s">
        <v>12</v>
      </c>
      <c r="B989" t="s">
        <v>27</v>
      </c>
      <c r="C989" t="s">
        <v>28</v>
      </c>
      <c r="D989">
        <v>10</v>
      </c>
      <c r="E989" t="s">
        <v>46</v>
      </c>
      <c r="F989">
        <v>5</v>
      </c>
      <c r="G989">
        <v>2</v>
      </c>
      <c r="H989">
        <v>3</v>
      </c>
      <c r="I989">
        <v>1</v>
      </c>
      <c r="J989" s="4" t="s">
        <v>52</v>
      </c>
      <c r="K989" t="str">
        <f t="shared" si="53"/>
        <v>2+3</v>
      </c>
      <c r="L989">
        <f>VLOOKUP(A989,'ZONE 1 PREMIUM'!$A$4:$N$16,14,0)</f>
        <v>3</v>
      </c>
      <c r="M989">
        <f>VLOOKUP(D989,DROPDOWN!B:C,2,0)</f>
        <v>6</v>
      </c>
      <c r="N989" t="str">
        <f t="shared" si="51"/>
        <v>X128:AP139</v>
      </c>
      <c r="O989" s="4">
        <f t="shared" ca="1" si="52"/>
        <v>47442.1</v>
      </c>
    </row>
    <row r="990" spans="1:15">
      <c r="A990" s="2" t="s">
        <v>13</v>
      </c>
      <c r="B990" t="s">
        <v>29</v>
      </c>
      <c r="C990" t="s">
        <v>30</v>
      </c>
      <c r="D990">
        <v>10</v>
      </c>
      <c r="E990" t="s">
        <v>46</v>
      </c>
      <c r="F990">
        <v>5</v>
      </c>
      <c r="G990">
        <v>2</v>
      </c>
      <c r="H990">
        <v>3</v>
      </c>
      <c r="I990">
        <v>1</v>
      </c>
      <c r="J990" s="4" t="s">
        <v>52</v>
      </c>
      <c r="K990" t="str">
        <f t="shared" si="53"/>
        <v>2+3</v>
      </c>
      <c r="L990">
        <f>VLOOKUP(A990,'ZONE 1 PREMIUM'!$A$4:$N$16,14,0)</f>
        <v>4</v>
      </c>
      <c r="M990">
        <f>VLOOKUP(D990,DROPDOWN!B:C,2,0)</f>
        <v>6</v>
      </c>
      <c r="N990" t="str">
        <f t="shared" si="51"/>
        <v>X128:AP139</v>
      </c>
      <c r="O990" s="4">
        <f t="shared" ca="1" si="52"/>
        <v>53518.7</v>
      </c>
    </row>
    <row r="991" spans="1:15">
      <c r="A991" s="2" t="s">
        <v>14</v>
      </c>
      <c r="B991" t="s">
        <v>31</v>
      </c>
      <c r="C991" t="s">
        <v>32</v>
      </c>
      <c r="D991">
        <v>10</v>
      </c>
      <c r="E991" t="s">
        <v>46</v>
      </c>
      <c r="F991">
        <v>5</v>
      </c>
      <c r="G991">
        <v>2</v>
      </c>
      <c r="H991">
        <v>3</v>
      </c>
      <c r="I991">
        <v>1</v>
      </c>
      <c r="J991" s="4" t="s">
        <v>52</v>
      </c>
      <c r="K991" t="str">
        <f t="shared" si="53"/>
        <v>2+3</v>
      </c>
      <c r="L991">
        <f>VLOOKUP(A991,'ZONE 1 PREMIUM'!$A$4:$N$16,14,0)</f>
        <v>5</v>
      </c>
      <c r="M991">
        <f>VLOOKUP(D991,DROPDOWN!B:C,2,0)</f>
        <v>6</v>
      </c>
      <c r="N991" t="str">
        <f t="shared" si="51"/>
        <v>X128:AP139</v>
      </c>
      <c r="O991" s="4">
        <f t="shared" ca="1" si="52"/>
        <v>60259.999999999993</v>
      </c>
    </row>
    <row r="992" spans="1:15">
      <c r="A992" s="2" t="s">
        <v>15</v>
      </c>
      <c r="B992" t="s">
        <v>33</v>
      </c>
      <c r="C992" t="s">
        <v>34</v>
      </c>
      <c r="D992">
        <v>10</v>
      </c>
      <c r="E992" t="s">
        <v>46</v>
      </c>
      <c r="F992">
        <v>5</v>
      </c>
      <c r="G992">
        <v>2</v>
      </c>
      <c r="H992">
        <v>3</v>
      </c>
      <c r="I992">
        <v>1</v>
      </c>
      <c r="J992" s="4" t="s">
        <v>52</v>
      </c>
      <c r="K992" t="str">
        <f t="shared" si="53"/>
        <v>2+3</v>
      </c>
      <c r="L992">
        <f>VLOOKUP(A992,'ZONE 1 PREMIUM'!$A$4:$N$16,14,0)</f>
        <v>6</v>
      </c>
      <c r="M992">
        <f>VLOOKUP(D992,DROPDOWN!B:C,2,0)</f>
        <v>6</v>
      </c>
      <c r="N992" t="str">
        <f t="shared" si="51"/>
        <v>X128:AP139</v>
      </c>
      <c r="O992" s="4">
        <f t="shared" ca="1" si="52"/>
        <v>75881.599999999991</v>
      </c>
    </row>
    <row r="993" spans="1:15">
      <c r="A993" s="2" t="s">
        <v>16</v>
      </c>
      <c r="B993" t="s">
        <v>35</v>
      </c>
      <c r="C993" t="s">
        <v>36</v>
      </c>
      <c r="D993">
        <v>10</v>
      </c>
      <c r="E993" t="s">
        <v>46</v>
      </c>
      <c r="F993">
        <v>5</v>
      </c>
      <c r="G993">
        <v>2</v>
      </c>
      <c r="H993">
        <v>3</v>
      </c>
      <c r="I993">
        <v>1</v>
      </c>
      <c r="J993" s="4" t="s">
        <v>52</v>
      </c>
      <c r="K993" t="str">
        <f t="shared" si="53"/>
        <v>2+3</v>
      </c>
      <c r="L993">
        <f>VLOOKUP(A993,'ZONE 1 PREMIUM'!$A$4:$N$16,14,0)</f>
        <v>7</v>
      </c>
      <c r="M993">
        <f>VLOOKUP(D993,DROPDOWN!B:C,2,0)</f>
        <v>6</v>
      </c>
      <c r="N993" t="str">
        <f t="shared" si="51"/>
        <v>X128:AP139</v>
      </c>
      <c r="O993" s="4">
        <f t="shared" ca="1" si="52"/>
        <v>97621.2</v>
      </c>
    </row>
    <row r="994" spans="1:15">
      <c r="A994" s="2" t="s">
        <v>17</v>
      </c>
      <c r="B994" t="s">
        <v>37</v>
      </c>
      <c r="C994" t="s">
        <v>38</v>
      </c>
      <c r="D994">
        <v>10</v>
      </c>
      <c r="E994" t="s">
        <v>46</v>
      </c>
      <c r="F994">
        <v>5</v>
      </c>
      <c r="G994">
        <v>2</v>
      </c>
      <c r="H994">
        <v>3</v>
      </c>
      <c r="I994">
        <v>1</v>
      </c>
      <c r="J994" s="4" t="s">
        <v>52</v>
      </c>
      <c r="K994" t="str">
        <f t="shared" si="53"/>
        <v>2+3</v>
      </c>
      <c r="L994">
        <f>VLOOKUP(A994,'ZONE 1 PREMIUM'!$A$4:$N$16,14,0)</f>
        <v>8</v>
      </c>
      <c r="M994">
        <f>VLOOKUP(D994,DROPDOWN!B:C,2,0)</f>
        <v>6</v>
      </c>
      <c r="N994" t="str">
        <f t="shared" si="51"/>
        <v>X128:AP139</v>
      </c>
      <c r="O994" s="4">
        <f t="shared" ca="1" si="52"/>
        <v>122933.84999999999</v>
      </c>
    </row>
    <row r="995" spans="1:15">
      <c r="A995" s="2" t="s">
        <v>18</v>
      </c>
      <c r="B995" t="s">
        <v>39</v>
      </c>
      <c r="C995" t="s">
        <v>40</v>
      </c>
      <c r="D995">
        <v>10</v>
      </c>
      <c r="E995" t="s">
        <v>46</v>
      </c>
      <c r="F995">
        <v>5</v>
      </c>
      <c r="G995">
        <v>2</v>
      </c>
      <c r="H995">
        <v>3</v>
      </c>
      <c r="I995">
        <v>1</v>
      </c>
      <c r="J995" s="4" t="s">
        <v>52</v>
      </c>
      <c r="K995" t="str">
        <f t="shared" si="53"/>
        <v>2+3</v>
      </c>
      <c r="L995">
        <f>VLOOKUP(A995,'ZONE 1 PREMIUM'!$A$4:$N$16,14,0)</f>
        <v>9</v>
      </c>
      <c r="M995">
        <f>VLOOKUP(D995,DROPDOWN!B:C,2,0)</f>
        <v>6</v>
      </c>
      <c r="N995" t="str">
        <f t="shared" si="51"/>
        <v>X128:AP139</v>
      </c>
      <c r="O995" s="4">
        <f t="shared" ca="1" si="52"/>
        <v>161626.75</v>
      </c>
    </row>
    <row r="996" spans="1:15">
      <c r="A996" s="2" t="s">
        <v>19</v>
      </c>
      <c r="B996" t="s">
        <v>41</v>
      </c>
      <c r="C996" t="s">
        <v>42</v>
      </c>
      <c r="D996">
        <v>10</v>
      </c>
      <c r="E996" t="s">
        <v>46</v>
      </c>
      <c r="F996">
        <v>5</v>
      </c>
      <c r="G996">
        <v>2</v>
      </c>
      <c r="H996">
        <v>3</v>
      </c>
      <c r="I996">
        <v>1</v>
      </c>
      <c r="J996" s="4" t="s">
        <v>52</v>
      </c>
      <c r="K996" t="str">
        <f t="shared" si="53"/>
        <v>2+3</v>
      </c>
      <c r="L996">
        <f>VLOOKUP(A996,'ZONE 1 PREMIUM'!$A$4:$N$16,14,0)</f>
        <v>10</v>
      </c>
      <c r="M996">
        <f>VLOOKUP(D996,DROPDOWN!B:C,2,0)</f>
        <v>6</v>
      </c>
      <c r="N996" t="str">
        <f t="shared" si="51"/>
        <v>X128:AP139</v>
      </c>
      <c r="O996" s="4">
        <f t="shared" ca="1" si="52"/>
        <v>206464.09999999998</v>
      </c>
    </row>
    <row r="997" spans="1:15">
      <c r="A997" s="2" t="s">
        <v>20</v>
      </c>
      <c r="B997" t="s">
        <v>43</v>
      </c>
      <c r="C997" t="s">
        <v>44</v>
      </c>
      <c r="D997">
        <v>10</v>
      </c>
      <c r="E997" t="s">
        <v>46</v>
      </c>
      <c r="F997">
        <v>5</v>
      </c>
      <c r="G997">
        <v>2</v>
      </c>
      <c r="H997">
        <v>3</v>
      </c>
      <c r="I997">
        <v>1</v>
      </c>
      <c r="J997" s="4" t="s">
        <v>52</v>
      </c>
      <c r="K997" t="str">
        <f t="shared" si="53"/>
        <v>2+3</v>
      </c>
      <c r="L997">
        <f>VLOOKUP(A997,'ZONE 1 PREMIUM'!$A$4:$N$16,14,0)</f>
        <v>11</v>
      </c>
      <c r="M997">
        <f>VLOOKUP(D997,DROPDOWN!B:C,2,0)</f>
        <v>6</v>
      </c>
      <c r="N997" t="str">
        <f t="shared" si="51"/>
        <v>X128:AP139</v>
      </c>
      <c r="O997" s="4">
        <f t="shared" ca="1" si="52"/>
        <v>250997.84999999998</v>
      </c>
    </row>
    <row r="998" spans="1:15">
      <c r="A998" s="2" t="s">
        <v>21</v>
      </c>
      <c r="B998" t="s">
        <v>22</v>
      </c>
      <c r="D998">
        <v>10</v>
      </c>
      <c r="E998" t="s">
        <v>46</v>
      </c>
      <c r="F998">
        <v>5</v>
      </c>
      <c r="G998">
        <v>2</v>
      </c>
      <c r="H998">
        <v>3</v>
      </c>
      <c r="I998">
        <v>1</v>
      </c>
      <c r="J998" s="4" t="s">
        <v>52</v>
      </c>
      <c r="K998" t="str">
        <f t="shared" si="53"/>
        <v>2+3</v>
      </c>
      <c r="L998">
        <f>VLOOKUP(A998,'ZONE 1 PREMIUM'!$A$4:$N$16,14,0)</f>
        <v>12</v>
      </c>
      <c r="M998">
        <f>VLOOKUP(D998,DROPDOWN!B:C,2,0)</f>
        <v>6</v>
      </c>
      <c r="N998" t="str">
        <f t="shared" si="51"/>
        <v>X128:AP139</v>
      </c>
      <c r="O998" s="4">
        <f t="shared" ca="1" si="52"/>
        <v>317117.09999999998</v>
      </c>
    </row>
    <row r="999" spans="1:15">
      <c r="A999" s="2" t="s">
        <v>11</v>
      </c>
      <c r="B999" t="s">
        <v>45</v>
      </c>
      <c r="C999" t="s">
        <v>25</v>
      </c>
      <c r="D999">
        <v>10</v>
      </c>
      <c r="E999" t="s">
        <v>46</v>
      </c>
      <c r="F999">
        <v>6</v>
      </c>
      <c r="G999">
        <v>2</v>
      </c>
      <c r="H999">
        <v>4</v>
      </c>
      <c r="I999">
        <v>1</v>
      </c>
      <c r="J999" s="4" t="s">
        <v>52</v>
      </c>
      <c r="K999" t="str">
        <f t="shared" si="53"/>
        <v>2+4</v>
      </c>
      <c r="L999">
        <f>VLOOKUP(A999,'ZONE 1 PREMIUM'!$A$4:$N$16,14,0)</f>
        <v>2</v>
      </c>
      <c r="M999">
        <f>VLOOKUP(D999,DROPDOWN!B:C,2,0)</f>
        <v>6</v>
      </c>
      <c r="N999" t="str">
        <f t="shared" si="51"/>
        <v>X143:AP154</v>
      </c>
      <c r="O999" s="4">
        <f t="shared" ca="1" si="52"/>
        <v>49550.049999999996</v>
      </c>
    </row>
    <row r="1000" spans="1:15">
      <c r="A1000" s="2" t="s">
        <v>12</v>
      </c>
      <c r="B1000" t="s">
        <v>27</v>
      </c>
      <c r="C1000" t="s">
        <v>28</v>
      </c>
      <c r="D1000">
        <v>10</v>
      </c>
      <c r="E1000" t="s">
        <v>46</v>
      </c>
      <c r="F1000">
        <v>6</v>
      </c>
      <c r="G1000">
        <v>2</v>
      </c>
      <c r="H1000">
        <v>4</v>
      </c>
      <c r="I1000">
        <v>1</v>
      </c>
      <c r="J1000" s="4" t="s">
        <v>52</v>
      </c>
      <c r="K1000" t="str">
        <f t="shared" si="53"/>
        <v>2+4</v>
      </c>
      <c r="L1000">
        <f>VLOOKUP(A1000,'ZONE 1 PREMIUM'!$A$4:$N$16,14,0)</f>
        <v>3</v>
      </c>
      <c r="M1000">
        <f>VLOOKUP(D1000,DROPDOWN!B:C,2,0)</f>
        <v>6</v>
      </c>
      <c r="N1000" t="str">
        <f t="shared" si="51"/>
        <v>X143:AP154</v>
      </c>
      <c r="O1000" s="4">
        <f t="shared" ca="1" si="52"/>
        <v>52952.899999999994</v>
      </c>
    </row>
    <row r="1001" spans="1:15">
      <c r="A1001" s="2" t="s">
        <v>13</v>
      </c>
      <c r="B1001" t="s">
        <v>29</v>
      </c>
      <c r="C1001" t="s">
        <v>30</v>
      </c>
      <c r="D1001">
        <v>10</v>
      </c>
      <c r="E1001" t="s">
        <v>46</v>
      </c>
      <c r="F1001">
        <v>6</v>
      </c>
      <c r="G1001">
        <v>2</v>
      </c>
      <c r="H1001">
        <v>4</v>
      </c>
      <c r="I1001">
        <v>1</v>
      </c>
      <c r="J1001" s="4" t="s">
        <v>52</v>
      </c>
      <c r="K1001" t="str">
        <f t="shared" si="53"/>
        <v>2+4</v>
      </c>
      <c r="L1001">
        <f>VLOOKUP(A1001,'ZONE 1 PREMIUM'!$A$4:$N$16,14,0)</f>
        <v>4</v>
      </c>
      <c r="M1001">
        <f>VLOOKUP(D1001,DROPDOWN!B:C,2,0)</f>
        <v>6</v>
      </c>
      <c r="N1001" t="str">
        <f t="shared" si="51"/>
        <v>X143:AP154</v>
      </c>
      <c r="O1001" s="4">
        <f t="shared" ca="1" si="52"/>
        <v>59903.499999999993</v>
      </c>
    </row>
    <row r="1002" spans="1:15">
      <c r="A1002" s="2" t="s">
        <v>14</v>
      </c>
      <c r="B1002" t="s">
        <v>31</v>
      </c>
      <c r="C1002" t="s">
        <v>32</v>
      </c>
      <c r="D1002">
        <v>10</v>
      </c>
      <c r="E1002" t="s">
        <v>46</v>
      </c>
      <c r="F1002">
        <v>6</v>
      </c>
      <c r="G1002">
        <v>2</v>
      </c>
      <c r="H1002">
        <v>4</v>
      </c>
      <c r="I1002">
        <v>1</v>
      </c>
      <c r="J1002" s="4" t="s">
        <v>52</v>
      </c>
      <c r="K1002" t="str">
        <f t="shared" si="53"/>
        <v>2+4</v>
      </c>
      <c r="L1002">
        <f>VLOOKUP(A1002,'ZONE 1 PREMIUM'!$A$4:$N$16,14,0)</f>
        <v>5</v>
      </c>
      <c r="M1002">
        <f>VLOOKUP(D1002,DROPDOWN!B:C,2,0)</f>
        <v>6</v>
      </c>
      <c r="N1002" t="str">
        <f t="shared" si="51"/>
        <v>X143:AP154</v>
      </c>
      <c r="O1002" s="4">
        <f t="shared" ca="1" si="52"/>
        <v>67053.049999999988</v>
      </c>
    </row>
    <row r="1003" spans="1:15">
      <c r="A1003" s="2" t="s">
        <v>15</v>
      </c>
      <c r="B1003" t="s">
        <v>33</v>
      </c>
      <c r="C1003" t="s">
        <v>34</v>
      </c>
      <c r="D1003">
        <v>10</v>
      </c>
      <c r="E1003" t="s">
        <v>46</v>
      </c>
      <c r="F1003">
        <v>6</v>
      </c>
      <c r="G1003">
        <v>2</v>
      </c>
      <c r="H1003">
        <v>4</v>
      </c>
      <c r="I1003">
        <v>1</v>
      </c>
      <c r="J1003" s="4" t="s">
        <v>52</v>
      </c>
      <c r="K1003" t="str">
        <f t="shared" si="53"/>
        <v>2+4</v>
      </c>
      <c r="L1003">
        <f>VLOOKUP(A1003,'ZONE 1 PREMIUM'!$A$4:$N$16,14,0)</f>
        <v>6</v>
      </c>
      <c r="M1003">
        <f>VLOOKUP(D1003,DROPDOWN!B:C,2,0)</f>
        <v>6</v>
      </c>
      <c r="N1003" t="str">
        <f t="shared" si="51"/>
        <v>X143:AP154</v>
      </c>
      <c r="O1003" s="4">
        <f t="shared" ca="1" si="52"/>
        <v>83501.5</v>
      </c>
    </row>
    <row r="1004" spans="1:15">
      <c r="A1004" s="2" t="s">
        <v>16</v>
      </c>
      <c r="B1004" t="s">
        <v>35</v>
      </c>
      <c r="C1004" t="s">
        <v>36</v>
      </c>
      <c r="D1004">
        <v>10</v>
      </c>
      <c r="E1004" t="s">
        <v>46</v>
      </c>
      <c r="F1004">
        <v>6</v>
      </c>
      <c r="G1004">
        <v>2</v>
      </c>
      <c r="H1004">
        <v>4</v>
      </c>
      <c r="I1004">
        <v>1</v>
      </c>
      <c r="J1004" s="4" t="s">
        <v>52</v>
      </c>
      <c r="K1004" t="str">
        <f t="shared" si="53"/>
        <v>2+4</v>
      </c>
      <c r="L1004">
        <f>VLOOKUP(A1004,'ZONE 1 PREMIUM'!$A$4:$N$16,14,0)</f>
        <v>7</v>
      </c>
      <c r="M1004">
        <f>VLOOKUP(D1004,DROPDOWN!B:C,2,0)</f>
        <v>6</v>
      </c>
      <c r="N1004" t="str">
        <f t="shared" si="51"/>
        <v>X143:AP154</v>
      </c>
      <c r="O1004" s="4">
        <f t="shared" ca="1" si="52"/>
        <v>104499.34999999999</v>
      </c>
    </row>
    <row r="1005" spans="1:15">
      <c r="A1005" s="2" t="s">
        <v>17</v>
      </c>
      <c r="B1005" t="s">
        <v>37</v>
      </c>
      <c r="C1005" t="s">
        <v>38</v>
      </c>
      <c r="D1005">
        <v>10</v>
      </c>
      <c r="E1005" t="s">
        <v>46</v>
      </c>
      <c r="F1005">
        <v>6</v>
      </c>
      <c r="G1005">
        <v>2</v>
      </c>
      <c r="H1005">
        <v>4</v>
      </c>
      <c r="I1005">
        <v>1</v>
      </c>
      <c r="J1005" s="4" t="s">
        <v>52</v>
      </c>
      <c r="K1005" t="str">
        <f t="shared" si="53"/>
        <v>2+4</v>
      </c>
      <c r="L1005">
        <f>VLOOKUP(A1005,'ZONE 1 PREMIUM'!$A$4:$N$16,14,0)</f>
        <v>8</v>
      </c>
      <c r="M1005">
        <f>VLOOKUP(D1005,DROPDOWN!B:C,2,0)</f>
        <v>6</v>
      </c>
      <c r="N1005" t="str">
        <f t="shared" si="51"/>
        <v>X143:AP154</v>
      </c>
      <c r="O1005" s="4">
        <f t="shared" ca="1" si="52"/>
        <v>129779.79999999999</v>
      </c>
    </row>
    <row r="1006" spans="1:15">
      <c r="A1006" s="2" t="s">
        <v>18</v>
      </c>
      <c r="B1006" t="s">
        <v>39</v>
      </c>
      <c r="C1006" t="s">
        <v>40</v>
      </c>
      <c r="D1006">
        <v>10</v>
      </c>
      <c r="E1006" t="s">
        <v>46</v>
      </c>
      <c r="F1006">
        <v>6</v>
      </c>
      <c r="G1006">
        <v>2</v>
      </c>
      <c r="H1006">
        <v>4</v>
      </c>
      <c r="I1006">
        <v>1</v>
      </c>
      <c r="J1006" s="4" t="s">
        <v>52</v>
      </c>
      <c r="K1006" t="str">
        <f t="shared" si="53"/>
        <v>2+4</v>
      </c>
      <c r="L1006">
        <f>VLOOKUP(A1006,'ZONE 1 PREMIUM'!$A$4:$N$16,14,0)</f>
        <v>9</v>
      </c>
      <c r="M1006">
        <f>VLOOKUP(D1006,DROPDOWN!B:C,2,0)</f>
        <v>6</v>
      </c>
      <c r="N1006" t="str">
        <f t="shared" si="51"/>
        <v>X143:AP154</v>
      </c>
      <c r="O1006" s="4">
        <f t="shared" ca="1" si="52"/>
        <v>168158.75</v>
      </c>
    </row>
    <row r="1007" spans="1:15">
      <c r="A1007" s="2" t="s">
        <v>19</v>
      </c>
      <c r="B1007" t="s">
        <v>41</v>
      </c>
      <c r="C1007" t="s">
        <v>42</v>
      </c>
      <c r="D1007">
        <v>10</v>
      </c>
      <c r="E1007" t="s">
        <v>46</v>
      </c>
      <c r="F1007">
        <v>6</v>
      </c>
      <c r="G1007">
        <v>2</v>
      </c>
      <c r="H1007">
        <v>4</v>
      </c>
      <c r="I1007">
        <v>1</v>
      </c>
      <c r="J1007" s="4" t="s">
        <v>52</v>
      </c>
      <c r="K1007" t="str">
        <f t="shared" si="53"/>
        <v>2+4</v>
      </c>
      <c r="L1007">
        <f>VLOOKUP(A1007,'ZONE 1 PREMIUM'!$A$4:$N$16,14,0)</f>
        <v>10</v>
      </c>
      <c r="M1007">
        <f>VLOOKUP(D1007,DROPDOWN!B:C,2,0)</f>
        <v>6</v>
      </c>
      <c r="N1007" t="str">
        <f t="shared" si="51"/>
        <v>X143:AP154</v>
      </c>
      <c r="O1007" s="4">
        <f t="shared" ca="1" si="52"/>
        <v>213719.44999999998</v>
      </c>
    </row>
    <row r="1008" spans="1:15">
      <c r="A1008" s="2" t="s">
        <v>20</v>
      </c>
      <c r="B1008" t="s">
        <v>43</v>
      </c>
      <c r="C1008" t="s">
        <v>44</v>
      </c>
      <c r="D1008">
        <v>10</v>
      </c>
      <c r="E1008" t="s">
        <v>46</v>
      </c>
      <c r="F1008">
        <v>6</v>
      </c>
      <c r="G1008">
        <v>2</v>
      </c>
      <c r="H1008">
        <v>4</v>
      </c>
      <c r="I1008">
        <v>1</v>
      </c>
      <c r="J1008" s="4" t="s">
        <v>52</v>
      </c>
      <c r="K1008" t="str">
        <f t="shared" si="53"/>
        <v>2+4</v>
      </c>
      <c r="L1008">
        <f>VLOOKUP(A1008,'ZONE 1 PREMIUM'!$A$4:$N$16,14,0)</f>
        <v>11</v>
      </c>
      <c r="M1008">
        <f>VLOOKUP(D1008,DROPDOWN!B:C,2,0)</f>
        <v>6</v>
      </c>
      <c r="N1008" t="str">
        <f t="shared" si="51"/>
        <v>X143:AP154</v>
      </c>
      <c r="O1008" s="4">
        <f t="shared" ca="1" si="52"/>
        <v>257680.49999999997</v>
      </c>
    </row>
    <row r="1009" spans="1:15">
      <c r="A1009" s="2" t="s">
        <v>21</v>
      </c>
      <c r="B1009" t="s">
        <v>22</v>
      </c>
      <c r="D1009">
        <v>10</v>
      </c>
      <c r="E1009" t="s">
        <v>46</v>
      </c>
      <c r="F1009">
        <v>6</v>
      </c>
      <c r="G1009">
        <v>2</v>
      </c>
      <c r="H1009">
        <v>4</v>
      </c>
      <c r="I1009">
        <v>1</v>
      </c>
      <c r="J1009" s="4" t="s">
        <v>52</v>
      </c>
      <c r="K1009" t="str">
        <f t="shared" si="53"/>
        <v>2+4</v>
      </c>
      <c r="L1009">
        <f>VLOOKUP(A1009,'ZONE 1 PREMIUM'!$A$4:$N$16,14,0)</f>
        <v>12</v>
      </c>
      <c r="M1009">
        <f>VLOOKUP(D1009,DROPDOWN!B:C,2,0)</f>
        <v>6</v>
      </c>
      <c r="N1009" t="str">
        <f t="shared" si="51"/>
        <v>X143:AP154</v>
      </c>
      <c r="O1009" s="4">
        <f t="shared" ca="1" si="52"/>
        <v>322562.34999999998</v>
      </c>
    </row>
    <row r="1010" spans="1:15">
      <c r="A1010" s="2" t="s">
        <v>9</v>
      </c>
      <c r="B1010" t="s">
        <v>47</v>
      </c>
      <c r="C1010" t="s">
        <v>48</v>
      </c>
      <c r="D1010">
        <v>10</v>
      </c>
      <c r="E1010" t="s">
        <v>26</v>
      </c>
      <c r="F1010">
        <v>1</v>
      </c>
      <c r="H1010">
        <v>1</v>
      </c>
      <c r="I1010">
        <v>1</v>
      </c>
      <c r="J1010" s="4" t="s">
        <v>55</v>
      </c>
      <c r="K1010" t="str">
        <f t="shared" si="53"/>
        <v>+1</v>
      </c>
      <c r="N1010" t="e">
        <f t="shared" ref="N1010:N1073" si="54">VLOOKUP(K1010,$BN$3:$BO$12,2,0)</f>
        <v>#N/A</v>
      </c>
      <c r="O1010" s="7">
        <v>3552.5466701240307</v>
      </c>
    </row>
    <row r="1011" spans="1:15">
      <c r="A1011" s="2" t="s">
        <v>10</v>
      </c>
      <c r="B1011" t="s">
        <v>49</v>
      </c>
      <c r="C1011" t="s">
        <v>50</v>
      </c>
      <c r="D1011">
        <v>10</v>
      </c>
      <c r="E1011" t="s">
        <v>26</v>
      </c>
      <c r="F1011">
        <v>1</v>
      </c>
      <c r="G1011">
        <v>1</v>
      </c>
      <c r="H1011">
        <v>0</v>
      </c>
      <c r="I1011">
        <v>1</v>
      </c>
      <c r="J1011" s="4" t="s">
        <v>55</v>
      </c>
      <c r="K1011" t="str">
        <f t="shared" si="53"/>
        <v>1+0</v>
      </c>
      <c r="L1011">
        <f>VLOOKUP(A1011,'ZONE 1 PREMIUM'!$A$3:$M$16,13,0)</f>
        <v>3</v>
      </c>
      <c r="M1011">
        <f>VLOOKUP(D1011,DROPDOWN!B:C,2,0)</f>
        <v>6</v>
      </c>
      <c r="N1011" t="str">
        <f t="shared" si="54"/>
        <v>AU3:BM16</v>
      </c>
      <c r="O1011" s="4">
        <f t="shared" ca="1" si="52"/>
        <v>6063.75</v>
      </c>
    </row>
    <row r="1012" spans="1:15">
      <c r="A1012" s="2" t="s">
        <v>11</v>
      </c>
      <c r="B1012" t="s">
        <v>45</v>
      </c>
      <c r="C1012" t="s">
        <v>25</v>
      </c>
      <c r="D1012">
        <v>10</v>
      </c>
      <c r="E1012" t="s">
        <v>26</v>
      </c>
      <c r="F1012">
        <v>1</v>
      </c>
      <c r="G1012">
        <v>1</v>
      </c>
      <c r="H1012">
        <v>0</v>
      </c>
      <c r="I1012">
        <v>1</v>
      </c>
      <c r="J1012" s="4" t="s">
        <v>55</v>
      </c>
      <c r="K1012" t="str">
        <f t="shared" si="53"/>
        <v>1+0</v>
      </c>
      <c r="L1012">
        <f>VLOOKUP(A1012,'ZONE 1 PREMIUM'!$A$3:$M$16,13,0)</f>
        <v>4</v>
      </c>
      <c r="M1012">
        <f>VLOOKUP(D1012,DROPDOWN!B:C,2,0)</f>
        <v>6</v>
      </c>
      <c r="N1012" t="str">
        <f t="shared" si="54"/>
        <v>AU3:BM16</v>
      </c>
      <c r="O1012" s="4">
        <f t="shared" ca="1" si="52"/>
        <v>16240.5</v>
      </c>
    </row>
    <row r="1013" spans="1:15">
      <c r="A1013" s="2" t="s">
        <v>12</v>
      </c>
      <c r="B1013" t="s">
        <v>27</v>
      </c>
      <c r="C1013" t="s">
        <v>28</v>
      </c>
      <c r="D1013">
        <v>10</v>
      </c>
      <c r="E1013" t="s">
        <v>26</v>
      </c>
      <c r="F1013">
        <v>1</v>
      </c>
      <c r="G1013">
        <v>1</v>
      </c>
      <c r="H1013">
        <v>0</v>
      </c>
      <c r="I1013">
        <v>1</v>
      </c>
      <c r="J1013" s="4" t="s">
        <v>55</v>
      </c>
      <c r="K1013" t="str">
        <f t="shared" si="53"/>
        <v>1+0</v>
      </c>
      <c r="L1013">
        <f>VLOOKUP(A1013,'ZONE 1 PREMIUM'!$A$3:$M$16,13,0)</f>
        <v>5</v>
      </c>
      <c r="M1013">
        <f>VLOOKUP(D1013,DROPDOWN!B:C,2,0)</f>
        <v>6</v>
      </c>
      <c r="N1013" t="str">
        <f t="shared" si="54"/>
        <v>AU3:BM16</v>
      </c>
      <c r="O1013" s="4">
        <f t="shared" ca="1" si="52"/>
        <v>18695.25</v>
      </c>
    </row>
    <row r="1014" spans="1:15">
      <c r="A1014" s="2" t="s">
        <v>13</v>
      </c>
      <c r="B1014" t="s">
        <v>29</v>
      </c>
      <c r="C1014" t="s">
        <v>30</v>
      </c>
      <c r="D1014">
        <v>10</v>
      </c>
      <c r="E1014" t="s">
        <v>26</v>
      </c>
      <c r="F1014">
        <v>1</v>
      </c>
      <c r="G1014">
        <v>1</v>
      </c>
      <c r="H1014">
        <v>0</v>
      </c>
      <c r="I1014">
        <v>1</v>
      </c>
      <c r="J1014" s="4" t="s">
        <v>55</v>
      </c>
      <c r="K1014" t="str">
        <f t="shared" si="53"/>
        <v>1+0</v>
      </c>
      <c r="L1014">
        <f>VLOOKUP(A1014,'ZONE 1 PREMIUM'!$A$3:$M$16,13,0)</f>
        <v>6</v>
      </c>
      <c r="M1014">
        <f>VLOOKUP(D1014,DROPDOWN!B:C,2,0)</f>
        <v>6</v>
      </c>
      <c r="N1014" t="str">
        <f t="shared" si="54"/>
        <v>AU3:BM16</v>
      </c>
      <c r="O1014" s="4">
        <f t="shared" ca="1" si="52"/>
        <v>21592.125</v>
      </c>
    </row>
    <row r="1015" spans="1:15">
      <c r="A1015" s="2" t="s">
        <v>14</v>
      </c>
      <c r="B1015" t="s">
        <v>31</v>
      </c>
      <c r="C1015" t="s">
        <v>32</v>
      </c>
      <c r="D1015">
        <v>10</v>
      </c>
      <c r="E1015" t="s">
        <v>26</v>
      </c>
      <c r="F1015">
        <v>1</v>
      </c>
      <c r="G1015">
        <v>1</v>
      </c>
      <c r="H1015">
        <v>0</v>
      </c>
      <c r="I1015">
        <v>1</v>
      </c>
      <c r="J1015" s="4" t="s">
        <v>55</v>
      </c>
      <c r="K1015" t="str">
        <f t="shared" si="53"/>
        <v>1+0</v>
      </c>
      <c r="L1015">
        <f>VLOOKUP(A1015,'ZONE 1 PREMIUM'!$A$3:$M$16,13,0)</f>
        <v>7</v>
      </c>
      <c r="M1015">
        <f>VLOOKUP(D1015,DROPDOWN!B:C,2,0)</f>
        <v>6</v>
      </c>
      <c r="N1015" t="str">
        <f t="shared" si="54"/>
        <v>AU3:BM16</v>
      </c>
      <c r="O1015" s="4">
        <f t="shared" ca="1" si="52"/>
        <v>25150.5</v>
      </c>
    </row>
    <row r="1016" spans="1:15">
      <c r="A1016" s="2" t="s">
        <v>15</v>
      </c>
      <c r="B1016" t="s">
        <v>33</v>
      </c>
      <c r="C1016" t="s">
        <v>34</v>
      </c>
      <c r="D1016">
        <v>10</v>
      </c>
      <c r="E1016" t="s">
        <v>26</v>
      </c>
      <c r="F1016">
        <v>1</v>
      </c>
      <c r="G1016">
        <v>1</v>
      </c>
      <c r="H1016">
        <v>0</v>
      </c>
      <c r="I1016">
        <v>1</v>
      </c>
      <c r="J1016" s="4" t="s">
        <v>55</v>
      </c>
      <c r="K1016" t="str">
        <f t="shared" si="53"/>
        <v>1+0</v>
      </c>
      <c r="L1016">
        <f>VLOOKUP(A1016,'ZONE 1 PREMIUM'!$A$3:$M$16,13,0)</f>
        <v>8</v>
      </c>
      <c r="M1016">
        <f>VLOOKUP(D1016,DROPDOWN!B:C,2,0)</f>
        <v>6</v>
      </c>
      <c r="N1016" t="str">
        <f t="shared" si="54"/>
        <v>AU3:BM16</v>
      </c>
      <c r="O1016" s="4">
        <f t="shared" ca="1" si="52"/>
        <v>31242.375</v>
      </c>
    </row>
    <row r="1017" spans="1:15">
      <c r="A1017" s="2" t="s">
        <v>16</v>
      </c>
      <c r="B1017" t="s">
        <v>35</v>
      </c>
      <c r="C1017" t="s">
        <v>36</v>
      </c>
      <c r="D1017">
        <v>10</v>
      </c>
      <c r="E1017" t="s">
        <v>26</v>
      </c>
      <c r="F1017">
        <v>1</v>
      </c>
      <c r="G1017">
        <v>1</v>
      </c>
      <c r="H1017">
        <v>0</v>
      </c>
      <c r="I1017">
        <v>1</v>
      </c>
      <c r="J1017" s="4" t="s">
        <v>55</v>
      </c>
      <c r="K1017" t="str">
        <f t="shared" si="53"/>
        <v>1+0</v>
      </c>
      <c r="L1017">
        <f>VLOOKUP(A1017,'ZONE 1 PREMIUM'!$A$3:$M$16,13,0)</f>
        <v>9</v>
      </c>
      <c r="M1017">
        <f>VLOOKUP(D1017,DROPDOWN!B:C,2,0)</f>
        <v>6</v>
      </c>
      <c r="N1017" t="str">
        <f t="shared" si="54"/>
        <v>AU3:BM16</v>
      </c>
      <c r="O1017" s="4">
        <f t="shared" ca="1" si="52"/>
        <v>41125.5</v>
      </c>
    </row>
    <row r="1018" spans="1:15">
      <c r="A1018" s="2" t="s">
        <v>17</v>
      </c>
      <c r="B1018" t="s">
        <v>37</v>
      </c>
      <c r="C1018" t="s">
        <v>38</v>
      </c>
      <c r="D1018">
        <v>10</v>
      </c>
      <c r="E1018" t="s">
        <v>26</v>
      </c>
      <c r="F1018">
        <v>1</v>
      </c>
      <c r="G1018">
        <v>1</v>
      </c>
      <c r="H1018">
        <v>0</v>
      </c>
      <c r="I1018">
        <v>1</v>
      </c>
      <c r="J1018" s="4" t="s">
        <v>55</v>
      </c>
      <c r="K1018" t="str">
        <f t="shared" si="53"/>
        <v>1+0</v>
      </c>
      <c r="L1018">
        <f>VLOOKUP(A1018,'ZONE 1 PREMIUM'!$A$3:$M$16,13,0)</f>
        <v>10</v>
      </c>
      <c r="M1018">
        <f>VLOOKUP(D1018,DROPDOWN!B:C,2,0)</f>
        <v>6</v>
      </c>
      <c r="N1018" t="str">
        <f t="shared" si="54"/>
        <v>AU3:BM16</v>
      </c>
      <c r="O1018" s="4">
        <f t="shared" ca="1" si="52"/>
        <v>55715.625</v>
      </c>
    </row>
    <row r="1019" spans="1:15">
      <c r="A1019" s="2" t="s">
        <v>18</v>
      </c>
      <c r="B1019" t="s">
        <v>39</v>
      </c>
      <c r="C1019" t="s">
        <v>40</v>
      </c>
      <c r="D1019">
        <v>10</v>
      </c>
      <c r="E1019" t="s">
        <v>26</v>
      </c>
      <c r="F1019">
        <v>1</v>
      </c>
      <c r="G1019">
        <v>1</v>
      </c>
      <c r="H1019">
        <v>0</v>
      </c>
      <c r="I1019">
        <v>1</v>
      </c>
      <c r="J1019" s="4" t="s">
        <v>55</v>
      </c>
      <c r="K1019" t="str">
        <f t="shared" si="53"/>
        <v>1+0</v>
      </c>
      <c r="L1019">
        <f>VLOOKUP(A1019,'ZONE 1 PREMIUM'!$A$3:$M$16,13,0)</f>
        <v>11</v>
      </c>
      <c r="M1019">
        <f>VLOOKUP(D1019,DROPDOWN!B:C,2,0)</f>
        <v>6</v>
      </c>
      <c r="N1019" t="str">
        <f t="shared" si="54"/>
        <v>AU3:BM16</v>
      </c>
      <c r="O1019" s="4">
        <f t="shared" ca="1" si="52"/>
        <v>77072.625</v>
      </c>
    </row>
    <row r="1020" spans="1:15">
      <c r="A1020" s="2" t="s">
        <v>19</v>
      </c>
      <c r="B1020" t="s">
        <v>41</v>
      </c>
      <c r="C1020" t="s">
        <v>42</v>
      </c>
      <c r="D1020">
        <v>10</v>
      </c>
      <c r="E1020" t="s">
        <v>26</v>
      </c>
      <c r="F1020">
        <v>1</v>
      </c>
      <c r="G1020">
        <v>1</v>
      </c>
      <c r="H1020">
        <v>0</v>
      </c>
      <c r="I1020">
        <v>1</v>
      </c>
      <c r="J1020" s="4" t="s">
        <v>55</v>
      </c>
      <c r="K1020" t="str">
        <f t="shared" si="53"/>
        <v>1+0</v>
      </c>
      <c r="L1020">
        <f>VLOOKUP(A1020,'ZONE 1 PREMIUM'!$A$3:$M$16,13,0)</f>
        <v>12</v>
      </c>
      <c r="M1020">
        <f>VLOOKUP(D1020,DROPDOWN!B:C,2,0)</f>
        <v>6</v>
      </c>
      <c r="N1020" t="str">
        <f t="shared" si="54"/>
        <v>AU3:BM16</v>
      </c>
      <c r="O1020" s="4">
        <f t="shared" ca="1" si="52"/>
        <v>98429.625</v>
      </c>
    </row>
    <row r="1021" spans="1:15">
      <c r="A1021" s="2" t="s">
        <v>20</v>
      </c>
      <c r="B1021" t="s">
        <v>43</v>
      </c>
      <c r="C1021" t="s">
        <v>44</v>
      </c>
      <c r="D1021">
        <v>10</v>
      </c>
      <c r="E1021" t="s">
        <v>26</v>
      </c>
      <c r="F1021">
        <v>1</v>
      </c>
      <c r="G1021">
        <v>1</v>
      </c>
      <c r="H1021">
        <v>0</v>
      </c>
      <c r="I1021">
        <v>1</v>
      </c>
      <c r="J1021" s="4" t="s">
        <v>55</v>
      </c>
      <c r="K1021" t="str">
        <f t="shared" si="53"/>
        <v>1+0</v>
      </c>
      <c r="L1021">
        <f>VLOOKUP(A1021,'ZONE 1 PREMIUM'!$A$3:$M$16,13,0)</f>
        <v>13</v>
      </c>
      <c r="M1021">
        <f>VLOOKUP(D1021,DROPDOWN!B:C,2,0)</f>
        <v>6</v>
      </c>
      <c r="N1021" t="str">
        <f t="shared" si="54"/>
        <v>AU3:BM16</v>
      </c>
      <c r="O1021" s="4">
        <f t="shared" ca="1" si="52"/>
        <v>118188</v>
      </c>
    </row>
    <row r="1022" spans="1:15">
      <c r="A1022" s="2" t="s">
        <v>21</v>
      </c>
      <c r="B1022" t="s">
        <v>22</v>
      </c>
      <c r="D1022">
        <v>10</v>
      </c>
      <c r="E1022" t="s">
        <v>26</v>
      </c>
      <c r="F1022">
        <v>1</v>
      </c>
      <c r="G1022">
        <v>1</v>
      </c>
      <c r="H1022">
        <v>0</v>
      </c>
      <c r="I1022">
        <v>1</v>
      </c>
      <c r="J1022" s="4" t="s">
        <v>55</v>
      </c>
      <c r="K1022" t="str">
        <f t="shared" si="53"/>
        <v>1+0</v>
      </c>
      <c r="L1022">
        <f>VLOOKUP(A1022,'ZONE 1 PREMIUM'!$A$3:$M$16,13,0)</f>
        <v>14</v>
      </c>
      <c r="M1022">
        <f>VLOOKUP(D1022,DROPDOWN!B:C,2,0)</f>
        <v>6</v>
      </c>
      <c r="N1022" t="str">
        <f t="shared" si="54"/>
        <v>AU3:BM16</v>
      </c>
      <c r="O1022" s="4">
        <f t="shared" ca="1" si="52"/>
        <v>158618.25</v>
      </c>
    </row>
    <row r="1023" spans="1:15">
      <c r="A1023" s="2" t="s">
        <v>11</v>
      </c>
      <c r="B1023" t="s">
        <v>45</v>
      </c>
      <c r="C1023" t="s">
        <v>25</v>
      </c>
      <c r="D1023">
        <v>10</v>
      </c>
      <c r="E1023" t="s">
        <v>46</v>
      </c>
      <c r="F1023">
        <v>2</v>
      </c>
      <c r="G1023">
        <v>1</v>
      </c>
      <c r="H1023">
        <v>1</v>
      </c>
      <c r="I1023">
        <v>1</v>
      </c>
      <c r="J1023" s="4" t="s">
        <v>55</v>
      </c>
      <c r="K1023" t="str">
        <f t="shared" si="53"/>
        <v>1+1</v>
      </c>
      <c r="L1023">
        <f>VLOOKUP(A1023,'ZONE 1 PREMIUM'!$A$4:$N$16,14,0)</f>
        <v>2</v>
      </c>
      <c r="M1023">
        <f>VLOOKUP(D1023,DROPDOWN!B:C,2,0)</f>
        <v>6</v>
      </c>
      <c r="N1023" t="str">
        <f t="shared" si="54"/>
        <v>AU20:BM31</v>
      </c>
      <c r="O1023" s="4">
        <f t="shared" ca="1" si="52"/>
        <v>17087.625</v>
      </c>
    </row>
    <row r="1024" spans="1:15">
      <c r="A1024" s="2" t="s">
        <v>12</v>
      </c>
      <c r="B1024" t="s">
        <v>27</v>
      </c>
      <c r="C1024" t="s">
        <v>28</v>
      </c>
      <c r="D1024">
        <v>10</v>
      </c>
      <c r="E1024" t="s">
        <v>46</v>
      </c>
      <c r="F1024">
        <v>2</v>
      </c>
      <c r="G1024">
        <v>1</v>
      </c>
      <c r="H1024">
        <v>1</v>
      </c>
      <c r="I1024">
        <v>1</v>
      </c>
      <c r="J1024" s="4" t="s">
        <v>55</v>
      </c>
      <c r="K1024" t="str">
        <f t="shared" si="53"/>
        <v>1+1</v>
      </c>
      <c r="L1024">
        <f>VLOOKUP(A1024,'ZONE 1 PREMIUM'!$A$4:$N$16,14,0)</f>
        <v>3</v>
      </c>
      <c r="M1024">
        <f>VLOOKUP(D1024,DROPDOWN!B:C,2,0)</f>
        <v>6</v>
      </c>
      <c r="N1024" t="str">
        <f t="shared" si="54"/>
        <v>AU20:BM31</v>
      </c>
      <c r="O1024" s="4">
        <f t="shared" ca="1" si="52"/>
        <v>18927</v>
      </c>
    </row>
    <row r="1025" spans="1:15">
      <c r="A1025" s="2" t="s">
        <v>13</v>
      </c>
      <c r="B1025" t="s">
        <v>29</v>
      </c>
      <c r="C1025" t="s">
        <v>30</v>
      </c>
      <c r="D1025">
        <v>10</v>
      </c>
      <c r="E1025" t="s">
        <v>46</v>
      </c>
      <c r="F1025">
        <v>2</v>
      </c>
      <c r="G1025">
        <v>1</v>
      </c>
      <c r="H1025">
        <v>1</v>
      </c>
      <c r="I1025">
        <v>1</v>
      </c>
      <c r="J1025" s="4" t="s">
        <v>55</v>
      </c>
      <c r="K1025" t="str">
        <f t="shared" si="53"/>
        <v>1+1</v>
      </c>
      <c r="L1025">
        <f>VLOOKUP(A1025,'ZONE 1 PREMIUM'!$A$4:$N$16,14,0)</f>
        <v>4</v>
      </c>
      <c r="M1025">
        <f>VLOOKUP(D1025,DROPDOWN!B:C,2,0)</f>
        <v>6</v>
      </c>
      <c r="N1025" t="str">
        <f t="shared" si="54"/>
        <v>AU20:BM31</v>
      </c>
      <c r="O1025" s="4">
        <f t="shared" ca="1" si="52"/>
        <v>21871.125</v>
      </c>
    </row>
    <row r="1026" spans="1:15">
      <c r="A1026" s="2" t="s">
        <v>14</v>
      </c>
      <c r="B1026" t="s">
        <v>31</v>
      </c>
      <c r="C1026" t="s">
        <v>32</v>
      </c>
      <c r="D1026">
        <v>10</v>
      </c>
      <c r="E1026" t="s">
        <v>46</v>
      </c>
      <c r="F1026">
        <v>2</v>
      </c>
      <c r="G1026">
        <v>1</v>
      </c>
      <c r="H1026">
        <v>1</v>
      </c>
      <c r="I1026">
        <v>1</v>
      </c>
      <c r="J1026" s="4" t="s">
        <v>55</v>
      </c>
      <c r="K1026" t="str">
        <f t="shared" si="53"/>
        <v>1+1</v>
      </c>
      <c r="L1026">
        <f>VLOOKUP(A1026,'ZONE 1 PREMIUM'!$A$4:$N$16,14,0)</f>
        <v>5</v>
      </c>
      <c r="M1026">
        <f>VLOOKUP(D1026,DROPDOWN!B:C,2,0)</f>
        <v>6</v>
      </c>
      <c r="N1026" t="str">
        <f t="shared" si="54"/>
        <v>AU20:BM31</v>
      </c>
      <c r="O1026" s="4">
        <f t="shared" ref="O1026:O1089" ca="1" si="55">INDEX(INDIRECT(N1026),L1026,M1026)</f>
        <v>25742.25</v>
      </c>
    </row>
    <row r="1027" spans="1:15">
      <c r="A1027" s="2" t="s">
        <v>15</v>
      </c>
      <c r="B1027" t="s">
        <v>33</v>
      </c>
      <c r="C1027" t="s">
        <v>34</v>
      </c>
      <c r="D1027">
        <v>10</v>
      </c>
      <c r="E1027" t="s">
        <v>46</v>
      </c>
      <c r="F1027">
        <v>2</v>
      </c>
      <c r="G1027">
        <v>1</v>
      </c>
      <c r="H1027">
        <v>1</v>
      </c>
      <c r="I1027">
        <v>1</v>
      </c>
      <c r="J1027" s="4" t="s">
        <v>55</v>
      </c>
      <c r="K1027" t="str">
        <f t="shared" si="53"/>
        <v>1+1</v>
      </c>
      <c r="L1027">
        <f>VLOOKUP(A1027,'ZONE 1 PREMIUM'!$A$4:$N$16,14,0)</f>
        <v>6</v>
      </c>
      <c r="M1027">
        <f>VLOOKUP(D1027,DROPDOWN!B:C,2,0)</f>
        <v>6</v>
      </c>
      <c r="N1027" t="str">
        <f t="shared" si="54"/>
        <v>AU20:BM31</v>
      </c>
      <c r="O1027" s="4">
        <f t="shared" ca="1" si="55"/>
        <v>33061.5</v>
      </c>
    </row>
    <row r="1028" spans="1:15">
      <c r="A1028" s="2" t="s">
        <v>16</v>
      </c>
      <c r="B1028" t="s">
        <v>35</v>
      </c>
      <c r="C1028" t="s">
        <v>36</v>
      </c>
      <c r="D1028">
        <v>10</v>
      </c>
      <c r="E1028" t="s">
        <v>46</v>
      </c>
      <c r="F1028">
        <v>2</v>
      </c>
      <c r="G1028">
        <v>1</v>
      </c>
      <c r="H1028">
        <v>1</v>
      </c>
      <c r="I1028">
        <v>1</v>
      </c>
      <c r="J1028" s="4" t="s">
        <v>55</v>
      </c>
      <c r="K1028" t="str">
        <f t="shared" ref="K1028:K1091" si="56">G1028&amp;"+"&amp;H1028</f>
        <v>1+1</v>
      </c>
      <c r="L1028">
        <f>VLOOKUP(A1028,'ZONE 1 PREMIUM'!$A$4:$N$16,14,0)</f>
        <v>7</v>
      </c>
      <c r="M1028">
        <f>VLOOKUP(D1028,DROPDOWN!B:C,2,0)</f>
        <v>6</v>
      </c>
      <c r="N1028" t="str">
        <f t="shared" si="54"/>
        <v>AU20:BM31</v>
      </c>
      <c r="O1028" s="4">
        <f t="shared" ca="1" si="55"/>
        <v>42939</v>
      </c>
    </row>
    <row r="1029" spans="1:15">
      <c r="A1029" s="2" t="s">
        <v>17</v>
      </c>
      <c r="B1029" t="s">
        <v>37</v>
      </c>
      <c r="C1029" t="s">
        <v>38</v>
      </c>
      <c r="D1029">
        <v>10</v>
      </c>
      <c r="E1029" t="s">
        <v>46</v>
      </c>
      <c r="F1029">
        <v>2</v>
      </c>
      <c r="G1029">
        <v>1</v>
      </c>
      <c r="H1029">
        <v>1</v>
      </c>
      <c r="I1029">
        <v>1</v>
      </c>
      <c r="J1029" s="4" t="s">
        <v>55</v>
      </c>
      <c r="K1029" t="str">
        <f t="shared" si="56"/>
        <v>1+1</v>
      </c>
      <c r="L1029">
        <f>VLOOKUP(A1029,'ZONE 1 PREMIUM'!$A$4:$N$16,14,0)</f>
        <v>8</v>
      </c>
      <c r="M1029">
        <f>VLOOKUP(D1029,DROPDOWN!B:C,2,0)</f>
        <v>6</v>
      </c>
      <c r="N1029" t="str">
        <f t="shared" si="54"/>
        <v>AU20:BM31</v>
      </c>
      <c r="O1029" s="4">
        <f t="shared" ca="1" si="55"/>
        <v>56854.125</v>
      </c>
    </row>
    <row r="1030" spans="1:15">
      <c r="A1030" s="2" t="s">
        <v>18</v>
      </c>
      <c r="B1030" t="s">
        <v>39</v>
      </c>
      <c r="C1030" t="s">
        <v>40</v>
      </c>
      <c r="D1030">
        <v>10</v>
      </c>
      <c r="E1030" t="s">
        <v>46</v>
      </c>
      <c r="F1030">
        <v>2</v>
      </c>
      <c r="G1030">
        <v>1</v>
      </c>
      <c r="H1030">
        <v>1</v>
      </c>
      <c r="I1030">
        <v>1</v>
      </c>
      <c r="J1030" s="4" t="s">
        <v>55</v>
      </c>
      <c r="K1030" t="str">
        <f t="shared" si="56"/>
        <v>1+1</v>
      </c>
      <c r="L1030">
        <f>VLOOKUP(A1030,'ZONE 1 PREMIUM'!$A$4:$N$16,14,0)</f>
        <v>9</v>
      </c>
      <c r="M1030">
        <f>VLOOKUP(D1030,DROPDOWN!B:C,2,0)</f>
        <v>6</v>
      </c>
      <c r="N1030" t="str">
        <f t="shared" si="54"/>
        <v>AU20:BM31</v>
      </c>
      <c r="O1030" s="4">
        <f t="shared" ca="1" si="55"/>
        <v>79395.75</v>
      </c>
    </row>
    <row r="1031" spans="1:15">
      <c r="A1031" s="2" t="s">
        <v>19</v>
      </c>
      <c r="B1031" t="s">
        <v>41</v>
      </c>
      <c r="C1031" t="s">
        <v>42</v>
      </c>
      <c r="D1031">
        <v>10</v>
      </c>
      <c r="E1031" t="s">
        <v>46</v>
      </c>
      <c r="F1031">
        <v>2</v>
      </c>
      <c r="G1031">
        <v>1</v>
      </c>
      <c r="H1031">
        <v>1</v>
      </c>
      <c r="I1031">
        <v>1</v>
      </c>
      <c r="J1031" s="4" t="s">
        <v>55</v>
      </c>
      <c r="K1031" t="str">
        <f t="shared" si="56"/>
        <v>1+1</v>
      </c>
      <c r="L1031">
        <f>VLOOKUP(A1031,'ZONE 1 PREMIUM'!$A$4:$N$16,14,0)</f>
        <v>10</v>
      </c>
      <c r="M1031">
        <f>VLOOKUP(D1031,DROPDOWN!B:C,2,0)</f>
        <v>6</v>
      </c>
      <c r="N1031" t="str">
        <f t="shared" si="54"/>
        <v>AU20:BM31</v>
      </c>
      <c r="O1031" s="4">
        <f t="shared" ca="1" si="55"/>
        <v>100635.75</v>
      </c>
    </row>
    <row r="1032" spans="1:15">
      <c r="A1032" s="2" t="s">
        <v>20</v>
      </c>
      <c r="B1032" t="s">
        <v>43</v>
      </c>
      <c r="C1032" t="s">
        <v>44</v>
      </c>
      <c r="D1032">
        <v>10</v>
      </c>
      <c r="E1032" t="s">
        <v>46</v>
      </c>
      <c r="F1032">
        <v>2</v>
      </c>
      <c r="G1032">
        <v>1</v>
      </c>
      <c r="H1032">
        <v>1</v>
      </c>
      <c r="I1032">
        <v>1</v>
      </c>
      <c r="J1032" s="4" t="s">
        <v>55</v>
      </c>
      <c r="K1032" t="str">
        <f t="shared" si="56"/>
        <v>1+1</v>
      </c>
      <c r="L1032">
        <f>VLOOKUP(A1032,'ZONE 1 PREMIUM'!$A$4:$N$16,14,0)</f>
        <v>11</v>
      </c>
      <c r="M1032">
        <f>VLOOKUP(D1032,DROPDOWN!B:C,2,0)</f>
        <v>6</v>
      </c>
      <c r="N1032" t="str">
        <f t="shared" si="54"/>
        <v>AU20:BM31</v>
      </c>
      <c r="O1032" s="4">
        <f t="shared" ca="1" si="55"/>
        <v>118699.875</v>
      </c>
    </row>
    <row r="1033" spans="1:15">
      <c r="A1033" s="2" t="s">
        <v>21</v>
      </c>
      <c r="B1033" t="s">
        <v>22</v>
      </c>
      <c r="D1033">
        <v>10</v>
      </c>
      <c r="E1033" t="s">
        <v>46</v>
      </c>
      <c r="F1033">
        <v>2</v>
      </c>
      <c r="G1033">
        <v>1</v>
      </c>
      <c r="H1033">
        <v>1</v>
      </c>
      <c r="I1033">
        <v>1</v>
      </c>
      <c r="J1033" s="4" t="s">
        <v>55</v>
      </c>
      <c r="K1033" t="str">
        <f t="shared" si="56"/>
        <v>1+1</v>
      </c>
      <c r="L1033">
        <f>VLOOKUP(A1033,'ZONE 1 PREMIUM'!$A$4:$N$16,14,0)</f>
        <v>12</v>
      </c>
      <c r="M1033">
        <f>VLOOKUP(D1033,DROPDOWN!B:C,2,0)</f>
        <v>6</v>
      </c>
      <c r="N1033" t="str">
        <f t="shared" si="54"/>
        <v>AU20:BM31</v>
      </c>
      <c r="O1033" s="4">
        <f t="shared" ca="1" si="55"/>
        <v>161094.375</v>
      </c>
    </row>
    <row r="1034" spans="1:15">
      <c r="A1034" s="2" t="s">
        <v>11</v>
      </c>
      <c r="B1034" t="s">
        <v>45</v>
      </c>
      <c r="C1034" t="s">
        <v>25</v>
      </c>
      <c r="D1034">
        <v>10</v>
      </c>
      <c r="E1034" t="s">
        <v>46</v>
      </c>
      <c r="F1034">
        <v>3</v>
      </c>
      <c r="G1034">
        <v>1</v>
      </c>
      <c r="H1034">
        <v>2</v>
      </c>
      <c r="I1034">
        <v>1</v>
      </c>
      <c r="J1034" s="4" t="s">
        <v>55</v>
      </c>
      <c r="K1034" t="str">
        <f t="shared" si="56"/>
        <v>1+2</v>
      </c>
      <c r="L1034">
        <f>VLOOKUP(A1034,'ZONE 1 PREMIUM'!$A$4:$N$16,14,0)</f>
        <v>2</v>
      </c>
      <c r="M1034">
        <f>VLOOKUP(D1034,DROPDOWN!B:C,2,0)</f>
        <v>6</v>
      </c>
      <c r="N1034" t="str">
        <f t="shared" si="54"/>
        <v>AU35:BM46</v>
      </c>
      <c r="O1034" s="4">
        <f t="shared" ca="1" si="55"/>
        <v>22056.75</v>
      </c>
    </row>
    <row r="1035" spans="1:15">
      <c r="A1035" s="2" t="s">
        <v>12</v>
      </c>
      <c r="B1035" t="s">
        <v>27</v>
      </c>
      <c r="C1035" t="s">
        <v>28</v>
      </c>
      <c r="D1035">
        <v>10</v>
      </c>
      <c r="E1035" t="s">
        <v>46</v>
      </c>
      <c r="F1035">
        <v>3</v>
      </c>
      <c r="G1035">
        <v>1</v>
      </c>
      <c r="H1035">
        <v>2</v>
      </c>
      <c r="I1035">
        <v>1</v>
      </c>
      <c r="J1035" s="4" t="s">
        <v>55</v>
      </c>
      <c r="K1035" t="str">
        <f t="shared" si="56"/>
        <v>1+2</v>
      </c>
      <c r="L1035">
        <f>VLOOKUP(A1035,'ZONE 1 PREMIUM'!$A$4:$N$16,14,0)</f>
        <v>3</v>
      </c>
      <c r="M1035">
        <f>VLOOKUP(D1035,DROPDOWN!B:C,2,0)</f>
        <v>6</v>
      </c>
      <c r="N1035" t="str">
        <f t="shared" si="54"/>
        <v>AU35:BM46</v>
      </c>
      <c r="O1035" s="4">
        <f t="shared" ca="1" si="55"/>
        <v>23712.75</v>
      </c>
    </row>
    <row r="1036" spans="1:15">
      <c r="A1036" s="2" t="s">
        <v>13</v>
      </c>
      <c r="B1036" t="s">
        <v>29</v>
      </c>
      <c r="C1036" t="s">
        <v>30</v>
      </c>
      <c r="D1036">
        <v>10</v>
      </c>
      <c r="E1036" t="s">
        <v>46</v>
      </c>
      <c r="F1036">
        <v>3</v>
      </c>
      <c r="G1036">
        <v>1</v>
      </c>
      <c r="H1036">
        <v>2</v>
      </c>
      <c r="I1036">
        <v>1</v>
      </c>
      <c r="J1036" s="4" t="s">
        <v>55</v>
      </c>
      <c r="K1036" t="str">
        <f t="shared" si="56"/>
        <v>1+2</v>
      </c>
      <c r="L1036">
        <f>VLOOKUP(A1036,'ZONE 1 PREMIUM'!$A$4:$N$16,14,0)</f>
        <v>4</v>
      </c>
      <c r="M1036">
        <f>VLOOKUP(D1036,DROPDOWN!B:C,2,0)</f>
        <v>6</v>
      </c>
      <c r="N1036" t="str">
        <f t="shared" si="54"/>
        <v>AU35:BM46</v>
      </c>
      <c r="O1036" s="4">
        <f t="shared" ca="1" si="55"/>
        <v>27416.25</v>
      </c>
    </row>
    <row r="1037" spans="1:15">
      <c r="A1037" s="2" t="s">
        <v>14</v>
      </c>
      <c r="B1037" t="s">
        <v>31</v>
      </c>
      <c r="C1037" t="s">
        <v>32</v>
      </c>
      <c r="D1037">
        <v>10</v>
      </c>
      <c r="E1037" t="s">
        <v>46</v>
      </c>
      <c r="F1037">
        <v>3</v>
      </c>
      <c r="G1037">
        <v>1</v>
      </c>
      <c r="H1037">
        <v>2</v>
      </c>
      <c r="I1037">
        <v>1</v>
      </c>
      <c r="J1037" s="4" t="s">
        <v>55</v>
      </c>
      <c r="K1037" t="str">
        <f t="shared" si="56"/>
        <v>1+2</v>
      </c>
      <c r="L1037">
        <f>VLOOKUP(A1037,'ZONE 1 PREMIUM'!$A$4:$N$16,14,0)</f>
        <v>5</v>
      </c>
      <c r="M1037">
        <f>VLOOKUP(D1037,DROPDOWN!B:C,2,0)</f>
        <v>6</v>
      </c>
      <c r="N1037" t="str">
        <f t="shared" si="54"/>
        <v>AU35:BM46</v>
      </c>
      <c r="O1037" s="4">
        <f t="shared" ca="1" si="55"/>
        <v>30767.625</v>
      </c>
    </row>
    <row r="1038" spans="1:15">
      <c r="A1038" s="2" t="s">
        <v>15</v>
      </c>
      <c r="B1038" t="s">
        <v>33</v>
      </c>
      <c r="C1038" t="s">
        <v>34</v>
      </c>
      <c r="D1038">
        <v>10</v>
      </c>
      <c r="E1038" t="s">
        <v>46</v>
      </c>
      <c r="F1038">
        <v>3</v>
      </c>
      <c r="G1038">
        <v>1</v>
      </c>
      <c r="H1038">
        <v>2</v>
      </c>
      <c r="I1038">
        <v>1</v>
      </c>
      <c r="J1038" s="4" t="s">
        <v>55</v>
      </c>
      <c r="K1038" t="str">
        <f t="shared" si="56"/>
        <v>1+2</v>
      </c>
      <c r="L1038">
        <f>VLOOKUP(A1038,'ZONE 1 PREMIUM'!$A$4:$N$16,14,0)</f>
        <v>6</v>
      </c>
      <c r="M1038">
        <f>VLOOKUP(D1038,DROPDOWN!B:C,2,0)</f>
        <v>6</v>
      </c>
      <c r="N1038" t="str">
        <f t="shared" si="54"/>
        <v>AU35:BM46</v>
      </c>
      <c r="O1038" s="4">
        <f t="shared" ca="1" si="55"/>
        <v>39808.125</v>
      </c>
    </row>
    <row r="1039" spans="1:15">
      <c r="A1039" s="2" t="s">
        <v>16</v>
      </c>
      <c r="B1039" t="s">
        <v>35</v>
      </c>
      <c r="C1039" t="s">
        <v>36</v>
      </c>
      <c r="D1039">
        <v>10</v>
      </c>
      <c r="E1039" t="s">
        <v>46</v>
      </c>
      <c r="F1039">
        <v>3</v>
      </c>
      <c r="G1039">
        <v>1</v>
      </c>
      <c r="H1039">
        <v>2</v>
      </c>
      <c r="I1039">
        <v>1</v>
      </c>
      <c r="J1039" s="4" t="s">
        <v>55</v>
      </c>
      <c r="K1039" t="str">
        <f t="shared" si="56"/>
        <v>1+2</v>
      </c>
      <c r="L1039">
        <f>VLOOKUP(A1039,'ZONE 1 PREMIUM'!$A$4:$N$16,14,0)</f>
        <v>7</v>
      </c>
      <c r="M1039">
        <f>VLOOKUP(D1039,DROPDOWN!B:C,2,0)</f>
        <v>6</v>
      </c>
      <c r="N1039" t="str">
        <f t="shared" si="54"/>
        <v>AU35:BM46</v>
      </c>
      <c r="O1039" s="4">
        <f t="shared" ca="1" si="55"/>
        <v>51301.125</v>
      </c>
    </row>
    <row r="1040" spans="1:15">
      <c r="A1040" s="2" t="s">
        <v>17</v>
      </c>
      <c r="B1040" t="s">
        <v>37</v>
      </c>
      <c r="C1040" t="s">
        <v>38</v>
      </c>
      <c r="D1040">
        <v>10</v>
      </c>
      <c r="E1040" t="s">
        <v>46</v>
      </c>
      <c r="F1040">
        <v>3</v>
      </c>
      <c r="G1040">
        <v>1</v>
      </c>
      <c r="H1040">
        <v>2</v>
      </c>
      <c r="I1040">
        <v>1</v>
      </c>
      <c r="J1040" s="4" t="s">
        <v>55</v>
      </c>
      <c r="K1040" t="str">
        <f t="shared" si="56"/>
        <v>1+2</v>
      </c>
      <c r="L1040">
        <f>VLOOKUP(A1040,'ZONE 1 PREMIUM'!$A$4:$N$16,14,0)</f>
        <v>8</v>
      </c>
      <c r="M1040">
        <f>VLOOKUP(D1040,DROPDOWN!B:C,2,0)</f>
        <v>6</v>
      </c>
      <c r="N1040" t="str">
        <f t="shared" si="54"/>
        <v>AU35:BM46</v>
      </c>
      <c r="O1040" s="4">
        <f t="shared" ca="1" si="55"/>
        <v>65863.125</v>
      </c>
    </row>
    <row r="1041" spans="1:15">
      <c r="A1041" s="2" t="s">
        <v>18</v>
      </c>
      <c r="B1041" t="s">
        <v>39</v>
      </c>
      <c r="C1041" t="s">
        <v>40</v>
      </c>
      <c r="D1041">
        <v>10</v>
      </c>
      <c r="E1041" t="s">
        <v>46</v>
      </c>
      <c r="F1041">
        <v>3</v>
      </c>
      <c r="G1041">
        <v>1</v>
      </c>
      <c r="H1041">
        <v>2</v>
      </c>
      <c r="I1041">
        <v>1</v>
      </c>
      <c r="J1041" s="4" t="s">
        <v>55</v>
      </c>
      <c r="K1041" t="str">
        <f t="shared" si="56"/>
        <v>1+2</v>
      </c>
      <c r="L1041">
        <f>VLOOKUP(A1041,'ZONE 1 PREMIUM'!$A$4:$N$16,14,0)</f>
        <v>9</v>
      </c>
      <c r="M1041">
        <f>VLOOKUP(D1041,DROPDOWN!B:C,2,0)</f>
        <v>6</v>
      </c>
      <c r="N1041" t="str">
        <f t="shared" si="54"/>
        <v>AU35:BM46</v>
      </c>
      <c r="O1041" s="4">
        <f t="shared" ca="1" si="55"/>
        <v>86629.5</v>
      </c>
    </row>
    <row r="1042" spans="1:15">
      <c r="A1042" s="2" t="s">
        <v>19</v>
      </c>
      <c r="B1042" t="s">
        <v>41</v>
      </c>
      <c r="C1042" t="s">
        <v>42</v>
      </c>
      <c r="D1042">
        <v>10</v>
      </c>
      <c r="E1042" t="s">
        <v>46</v>
      </c>
      <c r="F1042">
        <v>3</v>
      </c>
      <c r="G1042">
        <v>1</v>
      </c>
      <c r="H1042">
        <v>2</v>
      </c>
      <c r="I1042">
        <v>1</v>
      </c>
      <c r="J1042" s="4" t="s">
        <v>55</v>
      </c>
      <c r="K1042" t="str">
        <f t="shared" si="56"/>
        <v>1+2</v>
      </c>
      <c r="L1042">
        <f>VLOOKUP(A1042,'ZONE 1 PREMIUM'!$A$4:$N$16,14,0)</f>
        <v>10</v>
      </c>
      <c r="M1042">
        <f>VLOOKUP(D1042,DROPDOWN!B:C,2,0)</f>
        <v>6</v>
      </c>
      <c r="N1042" t="str">
        <f t="shared" si="54"/>
        <v>AU35:BM46</v>
      </c>
      <c r="O1042" s="4">
        <f t="shared" ca="1" si="55"/>
        <v>109590.75</v>
      </c>
    </row>
    <row r="1043" spans="1:15">
      <c r="A1043" s="2" t="s">
        <v>20</v>
      </c>
      <c r="B1043" t="s">
        <v>43</v>
      </c>
      <c r="C1043" t="s">
        <v>44</v>
      </c>
      <c r="D1043">
        <v>10</v>
      </c>
      <c r="E1043" t="s">
        <v>46</v>
      </c>
      <c r="F1043">
        <v>3</v>
      </c>
      <c r="G1043">
        <v>1</v>
      </c>
      <c r="H1043">
        <v>2</v>
      </c>
      <c r="I1043">
        <v>1</v>
      </c>
      <c r="J1043" s="4" t="s">
        <v>55</v>
      </c>
      <c r="K1043" t="str">
        <f t="shared" si="56"/>
        <v>1+2</v>
      </c>
      <c r="L1043">
        <f>VLOOKUP(A1043,'ZONE 1 PREMIUM'!$A$4:$N$16,14,0)</f>
        <v>11</v>
      </c>
      <c r="M1043">
        <f>VLOOKUP(D1043,DROPDOWN!B:C,2,0)</f>
        <v>6</v>
      </c>
      <c r="N1043" t="str">
        <f t="shared" si="54"/>
        <v>AU35:BM46</v>
      </c>
      <c r="O1043" s="4">
        <f t="shared" ca="1" si="55"/>
        <v>129348</v>
      </c>
    </row>
    <row r="1044" spans="1:15">
      <c r="A1044" s="2" t="s">
        <v>21</v>
      </c>
      <c r="B1044" t="s">
        <v>22</v>
      </c>
      <c r="D1044">
        <v>10</v>
      </c>
      <c r="E1044" t="s">
        <v>46</v>
      </c>
      <c r="F1044">
        <v>3</v>
      </c>
      <c r="G1044">
        <v>1</v>
      </c>
      <c r="H1044">
        <v>2</v>
      </c>
      <c r="I1044">
        <v>1</v>
      </c>
      <c r="J1044" s="4" t="s">
        <v>55</v>
      </c>
      <c r="K1044" t="str">
        <f t="shared" si="56"/>
        <v>1+2</v>
      </c>
      <c r="L1044">
        <f>VLOOKUP(A1044,'ZONE 1 PREMIUM'!$A$4:$N$16,14,0)</f>
        <v>12</v>
      </c>
      <c r="M1044">
        <f>VLOOKUP(D1044,DROPDOWN!B:C,2,0)</f>
        <v>6</v>
      </c>
      <c r="N1044" t="str">
        <f t="shared" si="54"/>
        <v>AU35:BM46</v>
      </c>
      <c r="O1044" s="4">
        <f t="shared" ca="1" si="55"/>
        <v>168934.5</v>
      </c>
    </row>
    <row r="1045" spans="1:15">
      <c r="A1045" s="2" t="s">
        <v>11</v>
      </c>
      <c r="B1045" t="s">
        <v>45</v>
      </c>
      <c r="C1045" t="s">
        <v>25</v>
      </c>
      <c r="D1045">
        <v>10</v>
      </c>
      <c r="E1045" t="s">
        <v>46</v>
      </c>
      <c r="F1045">
        <v>4</v>
      </c>
      <c r="G1045">
        <v>1</v>
      </c>
      <c r="H1045">
        <v>3</v>
      </c>
      <c r="I1045">
        <v>1</v>
      </c>
      <c r="J1045" s="4" t="s">
        <v>55</v>
      </c>
      <c r="K1045" t="str">
        <f t="shared" si="56"/>
        <v>1+3</v>
      </c>
      <c r="L1045">
        <f>VLOOKUP(A1045,'ZONE 1 PREMIUM'!$A$4:$N$16,14,0)</f>
        <v>2</v>
      </c>
      <c r="M1045">
        <f>VLOOKUP(D1045,DROPDOWN!B:C,2,0)</f>
        <v>6</v>
      </c>
      <c r="N1045" t="str">
        <f t="shared" si="54"/>
        <v>AU50:BM61</v>
      </c>
      <c r="O1045" s="4">
        <f t="shared" ca="1" si="55"/>
        <v>27025.875</v>
      </c>
    </row>
    <row r="1046" spans="1:15">
      <c r="A1046" s="2" t="s">
        <v>12</v>
      </c>
      <c r="B1046" t="s">
        <v>27</v>
      </c>
      <c r="C1046" t="s">
        <v>28</v>
      </c>
      <c r="D1046">
        <v>10</v>
      </c>
      <c r="E1046" t="s">
        <v>46</v>
      </c>
      <c r="F1046">
        <v>4</v>
      </c>
      <c r="G1046">
        <v>1</v>
      </c>
      <c r="H1046">
        <v>3</v>
      </c>
      <c r="I1046">
        <v>1</v>
      </c>
      <c r="J1046" s="4" t="s">
        <v>55</v>
      </c>
      <c r="K1046" t="str">
        <f t="shared" si="56"/>
        <v>1+3</v>
      </c>
      <c r="L1046">
        <f>VLOOKUP(A1046,'ZONE 1 PREMIUM'!$A$4:$N$16,14,0)</f>
        <v>3</v>
      </c>
      <c r="M1046">
        <f>VLOOKUP(D1046,DROPDOWN!B:C,2,0)</f>
        <v>6</v>
      </c>
      <c r="N1046" t="str">
        <f t="shared" si="54"/>
        <v>AU50:BM61</v>
      </c>
      <c r="O1046" s="4">
        <f t="shared" ca="1" si="55"/>
        <v>28593</v>
      </c>
    </row>
    <row r="1047" spans="1:15">
      <c r="A1047" s="2" t="s">
        <v>13</v>
      </c>
      <c r="B1047" t="s">
        <v>29</v>
      </c>
      <c r="C1047" t="s">
        <v>30</v>
      </c>
      <c r="D1047">
        <v>10</v>
      </c>
      <c r="E1047" t="s">
        <v>46</v>
      </c>
      <c r="F1047">
        <v>4</v>
      </c>
      <c r="G1047">
        <v>1</v>
      </c>
      <c r="H1047">
        <v>3</v>
      </c>
      <c r="I1047">
        <v>1</v>
      </c>
      <c r="J1047" s="4" t="s">
        <v>55</v>
      </c>
      <c r="K1047" t="str">
        <f t="shared" si="56"/>
        <v>1+3</v>
      </c>
      <c r="L1047">
        <f>VLOOKUP(A1047,'ZONE 1 PREMIUM'!$A$4:$N$16,14,0)</f>
        <v>4</v>
      </c>
      <c r="M1047">
        <f>VLOOKUP(D1047,DROPDOWN!B:C,2,0)</f>
        <v>6</v>
      </c>
      <c r="N1047" t="str">
        <f t="shared" si="54"/>
        <v>AU50:BM61</v>
      </c>
      <c r="O1047" s="4">
        <f t="shared" ca="1" si="55"/>
        <v>33070.5</v>
      </c>
    </row>
    <row r="1048" spans="1:15">
      <c r="A1048" s="2" t="s">
        <v>14</v>
      </c>
      <c r="B1048" t="s">
        <v>31</v>
      </c>
      <c r="C1048" t="s">
        <v>32</v>
      </c>
      <c r="D1048">
        <v>10</v>
      </c>
      <c r="E1048" t="s">
        <v>46</v>
      </c>
      <c r="F1048">
        <v>4</v>
      </c>
      <c r="G1048">
        <v>1</v>
      </c>
      <c r="H1048">
        <v>3</v>
      </c>
      <c r="I1048">
        <v>1</v>
      </c>
      <c r="J1048" s="4" t="s">
        <v>55</v>
      </c>
      <c r="K1048" t="str">
        <f t="shared" si="56"/>
        <v>1+3</v>
      </c>
      <c r="L1048">
        <f>VLOOKUP(A1048,'ZONE 1 PREMIUM'!$A$4:$N$16,14,0)</f>
        <v>5</v>
      </c>
      <c r="M1048">
        <f>VLOOKUP(D1048,DROPDOWN!B:C,2,0)</f>
        <v>6</v>
      </c>
      <c r="N1048" t="str">
        <f t="shared" si="54"/>
        <v>AU50:BM61</v>
      </c>
      <c r="O1048" s="4">
        <f t="shared" ca="1" si="55"/>
        <v>36783</v>
      </c>
    </row>
    <row r="1049" spans="1:15">
      <c r="A1049" s="2" t="s">
        <v>15</v>
      </c>
      <c r="B1049" t="s">
        <v>33</v>
      </c>
      <c r="C1049" t="s">
        <v>34</v>
      </c>
      <c r="D1049">
        <v>10</v>
      </c>
      <c r="E1049" t="s">
        <v>46</v>
      </c>
      <c r="F1049">
        <v>4</v>
      </c>
      <c r="G1049">
        <v>1</v>
      </c>
      <c r="H1049">
        <v>3</v>
      </c>
      <c r="I1049">
        <v>1</v>
      </c>
      <c r="J1049" s="4" t="s">
        <v>55</v>
      </c>
      <c r="K1049" t="str">
        <f t="shared" si="56"/>
        <v>1+3</v>
      </c>
      <c r="L1049">
        <f>VLOOKUP(A1049,'ZONE 1 PREMIUM'!$A$4:$N$16,14,0)</f>
        <v>6</v>
      </c>
      <c r="M1049">
        <f>VLOOKUP(D1049,DROPDOWN!B:C,2,0)</f>
        <v>6</v>
      </c>
      <c r="N1049" t="str">
        <f t="shared" si="54"/>
        <v>AU50:BM61</v>
      </c>
      <c r="O1049" s="4">
        <f t="shared" ca="1" si="55"/>
        <v>46555.875</v>
      </c>
    </row>
    <row r="1050" spans="1:15">
      <c r="A1050" s="2" t="s">
        <v>16</v>
      </c>
      <c r="B1050" t="s">
        <v>35</v>
      </c>
      <c r="C1050" t="s">
        <v>36</v>
      </c>
      <c r="D1050">
        <v>10</v>
      </c>
      <c r="E1050" t="s">
        <v>46</v>
      </c>
      <c r="F1050">
        <v>4</v>
      </c>
      <c r="G1050">
        <v>1</v>
      </c>
      <c r="H1050">
        <v>3</v>
      </c>
      <c r="I1050">
        <v>1</v>
      </c>
      <c r="J1050" s="4" t="s">
        <v>55</v>
      </c>
      <c r="K1050" t="str">
        <f t="shared" si="56"/>
        <v>1+3</v>
      </c>
      <c r="L1050">
        <f>VLOOKUP(A1050,'ZONE 1 PREMIUM'!$A$4:$N$16,14,0)</f>
        <v>7</v>
      </c>
      <c r="M1050">
        <f>VLOOKUP(D1050,DROPDOWN!B:C,2,0)</f>
        <v>6</v>
      </c>
      <c r="N1050" t="str">
        <f t="shared" si="54"/>
        <v>AU50:BM61</v>
      </c>
      <c r="O1050" s="4">
        <f t="shared" ca="1" si="55"/>
        <v>58768.875</v>
      </c>
    </row>
    <row r="1051" spans="1:15">
      <c r="A1051" s="2" t="s">
        <v>17</v>
      </c>
      <c r="B1051" t="s">
        <v>37</v>
      </c>
      <c r="C1051" t="s">
        <v>38</v>
      </c>
      <c r="D1051">
        <v>10</v>
      </c>
      <c r="E1051" t="s">
        <v>46</v>
      </c>
      <c r="F1051">
        <v>4</v>
      </c>
      <c r="G1051">
        <v>1</v>
      </c>
      <c r="H1051">
        <v>3</v>
      </c>
      <c r="I1051">
        <v>1</v>
      </c>
      <c r="J1051" s="4" t="s">
        <v>55</v>
      </c>
      <c r="K1051" t="str">
        <f t="shared" si="56"/>
        <v>1+3</v>
      </c>
      <c r="L1051">
        <f>VLOOKUP(A1051,'ZONE 1 PREMIUM'!$A$4:$N$16,14,0)</f>
        <v>8</v>
      </c>
      <c r="M1051">
        <f>VLOOKUP(D1051,DROPDOWN!B:C,2,0)</f>
        <v>6</v>
      </c>
      <c r="N1051" t="str">
        <f t="shared" si="54"/>
        <v>AU50:BM61</v>
      </c>
      <c r="O1051" s="4">
        <f t="shared" ca="1" si="55"/>
        <v>72437.625</v>
      </c>
    </row>
    <row r="1052" spans="1:15">
      <c r="A1052" s="2" t="s">
        <v>18</v>
      </c>
      <c r="B1052" t="s">
        <v>39</v>
      </c>
      <c r="C1052" t="s">
        <v>40</v>
      </c>
      <c r="D1052">
        <v>10</v>
      </c>
      <c r="E1052" t="s">
        <v>46</v>
      </c>
      <c r="F1052">
        <v>4</v>
      </c>
      <c r="G1052">
        <v>1</v>
      </c>
      <c r="H1052">
        <v>3</v>
      </c>
      <c r="I1052">
        <v>1</v>
      </c>
      <c r="J1052" s="4" t="s">
        <v>55</v>
      </c>
      <c r="K1052" t="str">
        <f t="shared" si="56"/>
        <v>1+3</v>
      </c>
      <c r="L1052">
        <f>VLOOKUP(A1052,'ZONE 1 PREMIUM'!$A$4:$N$16,14,0)</f>
        <v>9</v>
      </c>
      <c r="M1052">
        <f>VLOOKUP(D1052,DROPDOWN!B:C,2,0)</f>
        <v>6</v>
      </c>
      <c r="N1052" t="str">
        <f t="shared" si="54"/>
        <v>AU50:BM61</v>
      </c>
      <c r="O1052" s="4">
        <f t="shared" ca="1" si="55"/>
        <v>93883.5</v>
      </c>
    </row>
    <row r="1053" spans="1:15">
      <c r="A1053" s="2" t="s">
        <v>19</v>
      </c>
      <c r="B1053" t="s">
        <v>41</v>
      </c>
      <c r="C1053" t="s">
        <v>42</v>
      </c>
      <c r="D1053">
        <v>10</v>
      </c>
      <c r="E1053" t="s">
        <v>46</v>
      </c>
      <c r="F1053">
        <v>4</v>
      </c>
      <c r="G1053">
        <v>1</v>
      </c>
      <c r="H1053">
        <v>3</v>
      </c>
      <c r="I1053">
        <v>1</v>
      </c>
      <c r="J1053" s="4" t="s">
        <v>55</v>
      </c>
      <c r="K1053" t="str">
        <f t="shared" si="56"/>
        <v>1+3</v>
      </c>
      <c r="L1053">
        <f>VLOOKUP(A1053,'ZONE 1 PREMIUM'!$A$4:$N$16,14,0)</f>
        <v>10</v>
      </c>
      <c r="M1053">
        <f>VLOOKUP(D1053,DROPDOWN!B:C,2,0)</f>
        <v>6</v>
      </c>
      <c r="N1053" t="str">
        <f t="shared" si="54"/>
        <v>AU50:BM61</v>
      </c>
      <c r="O1053" s="4">
        <f t="shared" ca="1" si="55"/>
        <v>115362</v>
      </c>
    </row>
    <row r="1054" spans="1:15">
      <c r="A1054" s="2" t="s">
        <v>20</v>
      </c>
      <c r="B1054" t="s">
        <v>43</v>
      </c>
      <c r="C1054" t="s">
        <v>44</v>
      </c>
      <c r="D1054">
        <v>10</v>
      </c>
      <c r="E1054" t="s">
        <v>46</v>
      </c>
      <c r="F1054">
        <v>4</v>
      </c>
      <c r="G1054">
        <v>1</v>
      </c>
      <c r="H1054">
        <v>3</v>
      </c>
      <c r="I1054">
        <v>1</v>
      </c>
      <c r="J1054" s="4" t="s">
        <v>55</v>
      </c>
      <c r="K1054" t="str">
        <f t="shared" si="56"/>
        <v>1+3</v>
      </c>
      <c r="L1054">
        <f>VLOOKUP(A1054,'ZONE 1 PREMIUM'!$A$4:$N$16,14,0)</f>
        <v>11</v>
      </c>
      <c r="M1054">
        <f>VLOOKUP(D1054,DROPDOWN!B:C,2,0)</f>
        <v>6</v>
      </c>
      <c r="N1054" t="str">
        <f t="shared" si="54"/>
        <v>AU50:BM61</v>
      </c>
      <c r="O1054" s="4">
        <f t="shared" ca="1" si="55"/>
        <v>134797.5</v>
      </c>
    </row>
    <row r="1055" spans="1:15">
      <c r="A1055" s="2" t="s">
        <v>21</v>
      </c>
      <c r="B1055" t="s">
        <v>22</v>
      </c>
      <c r="D1055">
        <v>10</v>
      </c>
      <c r="E1055" t="s">
        <v>46</v>
      </c>
      <c r="F1055">
        <v>4</v>
      </c>
      <c r="G1055">
        <v>1</v>
      </c>
      <c r="H1055">
        <v>3</v>
      </c>
      <c r="I1055">
        <v>1</v>
      </c>
      <c r="J1055" s="4" t="s">
        <v>55</v>
      </c>
      <c r="K1055" t="str">
        <f t="shared" si="56"/>
        <v>1+3</v>
      </c>
      <c r="L1055">
        <f>VLOOKUP(A1055,'ZONE 1 PREMIUM'!$A$4:$N$16,14,0)</f>
        <v>12</v>
      </c>
      <c r="M1055">
        <f>VLOOKUP(D1055,DROPDOWN!B:C,2,0)</f>
        <v>6</v>
      </c>
      <c r="N1055" t="str">
        <f t="shared" si="54"/>
        <v>AU50:BM61</v>
      </c>
      <c r="O1055" s="4">
        <f t="shared" ca="1" si="55"/>
        <v>174713.625</v>
      </c>
    </row>
    <row r="1056" spans="1:15">
      <c r="A1056" s="2" t="s">
        <v>11</v>
      </c>
      <c r="B1056" t="s">
        <v>45</v>
      </c>
      <c r="C1056" t="s">
        <v>25</v>
      </c>
      <c r="D1056">
        <v>10</v>
      </c>
      <c r="E1056" t="s">
        <v>46</v>
      </c>
      <c r="F1056">
        <v>5</v>
      </c>
      <c r="G1056">
        <v>1</v>
      </c>
      <c r="H1056">
        <v>4</v>
      </c>
      <c r="I1056">
        <v>1</v>
      </c>
      <c r="J1056" s="4" t="s">
        <v>55</v>
      </c>
      <c r="K1056" t="str">
        <f t="shared" si="56"/>
        <v>1+4</v>
      </c>
      <c r="L1056">
        <f>VLOOKUP(A1056,'ZONE 1 PREMIUM'!$A$4:$N$16,14,0)</f>
        <v>2</v>
      </c>
      <c r="M1056">
        <f>VLOOKUP(D1056,DROPDOWN!B:C,2,0)</f>
        <v>6</v>
      </c>
      <c r="N1056" t="str">
        <f t="shared" si="54"/>
        <v>AU65:BM76</v>
      </c>
      <c r="O1056" s="4">
        <f t="shared" ca="1" si="55"/>
        <v>31995</v>
      </c>
    </row>
    <row r="1057" spans="1:15">
      <c r="A1057" s="2" t="s">
        <v>12</v>
      </c>
      <c r="B1057" t="s">
        <v>27</v>
      </c>
      <c r="C1057" t="s">
        <v>28</v>
      </c>
      <c r="D1057">
        <v>10</v>
      </c>
      <c r="E1057" t="s">
        <v>46</v>
      </c>
      <c r="F1057">
        <v>5</v>
      </c>
      <c r="G1057">
        <v>1</v>
      </c>
      <c r="H1057">
        <v>4</v>
      </c>
      <c r="I1057">
        <v>1</v>
      </c>
      <c r="J1057" s="4" t="s">
        <v>55</v>
      </c>
      <c r="K1057" t="str">
        <f t="shared" si="56"/>
        <v>1+4</v>
      </c>
      <c r="L1057">
        <f>VLOOKUP(A1057,'ZONE 1 PREMIUM'!$A$4:$N$16,14,0)</f>
        <v>3</v>
      </c>
      <c r="M1057">
        <f>VLOOKUP(D1057,DROPDOWN!B:C,2,0)</f>
        <v>6</v>
      </c>
      <c r="N1057" t="str">
        <f t="shared" si="54"/>
        <v>AU65:BM76</v>
      </c>
      <c r="O1057" s="4">
        <f t="shared" ca="1" si="55"/>
        <v>33473.25</v>
      </c>
    </row>
    <row r="1058" spans="1:15">
      <c r="A1058" s="2" t="s">
        <v>13</v>
      </c>
      <c r="B1058" t="s">
        <v>29</v>
      </c>
      <c r="C1058" t="s">
        <v>30</v>
      </c>
      <c r="D1058">
        <v>10</v>
      </c>
      <c r="E1058" t="s">
        <v>46</v>
      </c>
      <c r="F1058">
        <v>5</v>
      </c>
      <c r="G1058">
        <v>1</v>
      </c>
      <c r="H1058">
        <v>4</v>
      </c>
      <c r="I1058">
        <v>1</v>
      </c>
      <c r="J1058" s="4" t="s">
        <v>55</v>
      </c>
      <c r="K1058" t="str">
        <f t="shared" si="56"/>
        <v>1+4</v>
      </c>
      <c r="L1058">
        <f>VLOOKUP(A1058,'ZONE 1 PREMIUM'!$A$4:$N$16,14,0)</f>
        <v>4</v>
      </c>
      <c r="M1058">
        <f>VLOOKUP(D1058,DROPDOWN!B:C,2,0)</f>
        <v>6</v>
      </c>
      <c r="N1058" t="str">
        <f t="shared" si="54"/>
        <v>AU65:BM76</v>
      </c>
      <c r="O1058" s="4">
        <f t="shared" ca="1" si="55"/>
        <v>38724.75</v>
      </c>
    </row>
    <row r="1059" spans="1:15">
      <c r="A1059" s="2" t="s">
        <v>14</v>
      </c>
      <c r="B1059" t="s">
        <v>31</v>
      </c>
      <c r="C1059" t="s">
        <v>32</v>
      </c>
      <c r="D1059">
        <v>10</v>
      </c>
      <c r="E1059" t="s">
        <v>46</v>
      </c>
      <c r="F1059">
        <v>5</v>
      </c>
      <c r="G1059">
        <v>1</v>
      </c>
      <c r="H1059">
        <v>4</v>
      </c>
      <c r="I1059">
        <v>1</v>
      </c>
      <c r="J1059" s="4" t="s">
        <v>55</v>
      </c>
      <c r="K1059" t="str">
        <f t="shared" si="56"/>
        <v>1+4</v>
      </c>
      <c r="L1059">
        <f>VLOOKUP(A1059,'ZONE 1 PREMIUM'!$A$4:$N$16,14,0)</f>
        <v>5</v>
      </c>
      <c r="M1059">
        <f>VLOOKUP(D1059,DROPDOWN!B:C,2,0)</f>
        <v>6</v>
      </c>
      <c r="N1059" t="str">
        <f t="shared" si="54"/>
        <v>AU65:BM76</v>
      </c>
      <c r="O1059" s="4">
        <f t="shared" ca="1" si="55"/>
        <v>42798.375</v>
      </c>
    </row>
    <row r="1060" spans="1:15">
      <c r="A1060" s="2" t="s">
        <v>15</v>
      </c>
      <c r="B1060" t="s">
        <v>33</v>
      </c>
      <c r="C1060" t="s">
        <v>34</v>
      </c>
      <c r="D1060">
        <v>10</v>
      </c>
      <c r="E1060" t="s">
        <v>46</v>
      </c>
      <c r="F1060">
        <v>5</v>
      </c>
      <c r="G1060">
        <v>1</v>
      </c>
      <c r="H1060">
        <v>4</v>
      </c>
      <c r="I1060">
        <v>1</v>
      </c>
      <c r="J1060" s="4" t="s">
        <v>55</v>
      </c>
      <c r="K1060" t="str">
        <f t="shared" si="56"/>
        <v>1+4</v>
      </c>
      <c r="L1060">
        <f>VLOOKUP(A1060,'ZONE 1 PREMIUM'!$A$4:$N$16,14,0)</f>
        <v>6</v>
      </c>
      <c r="M1060">
        <f>VLOOKUP(D1060,DROPDOWN!B:C,2,0)</f>
        <v>6</v>
      </c>
      <c r="N1060" t="str">
        <f t="shared" si="54"/>
        <v>AU65:BM76</v>
      </c>
      <c r="O1060" s="4">
        <f t="shared" ca="1" si="55"/>
        <v>53302.5</v>
      </c>
    </row>
    <row r="1061" spans="1:15">
      <c r="A1061" s="2" t="s">
        <v>16</v>
      </c>
      <c r="B1061" t="s">
        <v>35</v>
      </c>
      <c r="C1061" t="s">
        <v>36</v>
      </c>
      <c r="D1061">
        <v>10</v>
      </c>
      <c r="E1061" t="s">
        <v>46</v>
      </c>
      <c r="F1061">
        <v>5</v>
      </c>
      <c r="G1061">
        <v>1</v>
      </c>
      <c r="H1061">
        <v>4</v>
      </c>
      <c r="I1061">
        <v>1</v>
      </c>
      <c r="J1061" s="4" t="s">
        <v>55</v>
      </c>
      <c r="K1061" t="str">
        <f t="shared" si="56"/>
        <v>1+4</v>
      </c>
      <c r="L1061">
        <f>VLOOKUP(A1061,'ZONE 1 PREMIUM'!$A$4:$N$16,14,0)</f>
        <v>7</v>
      </c>
      <c r="M1061">
        <f>VLOOKUP(D1061,DROPDOWN!B:C,2,0)</f>
        <v>6</v>
      </c>
      <c r="N1061" t="str">
        <f t="shared" si="54"/>
        <v>AU65:BM76</v>
      </c>
      <c r="O1061" s="4">
        <f t="shared" ca="1" si="55"/>
        <v>64965.375</v>
      </c>
    </row>
    <row r="1062" spans="1:15">
      <c r="A1062" s="2" t="s">
        <v>17</v>
      </c>
      <c r="B1062" t="s">
        <v>37</v>
      </c>
      <c r="C1062" t="s">
        <v>38</v>
      </c>
      <c r="D1062">
        <v>10</v>
      </c>
      <c r="E1062" t="s">
        <v>46</v>
      </c>
      <c r="F1062">
        <v>5</v>
      </c>
      <c r="G1062">
        <v>1</v>
      </c>
      <c r="H1062">
        <v>4</v>
      </c>
      <c r="I1062">
        <v>1</v>
      </c>
      <c r="J1062" s="4" t="s">
        <v>55</v>
      </c>
      <c r="K1062" t="str">
        <f t="shared" si="56"/>
        <v>1+4</v>
      </c>
      <c r="L1062">
        <f>VLOOKUP(A1062,'ZONE 1 PREMIUM'!$A$4:$N$16,14,0)</f>
        <v>8</v>
      </c>
      <c r="M1062">
        <f>VLOOKUP(D1062,DROPDOWN!B:C,2,0)</f>
        <v>6</v>
      </c>
      <c r="N1062" t="str">
        <f t="shared" si="54"/>
        <v>AU65:BM76</v>
      </c>
      <c r="O1062" s="4">
        <f t="shared" ca="1" si="55"/>
        <v>78428.25</v>
      </c>
    </row>
    <row r="1063" spans="1:15">
      <c r="A1063" s="2" t="s">
        <v>18</v>
      </c>
      <c r="B1063" t="s">
        <v>39</v>
      </c>
      <c r="C1063" t="s">
        <v>40</v>
      </c>
      <c r="D1063">
        <v>10</v>
      </c>
      <c r="E1063" t="s">
        <v>46</v>
      </c>
      <c r="F1063">
        <v>5</v>
      </c>
      <c r="G1063">
        <v>1</v>
      </c>
      <c r="H1063">
        <v>4</v>
      </c>
      <c r="I1063">
        <v>1</v>
      </c>
      <c r="J1063" s="4" t="s">
        <v>55</v>
      </c>
      <c r="K1063" t="str">
        <f t="shared" si="56"/>
        <v>1+4</v>
      </c>
      <c r="L1063">
        <f>VLOOKUP(A1063,'ZONE 1 PREMIUM'!$A$4:$N$16,14,0)</f>
        <v>9</v>
      </c>
      <c r="M1063">
        <f>VLOOKUP(D1063,DROPDOWN!B:C,2,0)</f>
        <v>6</v>
      </c>
      <c r="N1063" t="str">
        <f t="shared" si="54"/>
        <v>AU65:BM76</v>
      </c>
      <c r="O1063" s="4">
        <f t="shared" ca="1" si="55"/>
        <v>99984.375</v>
      </c>
    </row>
    <row r="1064" spans="1:15">
      <c r="A1064" s="2" t="s">
        <v>19</v>
      </c>
      <c r="B1064" t="s">
        <v>41</v>
      </c>
      <c r="C1064" t="s">
        <v>42</v>
      </c>
      <c r="D1064">
        <v>10</v>
      </c>
      <c r="E1064" t="s">
        <v>46</v>
      </c>
      <c r="F1064">
        <v>5</v>
      </c>
      <c r="G1064">
        <v>1</v>
      </c>
      <c r="H1064">
        <v>4</v>
      </c>
      <c r="I1064">
        <v>1</v>
      </c>
      <c r="J1064" s="4" t="s">
        <v>55</v>
      </c>
      <c r="K1064" t="str">
        <f t="shared" si="56"/>
        <v>1+4</v>
      </c>
      <c r="L1064">
        <f>VLOOKUP(A1064,'ZONE 1 PREMIUM'!$A$4:$N$16,14,0)</f>
        <v>10</v>
      </c>
      <c r="M1064">
        <f>VLOOKUP(D1064,DROPDOWN!B:C,2,0)</f>
        <v>6</v>
      </c>
      <c r="N1064" t="str">
        <f t="shared" si="54"/>
        <v>AU65:BM76</v>
      </c>
      <c r="O1064" s="4">
        <f t="shared" ca="1" si="55"/>
        <v>121343.625</v>
      </c>
    </row>
    <row r="1065" spans="1:15">
      <c r="A1065" s="2" t="s">
        <v>20</v>
      </c>
      <c r="B1065" t="s">
        <v>43</v>
      </c>
      <c r="C1065" t="s">
        <v>44</v>
      </c>
      <c r="D1065">
        <v>10</v>
      </c>
      <c r="E1065" t="s">
        <v>46</v>
      </c>
      <c r="F1065">
        <v>5</v>
      </c>
      <c r="G1065">
        <v>1</v>
      </c>
      <c r="H1065">
        <v>4</v>
      </c>
      <c r="I1065">
        <v>1</v>
      </c>
      <c r="J1065" s="4" t="s">
        <v>55</v>
      </c>
      <c r="K1065" t="str">
        <f t="shared" si="56"/>
        <v>1+4</v>
      </c>
      <c r="L1065">
        <f>VLOOKUP(A1065,'ZONE 1 PREMIUM'!$A$4:$N$16,14,0)</f>
        <v>11</v>
      </c>
      <c r="M1065">
        <f>VLOOKUP(D1065,DROPDOWN!B:C,2,0)</f>
        <v>6</v>
      </c>
      <c r="N1065" t="str">
        <f t="shared" si="54"/>
        <v>AU65:BM76</v>
      </c>
      <c r="O1065" s="4">
        <f t="shared" ca="1" si="55"/>
        <v>140792.625</v>
      </c>
    </row>
    <row r="1066" spans="1:15">
      <c r="A1066" s="2" t="s">
        <v>21</v>
      </c>
      <c r="B1066" t="s">
        <v>22</v>
      </c>
      <c r="D1066">
        <v>10</v>
      </c>
      <c r="E1066" t="s">
        <v>46</v>
      </c>
      <c r="F1066">
        <v>5</v>
      </c>
      <c r="G1066">
        <v>1</v>
      </c>
      <c r="H1066">
        <v>4</v>
      </c>
      <c r="I1066">
        <v>1</v>
      </c>
      <c r="J1066" s="4" t="s">
        <v>55</v>
      </c>
      <c r="K1066" t="str">
        <f t="shared" si="56"/>
        <v>1+4</v>
      </c>
      <c r="L1066">
        <f>VLOOKUP(A1066,'ZONE 1 PREMIUM'!$A$4:$N$16,14,0)</f>
        <v>12</v>
      </c>
      <c r="M1066">
        <f>VLOOKUP(D1066,DROPDOWN!B:C,2,0)</f>
        <v>6</v>
      </c>
      <c r="N1066" t="str">
        <f t="shared" si="54"/>
        <v>AU65:BM76</v>
      </c>
      <c r="O1066" s="4">
        <f t="shared" ca="1" si="55"/>
        <v>180904.5</v>
      </c>
    </row>
    <row r="1067" spans="1:15">
      <c r="A1067" s="2" t="s">
        <v>11</v>
      </c>
      <c r="B1067" t="s">
        <v>45</v>
      </c>
      <c r="C1067" t="s">
        <v>25</v>
      </c>
      <c r="D1067">
        <v>10</v>
      </c>
      <c r="E1067" t="s">
        <v>46</v>
      </c>
      <c r="F1067">
        <v>2</v>
      </c>
      <c r="G1067">
        <v>2</v>
      </c>
      <c r="H1067">
        <v>0</v>
      </c>
      <c r="I1067">
        <v>1</v>
      </c>
      <c r="J1067" s="4" t="s">
        <v>55</v>
      </c>
      <c r="K1067" t="str">
        <f t="shared" si="56"/>
        <v>2+0</v>
      </c>
      <c r="L1067">
        <f>VLOOKUP(A1067,'ZONE 1 PREMIUM'!$A$4:$N$16,14,0)</f>
        <v>2</v>
      </c>
      <c r="M1067">
        <f>VLOOKUP(D1067,DROPDOWN!B:C,2,0)</f>
        <v>6</v>
      </c>
      <c r="N1067" t="str">
        <f t="shared" si="54"/>
        <v>AU81:BM92</v>
      </c>
      <c r="O1067" s="4">
        <f t="shared" ca="1" si="55"/>
        <v>23923.125</v>
      </c>
    </row>
    <row r="1068" spans="1:15">
      <c r="A1068" s="2" t="s">
        <v>12</v>
      </c>
      <c r="B1068" t="s">
        <v>27</v>
      </c>
      <c r="C1068" t="s">
        <v>28</v>
      </c>
      <c r="D1068">
        <v>10</v>
      </c>
      <c r="E1068" t="s">
        <v>46</v>
      </c>
      <c r="F1068">
        <v>2</v>
      </c>
      <c r="G1068">
        <v>2</v>
      </c>
      <c r="H1068">
        <v>0</v>
      </c>
      <c r="I1068">
        <v>1</v>
      </c>
      <c r="J1068" s="4" t="s">
        <v>55</v>
      </c>
      <c r="K1068" t="str">
        <f t="shared" si="56"/>
        <v>2+0</v>
      </c>
      <c r="L1068">
        <f>VLOOKUP(A1068,'ZONE 1 PREMIUM'!$A$4:$N$16,14,0)</f>
        <v>3</v>
      </c>
      <c r="M1068">
        <f>VLOOKUP(D1068,DROPDOWN!B:C,2,0)</f>
        <v>6</v>
      </c>
      <c r="N1068" t="str">
        <f t="shared" si="54"/>
        <v>AU81:BM92</v>
      </c>
      <c r="O1068" s="4">
        <f t="shared" ca="1" si="55"/>
        <v>27317.25</v>
      </c>
    </row>
    <row r="1069" spans="1:15">
      <c r="A1069" s="2" t="s">
        <v>13</v>
      </c>
      <c r="B1069" t="s">
        <v>29</v>
      </c>
      <c r="C1069" t="s">
        <v>30</v>
      </c>
      <c r="D1069">
        <v>10</v>
      </c>
      <c r="E1069" t="s">
        <v>46</v>
      </c>
      <c r="F1069">
        <v>2</v>
      </c>
      <c r="G1069">
        <v>2</v>
      </c>
      <c r="H1069">
        <v>0</v>
      </c>
      <c r="I1069">
        <v>1</v>
      </c>
      <c r="J1069" s="4" t="s">
        <v>55</v>
      </c>
      <c r="K1069" t="str">
        <f t="shared" si="56"/>
        <v>2+0</v>
      </c>
      <c r="L1069">
        <f>VLOOKUP(A1069,'ZONE 1 PREMIUM'!$A$4:$N$16,14,0)</f>
        <v>4</v>
      </c>
      <c r="M1069">
        <f>VLOOKUP(D1069,DROPDOWN!B:C,2,0)</f>
        <v>6</v>
      </c>
      <c r="N1069" t="str">
        <f t="shared" si="54"/>
        <v>AU81:BM92</v>
      </c>
      <c r="O1069" s="4">
        <f t="shared" ca="1" si="55"/>
        <v>30341.25</v>
      </c>
    </row>
    <row r="1070" spans="1:15">
      <c r="A1070" s="2" t="s">
        <v>14</v>
      </c>
      <c r="B1070" t="s">
        <v>31</v>
      </c>
      <c r="C1070" t="s">
        <v>32</v>
      </c>
      <c r="D1070">
        <v>10</v>
      </c>
      <c r="E1070" t="s">
        <v>46</v>
      </c>
      <c r="F1070">
        <v>2</v>
      </c>
      <c r="G1070">
        <v>2</v>
      </c>
      <c r="H1070">
        <v>0</v>
      </c>
      <c r="I1070">
        <v>1</v>
      </c>
      <c r="J1070" s="4" t="s">
        <v>55</v>
      </c>
      <c r="K1070" t="str">
        <f t="shared" si="56"/>
        <v>2+0</v>
      </c>
      <c r="L1070">
        <f>VLOOKUP(A1070,'ZONE 1 PREMIUM'!$A$4:$N$16,14,0)</f>
        <v>5</v>
      </c>
      <c r="M1070">
        <f>VLOOKUP(D1070,DROPDOWN!B:C,2,0)</f>
        <v>6</v>
      </c>
      <c r="N1070" t="str">
        <f t="shared" si="54"/>
        <v>AU81:BM92</v>
      </c>
      <c r="O1070" s="4">
        <f t="shared" ca="1" si="55"/>
        <v>35197.875</v>
      </c>
    </row>
    <row r="1071" spans="1:15">
      <c r="A1071" s="2" t="s">
        <v>15</v>
      </c>
      <c r="B1071" t="s">
        <v>33</v>
      </c>
      <c r="C1071" t="s">
        <v>34</v>
      </c>
      <c r="D1071">
        <v>10</v>
      </c>
      <c r="E1071" t="s">
        <v>46</v>
      </c>
      <c r="F1071">
        <v>2</v>
      </c>
      <c r="G1071">
        <v>2</v>
      </c>
      <c r="H1071">
        <v>0</v>
      </c>
      <c r="I1071">
        <v>1</v>
      </c>
      <c r="J1071" s="4" t="s">
        <v>55</v>
      </c>
      <c r="K1071" t="str">
        <f t="shared" si="56"/>
        <v>2+0</v>
      </c>
      <c r="L1071">
        <f>VLOOKUP(A1071,'ZONE 1 PREMIUM'!$A$4:$N$16,14,0)</f>
        <v>6</v>
      </c>
      <c r="M1071">
        <f>VLOOKUP(D1071,DROPDOWN!B:C,2,0)</f>
        <v>6</v>
      </c>
      <c r="N1071" t="str">
        <f t="shared" si="54"/>
        <v>AU81:BM92</v>
      </c>
      <c r="O1071" s="4">
        <f t="shared" ca="1" si="55"/>
        <v>46822.5</v>
      </c>
    </row>
    <row r="1072" spans="1:15">
      <c r="A1072" s="2" t="s">
        <v>16</v>
      </c>
      <c r="B1072" t="s">
        <v>35</v>
      </c>
      <c r="C1072" t="s">
        <v>36</v>
      </c>
      <c r="D1072">
        <v>10</v>
      </c>
      <c r="E1072" t="s">
        <v>46</v>
      </c>
      <c r="F1072">
        <v>2</v>
      </c>
      <c r="G1072">
        <v>2</v>
      </c>
      <c r="H1072">
        <v>0</v>
      </c>
      <c r="I1072">
        <v>1</v>
      </c>
      <c r="J1072" s="4" t="s">
        <v>55</v>
      </c>
      <c r="K1072" t="str">
        <f t="shared" si="56"/>
        <v>2+0</v>
      </c>
      <c r="L1072">
        <f>VLOOKUP(A1072,'ZONE 1 PREMIUM'!$A$4:$N$16,14,0)</f>
        <v>7</v>
      </c>
      <c r="M1072">
        <f>VLOOKUP(D1072,DROPDOWN!B:C,2,0)</f>
        <v>6</v>
      </c>
      <c r="N1072" t="str">
        <f t="shared" si="54"/>
        <v>AU81:BM92</v>
      </c>
      <c r="O1072" s="4">
        <f t="shared" ca="1" si="55"/>
        <v>62766</v>
      </c>
    </row>
    <row r="1073" spans="1:15">
      <c r="A1073" s="2" t="s">
        <v>17</v>
      </c>
      <c r="B1073" t="s">
        <v>37</v>
      </c>
      <c r="C1073" t="s">
        <v>38</v>
      </c>
      <c r="D1073">
        <v>10</v>
      </c>
      <c r="E1073" t="s">
        <v>46</v>
      </c>
      <c r="F1073">
        <v>2</v>
      </c>
      <c r="G1073">
        <v>2</v>
      </c>
      <c r="H1073">
        <v>0</v>
      </c>
      <c r="I1073">
        <v>1</v>
      </c>
      <c r="J1073" s="4" t="s">
        <v>55</v>
      </c>
      <c r="K1073" t="str">
        <f t="shared" si="56"/>
        <v>2+0</v>
      </c>
      <c r="L1073">
        <f>VLOOKUP(A1073,'ZONE 1 PREMIUM'!$A$4:$N$16,14,0)</f>
        <v>8</v>
      </c>
      <c r="M1073">
        <f>VLOOKUP(D1073,DROPDOWN!B:C,2,0)</f>
        <v>6</v>
      </c>
      <c r="N1073" t="str">
        <f t="shared" si="54"/>
        <v>AU81:BM92</v>
      </c>
      <c r="O1073" s="4">
        <f t="shared" ca="1" si="55"/>
        <v>85727.25</v>
      </c>
    </row>
    <row r="1074" spans="1:15">
      <c r="A1074" s="2" t="s">
        <v>18</v>
      </c>
      <c r="B1074" t="s">
        <v>39</v>
      </c>
      <c r="C1074" t="s">
        <v>40</v>
      </c>
      <c r="D1074">
        <v>10</v>
      </c>
      <c r="E1074" t="s">
        <v>46</v>
      </c>
      <c r="F1074">
        <v>2</v>
      </c>
      <c r="G1074">
        <v>2</v>
      </c>
      <c r="H1074">
        <v>0</v>
      </c>
      <c r="I1074">
        <v>1</v>
      </c>
      <c r="J1074" s="4" t="s">
        <v>55</v>
      </c>
      <c r="K1074" t="str">
        <f t="shared" si="56"/>
        <v>2+0</v>
      </c>
      <c r="L1074">
        <f>VLOOKUP(A1074,'ZONE 1 PREMIUM'!$A$4:$N$16,14,0)</f>
        <v>9</v>
      </c>
      <c r="M1074">
        <f>VLOOKUP(D1074,DROPDOWN!B:C,2,0)</f>
        <v>6</v>
      </c>
      <c r="N1074" t="str">
        <f t="shared" ref="N1074:N1121" si="57">VLOOKUP(K1074,$BN$3:$BO$12,2,0)</f>
        <v>AU81:BM92</v>
      </c>
      <c r="O1074" s="4">
        <f t="shared" ca="1" si="55"/>
        <v>121568.625</v>
      </c>
    </row>
    <row r="1075" spans="1:15">
      <c r="A1075" s="2" t="s">
        <v>19</v>
      </c>
      <c r="B1075" t="s">
        <v>41</v>
      </c>
      <c r="C1075" t="s">
        <v>42</v>
      </c>
      <c r="D1075">
        <v>10</v>
      </c>
      <c r="E1075" t="s">
        <v>46</v>
      </c>
      <c r="F1075">
        <v>2</v>
      </c>
      <c r="G1075">
        <v>2</v>
      </c>
      <c r="H1075">
        <v>0</v>
      </c>
      <c r="I1075">
        <v>1</v>
      </c>
      <c r="J1075" s="4" t="s">
        <v>55</v>
      </c>
      <c r="K1075" t="str">
        <f t="shared" si="56"/>
        <v>2+0</v>
      </c>
      <c r="L1075">
        <f>VLOOKUP(A1075,'ZONE 1 PREMIUM'!$A$4:$N$16,14,0)</f>
        <v>10</v>
      </c>
      <c r="M1075">
        <f>VLOOKUP(D1075,DROPDOWN!B:C,2,0)</f>
        <v>6</v>
      </c>
      <c r="N1075" t="str">
        <f t="shared" si="57"/>
        <v>AU81:BM92</v>
      </c>
      <c r="O1075" s="4">
        <f t="shared" ca="1" si="55"/>
        <v>169095.375</v>
      </c>
    </row>
    <row r="1076" spans="1:15">
      <c r="A1076" s="2" t="s">
        <v>20</v>
      </c>
      <c r="B1076" t="s">
        <v>43</v>
      </c>
      <c r="C1076" t="s">
        <v>44</v>
      </c>
      <c r="D1076">
        <v>10</v>
      </c>
      <c r="E1076" t="s">
        <v>46</v>
      </c>
      <c r="F1076">
        <v>2</v>
      </c>
      <c r="G1076">
        <v>2</v>
      </c>
      <c r="H1076">
        <v>0</v>
      </c>
      <c r="I1076">
        <v>1</v>
      </c>
      <c r="J1076" s="4" t="s">
        <v>55</v>
      </c>
      <c r="K1076" t="str">
        <f t="shared" si="56"/>
        <v>2+0</v>
      </c>
      <c r="L1076">
        <f>VLOOKUP(A1076,'ZONE 1 PREMIUM'!$A$4:$N$16,14,0)</f>
        <v>11</v>
      </c>
      <c r="M1076">
        <f>VLOOKUP(D1076,DROPDOWN!B:C,2,0)</f>
        <v>6</v>
      </c>
      <c r="N1076" t="str">
        <f t="shared" si="57"/>
        <v>AU81:BM92</v>
      </c>
      <c r="O1076" s="4">
        <f t="shared" ca="1" si="55"/>
        <v>208872</v>
      </c>
    </row>
    <row r="1077" spans="1:15">
      <c r="A1077" s="2" t="s">
        <v>21</v>
      </c>
      <c r="B1077" t="s">
        <v>22</v>
      </c>
      <c r="D1077">
        <v>10</v>
      </c>
      <c r="E1077" t="s">
        <v>46</v>
      </c>
      <c r="F1077">
        <v>2</v>
      </c>
      <c r="G1077">
        <v>2</v>
      </c>
      <c r="H1077">
        <v>0</v>
      </c>
      <c r="I1077">
        <v>1</v>
      </c>
      <c r="J1077" s="4" t="s">
        <v>55</v>
      </c>
      <c r="K1077" t="str">
        <f t="shared" si="56"/>
        <v>2+0</v>
      </c>
      <c r="L1077">
        <f>VLOOKUP(A1077,'ZONE 1 PREMIUM'!$A$4:$N$16,14,0)</f>
        <v>12</v>
      </c>
      <c r="M1077">
        <f>VLOOKUP(D1077,DROPDOWN!B:C,2,0)</f>
        <v>6</v>
      </c>
      <c r="N1077" t="str">
        <f t="shared" si="57"/>
        <v>AU81:BM92</v>
      </c>
      <c r="O1077" s="4">
        <f t="shared" ca="1" si="55"/>
        <v>267034.5</v>
      </c>
    </row>
    <row r="1078" spans="1:15">
      <c r="A1078" s="2" t="s">
        <v>11</v>
      </c>
      <c r="B1078" t="s">
        <v>45</v>
      </c>
      <c r="C1078" t="s">
        <v>25</v>
      </c>
      <c r="D1078">
        <v>10</v>
      </c>
      <c r="E1078" t="s">
        <v>46</v>
      </c>
      <c r="F1078">
        <v>3</v>
      </c>
      <c r="G1078">
        <v>2</v>
      </c>
      <c r="H1078">
        <v>1</v>
      </c>
      <c r="I1078">
        <v>1</v>
      </c>
      <c r="J1078" s="4" t="s">
        <v>55</v>
      </c>
      <c r="K1078" t="str">
        <f t="shared" si="56"/>
        <v>2+1</v>
      </c>
      <c r="L1078">
        <f>VLOOKUP(A1078,'ZONE 1 PREMIUM'!$A$4:$N$16,14,0)</f>
        <v>2</v>
      </c>
      <c r="M1078">
        <f>VLOOKUP(D1078,DROPDOWN!B:C,2,0)</f>
        <v>6</v>
      </c>
      <c r="N1078" t="str">
        <f t="shared" si="57"/>
        <v>AU98:BM109</v>
      </c>
      <c r="O1078" s="4">
        <f t="shared" ca="1" si="55"/>
        <v>29049.75</v>
      </c>
    </row>
    <row r="1079" spans="1:15">
      <c r="A1079" s="2" t="s">
        <v>12</v>
      </c>
      <c r="B1079" t="s">
        <v>27</v>
      </c>
      <c r="C1079" t="s">
        <v>28</v>
      </c>
      <c r="D1079">
        <v>10</v>
      </c>
      <c r="E1079" t="s">
        <v>46</v>
      </c>
      <c r="F1079">
        <v>3</v>
      </c>
      <c r="G1079">
        <v>2</v>
      </c>
      <c r="H1079">
        <v>1</v>
      </c>
      <c r="I1079">
        <v>1</v>
      </c>
      <c r="J1079" s="4" t="s">
        <v>55</v>
      </c>
      <c r="K1079" t="str">
        <f t="shared" si="56"/>
        <v>2+1</v>
      </c>
      <c r="L1079">
        <f>VLOOKUP(A1079,'ZONE 1 PREMIUM'!$A$4:$N$16,14,0)</f>
        <v>3</v>
      </c>
      <c r="M1079">
        <f>VLOOKUP(D1079,DROPDOWN!B:C,2,0)</f>
        <v>6</v>
      </c>
      <c r="N1079" t="str">
        <f t="shared" si="57"/>
        <v>AU98:BM109</v>
      </c>
      <c r="O1079" s="4">
        <f t="shared" ca="1" si="55"/>
        <v>32355</v>
      </c>
    </row>
    <row r="1080" spans="1:15">
      <c r="A1080" s="2" t="s">
        <v>13</v>
      </c>
      <c r="B1080" t="s">
        <v>29</v>
      </c>
      <c r="C1080" t="s">
        <v>30</v>
      </c>
      <c r="D1080">
        <v>10</v>
      </c>
      <c r="E1080" t="s">
        <v>46</v>
      </c>
      <c r="F1080">
        <v>3</v>
      </c>
      <c r="G1080">
        <v>2</v>
      </c>
      <c r="H1080">
        <v>1</v>
      </c>
      <c r="I1080">
        <v>1</v>
      </c>
      <c r="J1080" s="4" t="s">
        <v>55</v>
      </c>
      <c r="K1080" t="str">
        <f t="shared" si="56"/>
        <v>2+1</v>
      </c>
      <c r="L1080">
        <f>VLOOKUP(A1080,'ZONE 1 PREMIUM'!$A$4:$N$16,14,0)</f>
        <v>4</v>
      </c>
      <c r="M1080">
        <f>VLOOKUP(D1080,DROPDOWN!B:C,2,0)</f>
        <v>6</v>
      </c>
      <c r="N1080" t="str">
        <f t="shared" si="57"/>
        <v>AU98:BM109</v>
      </c>
      <c r="O1080" s="4">
        <f t="shared" ca="1" si="55"/>
        <v>36193.5</v>
      </c>
    </row>
    <row r="1081" spans="1:15">
      <c r="A1081" s="2" t="s">
        <v>14</v>
      </c>
      <c r="B1081" t="s">
        <v>31</v>
      </c>
      <c r="C1081" t="s">
        <v>32</v>
      </c>
      <c r="D1081">
        <v>10</v>
      </c>
      <c r="E1081" t="s">
        <v>46</v>
      </c>
      <c r="F1081">
        <v>3</v>
      </c>
      <c r="G1081">
        <v>2</v>
      </c>
      <c r="H1081">
        <v>1</v>
      </c>
      <c r="I1081">
        <v>1</v>
      </c>
      <c r="J1081" s="4" t="s">
        <v>55</v>
      </c>
      <c r="K1081" t="str">
        <f t="shared" si="56"/>
        <v>2+1</v>
      </c>
      <c r="L1081">
        <f>VLOOKUP(A1081,'ZONE 1 PREMIUM'!$A$4:$N$16,14,0)</f>
        <v>5</v>
      </c>
      <c r="M1081">
        <f>VLOOKUP(D1081,DROPDOWN!B:C,2,0)</f>
        <v>6</v>
      </c>
      <c r="N1081" t="str">
        <f t="shared" si="57"/>
        <v>AU98:BM109</v>
      </c>
      <c r="O1081" s="4">
        <f t="shared" ca="1" si="55"/>
        <v>41441.625</v>
      </c>
    </row>
    <row r="1082" spans="1:15">
      <c r="A1082" s="2" t="s">
        <v>15</v>
      </c>
      <c r="B1082" t="s">
        <v>33</v>
      </c>
      <c r="C1082" t="s">
        <v>34</v>
      </c>
      <c r="D1082">
        <v>10</v>
      </c>
      <c r="E1082" t="s">
        <v>46</v>
      </c>
      <c r="F1082">
        <v>3</v>
      </c>
      <c r="G1082">
        <v>2</v>
      </c>
      <c r="H1082">
        <v>1</v>
      </c>
      <c r="I1082">
        <v>1</v>
      </c>
      <c r="J1082" s="4" t="s">
        <v>55</v>
      </c>
      <c r="K1082" t="str">
        <f t="shared" si="56"/>
        <v>2+1</v>
      </c>
      <c r="L1082">
        <f>VLOOKUP(A1082,'ZONE 1 PREMIUM'!$A$4:$N$16,14,0)</f>
        <v>6</v>
      </c>
      <c r="M1082">
        <f>VLOOKUP(D1082,DROPDOWN!B:C,2,0)</f>
        <v>6</v>
      </c>
      <c r="N1082" t="str">
        <f t="shared" si="57"/>
        <v>AU98:BM109</v>
      </c>
      <c r="O1082" s="4">
        <f t="shared" ca="1" si="55"/>
        <v>53832.375</v>
      </c>
    </row>
    <row r="1083" spans="1:15">
      <c r="A1083" s="2" t="s">
        <v>16</v>
      </c>
      <c r="B1083" t="s">
        <v>35</v>
      </c>
      <c r="C1083" t="s">
        <v>36</v>
      </c>
      <c r="D1083">
        <v>10</v>
      </c>
      <c r="E1083" t="s">
        <v>46</v>
      </c>
      <c r="F1083">
        <v>3</v>
      </c>
      <c r="G1083">
        <v>2</v>
      </c>
      <c r="H1083">
        <v>1</v>
      </c>
      <c r="I1083">
        <v>1</v>
      </c>
      <c r="J1083" s="4" t="s">
        <v>55</v>
      </c>
      <c r="K1083" t="str">
        <f t="shared" si="56"/>
        <v>2+1</v>
      </c>
      <c r="L1083">
        <f>VLOOKUP(A1083,'ZONE 1 PREMIUM'!$A$4:$N$16,14,0)</f>
        <v>7</v>
      </c>
      <c r="M1083">
        <f>VLOOKUP(D1083,DROPDOWN!B:C,2,0)</f>
        <v>6</v>
      </c>
      <c r="N1083" t="str">
        <f t="shared" si="57"/>
        <v>AU98:BM109</v>
      </c>
      <c r="O1083" s="4">
        <f t="shared" ca="1" si="55"/>
        <v>71451</v>
      </c>
    </row>
    <row r="1084" spans="1:15">
      <c r="A1084" s="2" t="s">
        <v>17</v>
      </c>
      <c r="B1084" t="s">
        <v>37</v>
      </c>
      <c r="C1084" t="s">
        <v>38</v>
      </c>
      <c r="D1084">
        <v>10</v>
      </c>
      <c r="E1084" t="s">
        <v>46</v>
      </c>
      <c r="F1084">
        <v>3</v>
      </c>
      <c r="G1084">
        <v>2</v>
      </c>
      <c r="H1084">
        <v>1</v>
      </c>
      <c r="I1084">
        <v>1</v>
      </c>
      <c r="J1084" s="4" t="s">
        <v>55</v>
      </c>
      <c r="K1084" t="str">
        <f t="shared" si="56"/>
        <v>2+1</v>
      </c>
      <c r="L1084">
        <f>VLOOKUP(A1084,'ZONE 1 PREMIUM'!$A$4:$N$16,14,0)</f>
        <v>8</v>
      </c>
      <c r="M1084">
        <f>VLOOKUP(D1084,DROPDOWN!B:C,2,0)</f>
        <v>6</v>
      </c>
      <c r="N1084" t="str">
        <f t="shared" si="57"/>
        <v>AU98:BM109</v>
      </c>
      <c r="O1084" s="4">
        <f t="shared" ca="1" si="55"/>
        <v>95081.625</v>
      </c>
    </row>
    <row r="1085" spans="1:15">
      <c r="A1085" s="2" t="s">
        <v>18</v>
      </c>
      <c r="B1085" t="s">
        <v>39</v>
      </c>
      <c r="C1085" t="s">
        <v>40</v>
      </c>
      <c r="D1085">
        <v>10</v>
      </c>
      <c r="E1085" t="s">
        <v>46</v>
      </c>
      <c r="F1085">
        <v>3</v>
      </c>
      <c r="G1085">
        <v>2</v>
      </c>
      <c r="H1085">
        <v>1</v>
      </c>
      <c r="I1085">
        <v>1</v>
      </c>
      <c r="J1085" s="4" t="s">
        <v>55</v>
      </c>
      <c r="K1085" t="str">
        <f t="shared" si="56"/>
        <v>2+1</v>
      </c>
      <c r="L1085">
        <f>VLOOKUP(A1085,'ZONE 1 PREMIUM'!$A$4:$N$16,14,0)</f>
        <v>9</v>
      </c>
      <c r="M1085">
        <f>VLOOKUP(D1085,DROPDOWN!B:C,2,0)</f>
        <v>6</v>
      </c>
      <c r="N1085" t="str">
        <f t="shared" si="57"/>
        <v>AU98:BM109</v>
      </c>
      <c r="O1085" s="4">
        <f t="shared" ca="1" si="55"/>
        <v>131090.625</v>
      </c>
    </row>
    <row r="1086" spans="1:15">
      <c r="A1086" s="2" t="s">
        <v>19</v>
      </c>
      <c r="B1086" t="s">
        <v>41</v>
      </c>
      <c r="C1086" t="s">
        <v>42</v>
      </c>
      <c r="D1086">
        <v>10</v>
      </c>
      <c r="E1086" t="s">
        <v>46</v>
      </c>
      <c r="F1086">
        <v>3</v>
      </c>
      <c r="G1086">
        <v>2</v>
      </c>
      <c r="H1086">
        <v>1</v>
      </c>
      <c r="I1086">
        <v>1</v>
      </c>
      <c r="J1086" s="4" t="s">
        <v>55</v>
      </c>
      <c r="K1086" t="str">
        <f t="shared" si="56"/>
        <v>2+1</v>
      </c>
      <c r="L1086">
        <f>VLOOKUP(A1086,'ZONE 1 PREMIUM'!$A$4:$N$16,14,0)</f>
        <v>10</v>
      </c>
      <c r="M1086">
        <f>VLOOKUP(D1086,DROPDOWN!B:C,2,0)</f>
        <v>6</v>
      </c>
      <c r="N1086" t="str">
        <f t="shared" si="57"/>
        <v>AU98:BM109</v>
      </c>
      <c r="O1086" s="4">
        <f t="shared" ca="1" si="55"/>
        <v>174804.75</v>
      </c>
    </row>
    <row r="1087" spans="1:15">
      <c r="A1087" s="2" t="s">
        <v>20</v>
      </c>
      <c r="B1087" t="s">
        <v>43</v>
      </c>
      <c r="C1087" t="s">
        <v>44</v>
      </c>
      <c r="D1087">
        <v>10</v>
      </c>
      <c r="E1087" t="s">
        <v>46</v>
      </c>
      <c r="F1087">
        <v>3</v>
      </c>
      <c r="G1087">
        <v>2</v>
      </c>
      <c r="H1087">
        <v>1</v>
      </c>
      <c r="I1087">
        <v>1</v>
      </c>
      <c r="J1087" s="4" t="s">
        <v>55</v>
      </c>
      <c r="K1087" t="str">
        <f t="shared" si="56"/>
        <v>2+1</v>
      </c>
      <c r="L1087">
        <f>VLOOKUP(A1087,'ZONE 1 PREMIUM'!$A$4:$N$16,14,0)</f>
        <v>11</v>
      </c>
      <c r="M1087">
        <f>VLOOKUP(D1087,DROPDOWN!B:C,2,0)</f>
        <v>6</v>
      </c>
      <c r="N1087" t="str">
        <f t="shared" si="57"/>
        <v>AU98:BM109</v>
      </c>
      <c r="O1087" s="4">
        <f t="shared" ca="1" si="55"/>
        <v>213202.125</v>
      </c>
    </row>
    <row r="1088" spans="1:15">
      <c r="A1088" s="2" t="s">
        <v>21</v>
      </c>
      <c r="B1088" t="s">
        <v>22</v>
      </c>
      <c r="D1088">
        <v>10</v>
      </c>
      <c r="E1088" t="s">
        <v>46</v>
      </c>
      <c r="F1088">
        <v>3</v>
      </c>
      <c r="G1088">
        <v>2</v>
      </c>
      <c r="H1088">
        <v>1</v>
      </c>
      <c r="I1088">
        <v>1</v>
      </c>
      <c r="J1088" s="4" t="s">
        <v>55</v>
      </c>
      <c r="K1088" t="str">
        <f t="shared" si="56"/>
        <v>2+1</v>
      </c>
      <c r="L1088">
        <f>VLOOKUP(A1088,'ZONE 1 PREMIUM'!$A$4:$N$16,14,0)</f>
        <v>12</v>
      </c>
      <c r="M1088">
        <f>VLOOKUP(D1088,DROPDOWN!B:C,2,0)</f>
        <v>6</v>
      </c>
      <c r="N1088" t="str">
        <f t="shared" si="57"/>
        <v>AU98:BM109</v>
      </c>
      <c r="O1088" s="4">
        <f t="shared" ca="1" si="55"/>
        <v>271152</v>
      </c>
    </row>
    <row r="1089" spans="1:15">
      <c r="A1089" s="2" t="s">
        <v>11</v>
      </c>
      <c r="B1089" t="s">
        <v>45</v>
      </c>
      <c r="C1089" t="s">
        <v>25</v>
      </c>
      <c r="D1089">
        <v>10</v>
      </c>
      <c r="E1089" t="s">
        <v>46</v>
      </c>
      <c r="F1089">
        <v>4</v>
      </c>
      <c r="G1089">
        <v>2</v>
      </c>
      <c r="H1089">
        <v>2</v>
      </c>
      <c r="I1089">
        <v>1</v>
      </c>
      <c r="J1089" s="4" t="s">
        <v>55</v>
      </c>
      <c r="K1089" t="str">
        <f t="shared" si="56"/>
        <v>2+2</v>
      </c>
      <c r="L1089">
        <f>VLOOKUP(A1089,'ZONE 1 PREMIUM'!$A$4:$N$16,14,0)</f>
        <v>2</v>
      </c>
      <c r="M1089">
        <f>VLOOKUP(D1089,DROPDOWN!B:C,2,0)</f>
        <v>6</v>
      </c>
      <c r="N1089" t="str">
        <f t="shared" si="57"/>
        <v>AU113:BM124</v>
      </c>
      <c r="O1089" s="4">
        <f t="shared" ca="1" si="55"/>
        <v>34018.875</v>
      </c>
    </row>
    <row r="1090" spans="1:15">
      <c r="A1090" s="2" t="s">
        <v>12</v>
      </c>
      <c r="B1090" t="s">
        <v>27</v>
      </c>
      <c r="C1090" t="s">
        <v>28</v>
      </c>
      <c r="D1090">
        <v>10</v>
      </c>
      <c r="E1090" t="s">
        <v>46</v>
      </c>
      <c r="F1090">
        <v>4</v>
      </c>
      <c r="G1090">
        <v>2</v>
      </c>
      <c r="H1090">
        <v>2</v>
      </c>
      <c r="I1090">
        <v>1</v>
      </c>
      <c r="J1090" s="4" t="s">
        <v>55</v>
      </c>
      <c r="K1090" t="str">
        <f t="shared" si="56"/>
        <v>2+2</v>
      </c>
      <c r="L1090">
        <f>VLOOKUP(A1090,'ZONE 1 PREMIUM'!$A$4:$N$16,14,0)</f>
        <v>3</v>
      </c>
      <c r="M1090">
        <f>VLOOKUP(D1090,DROPDOWN!B:C,2,0)</f>
        <v>6</v>
      </c>
      <c r="N1090" t="str">
        <f t="shared" si="57"/>
        <v>AU113:BM124</v>
      </c>
      <c r="O1090" s="4">
        <f t="shared" ref="O1090:O1153" ca="1" si="58">INDEX(INDIRECT(N1090),L1090,M1090)</f>
        <v>37234.125</v>
      </c>
    </row>
    <row r="1091" spans="1:15">
      <c r="A1091" s="2" t="s">
        <v>13</v>
      </c>
      <c r="B1091" t="s">
        <v>29</v>
      </c>
      <c r="C1091" t="s">
        <v>30</v>
      </c>
      <c r="D1091">
        <v>10</v>
      </c>
      <c r="E1091" t="s">
        <v>46</v>
      </c>
      <c r="F1091">
        <v>4</v>
      </c>
      <c r="G1091">
        <v>2</v>
      </c>
      <c r="H1091">
        <v>2</v>
      </c>
      <c r="I1091">
        <v>1</v>
      </c>
      <c r="J1091" s="4" t="s">
        <v>55</v>
      </c>
      <c r="K1091" t="str">
        <f t="shared" si="56"/>
        <v>2+2</v>
      </c>
      <c r="L1091">
        <f>VLOOKUP(A1091,'ZONE 1 PREMIUM'!$A$4:$N$16,14,0)</f>
        <v>4</v>
      </c>
      <c r="M1091">
        <f>VLOOKUP(D1091,DROPDOWN!B:C,2,0)</f>
        <v>6</v>
      </c>
      <c r="N1091" t="str">
        <f t="shared" si="57"/>
        <v>AU113:BM124</v>
      </c>
      <c r="O1091" s="4">
        <f t="shared" ca="1" si="58"/>
        <v>41846.625</v>
      </c>
    </row>
    <row r="1092" spans="1:15">
      <c r="A1092" s="2" t="s">
        <v>14</v>
      </c>
      <c r="B1092" t="s">
        <v>31</v>
      </c>
      <c r="C1092" t="s">
        <v>32</v>
      </c>
      <c r="D1092">
        <v>10</v>
      </c>
      <c r="E1092" t="s">
        <v>46</v>
      </c>
      <c r="F1092">
        <v>4</v>
      </c>
      <c r="G1092">
        <v>2</v>
      </c>
      <c r="H1092">
        <v>2</v>
      </c>
      <c r="I1092">
        <v>1</v>
      </c>
      <c r="J1092" s="4" t="s">
        <v>55</v>
      </c>
      <c r="K1092" t="str">
        <f t="shared" ref="K1092:K1155" si="59">G1092&amp;"+"&amp;H1092</f>
        <v>2+2</v>
      </c>
      <c r="L1092">
        <f>VLOOKUP(A1092,'ZONE 1 PREMIUM'!$A$4:$N$16,14,0)</f>
        <v>5</v>
      </c>
      <c r="M1092">
        <f>VLOOKUP(D1092,DROPDOWN!B:C,2,0)</f>
        <v>6</v>
      </c>
      <c r="N1092" t="str">
        <f t="shared" si="57"/>
        <v>AU113:BM124</v>
      </c>
      <c r="O1092" s="4">
        <f t="shared" ca="1" si="58"/>
        <v>47457</v>
      </c>
    </row>
    <row r="1093" spans="1:15">
      <c r="A1093" s="2" t="s">
        <v>15</v>
      </c>
      <c r="B1093" t="s">
        <v>33</v>
      </c>
      <c r="C1093" t="s">
        <v>34</v>
      </c>
      <c r="D1093">
        <v>10</v>
      </c>
      <c r="E1093" t="s">
        <v>46</v>
      </c>
      <c r="F1093">
        <v>4</v>
      </c>
      <c r="G1093">
        <v>2</v>
      </c>
      <c r="H1093">
        <v>2</v>
      </c>
      <c r="I1093">
        <v>1</v>
      </c>
      <c r="J1093" s="4" t="s">
        <v>55</v>
      </c>
      <c r="K1093" t="str">
        <f t="shared" si="59"/>
        <v>2+2</v>
      </c>
      <c r="L1093">
        <f>VLOOKUP(A1093,'ZONE 1 PREMIUM'!$A$4:$N$16,14,0)</f>
        <v>6</v>
      </c>
      <c r="M1093">
        <f>VLOOKUP(D1093,DROPDOWN!B:C,2,0)</f>
        <v>6</v>
      </c>
      <c r="N1093" t="str">
        <f t="shared" si="57"/>
        <v>AU113:BM124</v>
      </c>
      <c r="O1093" s="4">
        <f t="shared" ca="1" si="58"/>
        <v>60579</v>
      </c>
    </row>
    <row r="1094" spans="1:15">
      <c r="A1094" s="2" t="s">
        <v>16</v>
      </c>
      <c r="B1094" t="s">
        <v>35</v>
      </c>
      <c r="C1094" t="s">
        <v>36</v>
      </c>
      <c r="D1094">
        <v>10</v>
      </c>
      <c r="E1094" t="s">
        <v>46</v>
      </c>
      <c r="F1094">
        <v>4</v>
      </c>
      <c r="G1094">
        <v>2</v>
      </c>
      <c r="H1094">
        <v>2</v>
      </c>
      <c r="I1094">
        <v>1</v>
      </c>
      <c r="J1094" s="4" t="s">
        <v>55</v>
      </c>
      <c r="K1094" t="str">
        <f t="shared" si="59"/>
        <v>2+2</v>
      </c>
      <c r="L1094">
        <f>VLOOKUP(A1094,'ZONE 1 PREMIUM'!$A$4:$N$16,14,0)</f>
        <v>7</v>
      </c>
      <c r="M1094">
        <f>VLOOKUP(D1094,DROPDOWN!B:C,2,0)</f>
        <v>6</v>
      </c>
      <c r="N1094" t="str">
        <f t="shared" si="57"/>
        <v>AU113:BM124</v>
      </c>
      <c r="O1094" s="4">
        <f t="shared" ca="1" si="58"/>
        <v>79813.125</v>
      </c>
    </row>
    <row r="1095" spans="1:15">
      <c r="A1095" s="2" t="s">
        <v>17</v>
      </c>
      <c r="B1095" t="s">
        <v>37</v>
      </c>
      <c r="C1095" t="s">
        <v>38</v>
      </c>
      <c r="D1095">
        <v>10</v>
      </c>
      <c r="E1095" t="s">
        <v>46</v>
      </c>
      <c r="F1095">
        <v>4</v>
      </c>
      <c r="G1095">
        <v>2</v>
      </c>
      <c r="H1095">
        <v>2</v>
      </c>
      <c r="I1095">
        <v>1</v>
      </c>
      <c r="J1095" s="4" t="s">
        <v>55</v>
      </c>
      <c r="K1095" t="str">
        <f t="shared" si="59"/>
        <v>2+2</v>
      </c>
      <c r="L1095">
        <f>VLOOKUP(A1095,'ZONE 1 PREMIUM'!$A$4:$N$16,14,0)</f>
        <v>8</v>
      </c>
      <c r="M1095">
        <f>VLOOKUP(D1095,DROPDOWN!B:C,2,0)</f>
        <v>6</v>
      </c>
      <c r="N1095" t="str">
        <f t="shared" si="57"/>
        <v>AU113:BM124</v>
      </c>
      <c r="O1095" s="4">
        <f t="shared" ca="1" si="58"/>
        <v>102893.625</v>
      </c>
    </row>
    <row r="1096" spans="1:15">
      <c r="A1096" s="2" t="s">
        <v>18</v>
      </c>
      <c r="B1096" t="s">
        <v>39</v>
      </c>
      <c r="C1096" t="s">
        <v>40</v>
      </c>
      <c r="D1096">
        <v>10</v>
      </c>
      <c r="E1096" t="s">
        <v>46</v>
      </c>
      <c r="F1096">
        <v>4</v>
      </c>
      <c r="G1096">
        <v>2</v>
      </c>
      <c r="H1096">
        <v>2</v>
      </c>
      <c r="I1096">
        <v>1</v>
      </c>
      <c r="J1096" s="4" t="s">
        <v>55</v>
      </c>
      <c r="K1096" t="str">
        <f t="shared" si="59"/>
        <v>2+2</v>
      </c>
      <c r="L1096">
        <f>VLOOKUP(A1096,'ZONE 1 PREMIUM'!$A$4:$N$16,14,0)</f>
        <v>9</v>
      </c>
      <c r="M1096">
        <f>VLOOKUP(D1096,DROPDOWN!B:C,2,0)</f>
        <v>6</v>
      </c>
      <c r="N1096" t="str">
        <f t="shared" si="57"/>
        <v>AU113:BM124</v>
      </c>
      <c r="O1096" s="4">
        <f t="shared" ca="1" si="58"/>
        <v>137244.375</v>
      </c>
    </row>
    <row r="1097" spans="1:15">
      <c r="A1097" s="2" t="s">
        <v>19</v>
      </c>
      <c r="B1097" t="s">
        <v>41</v>
      </c>
      <c r="C1097" t="s">
        <v>42</v>
      </c>
      <c r="D1097">
        <v>10</v>
      </c>
      <c r="E1097" t="s">
        <v>46</v>
      </c>
      <c r="F1097">
        <v>4</v>
      </c>
      <c r="G1097">
        <v>2</v>
      </c>
      <c r="H1097">
        <v>2</v>
      </c>
      <c r="I1097">
        <v>1</v>
      </c>
      <c r="J1097" s="4" t="s">
        <v>55</v>
      </c>
      <c r="K1097" t="str">
        <f t="shared" si="59"/>
        <v>2+2</v>
      </c>
      <c r="L1097">
        <f>VLOOKUP(A1097,'ZONE 1 PREMIUM'!$A$4:$N$16,14,0)</f>
        <v>10</v>
      </c>
      <c r="M1097">
        <f>VLOOKUP(D1097,DROPDOWN!B:C,2,0)</f>
        <v>6</v>
      </c>
      <c r="N1097" t="str">
        <f t="shared" si="57"/>
        <v>AU113:BM124</v>
      </c>
      <c r="O1097" s="4">
        <f t="shared" ca="1" si="58"/>
        <v>177285.375</v>
      </c>
    </row>
    <row r="1098" spans="1:15">
      <c r="A1098" s="2" t="s">
        <v>20</v>
      </c>
      <c r="B1098" t="s">
        <v>43</v>
      </c>
      <c r="C1098" t="s">
        <v>44</v>
      </c>
      <c r="D1098">
        <v>10</v>
      </c>
      <c r="E1098" t="s">
        <v>46</v>
      </c>
      <c r="F1098">
        <v>4</v>
      </c>
      <c r="G1098">
        <v>2</v>
      </c>
      <c r="H1098">
        <v>2</v>
      </c>
      <c r="I1098">
        <v>1</v>
      </c>
      <c r="J1098" s="4" t="s">
        <v>55</v>
      </c>
      <c r="K1098" t="str">
        <f t="shared" si="59"/>
        <v>2+2</v>
      </c>
      <c r="L1098">
        <f>VLOOKUP(A1098,'ZONE 1 PREMIUM'!$A$4:$N$16,14,0)</f>
        <v>11</v>
      </c>
      <c r="M1098">
        <f>VLOOKUP(D1098,DROPDOWN!B:C,2,0)</f>
        <v>6</v>
      </c>
      <c r="N1098" t="str">
        <f t="shared" si="57"/>
        <v>AU113:BM124</v>
      </c>
      <c r="O1098" s="4">
        <f t="shared" ca="1" si="58"/>
        <v>216029.25</v>
      </c>
    </row>
    <row r="1099" spans="1:15">
      <c r="A1099" s="2" t="s">
        <v>21</v>
      </c>
      <c r="B1099" t="s">
        <v>22</v>
      </c>
      <c r="D1099">
        <v>10</v>
      </c>
      <c r="E1099" t="s">
        <v>46</v>
      </c>
      <c r="F1099">
        <v>4</v>
      </c>
      <c r="G1099">
        <v>2</v>
      </c>
      <c r="H1099">
        <v>2</v>
      </c>
      <c r="I1099">
        <v>1</v>
      </c>
      <c r="J1099" s="4" t="s">
        <v>55</v>
      </c>
      <c r="K1099" t="str">
        <f t="shared" si="59"/>
        <v>2+2</v>
      </c>
      <c r="L1099">
        <f>VLOOKUP(A1099,'ZONE 1 PREMIUM'!$A$4:$N$16,14,0)</f>
        <v>12</v>
      </c>
      <c r="M1099">
        <f>VLOOKUP(D1099,DROPDOWN!B:C,2,0)</f>
        <v>6</v>
      </c>
      <c r="N1099" t="str">
        <f t="shared" si="57"/>
        <v>AU113:BM124</v>
      </c>
      <c r="O1099" s="4">
        <f t="shared" ca="1" si="58"/>
        <v>274152.375</v>
      </c>
    </row>
    <row r="1100" spans="1:15">
      <c r="A1100" s="2" t="s">
        <v>11</v>
      </c>
      <c r="B1100" t="s">
        <v>45</v>
      </c>
      <c r="C1100" t="s">
        <v>25</v>
      </c>
      <c r="D1100">
        <v>10</v>
      </c>
      <c r="E1100" t="s">
        <v>46</v>
      </c>
      <c r="F1100">
        <v>5</v>
      </c>
      <c r="G1100">
        <v>2</v>
      </c>
      <c r="H1100">
        <v>3</v>
      </c>
      <c r="I1100">
        <v>1</v>
      </c>
      <c r="J1100" s="4" t="s">
        <v>55</v>
      </c>
      <c r="K1100" t="str">
        <f t="shared" si="59"/>
        <v>2+3</v>
      </c>
      <c r="L1100">
        <f>VLOOKUP(A1100,'ZONE 1 PREMIUM'!$A$4:$N$16,14,0)</f>
        <v>2</v>
      </c>
      <c r="M1100">
        <f>VLOOKUP(D1100,DROPDOWN!B:C,2,0)</f>
        <v>6</v>
      </c>
      <c r="N1100" t="str">
        <f t="shared" si="57"/>
        <v>AU128:BM139</v>
      </c>
      <c r="O1100" s="4">
        <f t="shared" ca="1" si="58"/>
        <v>38988</v>
      </c>
    </row>
    <row r="1101" spans="1:15">
      <c r="A1101" s="2" t="s">
        <v>12</v>
      </c>
      <c r="B1101" t="s">
        <v>27</v>
      </c>
      <c r="C1101" t="s">
        <v>28</v>
      </c>
      <c r="D1101">
        <v>10</v>
      </c>
      <c r="E1101" t="s">
        <v>46</v>
      </c>
      <c r="F1101">
        <v>5</v>
      </c>
      <c r="G1101">
        <v>2</v>
      </c>
      <c r="H1101">
        <v>3</v>
      </c>
      <c r="I1101">
        <v>1</v>
      </c>
      <c r="J1101" s="4" t="s">
        <v>55</v>
      </c>
      <c r="K1101" t="str">
        <f t="shared" si="59"/>
        <v>2+3</v>
      </c>
      <c r="L1101">
        <f>VLOOKUP(A1101,'ZONE 1 PREMIUM'!$A$4:$N$16,14,0)</f>
        <v>3</v>
      </c>
      <c r="M1101">
        <f>VLOOKUP(D1101,DROPDOWN!B:C,2,0)</f>
        <v>6</v>
      </c>
      <c r="N1101" t="str">
        <f t="shared" si="57"/>
        <v>AU128:BM139</v>
      </c>
      <c r="O1101" s="4">
        <f t="shared" ca="1" si="58"/>
        <v>42114.375</v>
      </c>
    </row>
    <row r="1102" spans="1:15">
      <c r="A1102" s="2" t="s">
        <v>13</v>
      </c>
      <c r="B1102" t="s">
        <v>29</v>
      </c>
      <c r="C1102" t="s">
        <v>30</v>
      </c>
      <c r="D1102">
        <v>10</v>
      </c>
      <c r="E1102" t="s">
        <v>46</v>
      </c>
      <c r="F1102">
        <v>5</v>
      </c>
      <c r="G1102">
        <v>2</v>
      </c>
      <c r="H1102">
        <v>3</v>
      </c>
      <c r="I1102">
        <v>1</v>
      </c>
      <c r="J1102" s="4" t="s">
        <v>55</v>
      </c>
      <c r="K1102" t="str">
        <f t="shared" si="59"/>
        <v>2+3</v>
      </c>
      <c r="L1102">
        <f>VLOOKUP(A1102,'ZONE 1 PREMIUM'!$A$4:$N$16,14,0)</f>
        <v>4</v>
      </c>
      <c r="M1102">
        <f>VLOOKUP(D1102,DROPDOWN!B:C,2,0)</f>
        <v>6</v>
      </c>
      <c r="N1102" t="str">
        <f t="shared" si="57"/>
        <v>AU128:BM139</v>
      </c>
      <c r="O1102" s="4">
        <f t="shared" ca="1" si="58"/>
        <v>47500.875</v>
      </c>
    </row>
    <row r="1103" spans="1:15">
      <c r="A1103" s="2" t="s">
        <v>14</v>
      </c>
      <c r="B1103" t="s">
        <v>31</v>
      </c>
      <c r="C1103" t="s">
        <v>32</v>
      </c>
      <c r="D1103">
        <v>10</v>
      </c>
      <c r="E1103" t="s">
        <v>46</v>
      </c>
      <c r="F1103">
        <v>5</v>
      </c>
      <c r="G1103">
        <v>2</v>
      </c>
      <c r="H1103">
        <v>3</v>
      </c>
      <c r="I1103">
        <v>1</v>
      </c>
      <c r="J1103" s="4" t="s">
        <v>55</v>
      </c>
      <c r="K1103" t="str">
        <f t="shared" si="59"/>
        <v>2+3</v>
      </c>
      <c r="L1103">
        <f>VLOOKUP(A1103,'ZONE 1 PREMIUM'!$A$4:$N$16,14,0)</f>
        <v>5</v>
      </c>
      <c r="M1103">
        <f>VLOOKUP(D1103,DROPDOWN!B:C,2,0)</f>
        <v>6</v>
      </c>
      <c r="N1103" t="str">
        <f t="shared" si="57"/>
        <v>AU128:BM139</v>
      </c>
      <c r="O1103" s="4">
        <f t="shared" ca="1" si="58"/>
        <v>53472.375</v>
      </c>
    </row>
    <row r="1104" spans="1:15">
      <c r="A1104" s="2" t="s">
        <v>15</v>
      </c>
      <c r="B1104" t="s">
        <v>33</v>
      </c>
      <c r="C1104" t="s">
        <v>34</v>
      </c>
      <c r="D1104">
        <v>10</v>
      </c>
      <c r="E1104" t="s">
        <v>46</v>
      </c>
      <c r="F1104">
        <v>5</v>
      </c>
      <c r="G1104">
        <v>2</v>
      </c>
      <c r="H1104">
        <v>3</v>
      </c>
      <c r="I1104">
        <v>1</v>
      </c>
      <c r="J1104" s="4" t="s">
        <v>55</v>
      </c>
      <c r="K1104" t="str">
        <f t="shared" si="59"/>
        <v>2+3</v>
      </c>
      <c r="L1104">
        <f>VLOOKUP(A1104,'ZONE 1 PREMIUM'!$A$4:$N$16,14,0)</f>
        <v>6</v>
      </c>
      <c r="M1104">
        <f>VLOOKUP(D1104,DROPDOWN!B:C,2,0)</f>
        <v>6</v>
      </c>
      <c r="N1104" t="str">
        <f t="shared" si="57"/>
        <v>AU128:BM139</v>
      </c>
      <c r="O1104" s="4">
        <f t="shared" ca="1" si="58"/>
        <v>67326.75</v>
      </c>
    </row>
    <row r="1105" spans="1:15">
      <c r="A1105" s="2" t="s">
        <v>16</v>
      </c>
      <c r="B1105" t="s">
        <v>35</v>
      </c>
      <c r="C1105" t="s">
        <v>36</v>
      </c>
      <c r="D1105">
        <v>10</v>
      </c>
      <c r="E1105" t="s">
        <v>46</v>
      </c>
      <c r="F1105">
        <v>5</v>
      </c>
      <c r="G1105">
        <v>2</v>
      </c>
      <c r="H1105">
        <v>3</v>
      </c>
      <c r="I1105">
        <v>1</v>
      </c>
      <c r="J1105" s="4" t="s">
        <v>55</v>
      </c>
      <c r="K1105" t="str">
        <f t="shared" si="59"/>
        <v>2+3</v>
      </c>
      <c r="L1105">
        <f>VLOOKUP(A1105,'ZONE 1 PREMIUM'!$A$4:$N$16,14,0)</f>
        <v>7</v>
      </c>
      <c r="M1105">
        <f>VLOOKUP(D1105,DROPDOWN!B:C,2,0)</f>
        <v>6</v>
      </c>
      <c r="N1105" t="str">
        <f t="shared" si="57"/>
        <v>AU128:BM139</v>
      </c>
      <c r="O1105" s="4">
        <f t="shared" ca="1" si="58"/>
        <v>86589</v>
      </c>
    </row>
    <row r="1106" spans="1:15">
      <c r="A1106" s="2" t="s">
        <v>17</v>
      </c>
      <c r="B1106" t="s">
        <v>37</v>
      </c>
      <c r="C1106" t="s">
        <v>38</v>
      </c>
      <c r="D1106">
        <v>10</v>
      </c>
      <c r="E1106" t="s">
        <v>46</v>
      </c>
      <c r="F1106">
        <v>5</v>
      </c>
      <c r="G1106">
        <v>2</v>
      </c>
      <c r="H1106">
        <v>3</v>
      </c>
      <c r="I1106">
        <v>1</v>
      </c>
      <c r="J1106" s="4" t="s">
        <v>55</v>
      </c>
      <c r="K1106" t="str">
        <f t="shared" si="59"/>
        <v>2+3</v>
      </c>
      <c r="L1106">
        <f>VLOOKUP(A1106,'ZONE 1 PREMIUM'!$A$4:$N$16,14,0)</f>
        <v>8</v>
      </c>
      <c r="M1106">
        <f>VLOOKUP(D1106,DROPDOWN!B:C,2,0)</f>
        <v>6</v>
      </c>
      <c r="N1106" t="str">
        <f t="shared" si="57"/>
        <v>AU128:BM139</v>
      </c>
      <c r="O1106" s="4">
        <f t="shared" ca="1" si="58"/>
        <v>109027.125</v>
      </c>
    </row>
    <row r="1107" spans="1:15">
      <c r="A1107" s="2" t="s">
        <v>18</v>
      </c>
      <c r="B1107" t="s">
        <v>39</v>
      </c>
      <c r="C1107" t="s">
        <v>40</v>
      </c>
      <c r="D1107">
        <v>10</v>
      </c>
      <c r="E1107" t="s">
        <v>46</v>
      </c>
      <c r="F1107">
        <v>5</v>
      </c>
      <c r="G1107">
        <v>2</v>
      </c>
      <c r="H1107">
        <v>3</v>
      </c>
      <c r="I1107">
        <v>1</v>
      </c>
      <c r="J1107" s="4" t="s">
        <v>55</v>
      </c>
      <c r="K1107" t="str">
        <f t="shared" si="59"/>
        <v>2+3</v>
      </c>
      <c r="L1107">
        <f>VLOOKUP(A1107,'ZONE 1 PREMIUM'!$A$4:$N$16,14,0)</f>
        <v>9</v>
      </c>
      <c r="M1107">
        <f>VLOOKUP(D1107,DROPDOWN!B:C,2,0)</f>
        <v>6</v>
      </c>
      <c r="N1107" t="str">
        <f t="shared" si="57"/>
        <v>AU128:BM139</v>
      </c>
      <c r="O1107" s="4">
        <f t="shared" ca="1" si="58"/>
        <v>143303.625</v>
      </c>
    </row>
    <row r="1108" spans="1:15">
      <c r="A1108" s="2" t="s">
        <v>19</v>
      </c>
      <c r="B1108" t="s">
        <v>41</v>
      </c>
      <c r="C1108" t="s">
        <v>42</v>
      </c>
      <c r="D1108">
        <v>10</v>
      </c>
      <c r="E1108" t="s">
        <v>46</v>
      </c>
      <c r="F1108">
        <v>5</v>
      </c>
      <c r="G1108">
        <v>2</v>
      </c>
      <c r="H1108">
        <v>3</v>
      </c>
      <c r="I1108">
        <v>1</v>
      </c>
      <c r="J1108" s="4" t="s">
        <v>55</v>
      </c>
      <c r="K1108" t="str">
        <f t="shared" si="59"/>
        <v>2+3</v>
      </c>
      <c r="L1108">
        <f>VLOOKUP(A1108,'ZONE 1 PREMIUM'!$A$4:$N$16,14,0)</f>
        <v>10</v>
      </c>
      <c r="M1108">
        <f>VLOOKUP(D1108,DROPDOWN!B:C,2,0)</f>
        <v>6</v>
      </c>
      <c r="N1108" t="str">
        <f t="shared" si="57"/>
        <v>AU128:BM139</v>
      </c>
      <c r="O1108" s="4">
        <f t="shared" ca="1" si="58"/>
        <v>183007.125</v>
      </c>
    </row>
    <row r="1109" spans="1:15">
      <c r="A1109" s="2" t="s">
        <v>20</v>
      </c>
      <c r="B1109" t="s">
        <v>43</v>
      </c>
      <c r="C1109" t="s">
        <v>44</v>
      </c>
      <c r="D1109">
        <v>10</v>
      </c>
      <c r="E1109" t="s">
        <v>46</v>
      </c>
      <c r="F1109">
        <v>5</v>
      </c>
      <c r="G1109">
        <v>2</v>
      </c>
      <c r="H1109">
        <v>3</v>
      </c>
      <c r="I1109">
        <v>1</v>
      </c>
      <c r="J1109" s="4" t="s">
        <v>55</v>
      </c>
      <c r="K1109" t="str">
        <f t="shared" si="59"/>
        <v>2+3</v>
      </c>
      <c r="L1109">
        <f>VLOOKUP(A1109,'ZONE 1 PREMIUM'!$A$4:$N$16,14,0)</f>
        <v>11</v>
      </c>
      <c r="M1109">
        <f>VLOOKUP(D1109,DROPDOWN!B:C,2,0)</f>
        <v>6</v>
      </c>
      <c r="N1109" t="str">
        <f t="shared" si="57"/>
        <v>AU128:BM139</v>
      </c>
      <c r="O1109" s="4">
        <f t="shared" ca="1" si="58"/>
        <v>222444</v>
      </c>
    </row>
    <row r="1110" spans="1:15">
      <c r="A1110" s="2" t="s">
        <v>21</v>
      </c>
      <c r="B1110" t="s">
        <v>22</v>
      </c>
      <c r="D1110">
        <v>10</v>
      </c>
      <c r="E1110" t="s">
        <v>46</v>
      </c>
      <c r="F1110">
        <v>5</v>
      </c>
      <c r="G1110">
        <v>2</v>
      </c>
      <c r="H1110">
        <v>3</v>
      </c>
      <c r="I1110">
        <v>1</v>
      </c>
      <c r="J1110" s="4" t="s">
        <v>55</v>
      </c>
      <c r="K1110" t="str">
        <f t="shared" si="59"/>
        <v>2+3</v>
      </c>
      <c r="L1110">
        <f>VLOOKUP(A1110,'ZONE 1 PREMIUM'!$A$4:$N$16,14,0)</f>
        <v>12</v>
      </c>
      <c r="M1110">
        <f>VLOOKUP(D1110,DROPDOWN!B:C,2,0)</f>
        <v>6</v>
      </c>
      <c r="N1110" t="str">
        <f t="shared" si="57"/>
        <v>AU128:BM139</v>
      </c>
      <c r="O1110" s="4">
        <f t="shared" ca="1" si="58"/>
        <v>280995.75</v>
      </c>
    </row>
    <row r="1111" spans="1:15">
      <c r="A1111" s="2" t="s">
        <v>11</v>
      </c>
      <c r="B1111" t="s">
        <v>45</v>
      </c>
      <c r="C1111" t="s">
        <v>25</v>
      </c>
      <c r="D1111">
        <v>10</v>
      </c>
      <c r="E1111" t="s">
        <v>46</v>
      </c>
      <c r="F1111">
        <v>6</v>
      </c>
      <c r="G1111">
        <v>2</v>
      </c>
      <c r="H1111">
        <v>4</v>
      </c>
      <c r="I1111">
        <v>1</v>
      </c>
      <c r="J1111" s="4" t="s">
        <v>55</v>
      </c>
      <c r="K1111" t="str">
        <f t="shared" si="59"/>
        <v>2+4</v>
      </c>
      <c r="L1111">
        <f>VLOOKUP(A1111,'ZONE 1 PREMIUM'!$A$4:$N$16,14,0)</f>
        <v>2</v>
      </c>
      <c r="M1111">
        <f>VLOOKUP(D1111,DROPDOWN!B:C,2,0)</f>
        <v>6</v>
      </c>
      <c r="N1111" t="str">
        <f t="shared" si="57"/>
        <v>AU143:BM154</v>
      </c>
      <c r="O1111" s="4">
        <f t="shared" ca="1" si="58"/>
        <v>43957.125</v>
      </c>
    </row>
    <row r="1112" spans="1:15">
      <c r="A1112" s="2" t="s">
        <v>12</v>
      </c>
      <c r="B1112" t="s">
        <v>27</v>
      </c>
      <c r="C1112" t="s">
        <v>28</v>
      </c>
      <c r="D1112">
        <v>10</v>
      </c>
      <c r="E1112" t="s">
        <v>46</v>
      </c>
      <c r="F1112">
        <v>6</v>
      </c>
      <c r="G1112">
        <v>2</v>
      </c>
      <c r="H1112">
        <v>4</v>
      </c>
      <c r="I1112">
        <v>1</v>
      </c>
      <c r="J1112" s="4" t="s">
        <v>55</v>
      </c>
      <c r="K1112" t="str">
        <f t="shared" si="59"/>
        <v>2+4</v>
      </c>
      <c r="L1112">
        <f>VLOOKUP(A1112,'ZONE 1 PREMIUM'!$A$4:$N$16,14,0)</f>
        <v>3</v>
      </c>
      <c r="M1112">
        <f>VLOOKUP(D1112,DROPDOWN!B:C,2,0)</f>
        <v>6</v>
      </c>
      <c r="N1112" t="str">
        <f t="shared" si="57"/>
        <v>AU143:BM154</v>
      </c>
      <c r="O1112" s="4">
        <f t="shared" ca="1" si="58"/>
        <v>46993.5</v>
      </c>
    </row>
    <row r="1113" spans="1:15">
      <c r="A1113" s="2" t="s">
        <v>13</v>
      </c>
      <c r="B1113" t="s">
        <v>29</v>
      </c>
      <c r="C1113" t="s">
        <v>30</v>
      </c>
      <c r="D1113">
        <v>10</v>
      </c>
      <c r="E1113" t="s">
        <v>46</v>
      </c>
      <c r="F1113">
        <v>6</v>
      </c>
      <c r="G1113">
        <v>2</v>
      </c>
      <c r="H1113">
        <v>4</v>
      </c>
      <c r="I1113">
        <v>1</v>
      </c>
      <c r="J1113" s="4" t="s">
        <v>55</v>
      </c>
      <c r="K1113" t="str">
        <f t="shared" si="59"/>
        <v>2+4</v>
      </c>
      <c r="L1113">
        <f>VLOOKUP(A1113,'ZONE 1 PREMIUM'!$A$4:$N$16,14,0)</f>
        <v>4</v>
      </c>
      <c r="M1113">
        <f>VLOOKUP(D1113,DROPDOWN!B:C,2,0)</f>
        <v>6</v>
      </c>
      <c r="N1113" t="str">
        <f t="shared" si="57"/>
        <v>AU143:BM154</v>
      </c>
      <c r="O1113" s="4">
        <f t="shared" ca="1" si="58"/>
        <v>53155.125</v>
      </c>
    </row>
    <row r="1114" spans="1:15">
      <c r="A1114" s="2" t="s">
        <v>14</v>
      </c>
      <c r="B1114" t="s">
        <v>31</v>
      </c>
      <c r="C1114" t="s">
        <v>32</v>
      </c>
      <c r="D1114">
        <v>10</v>
      </c>
      <c r="E1114" t="s">
        <v>46</v>
      </c>
      <c r="F1114">
        <v>6</v>
      </c>
      <c r="G1114">
        <v>2</v>
      </c>
      <c r="H1114">
        <v>4</v>
      </c>
      <c r="I1114">
        <v>1</v>
      </c>
      <c r="J1114" s="4" t="s">
        <v>55</v>
      </c>
      <c r="K1114" t="str">
        <f t="shared" si="59"/>
        <v>2+4</v>
      </c>
      <c r="L1114">
        <f>VLOOKUP(A1114,'ZONE 1 PREMIUM'!$A$4:$N$16,14,0)</f>
        <v>5</v>
      </c>
      <c r="M1114">
        <f>VLOOKUP(D1114,DROPDOWN!B:C,2,0)</f>
        <v>6</v>
      </c>
      <c r="N1114" t="str">
        <f t="shared" si="57"/>
        <v>AU143:BM154</v>
      </c>
      <c r="O1114" s="4">
        <f t="shared" ca="1" si="58"/>
        <v>59488.875</v>
      </c>
    </row>
    <row r="1115" spans="1:15">
      <c r="A1115" s="2" t="s">
        <v>15</v>
      </c>
      <c r="B1115" t="s">
        <v>33</v>
      </c>
      <c r="C1115" t="s">
        <v>34</v>
      </c>
      <c r="D1115">
        <v>10</v>
      </c>
      <c r="E1115" t="s">
        <v>46</v>
      </c>
      <c r="F1115">
        <v>6</v>
      </c>
      <c r="G1115">
        <v>2</v>
      </c>
      <c r="H1115">
        <v>4</v>
      </c>
      <c r="I1115">
        <v>1</v>
      </c>
      <c r="J1115" s="4" t="s">
        <v>55</v>
      </c>
      <c r="K1115" t="str">
        <f t="shared" si="59"/>
        <v>2+4</v>
      </c>
      <c r="L1115">
        <f>VLOOKUP(A1115,'ZONE 1 PREMIUM'!$A$4:$N$16,14,0)</f>
        <v>6</v>
      </c>
      <c r="M1115">
        <f>VLOOKUP(D1115,DROPDOWN!B:C,2,0)</f>
        <v>6</v>
      </c>
      <c r="N1115" t="str">
        <f t="shared" si="57"/>
        <v>AU143:BM154</v>
      </c>
      <c r="O1115" s="4">
        <f t="shared" ca="1" si="58"/>
        <v>74073.375</v>
      </c>
    </row>
    <row r="1116" spans="1:15">
      <c r="A1116" s="2" t="s">
        <v>16</v>
      </c>
      <c r="B1116" t="s">
        <v>35</v>
      </c>
      <c r="C1116" t="s">
        <v>36</v>
      </c>
      <c r="D1116">
        <v>10</v>
      </c>
      <c r="E1116" t="s">
        <v>46</v>
      </c>
      <c r="F1116">
        <v>6</v>
      </c>
      <c r="G1116">
        <v>2</v>
      </c>
      <c r="H1116">
        <v>4</v>
      </c>
      <c r="I1116">
        <v>1</v>
      </c>
      <c r="J1116" s="4" t="s">
        <v>55</v>
      </c>
      <c r="K1116" t="str">
        <f t="shared" si="59"/>
        <v>2+4</v>
      </c>
      <c r="L1116">
        <f>VLOOKUP(A1116,'ZONE 1 PREMIUM'!$A$4:$N$16,14,0)</f>
        <v>7</v>
      </c>
      <c r="M1116">
        <f>VLOOKUP(D1116,DROPDOWN!B:C,2,0)</f>
        <v>6</v>
      </c>
      <c r="N1116" t="str">
        <f t="shared" si="57"/>
        <v>AU143:BM154</v>
      </c>
      <c r="O1116" s="4">
        <f t="shared" ca="1" si="58"/>
        <v>92676.375</v>
      </c>
    </row>
    <row r="1117" spans="1:15">
      <c r="A1117" s="2" t="s">
        <v>17</v>
      </c>
      <c r="B1117" t="s">
        <v>37</v>
      </c>
      <c r="C1117" t="s">
        <v>38</v>
      </c>
      <c r="D1117">
        <v>10</v>
      </c>
      <c r="E1117" t="s">
        <v>46</v>
      </c>
      <c r="F1117">
        <v>6</v>
      </c>
      <c r="G1117">
        <v>2</v>
      </c>
      <c r="H1117">
        <v>4</v>
      </c>
      <c r="I1117">
        <v>1</v>
      </c>
      <c r="J1117" s="4" t="s">
        <v>55</v>
      </c>
      <c r="K1117" t="str">
        <f t="shared" si="59"/>
        <v>2+4</v>
      </c>
      <c r="L1117">
        <f>VLOOKUP(A1117,'ZONE 1 PREMIUM'!$A$4:$N$16,14,0)</f>
        <v>8</v>
      </c>
      <c r="M1117">
        <f>VLOOKUP(D1117,DROPDOWN!B:C,2,0)</f>
        <v>6</v>
      </c>
      <c r="N1117" t="str">
        <f t="shared" si="57"/>
        <v>AU143:BM154</v>
      </c>
      <c r="O1117" s="4">
        <f t="shared" ca="1" si="58"/>
        <v>115086.375</v>
      </c>
    </row>
    <row r="1118" spans="1:15">
      <c r="A1118" s="2" t="s">
        <v>18</v>
      </c>
      <c r="B1118" t="s">
        <v>39</v>
      </c>
      <c r="C1118" t="s">
        <v>40</v>
      </c>
      <c r="D1118">
        <v>10</v>
      </c>
      <c r="E1118" t="s">
        <v>46</v>
      </c>
      <c r="F1118">
        <v>6</v>
      </c>
      <c r="G1118">
        <v>2</v>
      </c>
      <c r="H1118">
        <v>4</v>
      </c>
      <c r="I1118">
        <v>1</v>
      </c>
      <c r="J1118" s="4" t="s">
        <v>55</v>
      </c>
      <c r="K1118" t="str">
        <f t="shared" si="59"/>
        <v>2+4</v>
      </c>
      <c r="L1118">
        <f>VLOOKUP(A1118,'ZONE 1 PREMIUM'!$A$4:$N$16,14,0)</f>
        <v>9</v>
      </c>
      <c r="M1118">
        <f>VLOOKUP(D1118,DROPDOWN!B:C,2,0)</f>
        <v>6</v>
      </c>
      <c r="N1118" t="str">
        <f t="shared" si="57"/>
        <v>AU143:BM154</v>
      </c>
      <c r="O1118" s="4">
        <f t="shared" ca="1" si="58"/>
        <v>149085</v>
      </c>
    </row>
    <row r="1119" spans="1:15">
      <c r="A1119" s="2" t="s">
        <v>19</v>
      </c>
      <c r="B1119" t="s">
        <v>41</v>
      </c>
      <c r="C1119" t="s">
        <v>42</v>
      </c>
      <c r="D1119">
        <v>10</v>
      </c>
      <c r="E1119" t="s">
        <v>46</v>
      </c>
      <c r="F1119">
        <v>6</v>
      </c>
      <c r="G1119">
        <v>2</v>
      </c>
      <c r="H1119">
        <v>4</v>
      </c>
      <c r="I1119">
        <v>1</v>
      </c>
      <c r="J1119" s="4" t="s">
        <v>55</v>
      </c>
      <c r="K1119" t="str">
        <f t="shared" si="59"/>
        <v>2+4</v>
      </c>
      <c r="L1119">
        <f>VLOOKUP(A1119,'ZONE 1 PREMIUM'!$A$4:$N$16,14,0)</f>
        <v>10</v>
      </c>
      <c r="M1119">
        <f>VLOOKUP(D1119,DROPDOWN!B:C,2,0)</f>
        <v>6</v>
      </c>
      <c r="N1119" t="str">
        <f t="shared" si="57"/>
        <v>AU143:BM154</v>
      </c>
      <c r="O1119" s="4">
        <f t="shared" ca="1" si="58"/>
        <v>189428.625</v>
      </c>
    </row>
    <row r="1120" spans="1:15">
      <c r="A1120" s="2" t="s">
        <v>20</v>
      </c>
      <c r="B1120" t="s">
        <v>43</v>
      </c>
      <c r="C1120" t="s">
        <v>44</v>
      </c>
      <c r="D1120">
        <v>10</v>
      </c>
      <c r="E1120" t="s">
        <v>46</v>
      </c>
      <c r="F1120">
        <v>6</v>
      </c>
      <c r="G1120">
        <v>2</v>
      </c>
      <c r="H1120">
        <v>4</v>
      </c>
      <c r="I1120">
        <v>1</v>
      </c>
      <c r="J1120" s="4" t="s">
        <v>55</v>
      </c>
      <c r="K1120" t="str">
        <f t="shared" si="59"/>
        <v>2+4</v>
      </c>
      <c r="L1120">
        <f>VLOOKUP(A1120,'ZONE 1 PREMIUM'!$A$4:$N$16,14,0)</f>
        <v>11</v>
      </c>
      <c r="M1120">
        <f>VLOOKUP(D1120,DROPDOWN!B:C,2,0)</f>
        <v>6</v>
      </c>
      <c r="N1120" t="str">
        <f t="shared" si="57"/>
        <v>AU143:BM154</v>
      </c>
      <c r="O1120" s="4">
        <f t="shared" ca="1" si="58"/>
        <v>228359.25</v>
      </c>
    </row>
    <row r="1121" spans="1:15">
      <c r="A1121" s="2" t="s">
        <v>21</v>
      </c>
      <c r="B1121" t="s">
        <v>22</v>
      </c>
      <c r="D1121">
        <v>10</v>
      </c>
      <c r="E1121" t="s">
        <v>46</v>
      </c>
      <c r="F1121">
        <v>6</v>
      </c>
      <c r="G1121">
        <v>2</v>
      </c>
      <c r="H1121">
        <v>4</v>
      </c>
      <c r="I1121">
        <v>1</v>
      </c>
      <c r="J1121" s="4" t="s">
        <v>55</v>
      </c>
      <c r="K1121" t="str">
        <f t="shared" si="59"/>
        <v>2+4</v>
      </c>
      <c r="L1121">
        <f>VLOOKUP(A1121,'ZONE 1 PREMIUM'!$A$4:$N$16,14,0)</f>
        <v>12</v>
      </c>
      <c r="M1121">
        <f>VLOOKUP(D1121,DROPDOWN!B:C,2,0)</f>
        <v>6</v>
      </c>
      <c r="N1121" t="str">
        <f t="shared" si="57"/>
        <v>AU143:BM154</v>
      </c>
      <c r="O1121" s="4">
        <f t="shared" ca="1" si="58"/>
        <v>285815.25</v>
      </c>
    </row>
    <row r="1122" spans="1:15">
      <c r="A1122" s="2" t="s">
        <v>9</v>
      </c>
      <c r="B1122" t="s">
        <v>47</v>
      </c>
      <c r="C1122" t="s">
        <v>48</v>
      </c>
      <c r="D1122">
        <v>10</v>
      </c>
      <c r="E1122" t="s">
        <v>26</v>
      </c>
      <c r="F1122">
        <v>1</v>
      </c>
      <c r="H1122">
        <v>1</v>
      </c>
      <c r="I1122">
        <v>1</v>
      </c>
      <c r="J1122" s="4" t="s">
        <v>53</v>
      </c>
      <c r="K1122" t="str">
        <f t="shared" si="59"/>
        <v>+1</v>
      </c>
      <c r="N1122" t="e">
        <f t="shared" ref="N1122:N1185" si="60">VLOOKUP(K1122,$CK$3:$CL$12,2,0)</f>
        <v>#N/A</v>
      </c>
      <c r="O1122" s="13">
        <v>3394.2817155858374</v>
      </c>
    </row>
    <row r="1123" spans="1:15">
      <c r="A1123" s="2" t="s">
        <v>10</v>
      </c>
      <c r="B1123" t="s">
        <v>49</v>
      </c>
      <c r="C1123" t="s">
        <v>50</v>
      </c>
      <c r="D1123">
        <v>10</v>
      </c>
      <c r="E1123" t="s">
        <v>26</v>
      </c>
      <c r="F1123">
        <v>1</v>
      </c>
      <c r="G1123">
        <v>1</v>
      </c>
      <c r="H1123">
        <v>0</v>
      </c>
      <c r="I1123">
        <v>1</v>
      </c>
      <c r="J1123" s="4" t="s">
        <v>53</v>
      </c>
      <c r="K1123" t="str">
        <f t="shared" si="59"/>
        <v>1+0</v>
      </c>
      <c r="L1123">
        <f>VLOOKUP(A1123,'ZONE 1 PREMIUM'!$A$3:$M$16,13,0)</f>
        <v>3</v>
      </c>
      <c r="M1123">
        <f>VLOOKUP(D1123,DROPDOWN!B:C,2,0)</f>
        <v>6</v>
      </c>
      <c r="N1123" t="str">
        <f t="shared" si="60"/>
        <v>BR3:CJ16</v>
      </c>
      <c r="O1123" s="4">
        <f t="shared" ca="1" si="58"/>
        <v>5594.6</v>
      </c>
    </row>
    <row r="1124" spans="1:15">
      <c r="A1124" s="2" t="s">
        <v>11</v>
      </c>
      <c r="B1124" t="s">
        <v>45</v>
      </c>
      <c r="C1124" t="s">
        <v>25</v>
      </c>
      <c r="D1124">
        <v>10</v>
      </c>
      <c r="E1124" t="s">
        <v>26</v>
      </c>
      <c r="F1124">
        <v>1</v>
      </c>
      <c r="G1124">
        <v>1</v>
      </c>
      <c r="H1124">
        <v>0</v>
      </c>
      <c r="I1124">
        <v>1</v>
      </c>
      <c r="J1124" s="4" t="s">
        <v>53</v>
      </c>
      <c r="K1124" t="str">
        <f t="shared" si="59"/>
        <v>1+0</v>
      </c>
      <c r="L1124">
        <f>VLOOKUP(A1124,'ZONE 1 PREMIUM'!$A$3:$M$16,13,0)</f>
        <v>4</v>
      </c>
      <c r="M1124">
        <f>VLOOKUP(D1124,DROPDOWN!B:C,2,0)</f>
        <v>6</v>
      </c>
      <c r="N1124" t="str">
        <f t="shared" si="60"/>
        <v>BR3:CJ16</v>
      </c>
      <c r="O1124" s="4">
        <f t="shared" ca="1" si="58"/>
        <v>14983.1</v>
      </c>
    </row>
    <row r="1125" spans="1:15">
      <c r="A1125" s="2" t="s">
        <v>12</v>
      </c>
      <c r="B1125" t="s">
        <v>27</v>
      </c>
      <c r="C1125" t="s">
        <v>28</v>
      </c>
      <c r="D1125">
        <v>10</v>
      </c>
      <c r="E1125" t="s">
        <v>26</v>
      </c>
      <c r="F1125">
        <v>1</v>
      </c>
      <c r="G1125">
        <v>1</v>
      </c>
      <c r="H1125">
        <v>0</v>
      </c>
      <c r="I1125">
        <v>1</v>
      </c>
      <c r="J1125" s="4" t="s">
        <v>53</v>
      </c>
      <c r="K1125" t="str">
        <f t="shared" si="59"/>
        <v>1+0</v>
      </c>
      <c r="L1125">
        <f>VLOOKUP(A1125,'ZONE 1 PREMIUM'!$A$3:$M$16,13,0)</f>
        <v>5</v>
      </c>
      <c r="M1125">
        <f>VLOOKUP(D1125,DROPDOWN!B:C,2,0)</f>
        <v>6</v>
      </c>
      <c r="N1125" t="str">
        <f t="shared" si="60"/>
        <v>BR3:CJ16</v>
      </c>
      <c r="O1125" s="4">
        <f t="shared" ca="1" si="58"/>
        <v>17252.400000000001</v>
      </c>
    </row>
    <row r="1126" spans="1:15">
      <c r="A1126" s="2" t="s">
        <v>13</v>
      </c>
      <c r="B1126" t="s">
        <v>29</v>
      </c>
      <c r="C1126" t="s">
        <v>30</v>
      </c>
      <c r="D1126">
        <v>10</v>
      </c>
      <c r="E1126" t="s">
        <v>26</v>
      </c>
      <c r="F1126">
        <v>1</v>
      </c>
      <c r="G1126">
        <v>1</v>
      </c>
      <c r="H1126">
        <v>0</v>
      </c>
      <c r="I1126">
        <v>1</v>
      </c>
      <c r="J1126" s="4" t="s">
        <v>53</v>
      </c>
      <c r="K1126" t="str">
        <f t="shared" si="59"/>
        <v>1+0</v>
      </c>
      <c r="L1126">
        <f>VLOOKUP(A1126,'ZONE 1 PREMIUM'!$A$3:$M$16,13,0)</f>
        <v>6</v>
      </c>
      <c r="M1126">
        <f>VLOOKUP(D1126,DROPDOWN!B:C,2,0)</f>
        <v>6</v>
      </c>
      <c r="N1126" t="str">
        <f t="shared" si="60"/>
        <v>BR3:CJ16</v>
      </c>
      <c r="O1126" s="4">
        <f t="shared" ca="1" si="58"/>
        <v>19921</v>
      </c>
    </row>
    <row r="1127" spans="1:15">
      <c r="A1127" s="2" t="s">
        <v>14</v>
      </c>
      <c r="B1127" t="s">
        <v>31</v>
      </c>
      <c r="C1127" t="s">
        <v>32</v>
      </c>
      <c r="D1127">
        <v>10</v>
      </c>
      <c r="E1127" t="s">
        <v>26</v>
      </c>
      <c r="F1127">
        <v>1</v>
      </c>
      <c r="G1127">
        <v>1</v>
      </c>
      <c r="H1127">
        <v>0</v>
      </c>
      <c r="I1127">
        <v>1</v>
      </c>
      <c r="J1127" s="4" t="s">
        <v>53</v>
      </c>
      <c r="K1127" t="str">
        <f t="shared" si="59"/>
        <v>1+0</v>
      </c>
      <c r="L1127">
        <f>VLOOKUP(A1127,'ZONE 1 PREMIUM'!$A$3:$M$16,13,0)</f>
        <v>7</v>
      </c>
      <c r="M1127">
        <f>VLOOKUP(D1127,DROPDOWN!B:C,2,0)</f>
        <v>6</v>
      </c>
      <c r="N1127" t="str">
        <f t="shared" si="60"/>
        <v>BR3:CJ16</v>
      </c>
      <c r="O1127" s="4">
        <f t="shared" ca="1" si="58"/>
        <v>23200.100000000002</v>
      </c>
    </row>
    <row r="1128" spans="1:15">
      <c r="A1128" s="2" t="s">
        <v>15</v>
      </c>
      <c r="B1128" t="s">
        <v>33</v>
      </c>
      <c r="C1128" t="s">
        <v>34</v>
      </c>
      <c r="D1128">
        <v>10</v>
      </c>
      <c r="E1128" t="s">
        <v>26</v>
      </c>
      <c r="F1128">
        <v>1</v>
      </c>
      <c r="G1128">
        <v>1</v>
      </c>
      <c r="H1128">
        <v>0</v>
      </c>
      <c r="I1128">
        <v>1</v>
      </c>
      <c r="J1128" s="4" t="s">
        <v>53</v>
      </c>
      <c r="K1128" t="str">
        <f t="shared" si="59"/>
        <v>1+0</v>
      </c>
      <c r="L1128">
        <f>VLOOKUP(A1128,'ZONE 1 PREMIUM'!$A$3:$M$16,13,0)</f>
        <v>8</v>
      </c>
      <c r="M1128">
        <f>VLOOKUP(D1128,DROPDOWN!B:C,2,0)</f>
        <v>6</v>
      </c>
      <c r="N1128" t="str">
        <f t="shared" si="60"/>
        <v>BR3:CJ16</v>
      </c>
      <c r="O1128" s="4">
        <f t="shared" ca="1" si="58"/>
        <v>28821.100000000002</v>
      </c>
    </row>
    <row r="1129" spans="1:15">
      <c r="A1129" s="2" t="s">
        <v>16</v>
      </c>
      <c r="B1129" t="s">
        <v>35</v>
      </c>
      <c r="C1129" t="s">
        <v>36</v>
      </c>
      <c r="D1129">
        <v>10</v>
      </c>
      <c r="E1129" t="s">
        <v>26</v>
      </c>
      <c r="F1129">
        <v>1</v>
      </c>
      <c r="G1129">
        <v>1</v>
      </c>
      <c r="H1129">
        <v>0</v>
      </c>
      <c r="I1129">
        <v>1</v>
      </c>
      <c r="J1129" s="4" t="s">
        <v>53</v>
      </c>
      <c r="K1129" t="str">
        <f t="shared" si="59"/>
        <v>1+0</v>
      </c>
      <c r="L1129">
        <f>VLOOKUP(A1129,'ZONE 1 PREMIUM'!$A$3:$M$16,13,0)</f>
        <v>9</v>
      </c>
      <c r="M1129">
        <f>VLOOKUP(D1129,DROPDOWN!B:C,2,0)</f>
        <v>6</v>
      </c>
      <c r="N1129" t="str">
        <f t="shared" si="60"/>
        <v>BR3:CJ16</v>
      </c>
      <c r="O1129" s="4">
        <f t="shared" ca="1" si="58"/>
        <v>37928</v>
      </c>
    </row>
    <row r="1130" spans="1:15">
      <c r="A1130" s="2" t="s">
        <v>17</v>
      </c>
      <c r="B1130" t="s">
        <v>37</v>
      </c>
      <c r="C1130" t="s">
        <v>38</v>
      </c>
      <c r="D1130">
        <v>10</v>
      </c>
      <c r="E1130" t="s">
        <v>26</v>
      </c>
      <c r="F1130">
        <v>1</v>
      </c>
      <c r="G1130">
        <v>1</v>
      </c>
      <c r="H1130">
        <v>0</v>
      </c>
      <c r="I1130">
        <v>1</v>
      </c>
      <c r="J1130" s="4" t="s">
        <v>53</v>
      </c>
      <c r="K1130" t="str">
        <f t="shared" si="59"/>
        <v>1+0</v>
      </c>
      <c r="L1130">
        <f>VLOOKUP(A1130,'ZONE 1 PREMIUM'!$A$3:$M$16,13,0)</f>
        <v>10</v>
      </c>
      <c r="M1130">
        <f>VLOOKUP(D1130,DROPDOWN!B:C,2,0)</f>
        <v>6</v>
      </c>
      <c r="N1130" t="str">
        <f t="shared" si="60"/>
        <v>BR3:CJ16</v>
      </c>
      <c r="O1130" s="4">
        <f t="shared" ca="1" si="58"/>
        <v>51384.3</v>
      </c>
    </row>
    <row r="1131" spans="1:15">
      <c r="A1131" s="2" t="s">
        <v>18</v>
      </c>
      <c r="B1131" t="s">
        <v>39</v>
      </c>
      <c r="C1131" t="s">
        <v>40</v>
      </c>
      <c r="D1131">
        <v>10</v>
      </c>
      <c r="E1131" t="s">
        <v>26</v>
      </c>
      <c r="F1131">
        <v>1</v>
      </c>
      <c r="G1131">
        <v>1</v>
      </c>
      <c r="H1131">
        <v>0</v>
      </c>
      <c r="I1131">
        <v>1</v>
      </c>
      <c r="J1131" s="4" t="s">
        <v>53</v>
      </c>
      <c r="K1131" t="str">
        <f t="shared" si="59"/>
        <v>1+0</v>
      </c>
      <c r="L1131">
        <f>VLOOKUP(A1131,'ZONE 1 PREMIUM'!$A$3:$M$16,13,0)</f>
        <v>11</v>
      </c>
      <c r="M1131">
        <f>VLOOKUP(D1131,DROPDOWN!B:C,2,0)</f>
        <v>6</v>
      </c>
      <c r="N1131" t="str">
        <f t="shared" si="60"/>
        <v>BR3:CJ16</v>
      </c>
      <c r="O1131" s="4">
        <f t="shared" ca="1" si="58"/>
        <v>71065.5</v>
      </c>
    </row>
    <row r="1132" spans="1:15">
      <c r="A1132" s="2" t="s">
        <v>19</v>
      </c>
      <c r="B1132" t="s">
        <v>41</v>
      </c>
      <c r="C1132" t="s">
        <v>42</v>
      </c>
      <c r="D1132">
        <v>10</v>
      </c>
      <c r="E1132" t="s">
        <v>26</v>
      </c>
      <c r="F1132">
        <v>1</v>
      </c>
      <c r="G1132">
        <v>1</v>
      </c>
      <c r="H1132">
        <v>0</v>
      </c>
      <c r="I1132">
        <v>1</v>
      </c>
      <c r="J1132" s="4" t="s">
        <v>53</v>
      </c>
      <c r="K1132" t="str">
        <f t="shared" si="59"/>
        <v>1+0</v>
      </c>
      <c r="L1132">
        <f>VLOOKUP(A1132,'ZONE 1 PREMIUM'!$A$3:$M$16,13,0)</f>
        <v>12</v>
      </c>
      <c r="M1132">
        <f>VLOOKUP(D1132,DROPDOWN!B:C,2,0)</f>
        <v>6</v>
      </c>
      <c r="N1132" t="str">
        <f t="shared" si="60"/>
        <v>BR3:CJ16</v>
      </c>
      <c r="O1132" s="4">
        <f t="shared" ca="1" si="58"/>
        <v>90747.8</v>
      </c>
    </row>
    <row r="1133" spans="1:15">
      <c r="A1133" s="2" t="s">
        <v>20</v>
      </c>
      <c r="B1133" t="s">
        <v>43</v>
      </c>
      <c r="C1133" t="s">
        <v>44</v>
      </c>
      <c r="D1133">
        <v>10</v>
      </c>
      <c r="E1133" t="s">
        <v>26</v>
      </c>
      <c r="F1133">
        <v>1</v>
      </c>
      <c r="G1133">
        <v>1</v>
      </c>
      <c r="H1133">
        <v>0</v>
      </c>
      <c r="I1133">
        <v>1</v>
      </c>
      <c r="J1133" s="4" t="s">
        <v>53</v>
      </c>
      <c r="K1133" t="str">
        <f t="shared" si="59"/>
        <v>1+0</v>
      </c>
      <c r="L1133">
        <f>VLOOKUP(A1133,'ZONE 1 PREMIUM'!$A$3:$M$16,13,0)</f>
        <v>13</v>
      </c>
      <c r="M1133">
        <f>VLOOKUP(D1133,DROPDOWN!B:C,2,0)</f>
        <v>6</v>
      </c>
      <c r="N1133" t="str">
        <f t="shared" si="60"/>
        <v>BR3:CJ16</v>
      </c>
      <c r="O1133" s="4">
        <f t="shared" ca="1" si="58"/>
        <v>108955.00000000001</v>
      </c>
    </row>
    <row r="1134" spans="1:15">
      <c r="A1134" s="2" t="s">
        <v>21</v>
      </c>
      <c r="B1134" t="s">
        <v>22</v>
      </c>
      <c r="D1134">
        <v>10</v>
      </c>
      <c r="E1134" t="s">
        <v>26</v>
      </c>
      <c r="F1134">
        <v>1</v>
      </c>
      <c r="G1134">
        <v>1</v>
      </c>
      <c r="H1134">
        <v>0</v>
      </c>
      <c r="I1134">
        <v>1</v>
      </c>
      <c r="J1134" s="4" t="s">
        <v>53</v>
      </c>
      <c r="K1134" t="str">
        <f t="shared" si="59"/>
        <v>1+0</v>
      </c>
      <c r="L1134">
        <f>VLOOKUP(A1134,'ZONE 1 PREMIUM'!$A$3:$M$16,13,0)</f>
        <v>14</v>
      </c>
      <c r="M1134">
        <f>VLOOKUP(D1134,DROPDOWN!B:C,2,0)</f>
        <v>6</v>
      </c>
      <c r="N1134" t="str">
        <f t="shared" si="60"/>
        <v>BR3:CJ16</v>
      </c>
      <c r="O1134" s="4">
        <f t="shared" ca="1" si="58"/>
        <v>146212</v>
      </c>
    </row>
    <row r="1135" spans="1:15">
      <c r="A1135" s="2" t="s">
        <v>11</v>
      </c>
      <c r="B1135" t="s">
        <v>45</v>
      </c>
      <c r="C1135" t="s">
        <v>25</v>
      </c>
      <c r="D1135">
        <v>10</v>
      </c>
      <c r="E1135" t="s">
        <v>46</v>
      </c>
      <c r="F1135">
        <v>2</v>
      </c>
      <c r="G1135">
        <v>1</v>
      </c>
      <c r="H1135">
        <v>1</v>
      </c>
      <c r="I1135">
        <v>1</v>
      </c>
      <c r="J1135" s="4" t="s">
        <v>53</v>
      </c>
      <c r="K1135" t="str">
        <f t="shared" si="59"/>
        <v>1+1</v>
      </c>
      <c r="L1135">
        <f>VLOOKUP(A1135,'ZONE 1 PREMIUM'!$A$4:$N$16,14,0)</f>
        <v>2</v>
      </c>
      <c r="M1135">
        <f>VLOOKUP(D1135,DROPDOWN!B:C,2,0)</f>
        <v>6</v>
      </c>
      <c r="N1135" t="str">
        <f t="shared" si="60"/>
        <v>BR20:CJ31</v>
      </c>
      <c r="O1135" s="4">
        <f t="shared" ca="1" si="58"/>
        <v>15770.7</v>
      </c>
    </row>
    <row r="1136" spans="1:15">
      <c r="A1136" s="2" t="s">
        <v>12</v>
      </c>
      <c r="B1136" t="s">
        <v>27</v>
      </c>
      <c r="C1136" t="s">
        <v>28</v>
      </c>
      <c r="D1136">
        <v>10</v>
      </c>
      <c r="E1136" t="s">
        <v>46</v>
      </c>
      <c r="F1136">
        <v>2</v>
      </c>
      <c r="G1136">
        <v>1</v>
      </c>
      <c r="H1136">
        <v>1</v>
      </c>
      <c r="I1136">
        <v>1</v>
      </c>
      <c r="J1136" s="4" t="s">
        <v>53</v>
      </c>
      <c r="K1136" t="str">
        <f t="shared" si="59"/>
        <v>1+1</v>
      </c>
      <c r="L1136">
        <f>VLOOKUP(A1136,'ZONE 1 PREMIUM'!$A$4:$N$16,14,0)</f>
        <v>3</v>
      </c>
      <c r="M1136">
        <f>VLOOKUP(D1136,DROPDOWN!B:C,2,0)</f>
        <v>6</v>
      </c>
      <c r="N1136" t="str">
        <f t="shared" si="60"/>
        <v>BR20:CJ31</v>
      </c>
      <c r="O1136" s="4">
        <f t="shared" ca="1" si="58"/>
        <v>17473.5</v>
      </c>
    </row>
    <row r="1137" spans="1:15">
      <c r="A1137" s="2" t="s">
        <v>13</v>
      </c>
      <c r="B1137" t="s">
        <v>29</v>
      </c>
      <c r="C1137" t="s">
        <v>30</v>
      </c>
      <c r="D1137">
        <v>10</v>
      </c>
      <c r="E1137" t="s">
        <v>46</v>
      </c>
      <c r="F1137">
        <v>2</v>
      </c>
      <c r="G1137">
        <v>1</v>
      </c>
      <c r="H1137">
        <v>1</v>
      </c>
      <c r="I1137">
        <v>1</v>
      </c>
      <c r="J1137" s="4" t="s">
        <v>53</v>
      </c>
      <c r="K1137" t="str">
        <f t="shared" si="59"/>
        <v>1+1</v>
      </c>
      <c r="L1137">
        <f>VLOOKUP(A1137,'ZONE 1 PREMIUM'!$A$4:$N$16,14,0)</f>
        <v>4</v>
      </c>
      <c r="M1137">
        <f>VLOOKUP(D1137,DROPDOWN!B:C,2,0)</f>
        <v>6</v>
      </c>
      <c r="N1137" t="str">
        <f t="shared" si="60"/>
        <v>BR20:CJ31</v>
      </c>
      <c r="O1137" s="4">
        <f t="shared" ca="1" si="58"/>
        <v>20188.300000000003</v>
      </c>
    </row>
    <row r="1138" spans="1:15">
      <c r="A1138" s="2" t="s">
        <v>14</v>
      </c>
      <c r="B1138" t="s">
        <v>31</v>
      </c>
      <c r="C1138" t="s">
        <v>32</v>
      </c>
      <c r="D1138">
        <v>10</v>
      </c>
      <c r="E1138" t="s">
        <v>46</v>
      </c>
      <c r="F1138">
        <v>2</v>
      </c>
      <c r="G1138">
        <v>1</v>
      </c>
      <c r="H1138">
        <v>1</v>
      </c>
      <c r="I1138">
        <v>1</v>
      </c>
      <c r="J1138" s="4" t="s">
        <v>53</v>
      </c>
      <c r="K1138" t="str">
        <f t="shared" si="59"/>
        <v>1+1</v>
      </c>
      <c r="L1138">
        <f>VLOOKUP(A1138,'ZONE 1 PREMIUM'!$A$4:$N$16,14,0)</f>
        <v>5</v>
      </c>
      <c r="M1138">
        <f>VLOOKUP(D1138,DROPDOWN!B:C,2,0)</f>
        <v>6</v>
      </c>
      <c r="N1138" t="str">
        <f t="shared" si="60"/>
        <v>BR20:CJ31</v>
      </c>
      <c r="O1138" s="4">
        <f t="shared" ca="1" si="58"/>
        <v>23756.7</v>
      </c>
    </row>
    <row r="1139" spans="1:15">
      <c r="A1139" s="2" t="s">
        <v>15</v>
      </c>
      <c r="B1139" t="s">
        <v>33</v>
      </c>
      <c r="C1139" t="s">
        <v>34</v>
      </c>
      <c r="D1139">
        <v>10</v>
      </c>
      <c r="E1139" t="s">
        <v>46</v>
      </c>
      <c r="F1139">
        <v>2</v>
      </c>
      <c r="G1139">
        <v>1</v>
      </c>
      <c r="H1139">
        <v>1</v>
      </c>
      <c r="I1139">
        <v>1</v>
      </c>
      <c r="J1139" s="4" t="s">
        <v>53</v>
      </c>
      <c r="K1139" t="str">
        <f t="shared" si="59"/>
        <v>1+1</v>
      </c>
      <c r="L1139">
        <f>VLOOKUP(A1139,'ZONE 1 PREMIUM'!$A$4:$N$16,14,0)</f>
        <v>6</v>
      </c>
      <c r="M1139">
        <f>VLOOKUP(D1139,DROPDOWN!B:C,2,0)</f>
        <v>6</v>
      </c>
      <c r="N1139" t="str">
        <f t="shared" si="60"/>
        <v>BR20:CJ31</v>
      </c>
      <c r="O1139" s="4">
        <f t="shared" ca="1" si="58"/>
        <v>30509.600000000002</v>
      </c>
    </row>
    <row r="1140" spans="1:15">
      <c r="A1140" s="2" t="s">
        <v>16</v>
      </c>
      <c r="B1140" t="s">
        <v>35</v>
      </c>
      <c r="C1140" t="s">
        <v>36</v>
      </c>
      <c r="D1140">
        <v>10</v>
      </c>
      <c r="E1140" t="s">
        <v>46</v>
      </c>
      <c r="F1140">
        <v>2</v>
      </c>
      <c r="G1140">
        <v>1</v>
      </c>
      <c r="H1140">
        <v>1</v>
      </c>
      <c r="I1140">
        <v>1</v>
      </c>
      <c r="J1140" s="4" t="s">
        <v>53</v>
      </c>
      <c r="K1140" t="str">
        <f t="shared" si="59"/>
        <v>1+1</v>
      </c>
      <c r="L1140">
        <f>VLOOKUP(A1140,'ZONE 1 PREMIUM'!$A$4:$N$16,14,0)</f>
        <v>7</v>
      </c>
      <c r="M1140">
        <f>VLOOKUP(D1140,DROPDOWN!B:C,2,0)</f>
        <v>6</v>
      </c>
      <c r="N1140" t="str">
        <f t="shared" si="60"/>
        <v>BR20:CJ31</v>
      </c>
      <c r="O1140" s="4">
        <f t="shared" ca="1" si="58"/>
        <v>39614.300000000003</v>
      </c>
    </row>
    <row r="1141" spans="1:15">
      <c r="A1141" s="2" t="s">
        <v>17</v>
      </c>
      <c r="B1141" t="s">
        <v>37</v>
      </c>
      <c r="C1141" t="s">
        <v>38</v>
      </c>
      <c r="D1141">
        <v>10</v>
      </c>
      <c r="E1141" t="s">
        <v>46</v>
      </c>
      <c r="F1141">
        <v>2</v>
      </c>
      <c r="G1141">
        <v>1</v>
      </c>
      <c r="H1141">
        <v>1</v>
      </c>
      <c r="I1141">
        <v>1</v>
      </c>
      <c r="J1141" s="4" t="s">
        <v>53</v>
      </c>
      <c r="K1141" t="str">
        <f t="shared" si="59"/>
        <v>1+1</v>
      </c>
      <c r="L1141">
        <f>VLOOKUP(A1141,'ZONE 1 PREMIUM'!$A$4:$N$16,14,0)</f>
        <v>8</v>
      </c>
      <c r="M1141">
        <f>VLOOKUP(D1141,DROPDOWN!B:C,2,0)</f>
        <v>6</v>
      </c>
      <c r="N1141" t="str">
        <f t="shared" si="60"/>
        <v>BR20:CJ31</v>
      </c>
      <c r="O1141" s="4">
        <f t="shared" ca="1" si="58"/>
        <v>52448.000000000007</v>
      </c>
    </row>
    <row r="1142" spans="1:15">
      <c r="A1142" s="2" t="s">
        <v>18</v>
      </c>
      <c r="B1142" t="s">
        <v>39</v>
      </c>
      <c r="C1142" t="s">
        <v>40</v>
      </c>
      <c r="D1142">
        <v>10</v>
      </c>
      <c r="E1142" t="s">
        <v>46</v>
      </c>
      <c r="F1142">
        <v>2</v>
      </c>
      <c r="G1142">
        <v>1</v>
      </c>
      <c r="H1142">
        <v>1</v>
      </c>
      <c r="I1142">
        <v>1</v>
      </c>
      <c r="J1142" s="4" t="s">
        <v>53</v>
      </c>
      <c r="K1142" t="str">
        <f t="shared" si="59"/>
        <v>1+1</v>
      </c>
      <c r="L1142">
        <f>VLOOKUP(A1142,'ZONE 1 PREMIUM'!$A$4:$N$16,14,0)</f>
        <v>9</v>
      </c>
      <c r="M1142">
        <f>VLOOKUP(D1142,DROPDOWN!B:C,2,0)</f>
        <v>6</v>
      </c>
      <c r="N1142" t="str">
        <f t="shared" si="60"/>
        <v>BR20:CJ31</v>
      </c>
      <c r="O1142" s="4">
        <f t="shared" ca="1" si="58"/>
        <v>73222.600000000006</v>
      </c>
    </row>
    <row r="1143" spans="1:15">
      <c r="A1143" s="2" t="s">
        <v>19</v>
      </c>
      <c r="B1143" t="s">
        <v>41</v>
      </c>
      <c r="C1143" t="s">
        <v>42</v>
      </c>
      <c r="D1143">
        <v>10</v>
      </c>
      <c r="E1143" t="s">
        <v>46</v>
      </c>
      <c r="F1143">
        <v>2</v>
      </c>
      <c r="G1143">
        <v>1</v>
      </c>
      <c r="H1143">
        <v>1</v>
      </c>
      <c r="I1143">
        <v>1</v>
      </c>
      <c r="J1143" s="4" t="s">
        <v>53</v>
      </c>
      <c r="K1143" t="str">
        <f t="shared" si="59"/>
        <v>1+1</v>
      </c>
      <c r="L1143">
        <f>VLOOKUP(A1143,'ZONE 1 PREMIUM'!$A$4:$N$16,14,0)</f>
        <v>10</v>
      </c>
      <c r="M1143">
        <f>VLOOKUP(D1143,DROPDOWN!B:C,2,0)</f>
        <v>6</v>
      </c>
      <c r="N1143" t="str">
        <f t="shared" si="60"/>
        <v>BR20:CJ31</v>
      </c>
      <c r="O1143" s="4">
        <f t="shared" ca="1" si="58"/>
        <v>92796.000000000015</v>
      </c>
    </row>
    <row r="1144" spans="1:15">
      <c r="A1144" s="2" t="s">
        <v>20</v>
      </c>
      <c r="B1144" t="s">
        <v>43</v>
      </c>
      <c r="C1144" t="s">
        <v>44</v>
      </c>
      <c r="D1144">
        <v>10</v>
      </c>
      <c r="E1144" t="s">
        <v>46</v>
      </c>
      <c r="F1144">
        <v>2</v>
      </c>
      <c r="G1144">
        <v>1</v>
      </c>
      <c r="H1144">
        <v>1</v>
      </c>
      <c r="I1144">
        <v>1</v>
      </c>
      <c r="J1144" s="4" t="s">
        <v>53</v>
      </c>
      <c r="K1144" t="str">
        <f t="shared" si="59"/>
        <v>1+1</v>
      </c>
      <c r="L1144">
        <f>VLOOKUP(A1144,'ZONE 1 PREMIUM'!$A$4:$N$16,14,0)</f>
        <v>11</v>
      </c>
      <c r="M1144">
        <f>VLOOKUP(D1144,DROPDOWN!B:C,2,0)</f>
        <v>6</v>
      </c>
      <c r="N1144" t="str">
        <f t="shared" si="60"/>
        <v>BR20:CJ31</v>
      </c>
      <c r="O1144" s="4">
        <f t="shared" ca="1" si="58"/>
        <v>109441.20000000001</v>
      </c>
    </row>
    <row r="1145" spans="1:15">
      <c r="A1145" s="2" t="s">
        <v>21</v>
      </c>
      <c r="B1145" t="s">
        <v>22</v>
      </c>
      <c r="D1145">
        <v>10</v>
      </c>
      <c r="E1145" t="s">
        <v>46</v>
      </c>
      <c r="F1145">
        <v>2</v>
      </c>
      <c r="G1145">
        <v>1</v>
      </c>
      <c r="H1145">
        <v>1</v>
      </c>
      <c r="I1145">
        <v>1</v>
      </c>
      <c r="J1145" s="4" t="s">
        <v>53</v>
      </c>
      <c r="K1145" t="str">
        <f t="shared" si="59"/>
        <v>1+1</v>
      </c>
      <c r="L1145">
        <f>VLOOKUP(A1145,'ZONE 1 PREMIUM'!$A$4:$N$16,14,0)</f>
        <v>12</v>
      </c>
      <c r="M1145">
        <f>VLOOKUP(D1145,DROPDOWN!B:C,2,0)</f>
        <v>6</v>
      </c>
      <c r="N1145" t="str">
        <f t="shared" si="60"/>
        <v>BR20:CJ31</v>
      </c>
      <c r="O1145" s="4">
        <f t="shared" ca="1" si="58"/>
        <v>148511</v>
      </c>
    </row>
    <row r="1146" spans="1:15">
      <c r="A1146" s="2" t="s">
        <v>11</v>
      </c>
      <c r="B1146" t="s">
        <v>45</v>
      </c>
      <c r="C1146" t="s">
        <v>25</v>
      </c>
      <c r="D1146">
        <v>10</v>
      </c>
      <c r="E1146" t="s">
        <v>46</v>
      </c>
      <c r="F1146">
        <v>3</v>
      </c>
      <c r="G1146">
        <v>1</v>
      </c>
      <c r="H1146">
        <v>2</v>
      </c>
      <c r="I1146">
        <v>1</v>
      </c>
      <c r="J1146" s="4" t="s">
        <v>53</v>
      </c>
      <c r="K1146" t="str">
        <f t="shared" si="59"/>
        <v>1+2</v>
      </c>
      <c r="L1146">
        <f>VLOOKUP(A1146,'ZONE 1 PREMIUM'!$A$4:$N$16,14,0)</f>
        <v>2</v>
      </c>
      <c r="M1146">
        <f>VLOOKUP(D1146,DROPDOWN!B:C,2,0)</f>
        <v>6</v>
      </c>
      <c r="N1146" t="str">
        <f t="shared" si="60"/>
        <v>BR35:CJ46</v>
      </c>
      <c r="O1146" s="4">
        <f t="shared" ca="1" si="58"/>
        <v>20350</v>
      </c>
    </row>
    <row r="1147" spans="1:15">
      <c r="A1147" s="2" t="s">
        <v>12</v>
      </c>
      <c r="B1147" t="s">
        <v>27</v>
      </c>
      <c r="C1147" t="s">
        <v>28</v>
      </c>
      <c r="D1147">
        <v>10</v>
      </c>
      <c r="E1147" t="s">
        <v>46</v>
      </c>
      <c r="F1147">
        <v>3</v>
      </c>
      <c r="G1147">
        <v>1</v>
      </c>
      <c r="H1147">
        <v>2</v>
      </c>
      <c r="I1147">
        <v>1</v>
      </c>
      <c r="J1147" s="4" t="s">
        <v>53</v>
      </c>
      <c r="K1147" t="str">
        <f t="shared" si="59"/>
        <v>1+2</v>
      </c>
      <c r="L1147">
        <f>VLOOKUP(A1147,'ZONE 1 PREMIUM'!$A$4:$N$16,14,0)</f>
        <v>3</v>
      </c>
      <c r="M1147">
        <f>VLOOKUP(D1147,DROPDOWN!B:C,2,0)</f>
        <v>6</v>
      </c>
      <c r="N1147" t="str">
        <f t="shared" si="60"/>
        <v>BR35:CJ46</v>
      </c>
      <c r="O1147" s="4">
        <f t="shared" ca="1" si="58"/>
        <v>21883.4</v>
      </c>
    </row>
    <row r="1148" spans="1:15">
      <c r="A1148" s="2" t="s">
        <v>13</v>
      </c>
      <c r="B1148" t="s">
        <v>29</v>
      </c>
      <c r="C1148" t="s">
        <v>30</v>
      </c>
      <c r="D1148">
        <v>10</v>
      </c>
      <c r="E1148" t="s">
        <v>46</v>
      </c>
      <c r="F1148">
        <v>3</v>
      </c>
      <c r="G1148">
        <v>1</v>
      </c>
      <c r="H1148">
        <v>2</v>
      </c>
      <c r="I1148">
        <v>1</v>
      </c>
      <c r="J1148" s="4" t="s">
        <v>53</v>
      </c>
      <c r="K1148" t="str">
        <f t="shared" si="59"/>
        <v>1+2</v>
      </c>
      <c r="L1148">
        <f>VLOOKUP(A1148,'ZONE 1 PREMIUM'!$A$4:$N$16,14,0)</f>
        <v>4</v>
      </c>
      <c r="M1148">
        <f>VLOOKUP(D1148,DROPDOWN!B:C,2,0)</f>
        <v>6</v>
      </c>
      <c r="N1148" t="str">
        <f t="shared" si="60"/>
        <v>BR35:CJ46</v>
      </c>
      <c r="O1148" s="4">
        <f t="shared" ca="1" si="58"/>
        <v>25297.800000000003</v>
      </c>
    </row>
    <row r="1149" spans="1:15">
      <c r="A1149" s="2" t="s">
        <v>14</v>
      </c>
      <c r="B1149" t="s">
        <v>31</v>
      </c>
      <c r="C1149" t="s">
        <v>32</v>
      </c>
      <c r="D1149">
        <v>10</v>
      </c>
      <c r="E1149" t="s">
        <v>46</v>
      </c>
      <c r="F1149">
        <v>3</v>
      </c>
      <c r="G1149">
        <v>1</v>
      </c>
      <c r="H1149">
        <v>2</v>
      </c>
      <c r="I1149">
        <v>1</v>
      </c>
      <c r="J1149" s="4" t="s">
        <v>53</v>
      </c>
      <c r="K1149" t="str">
        <f t="shared" si="59"/>
        <v>1+2</v>
      </c>
      <c r="L1149">
        <f>VLOOKUP(A1149,'ZONE 1 PREMIUM'!$A$4:$N$16,14,0)</f>
        <v>5</v>
      </c>
      <c r="M1149">
        <f>VLOOKUP(D1149,DROPDOWN!B:C,2,0)</f>
        <v>6</v>
      </c>
      <c r="N1149" t="str">
        <f t="shared" si="60"/>
        <v>BR35:CJ46</v>
      </c>
      <c r="O1149" s="4">
        <f t="shared" ca="1" si="58"/>
        <v>28386.600000000002</v>
      </c>
    </row>
    <row r="1150" spans="1:15">
      <c r="A1150" s="2" t="s">
        <v>15</v>
      </c>
      <c r="B1150" t="s">
        <v>33</v>
      </c>
      <c r="C1150" t="s">
        <v>34</v>
      </c>
      <c r="D1150">
        <v>10</v>
      </c>
      <c r="E1150" t="s">
        <v>46</v>
      </c>
      <c r="F1150">
        <v>3</v>
      </c>
      <c r="G1150">
        <v>1</v>
      </c>
      <c r="H1150">
        <v>2</v>
      </c>
      <c r="I1150">
        <v>1</v>
      </c>
      <c r="J1150" s="4" t="s">
        <v>53</v>
      </c>
      <c r="K1150" t="str">
        <f t="shared" si="59"/>
        <v>1+2</v>
      </c>
      <c r="L1150">
        <f>VLOOKUP(A1150,'ZONE 1 PREMIUM'!$A$4:$N$16,14,0)</f>
        <v>6</v>
      </c>
      <c r="M1150">
        <f>VLOOKUP(D1150,DROPDOWN!B:C,2,0)</f>
        <v>6</v>
      </c>
      <c r="N1150" t="str">
        <f t="shared" si="60"/>
        <v>BR35:CJ46</v>
      </c>
      <c r="O1150" s="4">
        <f t="shared" ca="1" si="58"/>
        <v>36726.800000000003</v>
      </c>
    </row>
    <row r="1151" spans="1:15">
      <c r="A1151" s="2" t="s">
        <v>16</v>
      </c>
      <c r="B1151" t="s">
        <v>35</v>
      </c>
      <c r="C1151" t="s">
        <v>36</v>
      </c>
      <c r="D1151">
        <v>10</v>
      </c>
      <c r="E1151" t="s">
        <v>46</v>
      </c>
      <c r="F1151">
        <v>3</v>
      </c>
      <c r="G1151">
        <v>1</v>
      </c>
      <c r="H1151">
        <v>2</v>
      </c>
      <c r="I1151">
        <v>1</v>
      </c>
      <c r="J1151" s="4" t="s">
        <v>53</v>
      </c>
      <c r="K1151" t="str">
        <f t="shared" si="59"/>
        <v>1+2</v>
      </c>
      <c r="L1151">
        <f>VLOOKUP(A1151,'ZONE 1 PREMIUM'!$A$4:$N$16,14,0)</f>
        <v>7</v>
      </c>
      <c r="M1151">
        <f>VLOOKUP(D1151,DROPDOWN!B:C,2,0)</f>
        <v>6</v>
      </c>
      <c r="N1151" t="str">
        <f t="shared" si="60"/>
        <v>BR35:CJ46</v>
      </c>
      <c r="O1151" s="4">
        <f t="shared" ca="1" si="58"/>
        <v>47319.8</v>
      </c>
    </row>
    <row r="1152" spans="1:15">
      <c r="A1152" s="2" t="s">
        <v>17</v>
      </c>
      <c r="B1152" t="s">
        <v>37</v>
      </c>
      <c r="C1152" t="s">
        <v>38</v>
      </c>
      <c r="D1152">
        <v>10</v>
      </c>
      <c r="E1152" t="s">
        <v>46</v>
      </c>
      <c r="F1152">
        <v>3</v>
      </c>
      <c r="G1152">
        <v>1</v>
      </c>
      <c r="H1152">
        <v>2</v>
      </c>
      <c r="I1152">
        <v>1</v>
      </c>
      <c r="J1152" s="4" t="s">
        <v>53</v>
      </c>
      <c r="K1152" t="str">
        <f t="shared" si="59"/>
        <v>1+2</v>
      </c>
      <c r="L1152">
        <f>VLOOKUP(A1152,'ZONE 1 PREMIUM'!$A$4:$N$16,14,0)</f>
        <v>8</v>
      </c>
      <c r="M1152">
        <f>VLOOKUP(D1152,DROPDOWN!B:C,2,0)</f>
        <v>6</v>
      </c>
      <c r="N1152" t="str">
        <f t="shared" si="60"/>
        <v>BR35:CJ46</v>
      </c>
      <c r="O1152" s="4">
        <f t="shared" ca="1" si="58"/>
        <v>60749.700000000004</v>
      </c>
    </row>
    <row r="1153" spans="1:15">
      <c r="A1153" s="2" t="s">
        <v>18</v>
      </c>
      <c r="B1153" t="s">
        <v>39</v>
      </c>
      <c r="C1153" t="s">
        <v>40</v>
      </c>
      <c r="D1153">
        <v>10</v>
      </c>
      <c r="E1153" t="s">
        <v>46</v>
      </c>
      <c r="F1153">
        <v>3</v>
      </c>
      <c r="G1153">
        <v>1</v>
      </c>
      <c r="H1153">
        <v>2</v>
      </c>
      <c r="I1153">
        <v>1</v>
      </c>
      <c r="J1153" s="4" t="s">
        <v>53</v>
      </c>
      <c r="K1153" t="str">
        <f t="shared" si="59"/>
        <v>1+2</v>
      </c>
      <c r="L1153">
        <f>VLOOKUP(A1153,'ZONE 1 PREMIUM'!$A$4:$N$16,14,0)</f>
        <v>9</v>
      </c>
      <c r="M1153">
        <f>VLOOKUP(D1153,DROPDOWN!B:C,2,0)</f>
        <v>6</v>
      </c>
      <c r="N1153" t="str">
        <f t="shared" si="60"/>
        <v>BR35:CJ46</v>
      </c>
      <c r="O1153" s="4">
        <f t="shared" ca="1" si="58"/>
        <v>79887.5</v>
      </c>
    </row>
    <row r="1154" spans="1:15">
      <c r="A1154" s="2" t="s">
        <v>19</v>
      </c>
      <c r="B1154" t="s">
        <v>41</v>
      </c>
      <c r="C1154" t="s">
        <v>42</v>
      </c>
      <c r="D1154">
        <v>10</v>
      </c>
      <c r="E1154" t="s">
        <v>46</v>
      </c>
      <c r="F1154">
        <v>3</v>
      </c>
      <c r="G1154">
        <v>1</v>
      </c>
      <c r="H1154">
        <v>2</v>
      </c>
      <c r="I1154">
        <v>1</v>
      </c>
      <c r="J1154" s="4" t="s">
        <v>53</v>
      </c>
      <c r="K1154" t="str">
        <f t="shared" si="59"/>
        <v>1+2</v>
      </c>
      <c r="L1154">
        <f>VLOOKUP(A1154,'ZONE 1 PREMIUM'!$A$4:$N$16,14,0)</f>
        <v>10</v>
      </c>
      <c r="M1154">
        <f>VLOOKUP(D1154,DROPDOWN!B:C,2,0)</f>
        <v>6</v>
      </c>
      <c r="N1154" t="str">
        <f t="shared" si="60"/>
        <v>BR35:CJ46</v>
      </c>
      <c r="O1154" s="4">
        <f t="shared" ref="O1154:O1217" ca="1" si="61">INDEX(INDIRECT(N1154),L1154,M1154)</f>
        <v>101047.1</v>
      </c>
    </row>
    <row r="1155" spans="1:15">
      <c r="A1155" s="2" t="s">
        <v>20</v>
      </c>
      <c r="B1155" t="s">
        <v>43</v>
      </c>
      <c r="C1155" t="s">
        <v>44</v>
      </c>
      <c r="D1155">
        <v>10</v>
      </c>
      <c r="E1155" t="s">
        <v>46</v>
      </c>
      <c r="F1155">
        <v>3</v>
      </c>
      <c r="G1155">
        <v>1</v>
      </c>
      <c r="H1155">
        <v>2</v>
      </c>
      <c r="I1155">
        <v>1</v>
      </c>
      <c r="J1155" s="4" t="s">
        <v>53</v>
      </c>
      <c r="K1155" t="str">
        <f t="shared" si="59"/>
        <v>1+2</v>
      </c>
      <c r="L1155">
        <f>VLOOKUP(A1155,'ZONE 1 PREMIUM'!$A$4:$N$16,14,0)</f>
        <v>11</v>
      </c>
      <c r="M1155">
        <f>VLOOKUP(D1155,DROPDOWN!B:C,2,0)</f>
        <v>6</v>
      </c>
      <c r="N1155" t="str">
        <f t="shared" si="60"/>
        <v>BR35:CJ46</v>
      </c>
      <c r="O1155" s="4">
        <f t="shared" ca="1" si="61"/>
        <v>119254.3</v>
      </c>
    </row>
    <row r="1156" spans="1:15">
      <c r="A1156" s="2" t="s">
        <v>21</v>
      </c>
      <c r="B1156" t="s">
        <v>22</v>
      </c>
      <c r="D1156">
        <v>10</v>
      </c>
      <c r="E1156" t="s">
        <v>46</v>
      </c>
      <c r="F1156">
        <v>3</v>
      </c>
      <c r="G1156">
        <v>1</v>
      </c>
      <c r="H1156">
        <v>2</v>
      </c>
      <c r="I1156">
        <v>1</v>
      </c>
      <c r="J1156" s="4" t="s">
        <v>53</v>
      </c>
      <c r="K1156" t="str">
        <f t="shared" ref="K1156:K1219" si="62">G1156&amp;"+"&amp;H1156</f>
        <v>1+2</v>
      </c>
      <c r="L1156">
        <f>VLOOKUP(A1156,'ZONE 1 PREMIUM'!$A$4:$N$16,14,0)</f>
        <v>12</v>
      </c>
      <c r="M1156">
        <f>VLOOKUP(D1156,DROPDOWN!B:C,2,0)</f>
        <v>6</v>
      </c>
      <c r="N1156" t="str">
        <f t="shared" si="60"/>
        <v>BR35:CJ46</v>
      </c>
      <c r="O1156" s="4">
        <f t="shared" ca="1" si="61"/>
        <v>155734.70000000001</v>
      </c>
    </row>
    <row r="1157" spans="1:15">
      <c r="A1157" s="2" t="s">
        <v>11</v>
      </c>
      <c r="B1157" t="s">
        <v>45</v>
      </c>
      <c r="C1157" t="s">
        <v>25</v>
      </c>
      <c r="D1157">
        <v>10</v>
      </c>
      <c r="E1157" t="s">
        <v>46</v>
      </c>
      <c r="F1157">
        <v>4</v>
      </c>
      <c r="G1157">
        <v>1</v>
      </c>
      <c r="H1157">
        <v>3</v>
      </c>
      <c r="I1157">
        <v>1</v>
      </c>
      <c r="J1157" s="4" t="s">
        <v>53</v>
      </c>
      <c r="K1157" t="str">
        <f t="shared" si="62"/>
        <v>1+3</v>
      </c>
      <c r="L1157">
        <f>VLOOKUP(A1157,'ZONE 1 PREMIUM'!$A$4:$N$16,14,0)</f>
        <v>2</v>
      </c>
      <c r="M1157">
        <f>VLOOKUP(D1157,DROPDOWN!B:C,2,0)</f>
        <v>6</v>
      </c>
      <c r="N1157" t="str">
        <f t="shared" si="60"/>
        <v>BR50:CJ61</v>
      </c>
      <c r="O1157" s="4">
        <f t="shared" ca="1" si="61"/>
        <v>24929.300000000003</v>
      </c>
    </row>
    <row r="1158" spans="1:15">
      <c r="A1158" s="2" t="s">
        <v>12</v>
      </c>
      <c r="B1158" t="s">
        <v>27</v>
      </c>
      <c r="C1158" t="s">
        <v>28</v>
      </c>
      <c r="D1158">
        <v>10</v>
      </c>
      <c r="E1158" t="s">
        <v>46</v>
      </c>
      <c r="F1158">
        <v>4</v>
      </c>
      <c r="G1158">
        <v>1</v>
      </c>
      <c r="H1158">
        <v>3</v>
      </c>
      <c r="I1158">
        <v>1</v>
      </c>
      <c r="J1158" s="4" t="s">
        <v>53</v>
      </c>
      <c r="K1158" t="str">
        <f t="shared" si="62"/>
        <v>1+3</v>
      </c>
      <c r="L1158">
        <f>VLOOKUP(A1158,'ZONE 1 PREMIUM'!$A$4:$N$16,14,0)</f>
        <v>3</v>
      </c>
      <c r="M1158">
        <f>VLOOKUP(D1158,DROPDOWN!B:C,2,0)</f>
        <v>6</v>
      </c>
      <c r="N1158" t="str">
        <f t="shared" si="60"/>
        <v>BR50:CJ61</v>
      </c>
      <c r="O1158" s="4">
        <f t="shared" ca="1" si="61"/>
        <v>26380.2</v>
      </c>
    </row>
    <row r="1159" spans="1:15">
      <c r="A1159" s="2" t="s">
        <v>13</v>
      </c>
      <c r="B1159" t="s">
        <v>29</v>
      </c>
      <c r="C1159" t="s">
        <v>30</v>
      </c>
      <c r="D1159">
        <v>10</v>
      </c>
      <c r="E1159" t="s">
        <v>46</v>
      </c>
      <c r="F1159">
        <v>4</v>
      </c>
      <c r="G1159">
        <v>1</v>
      </c>
      <c r="H1159">
        <v>3</v>
      </c>
      <c r="I1159">
        <v>1</v>
      </c>
      <c r="J1159" s="4" t="s">
        <v>53</v>
      </c>
      <c r="K1159" t="str">
        <f t="shared" si="62"/>
        <v>1+3</v>
      </c>
      <c r="L1159">
        <f>VLOOKUP(A1159,'ZONE 1 PREMIUM'!$A$4:$N$16,14,0)</f>
        <v>4</v>
      </c>
      <c r="M1159">
        <f>VLOOKUP(D1159,DROPDOWN!B:C,2,0)</f>
        <v>6</v>
      </c>
      <c r="N1159" t="str">
        <f t="shared" si="60"/>
        <v>BR50:CJ61</v>
      </c>
      <c r="O1159" s="4">
        <f t="shared" ca="1" si="61"/>
        <v>30507.4</v>
      </c>
    </row>
    <row r="1160" spans="1:15">
      <c r="A1160" s="2" t="s">
        <v>14</v>
      </c>
      <c r="B1160" t="s">
        <v>31</v>
      </c>
      <c r="C1160" t="s">
        <v>32</v>
      </c>
      <c r="D1160">
        <v>10</v>
      </c>
      <c r="E1160" t="s">
        <v>46</v>
      </c>
      <c r="F1160">
        <v>4</v>
      </c>
      <c r="G1160">
        <v>1</v>
      </c>
      <c r="H1160">
        <v>3</v>
      </c>
      <c r="I1160">
        <v>1</v>
      </c>
      <c r="J1160" s="4" t="s">
        <v>53</v>
      </c>
      <c r="K1160" t="str">
        <f t="shared" si="62"/>
        <v>1+3</v>
      </c>
      <c r="L1160">
        <f>VLOOKUP(A1160,'ZONE 1 PREMIUM'!$A$4:$N$16,14,0)</f>
        <v>5</v>
      </c>
      <c r="M1160">
        <f>VLOOKUP(D1160,DROPDOWN!B:C,2,0)</f>
        <v>6</v>
      </c>
      <c r="N1160" t="str">
        <f t="shared" si="60"/>
        <v>BR50:CJ61</v>
      </c>
      <c r="O1160" s="4">
        <f t="shared" ca="1" si="61"/>
        <v>33930.600000000006</v>
      </c>
    </row>
    <row r="1161" spans="1:15">
      <c r="A1161" s="2" t="s">
        <v>15</v>
      </c>
      <c r="B1161" t="s">
        <v>33</v>
      </c>
      <c r="C1161" t="s">
        <v>34</v>
      </c>
      <c r="D1161">
        <v>10</v>
      </c>
      <c r="E1161" t="s">
        <v>46</v>
      </c>
      <c r="F1161">
        <v>4</v>
      </c>
      <c r="G1161">
        <v>1</v>
      </c>
      <c r="H1161">
        <v>3</v>
      </c>
      <c r="I1161">
        <v>1</v>
      </c>
      <c r="J1161" s="4" t="s">
        <v>53</v>
      </c>
      <c r="K1161" t="str">
        <f t="shared" si="62"/>
        <v>1+3</v>
      </c>
      <c r="L1161">
        <f>VLOOKUP(A1161,'ZONE 1 PREMIUM'!$A$4:$N$16,14,0)</f>
        <v>6</v>
      </c>
      <c r="M1161">
        <f>VLOOKUP(D1161,DROPDOWN!B:C,2,0)</f>
        <v>6</v>
      </c>
      <c r="N1161" t="str">
        <f t="shared" si="60"/>
        <v>BR50:CJ61</v>
      </c>
      <c r="O1161" s="4">
        <f t="shared" ca="1" si="61"/>
        <v>42944</v>
      </c>
    </row>
    <row r="1162" spans="1:15">
      <c r="A1162" s="2" t="s">
        <v>16</v>
      </c>
      <c r="B1162" t="s">
        <v>35</v>
      </c>
      <c r="C1162" t="s">
        <v>36</v>
      </c>
      <c r="D1162">
        <v>10</v>
      </c>
      <c r="E1162" t="s">
        <v>46</v>
      </c>
      <c r="F1162">
        <v>4</v>
      </c>
      <c r="G1162">
        <v>1</v>
      </c>
      <c r="H1162">
        <v>3</v>
      </c>
      <c r="I1162">
        <v>1</v>
      </c>
      <c r="J1162" s="4" t="s">
        <v>53</v>
      </c>
      <c r="K1162" t="str">
        <f t="shared" si="62"/>
        <v>1+3</v>
      </c>
      <c r="L1162">
        <f>VLOOKUP(A1162,'ZONE 1 PREMIUM'!$A$4:$N$16,14,0)</f>
        <v>7</v>
      </c>
      <c r="M1162">
        <f>VLOOKUP(D1162,DROPDOWN!B:C,2,0)</f>
        <v>6</v>
      </c>
      <c r="N1162" t="str">
        <f t="shared" si="60"/>
        <v>BR50:CJ61</v>
      </c>
      <c r="O1162" s="4">
        <f t="shared" ca="1" si="61"/>
        <v>54201.4</v>
      </c>
    </row>
    <row r="1163" spans="1:15">
      <c r="A1163" s="2" t="s">
        <v>17</v>
      </c>
      <c r="B1163" t="s">
        <v>37</v>
      </c>
      <c r="C1163" t="s">
        <v>38</v>
      </c>
      <c r="D1163">
        <v>10</v>
      </c>
      <c r="E1163" t="s">
        <v>46</v>
      </c>
      <c r="F1163">
        <v>4</v>
      </c>
      <c r="G1163">
        <v>1</v>
      </c>
      <c r="H1163">
        <v>3</v>
      </c>
      <c r="I1163">
        <v>1</v>
      </c>
      <c r="J1163" s="4" t="s">
        <v>53</v>
      </c>
      <c r="K1163" t="str">
        <f t="shared" si="62"/>
        <v>1+3</v>
      </c>
      <c r="L1163">
        <f>VLOOKUP(A1163,'ZONE 1 PREMIUM'!$A$4:$N$16,14,0)</f>
        <v>8</v>
      </c>
      <c r="M1163">
        <f>VLOOKUP(D1163,DROPDOWN!B:C,2,0)</f>
        <v>6</v>
      </c>
      <c r="N1163" t="str">
        <f t="shared" si="60"/>
        <v>BR50:CJ61</v>
      </c>
      <c r="O1163" s="4">
        <f t="shared" ca="1" si="61"/>
        <v>66807.400000000009</v>
      </c>
    </row>
    <row r="1164" spans="1:15">
      <c r="A1164" s="2" t="s">
        <v>18</v>
      </c>
      <c r="B1164" t="s">
        <v>39</v>
      </c>
      <c r="C1164" t="s">
        <v>40</v>
      </c>
      <c r="D1164">
        <v>10</v>
      </c>
      <c r="E1164" t="s">
        <v>46</v>
      </c>
      <c r="F1164">
        <v>4</v>
      </c>
      <c r="G1164">
        <v>1</v>
      </c>
      <c r="H1164">
        <v>3</v>
      </c>
      <c r="I1164">
        <v>1</v>
      </c>
      <c r="J1164" s="4" t="s">
        <v>53</v>
      </c>
      <c r="K1164" t="str">
        <f t="shared" si="62"/>
        <v>1+3</v>
      </c>
      <c r="L1164">
        <f>VLOOKUP(A1164,'ZONE 1 PREMIUM'!$A$4:$N$16,14,0)</f>
        <v>9</v>
      </c>
      <c r="M1164">
        <f>VLOOKUP(D1164,DROPDOWN!B:C,2,0)</f>
        <v>6</v>
      </c>
      <c r="N1164" t="str">
        <f t="shared" si="60"/>
        <v>BR50:CJ61</v>
      </c>
      <c r="O1164" s="4">
        <f t="shared" ca="1" si="61"/>
        <v>86571.1</v>
      </c>
    </row>
    <row r="1165" spans="1:15">
      <c r="A1165" s="2" t="s">
        <v>19</v>
      </c>
      <c r="B1165" t="s">
        <v>41</v>
      </c>
      <c r="C1165" t="s">
        <v>42</v>
      </c>
      <c r="D1165">
        <v>10</v>
      </c>
      <c r="E1165" t="s">
        <v>46</v>
      </c>
      <c r="F1165">
        <v>4</v>
      </c>
      <c r="G1165">
        <v>1</v>
      </c>
      <c r="H1165">
        <v>3</v>
      </c>
      <c r="I1165">
        <v>1</v>
      </c>
      <c r="J1165" s="4" t="s">
        <v>53</v>
      </c>
      <c r="K1165" t="str">
        <f t="shared" si="62"/>
        <v>1+3</v>
      </c>
      <c r="L1165">
        <f>VLOOKUP(A1165,'ZONE 1 PREMIUM'!$A$4:$N$16,14,0)</f>
        <v>10</v>
      </c>
      <c r="M1165">
        <f>VLOOKUP(D1165,DROPDOWN!B:C,2,0)</f>
        <v>6</v>
      </c>
      <c r="N1165" t="str">
        <f t="shared" si="60"/>
        <v>BR50:CJ61</v>
      </c>
      <c r="O1165" s="4">
        <f t="shared" ca="1" si="61"/>
        <v>106363.40000000001</v>
      </c>
    </row>
    <row r="1166" spans="1:15">
      <c r="A1166" s="2" t="s">
        <v>20</v>
      </c>
      <c r="B1166" t="s">
        <v>43</v>
      </c>
      <c r="C1166" t="s">
        <v>44</v>
      </c>
      <c r="D1166">
        <v>10</v>
      </c>
      <c r="E1166" t="s">
        <v>46</v>
      </c>
      <c r="F1166">
        <v>4</v>
      </c>
      <c r="G1166">
        <v>1</v>
      </c>
      <c r="H1166">
        <v>3</v>
      </c>
      <c r="I1166">
        <v>1</v>
      </c>
      <c r="J1166" s="4" t="s">
        <v>53</v>
      </c>
      <c r="K1166" t="str">
        <f t="shared" si="62"/>
        <v>1+3</v>
      </c>
      <c r="L1166">
        <f>VLOOKUP(A1166,'ZONE 1 PREMIUM'!$A$4:$N$16,14,0)</f>
        <v>11</v>
      </c>
      <c r="M1166">
        <f>VLOOKUP(D1166,DROPDOWN!B:C,2,0)</f>
        <v>6</v>
      </c>
      <c r="N1166" t="str">
        <f t="shared" si="60"/>
        <v>BR50:CJ61</v>
      </c>
      <c r="O1166" s="4">
        <f t="shared" ca="1" si="61"/>
        <v>124274.70000000001</v>
      </c>
    </row>
    <row r="1167" spans="1:15">
      <c r="A1167" s="2" t="s">
        <v>21</v>
      </c>
      <c r="B1167" t="s">
        <v>22</v>
      </c>
      <c r="D1167">
        <v>10</v>
      </c>
      <c r="E1167" t="s">
        <v>46</v>
      </c>
      <c r="F1167">
        <v>4</v>
      </c>
      <c r="G1167">
        <v>1</v>
      </c>
      <c r="H1167">
        <v>3</v>
      </c>
      <c r="I1167">
        <v>1</v>
      </c>
      <c r="J1167" s="4" t="s">
        <v>53</v>
      </c>
      <c r="K1167" t="str">
        <f t="shared" si="62"/>
        <v>1+3</v>
      </c>
      <c r="L1167">
        <f>VLOOKUP(A1167,'ZONE 1 PREMIUM'!$A$4:$N$16,14,0)</f>
        <v>12</v>
      </c>
      <c r="M1167">
        <f>VLOOKUP(D1167,DROPDOWN!B:C,2,0)</f>
        <v>6</v>
      </c>
      <c r="N1167" t="str">
        <f t="shared" si="60"/>
        <v>BR50:CJ61</v>
      </c>
      <c r="O1167" s="4">
        <f t="shared" ca="1" si="61"/>
        <v>161059.80000000002</v>
      </c>
    </row>
    <row r="1168" spans="1:15">
      <c r="A1168" s="2" t="s">
        <v>11</v>
      </c>
      <c r="B1168" t="s">
        <v>45</v>
      </c>
      <c r="C1168" t="s">
        <v>25</v>
      </c>
      <c r="D1168">
        <v>10</v>
      </c>
      <c r="E1168" t="s">
        <v>46</v>
      </c>
      <c r="F1168">
        <v>5</v>
      </c>
      <c r="G1168">
        <v>1</v>
      </c>
      <c r="H1168">
        <v>4</v>
      </c>
      <c r="I1168">
        <v>1</v>
      </c>
      <c r="J1168" s="4" t="s">
        <v>53</v>
      </c>
      <c r="K1168" t="str">
        <f t="shared" si="62"/>
        <v>1+4</v>
      </c>
      <c r="L1168">
        <f>VLOOKUP(A1168,'ZONE 1 PREMIUM'!$A$4:$N$16,14,0)</f>
        <v>2</v>
      </c>
      <c r="M1168">
        <f>VLOOKUP(D1168,DROPDOWN!B:C,2,0)</f>
        <v>6</v>
      </c>
      <c r="N1168" t="str">
        <f t="shared" si="60"/>
        <v>BR65:CJ76</v>
      </c>
      <c r="O1168" s="4">
        <f t="shared" ca="1" si="61"/>
        <v>29508.600000000002</v>
      </c>
    </row>
    <row r="1169" spans="1:15">
      <c r="A1169" s="2" t="s">
        <v>12</v>
      </c>
      <c r="B1169" t="s">
        <v>27</v>
      </c>
      <c r="C1169" t="s">
        <v>28</v>
      </c>
      <c r="D1169">
        <v>10</v>
      </c>
      <c r="E1169" t="s">
        <v>46</v>
      </c>
      <c r="F1169">
        <v>5</v>
      </c>
      <c r="G1169">
        <v>1</v>
      </c>
      <c r="H1169">
        <v>4</v>
      </c>
      <c r="I1169">
        <v>1</v>
      </c>
      <c r="J1169" s="4" t="s">
        <v>53</v>
      </c>
      <c r="K1169" t="str">
        <f t="shared" si="62"/>
        <v>1+4</v>
      </c>
      <c r="L1169">
        <f>VLOOKUP(A1169,'ZONE 1 PREMIUM'!$A$4:$N$16,14,0)</f>
        <v>3</v>
      </c>
      <c r="M1169">
        <f>VLOOKUP(D1169,DROPDOWN!B:C,2,0)</f>
        <v>6</v>
      </c>
      <c r="N1169" t="str">
        <f t="shared" si="60"/>
        <v>BR65:CJ76</v>
      </c>
      <c r="O1169" s="4">
        <f t="shared" ca="1" si="61"/>
        <v>30877.000000000004</v>
      </c>
    </row>
    <row r="1170" spans="1:15">
      <c r="A1170" s="2" t="s">
        <v>13</v>
      </c>
      <c r="B1170" t="s">
        <v>29</v>
      </c>
      <c r="C1170" t="s">
        <v>30</v>
      </c>
      <c r="D1170">
        <v>10</v>
      </c>
      <c r="E1170" t="s">
        <v>46</v>
      </c>
      <c r="F1170">
        <v>5</v>
      </c>
      <c r="G1170">
        <v>1</v>
      </c>
      <c r="H1170">
        <v>4</v>
      </c>
      <c r="I1170">
        <v>1</v>
      </c>
      <c r="J1170" s="4" t="s">
        <v>53</v>
      </c>
      <c r="K1170" t="str">
        <f t="shared" si="62"/>
        <v>1+4</v>
      </c>
      <c r="L1170">
        <f>VLOOKUP(A1170,'ZONE 1 PREMIUM'!$A$4:$N$16,14,0)</f>
        <v>4</v>
      </c>
      <c r="M1170">
        <f>VLOOKUP(D1170,DROPDOWN!B:C,2,0)</f>
        <v>6</v>
      </c>
      <c r="N1170" t="str">
        <f t="shared" si="60"/>
        <v>BR65:CJ76</v>
      </c>
      <c r="O1170" s="4">
        <f t="shared" ca="1" si="61"/>
        <v>35718.100000000006</v>
      </c>
    </row>
    <row r="1171" spans="1:15">
      <c r="A1171" s="2" t="s">
        <v>14</v>
      </c>
      <c r="B1171" t="s">
        <v>31</v>
      </c>
      <c r="C1171" t="s">
        <v>32</v>
      </c>
      <c r="D1171">
        <v>10</v>
      </c>
      <c r="E1171" t="s">
        <v>46</v>
      </c>
      <c r="F1171">
        <v>5</v>
      </c>
      <c r="G1171">
        <v>1</v>
      </c>
      <c r="H1171">
        <v>4</v>
      </c>
      <c r="I1171">
        <v>1</v>
      </c>
      <c r="J1171" s="4" t="s">
        <v>53</v>
      </c>
      <c r="K1171" t="str">
        <f t="shared" si="62"/>
        <v>1+4</v>
      </c>
      <c r="L1171">
        <f>VLOOKUP(A1171,'ZONE 1 PREMIUM'!$A$4:$N$16,14,0)</f>
        <v>5</v>
      </c>
      <c r="M1171">
        <f>VLOOKUP(D1171,DROPDOWN!B:C,2,0)</f>
        <v>6</v>
      </c>
      <c r="N1171" t="str">
        <f t="shared" si="60"/>
        <v>BR65:CJ76</v>
      </c>
      <c r="O1171" s="4">
        <f t="shared" ca="1" si="61"/>
        <v>39473.5</v>
      </c>
    </row>
    <row r="1172" spans="1:15">
      <c r="A1172" s="2" t="s">
        <v>15</v>
      </c>
      <c r="B1172" t="s">
        <v>33</v>
      </c>
      <c r="C1172" t="s">
        <v>34</v>
      </c>
      <c r="D1172">
        <v>10</v>
      </c>
      <c r="E1172" t="s">
        <v>46</v>
      </c>
      <c r="F1172">
        <v>5</v>
      </c>
      <c r="G1172">
        <v>1</v>
      </c>
      <c r="H1172">
        <v>4</v>
      </c>
      <c r="I1172">
        <v>1</v>
      </c>
      <c r="J1172" s="4" t="s">
        <v>53</v>
      </c>
      <c r="K1172" t="str">
        <f t="shared" si="62"/>
        <v>1+4</v>
      </c>
      <c r="L1172">
        <f>VLOOKUP(A1172,'ZONE 1 PREMIUM'!$A$4:$N$16,14,0)</f>
        <v>6</v>
      </c>
      <c r="M1172">
        <f>VLOOKUP(D1172,DROPDOWN!B:C,2,0)</f>
        <v>6</v>
      </c>
      <c r="N1172" t="str">
        <f t="shared" si="60"/>
        <v>BR65:CJ76</v>
      </c>
      <c r="O1172" s="4">
        <f t="shared" ca="1" si="61"/>
        <v>49162.3</v>
      </c>
    </row>
    <row r="1173" spans="1:15">
      <c r="A1173" s="2" t="s">
        <v>16</v>
      </c>
      <c r="B1173" t="s">
        <v>35</v>
      </c>
      <c r="C1173" t="s">
        <v>36</v>
      </c>
      <c r="D1173">
        <v>10</v>
      </c>
      <c r="E1173" t="s">
        <v>46</v>
      </c>
      <c r="F1173">
        <v>5</v>
      </c>
      <c r="G1173">
        <v>1</v>
      </c>
      <c r="H1173">
        <v>4</v>
      </c>
      <c r="I1173">
        <v>1</v>
      </c>
      <c r="J1173" s="4" t="s">
        <v>53</v>
      </c>
      <c r="K1173" t="str">
        <f t="shared" si="62"/>
        <v>1+4</v>
      </c>
      <c r="L1173">
        <f>VLOOKUP(A1173,'ZONE 1 PREMIUM'!$A$4:$N$16,14,0)</f>
        <v>7</v>
      </c>
      <c r="M1173">
        <f>VLOOKUP(D1173,DROPDOWN!B:C,2,0)</f>
        <v>6</v>
      </c>
      <c r="N1173" t="str">
        <f t="shared" si="60"/>
        <v>BR65:CJ76</v>
      </c>
      <c r="O1173" s="4">
        <f t="shared" ca="1" si="61"/>
        <v>59909.3</v>
      </c>
    </row>
    <row r="1174" spans="1:15">
      <c r="A1174" s="2" t="s">
        <v>17</v>
      </c>
      <c r="B1174" t="s">
        <v>37</v>
      </c>
      <c r="C1174" t="s">
        <v>38</v>
      </c>
      <c r="D1174">
        <v>10</v>
      </c>
      <c r="E1174" t="s">
        <v>46</v>
      </c>
      <c r="F1174">
        <v>5</v>
      </c>
      <c r="G1174">
        <v>1</v>
      </c>
      <c r="H1174">
        <v>4</v>
      </c>
      <c r="I1174">
        <v>1</v>
      </c>
      <c r="J1174" s="4" t="s">
        <v>53</v>
      </c>
      <c r="K1174" t="str">
        <f t="shared" si="62"/>
        <v>1+4</v>
      </c>
      <c r="L1174">
        <f>VLOOKUP(A1174,'ZONE 1 PREMIUM'!$A$4:$N$16,14,0)</f>
        <v>8</v>
      </c>
      <c r="M1174">
        <f>VLOOKUP(D1174,DROPDOWN!B:C,2,0)</f>
        <v>6</v>
      </c>
      <c r="N1174" t="str">
        <f t="shared" si="60"/>
        <v>BR65:CJ76</v>
      </c>
      <c r="O1174" s="4">
        <f t="shared" ca="1" si="61"/>
        <v>72326.100000000006</v>
      </c>
    </row>
    <row r="1175" spans="1:15">
      <c r="A1175" s="2" t="s">
        <v>18</v>
      </c>
      <c r="B1175" t="s">
        <v>39</v>
      </c>
      <c r="C1175" t="s">
        <v>40</v>
      </c>
      <c r="D1175">
        <v>10</v>
      </c>
      <c r="E1175" t="s">
        <v>46</v>
      </c>
      <c r="F1175">
        <v>5</v>
      </c>
      <c r="G1175">
        <v>1</v>
      </c>
      <c r="H1175">
        <v>4</v>
      </c>
      <c r="I1175">
        <v>1</v>
      </c>
      <c r="J1175" s="4" t="s">
        <v>53</v>
      </c>
      <c r="K1175" t="str">
        <f t="shared" si="62"/>
        <v>1+4</v>
      </c>
      <c r="L1175">
        <f>VLOOKUP(A1175,'ZONE 1 PREMIUM'!$A$4:$N$16,14,0)</f>
        <v>9</v>
      </c>
      <c r="M1175">
        <f>VLOOKUP(D1175,DROPDOWN!B:C,2,0)</f>
        <v>6</v>
      </c>
      <c r="N1175" t="str">
        <f t="shared" si="60"/>
        <v>BR65:CJ76</v>
      </c>
      <c r="O1175" s="4">
        <f t="shared" ca="1" si="61"/>
        <v>92191.000000000015</v>
      </c>
    </row>
    <row r="1176" spans="1:15">
      <c r="A1176" s="2" t="s">
        <v>19</v>
      </c>
      <c r="B1176" t="s">
        <v>41</v>
      </c>
      <c r="C1176" t="s">
        <v>42</v>
      </c>
      <c r="D1176">
        <v>10</v>
      </c>
      <c r="E1176" t="s">
        <v>46</v>
      </c>
      <c r="F1176">
        <v>5</v>
      </c>
      <c r="G1176">
        <v>1</v>
      </c>
      <c r="H1176">
        <v>4</v>
      </c>
      <c r="I1176">
        <v>1</v>
      </c>
      <c r="J1176" s="4" t="s">
        <v>53</v>
      </c>
      <c r="K1176" t="str">
        <f t="shared" si="62"/>
        <v>1+4</v>
      </c>
      <c r="L1176">
        <f>VLOOKUP(A1176,'ZONE 1 PREMIUM'!$A$4:$N$16,14,0)</f>
        <v>10</v>
      </c>
      <c r="M1176">
        <f>VLOOKUP(D1176,DROPDOWN!B:C,2,0)</f>
        <v>6</v>
      </c>
      <c r="N1176" t="str">
        <f t="shared" si="60"/>
        <v>BR65:CJ76</v>
      </c>
      <c r="O1176" s="4">
        <f t="shared" ca="1" si="61"/>
        <v>111874.40000000001</v>
      </c>
    </row>
    <row r="1177" spans="1:15">
      <c r="A1177" s="2" t="s">
        <v>20</v>
      </c>
      <c r="B1177" t="s">
        <v>43</v>
      </c>
      <c r="C1177" t="s">
        <v>44</v>
      </c>
      <c r="D1177">
        <v>10</v>
      </c>
      <c r="E1177" t="s">
        <v>46</v>
      </c>
      <c r="F1177">
        <v>5</v>
      </c>
      <c r="G1177">
        <v>1</v>
      </c>
      <c r="H1177">
        <v>4</v>
      </c>
      <c r="I1177">
        <v>1</v>
      </c>
      <c r="J1177" s="4" t="s">
        <v>53</v>
      </c>
      <c r="K1177" t="str">
        <f t="shared" si="62"/>
        <v>1+4</v>
      </c>
      <c r="L1177">
        <f>VLOOKUP(A1177,'ZONE 1 PREMIUM'!$A$4:$N$16,14,0)</f>
        <v>11</v>
      </c>
      <c r="M1177">
        <f>VLOOKUP(D1177,DROPDOWN!B:C,2,0)</f>
        <v>6</v>
      </c>
      <c r="N1177" t="str">
        <f t="shared" si="60"/>
        <v>BR65:CJ76</v>
      </c>
      <c r="O1177" s="4">
        <f t="shared" ca="1" si="61"/>
        <v>129797.80000000002</v>
      </c>
    </row>
    <row r="1178" spans="1:15">
      <c r="A1178" s="2" t="s">
        <v>21</v>
      </c>
      <c r="B1178" t="s">
        <v>22</v>
      </c>
      <c r="D1178">
        <v>10</v>
      </c>
      <c r="E1178" t="s">
        <v>46</v>
      </c>
      <c r="F1178">
        <v>5</v>
      </c>
      <c r="G1178">
        <v>1</v>
      </c>
      <c r="H1178">
        <v>4</v>
      </c>
      <c r="I1178">
        <v>1</v>
      </c>
      <c r="J1178" s="4" t="s">
        <v>53</v>
      </c>
      <c r="K1178" t="str">
        <f t="shared" si="62"/>
        <v>1+4</v>
      </c>
      <c r="L1178">
        <f>VLOOKUP(A1178,'ZONE 1 PREMIUM'!$A$4:$N$16,14,0)</f>
        <v>12</v>
      </c>
      <c r="M1178">
        <f>VLOOKUP(D1178,DROPDOWN!B:C,2,0)</f>
        <v>6</v>
      </c>
      <c r="N1178" t="str">
        <f t="shared" si="60"/>
        <v>BR65:CJ76</v>
      </c>
      <c r="O1178" s="4">
        <f t="shared" ca="1" si="61"/>
        <v>166763.30000000002</v>
      </c>
    </row>
    <row r="1179" spans="1:15">
      <c r="A1179" s="2" t="s">
        <v>11</v>
      </c>
      <c r="B1179" t="s">
        <v>45</v>
      </c>
      <c r="C1179" t="s">
        <v>25</v>
      </c>
      <c r="D1179">
        <v>10</v>
      </c>
      <c r="E1179" t="s">
        <v>46</v>
      </c>
      <c r="F1179">
        <v>2</v>
      </c>
      <c r="G1179">
        <v>2</v>
      </c>
      <c r="H1179">
        <v>0</v>
      </c>
      <c r="I1179">
        <v>1</v>
      </c>
      <c r="J1179" s="4" t="s">
        <v>53</v>
      </c>
      <c r="K1179" t="str">
        <f t="shared" si="62"/>
        <v>2+0</v>
      </c>
      <c r="L1179">
        <f>VLOOKUP(A1179,'ZONE 1 PREMIUM'!$A$4:$N$16,14,0)</f>
        <v>2</v>
      </c>
      <c r="M1179">
        <f>VLOOKUP(D1179,DROPDOWN!B:C,2,0)</f>
        <v>6</v>
      </c>
      <c r="N1179" t="str">
        <f t="shared" si="60"/>
        <v>BR81:CJ92</v>
      </c>
      <c r="O1179" s="4">
        <f t="shared" ca="1" si="61"/>
        <v>22080.300000000003</v>
      </c>
    </row>
    <row r="1180" spans="1:15">
      <c r="A1180" s="2" t="s">
        <v>12</v>
      </c>
      <c r="B1180" t="s">
        <v>27</v>
      </c>
      <c r="C1180" t="s">
        <v>28</v>
      </c>
      <c r="D1180">
        <v>10</v>
      </c>
      <c r="E1180" t="s">
        <v>46</v>
      </c>
      <c r="F1180">
        <v>2</v>
      </c>
      <c r="G1180">
        <v>2</v>
      </c>
      <c r="H1180">
        <v>0</v>
      </c>
      <c r="I1180">
        <v>1</v>
      </c>
      <c r="J1180" s="4" t="s">
        <v>53</v>
      </c>
      <c r="K1180" t="str">
        <f t="shared" si="62"/>
        <v>2+0</v>
      </c>
      <c r="L1180">
        <f>VLOOKUP(A1180,'ZONE 1 PREMIUM'!$A$4:$N$16,14,0)</f>
        <v>3</v>
      </c>
      <c r="M1180">
        <f>VLOOKUP(D1180,DROPDOWN!B:C,2,0)</f>
        <v>6</v>
      </c>
      <c r="N1180" t="str">
        <f t="shared" si="60"/>
        <v>BR81:CJ92</v>
      </c>
      <c r="O1180" s="4">
        <f t="shared" ca="1" si="61"/>
        <v>25220.800000000003</v>
      </c>
    </row>
    <row r="1181" spans="1:15">
      <c r="A1181" s="2" t="s">
        <v>13</v>
      </c>
      <c r="B1181" t="s">
        <v>29</v>
      </c>
      <c r="C1181" t="s">
        <v>30</v>
      </c>
      <c r="D1181">
        <v>10</v>
      </c>
      <c r="E1181" t="s">
        <v>46</v>
      </c>
      <c r="F1181">
        <v>2</v>
      </c>
      <c r="G1181">
        <v>2</v>
      </c>
      <c r="H1181">
        <v>0</v>
      </c>
      <c r="I1181">
        <v>1</v>
      </c>
      <c r="J1181" s="4" t="s">
        <v>53</v>
      </c>
      <c r="K1181" t="str">
        <f t="shared" si="62"/>
        <v>2+0</v>
      </c>
      <c r="L1181">
        <f>VLOOKUP(A1181,'ZONE 1 PREMIUM'!$A$4:$N$16,14,0)</f>
        <v>4</v>
      </c>
      <c r="M1181">
        <f>VLOOKUP(D1181,DROPDOWN!B:C,2,0)</f>
        <v>6</v>
      </c>
      <c r="N1181" t="str">
        <f t="shared" si="60"/>
        <v>BR81:CJ92</v>
      </c>
      <c r="O1181" s="4">
        <f t="shared" ca="1" si="61"/>
        <v>28008.2</v>
      </c>
    </row>
    <row r="1182" spans="1:15">
      <c r="A1182" s="2" t="s">
        <v>14</v>
      </c>
      <c r="B1182" t="s">
        <v>31</v>
      </c>
      <c r="C1182" t="s">
        <v>32</v>
      </c>
      <c r="D1182">
        <v>10</v>
      </c>
      <c r="E1182" t="s">
        <v>46</v>
      </c>
      <c r="F1182">
        <v>2</v>
      </c>
      <c r="G1182">
        <v>2</v>
      </c>
      <c r="H1182">
        <v>0</v>
      </c>
      <c r="I1182">
        <v>1</v>
      </c>
      <c r="J1182" s="4" t="s">
        <v>53</v>
      </c>
      <c r="K1182" t="str">
        <f t="shared" si="62"/>
        <v>2+0</v>
      </c>
      <c r="L1182">
        <f>VLOOKUP(A1182,'ZONE 1 PREMIUM'!$A$4:$N$16,14,0)</f>
        <v>5</v>
      </c>
      <c r="M1182">
        <f>VLOOKUP(D1182,DROPDOWN!B:C,2,0)</f>
        <v>6</v>
      </c>
      <c r="N1182" t="str">
        <f t="shared" si="60"/>
        <v>BR81:CJ92</v>
      </c>
      <c r="O1182" s="4">
        <f t="shared" ca="1" si="61"/>
        <v>32484.100000000002</v>
      </c>
    </row>
    <row r="1183" spans="1:15">
      <c r="A1183" s="2" t="s">
        <v>15</v>
      </c>
      <c r="B1183" t="s">
        <v>33</v>
      </c>
      <c r="C1183" t="s">
        <v>34</v>
      </c>
      <c r="D1183">
        <v>10</v>
      </c>
      <c r="E1183" t="s">
        <v>46</v>
      </c>
      <c r="F1183">
        <v>2</v>
      </c>
      <c r="G1183">
        <v>2</v>
      </c>
      <c r="H1183">
        <v>0</v>
      </c>
      <c r="I1183">
        <v>1</v>
      </c>
      <c r="J1183" s="4" t="s">
        <v>53</v>
      </c>
      <c r="K1183" t="str">
        <f t="shared" si="62"/>
        <v>2+0</v>
      </c>
      <c r="L1183">
        <f>VLOOKUP(A1183,'ZONE 1 PREMIUM'!$A$4:$N$16,14,0)</f>
        <v>6</v>
      </c>
      <c r="M1183">
        <f>VLOOKUP(D1183,DROPDOWN!B:C,2,0)</f>
        <v>6</v>
      </c>
      <c r="N1183" t="str">
        <f t="shared" si="60"/>
        <v>BR81:CJ92</v>
      </c>
      <c r="O1183" s="4">
        <f t="shared" ca="1" si="61"/>
        <v>43204.700000000004</v>
      </c>
    </row>
    <row r="1184" spans="1:15">
      <c r="A1184" s="2" t="s">
        <v>16</v>
      </c>
      <c r="B1184" t="s">
        <v>35</v>
      </c>
      <c r="C1184" t="s">
        <v>36</v>
      </c>
      <c r="D1184">
        <v>10</v>
      </c>
      <c r="E1184" t="s">
        <v>46</v>
      </c>
      <c r="F1184">
        <v>2</v>
      </c>
      <c r="G1184">
        <v>2</v>
      </c>
      <c r="H1184">
        <v>0</v>
      </c>
      <c r="I1184">
        <v>1</v>
      </c>
      <c r="J1184" s="4" t="s">
        <v>53</v>
      </c>
      <c r="K1184" t="str">
        <f t="shared" si="62"/>
        <v>2+0</v>
      </c>
      <c r="L1184">
        <f>VLOOKUP(A1184,'ZONE 1 PREMIUM'!$A$4:$N$16,14,0)</f>
        <v>7</v>
      </c>
      <c r="M1184">
        <f>VLOOKUP(D1184,DROPDOWN!B:C,2,0)</f>
        <v>6</v>
      </c>
      <c r="N1184" t="str">
        <f t="shared" si="60"/>
        <v>BR81:CJ92</v>
      </c>
      <c r="O1184" s="4">
        <f t="shared" ca="1" si="61"/>
        <v>57901.8</v>
      </c>
    </row>
    <row r="1185" spans="1:15">
      <c r="A1185" s="2" t="s">
        <v>17</v>
      </c>
      <c r="B1185" t="s">
        <v>37</v>
      </c>
      <c r="C1185" t="s">
        <v>38</v>
      </c>
      <c r="D1185">
        <v>10</v>
      </c>
      <c r="E1185" t="s">
        <v>46</v>
      </c>
      <c r="F1185">
        <v>2</v>
      </c>
      <c r="G1185">
        <v>2</v>
      </c>
      <c r="H1185">
        <v>0</v>
      </c>
      <c r="I1185">
        <v>1</v>
      </c>
      <c r="J1185" s="4" t="s">
        <v>53</v>
      </c>
      <c r="K1185" t="str">
        <f t="shared" si="62"/>
        <v>2+0</v>
      </c>
      <c r="L1185">
        <f>VLOOKUP(A1185,'ZONE 1 PREMIUM'!$A$4:$N$16,14,0)</f>
        <v>8</v>
      </c>
      <c r="M1185">
        <f>VLOOKUP(D1185,DROPDOWN!B:C,2,0)</f>
        <v>6</v>
      </c>
      <c r="N1185" t="str">
        <f t="shared" si="60"/>
        <v>BR81:CJ92</v>
      </c>
      <c r="O1185" s="4">
        <f t="shared" ca="1" si="61"/>
        <v>79074.600000000006</v>
      </c>
    </row>
    <row r="1186" spans="1:15">
      <c r="A1186" s="2" t="s">
        <v>18</v>
      </c>
      <c r="B1186" t="s">
        <v>39</v>
      </c>
      <c r="C1186" t="s">
        <v>40</v>
      </c>
      <c r="D1186">
        <v>10</v>
      </c>
      <c r="E1186" t="s">
        <v>46</v>
      </c>
      <c r="F1186">
        <v>2</v>
      </c>
      <c r="G1186">
        <v>2</v>
      </c>
      <c r="H1186">
        <v>0</v>
      </c>
      <c r="I1186">
        <v>1</v>
      </c>
      <c r="J1186" s="4" t="s">
        <v>53</v>
      </c>
      <c r="K1186" t="str">
        <f t="shared" si="62"/>
        <v>2+0</v>
      </c>
      <c r="L1186">
        <f>VLOOKUP(A1186,'ZONE 1 PREMIUM'!$A$4:$N$16,14,0)</f>
        <v>9</v>
      </c>
      <c r="M1186">
        <f>VLOOKUP(D1186,DROPDOWN!B:C,2,0)</f>
        <v>6</v>
      </c>
      <c r="N1186" t="str">
        <f t="shared" ref="N1186:N1233" si="63">VLOOKUP(K1186,$CK$3:$CL$12,2,0)</f>
        <v>BR81:CJ92</v>
      </c>
      <c r="O1186" s="4">
        <f t="shared" ca="1" si="61"/>
        <v>112109.8</v>
      </c>
    </row>
    <row r="1187" spans="1:15">
      <c r="A1187" s="2" t="s">
        <v>19</v>
      </c>
      <c r="B1187" t="s">
        <v>41</v>
      </c>
      <c r="C1187" t="s">
        <v>42</v>
      </c>
      <c r="D1187">
        <v>10</v>
      </c>
      <c r="E1187" t="s">
        <v>46</v>
      </c>
      <c r="F1187">
        <v>2</v>
      </c>
      <c r="G1187">
        <v>2</v>
      </c>
      <c r="H1187">
        <v>0</v>
      </c>
      <c r="I1187">
        <v>1</v>
      </c>
      <c r="J1187" s="4" t="s">
        <v>53</v>
      </c>
      <c r="K1187" t="str">
        <f t="shared" si="62"/>
        <v>2+0</v>
      </c>
      <c r="L1187">
        <f>VLOOKUP(A1187,'ZONE 1 PREMIUM'!$A$4:$N$16,14,0)</f>
        <v>10</v>
      </c>
      <c r="M1187">
        <f>VLOOKUP(D1187,DROPDOWN!B:C,2,0)</f>
        <v>6</v>
      </c>
      <c r="N1187" t="str">
        <f t="shared" si="63"/>
        <v>BR81:CJ92</v>
      </c>
      <c r="O1187" s="4">
        <f t="shared" ca="1" si="61"/>
        <v>155909.6</v>
      </c>
    </row>
    <row r="1188" spans="1:15">
      <c r="A1188" s="2" t="s">
        <v>20</v>
      </c>
      <c r="B1188" t="s">
        <v>43</v>
      </c>
      <c r="C1188" t="s">
        <v>44</v>
      </c>
      <c r="D1188">
        <v>10</v>
      </c>
      <c r="E1188" t="s">
        <v>46</v>
      </c>
      <c r="F1188">
        <v>2</v>
      </c>
      <c r="G1188">
        <v>2</v>
      </c>
      <c r="H1188">
        <v>0</v>
      </c>
      <c r="I1188">
        <v>1</v>
      </c>
      <c r="J1188" s="4" t="s">
        <v>53</v>
      </c>
      <c r="K1188" t="str">
        <f t="shared" si="62"/>
        <v>2+0</v>
      </c>
      <c r="L1188">
        <f>VLOOKUP(A1188,'ZONE 1 PREMIUM'!$A$4:$N$16,14,0)</f>
        <v>11</v>
      </c>
      <c r="M1188">
        <f>VLOOKUP(D1188,DROPDOWN!B:C,2,0)</f>
        <v>6</v>
      </c>
      <c r="N1188" t="str">
        <f t="shared" si="63"/>
        <v>BR81:CJ92</v>
      </c>
      <c r="O1188" s="4">
        <f t="shared" ca="1" si="61"/>
        <v>192563.80000000002</v>
      </c>
    </row>
    <row r="1189" spans="1:15">
      <c r="A1189" s="2" t="s">
        <v>21</v>
      </c>
      <c r="B1189" t="s">
        <v>22</v>
      </c>
      <c r="D1189">
        <v>10</v>
      </c>
      <c r="E1189" t="s">
        <v>46</v>
      </c>
      <c r="F1189">
        <v>2</v>
      </c>
      <c r="G1189">
        <v>2</v>
      </c>
      <c r="H1189">
        <v>0</v>
      </c>
      <c r="I1189">
        <v>1</v>
      </c>
      <c r="J1189" s="4" t="s">
        <v>53</v>
      </c>
      <c r="K1189" t="str">
        <f t="shared" si="62"/>
        <v>2+0</v>
      </c>
      <c r="L1189">
        <f>VLOOKUP(A1189,'ZONE 1 PREMIUM'!$A$4:$N$16,14,0)</f>
        <v>12</v>
      </c>
      <c r="M1189">
        <f>VLOOKUP(D1189,DROPDOWN!B:C,2,0)</f>
        <v>6</v>
      </c>
      <c r="N1189" t="str">
        <f t="shared" si="63"/>
        <v>BR81:CJ92</v>
      </c>
      <c r="O1189" s="4">
        <f t="shared" ca="1" si="61"/>
        <v>246160.2</v>
      </c>
    </row>
    <row r="1190" spans="1:15">
      <c r="A1190" s="2" t="s">
        <v>11</v>
      </c>
      <c r="B1190" t="s">
        <v>45</v>
      </c>
      <c r="C1190" t="s">
        <v>25</v>
      </c>
      <c r="D1190">
        <v>10</v>
      </c>
      <c r="E1190" t="s">
        <v>46</v>
      </c>
      <c r="F1190">
        <v>3</v>
      </c>
      <c r="G1190">
        <v>2</v>
      </c>
      <c r="H1190">
        <v>1</v>
      </c>
      <c r="I1190">
        <v>1</v>
      </c>
      <c r="J1190" s="4" t="s">
        <v>53</v>
      </c>
      <c r="K1190" t="str">
        <f t="shared" si="62"/>
        <v>2+1</v>
      </c>
      <c r="L1190">
        <f>VLOOKUP(A1190,'ZONE 1 PREMIUM'!$A$4:$N$16,14,0)</f>
        <v>2</v>
      </c>
      <c r="M1190">
        <f>VLOOKUP(D1190,DROPDOWN!B:C,2,0)</f>
        <v>6</v>
      </c>
      <c r="N1190" t="str">
        <f t="shared" si="63"/>
        <v>BR98:CJ109</v>
      </c>
      <c r="O1190" s="4">
        <f t="shared" ca="1" si="61"/>
        <v>26811.4</v>
      </c>
    </row>
    <row r="1191" spans="1:15">
      <c r="A1191" s="2" t="s">
        <v>12</v>
      </c>
      <c r="B1191" t="s">
        <v>27</v>
      </c>
      <c r="C1191" t="s">
        <v>28</v>
      </c>
      <c r="D1191">
        <v>10</v>
      </c>
      <c r="E1191" t="s">
        <v>46</v>
      </c>
      <c r="F1191">
        <v>3</v>
      </c>
      <c r="G1191">
        <v>2</v>
      </c>
      <c r="H1191">
        <v>1</v>
      </c>
      <c r="I1191">
        <v>1</v>
      </c>
      <c r="J1191" s="4" t="s">
        <v>53</v>
      </c>
      <c r="K1191" t="str">
        <f t="shared" si="62"/>
        <v>2+1</v>
      </c>
      <c r="L1191">
        <f>VLOOKUP(A1191,'ZONE 1 PREMIUM'!$A$4:$N$16,14,0)</f>
        <v>3</v>
      </c>
      <c r="M1191">
        <f>VLOOKUP(D1191,DROPDOWN!B:C,2,0)</f>
        <v>6</v>
      </c>
      <c r="N1191" t="str">
        <f t="shared" si="63"/>
        <v>BR98:CJ109</v>
      </c>
      <c r="O1191" s="4">
        <f t="shared" ca="1" si="61"/>
        <v>29869.4</v>
      </c>
    </row>
    <row r="1192" spans="1:15">
      <c r="A1192" s="2" t="s">
        <v>13</v>
      </c>
      <c r="B1192" t="s">
        <v>29</v>
      </c>
      <c r="C1192" t="s">
        <v>30</v>
      </c>
      <c r="D1192">
        <v>10</v>
      </c>
      <c r="E1192" t="s">
        <v>46</v>
      </c>
      <c r="F1192">
        <v>3</v>
      </c>
      <c r="G1192">
        <v>2</v>
      </c>
      <c r="H1192">
        <v>1</v>
      </c>
      <c r="I1192">
        <v>1</v>
      </c>
      <c r="J1192" s="4" t="s">
        <v>53</v>
      </c>
      <c r="K1192" t="str">
        <f t="shared" si="62"/>
        <v>2+1</v>
      </c>
      <c r="L1192">
        <f>VLOOKUP(A1192,'ZONE 1 PREMIUM'!$A$4:$N$16,14,0)</f>
        <v>4</v>
      </c>
      <c r="M1192">
        <f>VLOOKUP(D1192,DROPDOWN!B:C,2,0)</f>
        <v>6</v>
      </c>
      <c r="N1192" t="str">
        <f t="shared" si="63"/>
        <v>BR98:CJ109</v>
      </c>
      <c r="O1192" s="4">
        <f t="shared" ca="1" si="61"/>
        <v>33409.200000000004</v>
      </c>
    </row>
    <row r="1193" spans="1:15">
      <c r="A1193" s="2" t="s">
        <v>14</v>
      </c>
      <c r="B1193" t="s">
        <v>31</v>
      </c>
      <c r="C1193" t="s">
        <v>32</v>
      </c>
      <c r="D1193">
        <v>10</v>
      </c>
      <c r="E1193" t="s">
        <v>46</v>
      </c>
      <c r="F1193">
        <v>3</v>
      </c>
      <c r="G1193">
        <v>2</v>
      </c>
      <c r="H1193">
        <v>1</v>
      </c>
      <c r="I1193">
        <v>1</v>
      </c>
      <c r="J1193" s="4" t="s">
        <v>53</v>
      </c>
      <c r="K1193" t="str">
        <f t="shared" si="62"/>
        <v>2+1</v>
      </c>
      <c r="L1193">
        <f>VLOOKUP(A1193,'ZONE 1 PREMIUM'!$A$4:$N$16,14,0)</f>
        <v>5</v>
      </c>
      <c r="M1193">
        <f>VLOOKUP(D1193,DROPDOWN!B:C,2,0)</f>
        <v>6</v>
      </c>
      <c r="N1193" t="str">
        <f t="shared" si="63"/>
        <v>BR98:CJ109</v>
      </c>
      <c r="O1193" s="4">
        <f t="shared" ca="1" si="61"/>
        <v>38247</v>
      </c>
    </row>
    <row r="1194" spans="1:15">
      <c r="A1194" s="2" t="s">
        <v>15</v>
      </c>
      <c r="B1194" t="s">
        <v>33</v>
      </c>
      <c r="C1194" t="s">
        <v>34</v>
      </c>
      <c r="D1194">
        <v>10</v>
      </c>
      <c r="E1194" t="s">
        <v>46</v>
      </c>
      <c r="F1194">
        <v>3</v>
      </c>
      <c r="G1194">
        <v>2</v>
      </c>
      <c r="H1194">
        <v>1</v>
      </c>
      <c r="I1194">
        <v>1</v>
      </c>
      <c r="J1194" s="4" t="s">
        <v>53</v>
      </c>
      <c r="K1194" t="str">
        <f t="shared" si="62"/>
        <v>2+1</v>
      </c>
      <c r="L1194">
        <f>VLOOKUP(A1194,'ZONE 1 PREMIUM'!$A$4:$N$16,14,0)</f>
        <v>6</v>
      </c>
      <c r="M1194">
        <f>VLOOKUP(D1194,DROPDOWN!B:C,2,0)</f>
        <v>6</v>
      </c>
      <c r="N1194" t="str">
        <f t="shared" si="63"/>
        <v>BR98:CJ109</v>
      </c>
      <c r="O1194" s="4">
        <f t="shared" ca="1" si="61"/>
        <v>49676.000000000007</v>
      </c>
    </row>
    <row r="1195" spans="1:15">
      <c r="A1195" s="2" t="s">
        <v>16</v>
      </c>
      <c r="B1195" t="s">
        <v>35</v>
      </c>
      <c r="C1195" t="s">
        <v>36</v>
      </c>
      <c r="D1195">
        <v>10</v>
      </c>
      <c r="E1195" t="s">
        <v>46</v>
      </c>
      <c r="F1195">
        <v>3</v>
      </c>
      <c r="G1195">
        <v>2</v>
      </c>
      <c r="H1195">
        <v>1</v>
      </c>
      <c r="I1195">
        <v>1</v>
      </c>
      <c r="J1195" s="4" t="s">
        <v>53</v>
      </c>
      <c r="K1195" t="str">
        <f t="shared" si="62"/>
        <v>2+1</v>
      </c>
      <c r="L1195">
        <f>VLOOKUP(A1195,'ZONE 1 PREMIUM'!$A$4:$N$16,14,0)</f>
        <v>7</v>
      </c>
      <c r="M1195">
        <f>VLOOKUP(D1195,DROPDOWN!B:C,2,0)</f>
        <v>6</v>
      </c>
      <c r="N1195" t="str">
        <f t="shared" si="63"/>
        <v>BR98:CJ109</v>
      </c>
      <c r="O1195" s="4">
        <f t="shared" ca="1" si="61"/>
        <v>65919.700000000012</v>
      </c>
    </row>
    <row r="1196" spans="1:15">
      <c r="A1196" s="2" t="s">
        <v>17</v>
      </c>
      <c r="B1196" t="s">
        <v>37</v>
      </c>
      <c r="C1196" t="s">
        <v>38</v>
      </c>
      <c r="D1196">
        <v>10</v>
      </c>
      <c r="E1196" t="s">
        <v>46</v>
      </c>
      <c r="F1196">
        <v>3</v>
      </c>
      <c r="G1196">
        <v>2</v>
      </c>
      <c r="H1196">
        <v>1</v>
      </c>
      <c r="I1196">
        <v>1</v>
      </c>
      <c r="J1196" s="4" t="s">
        <v>53</v>
      </c>
      <c r="K1196" t="str">
        <f t="shared" si="62"/>
        <v>2+1</v>
      </c>
      <c r="L1196">
        <f>VLOOKUP(A1196,'ZONE 1 PREMIUM'!$A$4:$N$16,14,0)</f>
        <v>8</v>
      </c>
      <c r="M1196">
        <f>VLOOKUP(D1196,DROPDOWN!B:C,2,0)</f>
        <v>6</v>
      </c>
      <c r="N1196" t="str">
        <f t="shared" si="63"/>
        <v>BR98:CJ109</v>
      </c>
      <c r="O1196" s="4">
        <f t="shared" ca="1" si="61"/>
        <v>87709.6</v>
      </c>
    </row>
    <row r="1197" spans="1:15">
      <c r="A1197" s="2" t="s">
        <v>18</v>
      </c>
      <c r="B1197" t="s">
        <v>39</v>
      </c>
      <c r="C1197" t="s">
        <v>40</v>
      </c>
      <c r="D1197">
        <v>10</v>
      </c>
      <c r="E1197" t="s">
        <v>46</v>
      </c>
      <c r="F1197">
        <v>3</v>
      </c>
      <c r="G1197">
        <v>2</v>
      </c>
      <c r="H1197">
        <v>1</v>
      </c>
      <c r="I1197">
        <v>1</v>
      </c>
      <c r="J1197" s="4" t="s">
        <v>53</v>
      </c>
      <c r="K1197" t="str">
        <f t="shared" si="62"/>
        <v>2+1</v>
      </c>
      <c r="L1197">
        <f>VLOOKUP(A1197,'ZONE 1 PREMIUM'!$A$4:$N$16,14,0)</f>
        <v>9</v>
      </c>
      <c r="M1197">
        <f>VLOOKUP(D1197,DROPDOWN!B:C,2,0)</f>
        <v>6</v>
      </c>
      <c r="N1197" t="str">
        <f t="shared" si="63"/>
        <v>BR98:CJ109</v>
      </c>
      <c r="O1197" s="4">
        <f t="shared" ca="1" si="61"/>
        <v>120899.90000000001</v>
      </c>
    </row>
    <row r="1198" spans="1:15">
      <c r="A1198" s="2" t="s">
        <v>19</v>
      </c>
      <c r="B1198" t="s">
        <v>41</v>
      </c>
      <c r="C1198" t="s">
        <v>42</v>
      </c>
      <c r="D1198">
        <v>10</v>
      </c>
      <c r="E1198" t="s">
        <v>46</v>
      </c>
      <c r="F1198">
        <v>3</v>
      </c>
      <c r="G1198">
        <v>2</v>
      </c>
      <c r="H1198">
        <v>1</v>
      </c>
      <c r="I1198">
        <v>1</v>
      </c>
      <c r="J1198" s="4" t="s">
        <v>53</v>
      </c>
      <c r="K1198" t="str">
        <f t="shared" si="62"/>
        <v>2+1</v>
      </c>
      <c r="L1198">
        <f>VLOOKUP(A1198,'ZONE 1 PREMIUM'!$A$4:$N$16,14,0)</f>
        <v>10</v>
      </c>
      <c r="M1198">
        <f>VLOOKUP(D1198,DROPDOWN!B:C,2,0)</f>
        <v>6</v>
      </c>
      <c r="N1198" t="str">
        <f t="shared" si="63"/>
        <v>BR98:CJ109</v>
      </c>
      <c r="O1198" s="4">
        <f t="shared" ca="1" si="61"/>
        <v>161184.1</v>
      </c>
    </row>
    <row r="1199" spans="1:15">
      <c r="A1199" s="2" t="s">
        <v>20</v>
      </c>
      <c r="B1199" t="s">
        <v>43</v>
      </c>
      <c r="C1199" t="s">
        <v>44</v>
      </c>
      <c r="D1199">
        <v>10</v>
      </c>
      <c r="E1199" t="s">
        <v>46</v>
      </c>
      <c r="F1199">
        <v>3</v>
      </c>
      <c r="G1199">
        <v>2</v>
      </c>
      <c r="H1199">
        <v>1</v>
      </c>
      <c r="I1199">
        <v>1</v>
      </c>
      <c r="J1199" s="4" t="s">
        <v>53</v>
      </c>
      <c r="K1199" t="str">
        <f t="shared" si="62"/>
        <v>2+1</v>
      </c>
      <c r="L1199">
        <f>VLOOKUP(A1199,'ZONE 1 PREMIUM'!$A$4:$N$16,14,0)</f>
        <v>11</v>
      </c>
      <c r="M1199">
        <f>VLOOKUP(D1199,DROPDOWN!B:C,2,0)</f>
        <v>6</v>
      </c>
      <c r="N1199" t="str">
        <f t="shared" si="63"/>
        <v>BR98:CJ109</v>
      </c>
      <c r="O1199" s="4">
        <f t="shared" ca="1" si="61"/>
        <v>196567.80000000002</v>
      </c>
    </row>
    <row r="1200" spans="1:15">
      <c r="A1200" s="2" t="s">
        <v>21</v>
      </c>
      <c r="B1200" t="s">
        <v>22</v>
      </c>
      <c r="D1200">
        <v>10</v>
      </c>
      <c r="E1200" t="s">
        <v>46</v>
      </c>
      <c r="F1200">
        <v>3</v>
      </c>
      <c r="G1200">
        <v>2</v>
      </c>
      <c r="H1200">
        <v>1</v>
      </c>
      <c r="I1200">
        <v>1</v>
      </c>
      <c r="J1200" s="4" t="s">
        <v>53</v>
      </c>
      <c r="K1200" t="str">
        <f t="shared" si="62"/>
        <v>2+1</v>
      </c>
      <c r="L1200">
        <f>VLOOKUP(A1200,'ZONE 1 PREMIUM'!$A$4:$N$16,14,0)</f>
        <v>12</v>
      </c>
      <c r="M1200">
        <f>VLOOKUP(D1200,DROPDOWN!B:C,2,0)</f>
        <v>6</v>
      </c>
      <c r="N1200" t="str">
        <f t="shared" si="63"/>
        <v>BR98:CJ109</v>
      </c>
      <c r="O1200" s="4">
        <f t="shared" ca="1" si="61"/>
        <v>249969.50000000003</v>
      </c>
    </row>
    <row r="1201" spans="1:15">
      <c r="A1201" s="2" t="s">
        <v>11</v>
      </c>
      <c r="B1201" t="s">
        <v>45</v>
      </c>
      <c r="C1201" t="s">
        <v>25</v>
      </c>
      <c r="D1201">
        <v>10</v>
      </c>
      <c r="E1201" t="s">
        <v>46</v>
      </c>
      <c r="F1201">
        <v>4</v>
      </c>
      <c r="G1201">
        <v>2</v>
      </c>
      <c r="H1201">
        <v>2</v>
      </c>
      <c r="I1201">
        <v>1</v>
      </c>
      <c r="J1201" s="4" t="s">
        <v>53</v>
      </c>
      <c r="K1201" t="str">
        <f t="shared" si="62"/>
        <v>2+2</v>
      </c>
      <c r="L1201">
        <f>VLOOKUP(A1201,'ZONE 1 PREMIUM'!$A$4:$N$16,14,0)</f>
        <v>2</v>
      </c>
      <c r="M1201">
        <f>VLOOKUP(D1201,DROPDOWN!B:C,2,0)</f>
        <v>6</v>
      </c>
      <c r="N1201" t="str">
        <f t="shared" si="63"/>
        <v>BR113:CJ124</v>
      </c>
      <c r="O1201" s="4">
        <f t="shared" ca="1" si="61"/>
        <v>31390.7</v>
      </c>
    </row>
    <row r="1202" spans="1:15">
      <c r="A1202" s="2" t="s">
        <v>12</v>
      </c>
      <c r="B1202" t="s">
        <v>27</v>
      </c>
      <c r="C1202" t="s">
        <v>28</v>
      </c>
      <c r="D1202">
        <v>10</v>
      </c>
      <c r="E1202" t="s">
        <v>46</v>
      </c>
      <c r="F1202">
        <v>4</v>
      </c>
      <c r="G1202">
        <v>2</v>
      </c>
      <c r="H1202">
        <v>2</v>
      </c>
      <c r="I1202">
        <v>1</v>
      </c>
      <c r="J1202" s="4" t="s">
        <v>53</v>
      </c>
      <c r="K1202" t="str">
        <f t="shared" si="62"/>
        <v>2+2</v>
      </c>
      <c r="L1202">
        <f>VLOOKUP(A1202,'ZONE 1 PREMIUM'!$A$4:$N$16,14,0)</f>
        <v>3</v>
      </c>
      <c r="M1202">
        <f>VLOOKUP(D1202,DROPDOWN!B:C,2,0)</f>
        <v>6</v>
      </c>
      <c r="N1202" t="str">
        <f t="shared" si="63"/>
        <v>BR113:CJ124</v>
      </c>
      <c r="O1202" s="4">
        <f t="shared" ca="1" si="61"/>
        <v>34366.200000000004</v>
      </c>
    </row>
    <row r="1203" spans="1:15">
      <c r="A1203" s="2" t="s">
        <v>13</v>
      </c>
      <c r="B1203" t="s">
        <v>29</v>
      </c>
      <c r="C1203" t="s">
        <v>30</v>
      </c>
      <c r="D1203">
        <v>10</v>
      </c>
      <c r="E1203" t="s">
        <v>46</v>
      </c>
      <c r="F1203">
        <v>4</v>
      </c>
      <c r="G1203">
        <v>2</v>
      </c>
      <c r="H1203">
        <v>2</v>
      </c>
      <c r="I1203">
        <v>1</v>
      </c>
      <c r="J1203" s="4" t="s">
        <v>53</v>
      </c>
      <c r="K1203" t="str">
        <f t="shared" si="62"/>
        <v>2+2</v>
      </c>
      <c r="L1203">
        <f>VLOOKUP(A1203,'ZONE 1 PREMIUM'!$A$4:$N$16,14,0)</f>
        <v>4</v>
      </c>
      <c r="M1203">
        <f>VLOOKUP(D1203,DROPDOWN!B:C,2,0)</f>
        <v>6</v>
      </c>
      <c r="N1203" t="str">
        <f t="shared" si="63"/>
        <v>BR113:CJ124</v>
      </c>
      <c r="O1203" s="4">
        <f t="shared" ca="1" si="61"/>
        <v>38619.9</v>
      </c>
    </row>
    <row r="1204" spans="1:15">
      <c r="A1204" s="2" t="s">
        <v>14</v>
      </c>
      <c r="B1204" t="s">
        <v>31</v>
      </c>
      <c r="C1204" t="s">
        <v>32</v>
      </c>
      <c r="D1204">
        <v>10</v>
      </c>
      <c r="E1204" t="s">
        <v>46</v>
      </c>
      <c r="F1204">
        <v>4</v>
      </c>
      <c r="G1204">
        <v>2</v>
      </c>
      <c r="H1204">
        <v>2</v>
      </c>
      <c r="I1204">
        <v>1</v>
      </c>
      <c r="J1204" s="4" t="s">
        <v>53</v>
      </c>
      <c r="K1204" t="str">
        <f t="shared" si="62"/>
        <v>2+2</v>
      </c>
      <c r="L1204">
        <f>VLOOKUP(A1204,'ZONE 1 PREMIUM'!$A$4:$N$16,14,0)</f>
        <v>5</v>
      </c>
      <c r="M1204">
        <f>VLOOKUP(D1204,DROPDOWN!B:C,2,0)</f>
        <v>6</v>
      </c>
      <c r="N1204" t="str">
        <f t="shared" si="63"/>
        <v>BR113:CJ124</v>
      </c>
      <c r="O1204" s="4">
        <f t="shared" ca="1" si="61"/>
        <v>43791</v>
      </c>
    </row>
    <row r="1205" spans="1:15">
      <c r="A1205" s="2" t="s">
        <v>15</v>
      </c>
      <c r="B1205" t="s">
        <v>33</v>
      </c>
      <c r="C1205" t="s">
        <v>34</v>
      </c>
      <c r="D1205">
        <v>10</v>
      </c>
      <c r="E1205" t="s">
        <v>46</v>
      </c>
      <c r="F1205">
        <v>4</v>
      </c>
      <c r="G1205">
        <v>2</v>
      </c>
      <c r="H1205">
        <v>2</v>
      </c>
      <c r="I1205">
        <v>1</v>
      </c>
      <c r="J1205" s="4" t="s">
        <v>53</v>
      </c>
      <c r="K1205" t="str">
        <f t="shared" si="62"/>
        <v>2+2</v>
      </c>
      <c r="L1205">
        <f>VLOOKUP(A1205,'ZONE 1 PREMIUM'!$A$4:$N$16,14,0)</f>
        <v>6</v>
      </c>
      <c r="M1205">
        <f>VLOOKUP(D1205,DROPDOWN!B:C,2,0)</f>
        <v>6</v>
      </c>
      <c r="N1205" t="str">
        <f t="shared" si="63"/>
        <v>BR113:CJ124</v>
      </c>
      <c r="O1205" s="4">
        <f t="shared" ca="1" si="61"/>
        <v>55894.3</v>
      </c>
    </row>
    <row r="1206" spans="1:15">
      <c r="A1206" s="2" t="s">
        <v>16</v>
      </c>
      <c r="B1206" t="s">
        <v>35</v>
      </c>
      <c r="C1206" t="s">
        <v>36</v>
      </c>
      <c r="D1206">
        <v>10</v>
      </c>
      <c r="E1206" t="s">
        <v>46</v>
      </c>
      <c r="F1206">
        <v>4</v>
      </c>
      <c r="G1206">
        <v>2</v>
      </c>
      <c r="H1206">
        <v>2</v>
      </c>
      <c r="I1206">
        <v>1</v>
      </c>
      <c r="J1206" s="4" t="s">
        <v>53</v>
      </c>
      <c r="K1206" t="str">
        <f t="shared" si="62"/>
        <v>2+2</v>
      </c>
      <c r="L1206">
        <f>VLOOKUP(A1206,'ZONE 1 PREMIUM'!$A$4:$N$16,14,0)</f>
        <v>7</v>
      </c>
      <c r="M1206">
        <f>VLOOKUP(D1206,DROPDOWN!B:C,2,0)</f>
        <v>6</v>
      </c>
      <c r="N1206" t="str">
        <f t="shared" si="63"/>
        <v>BR113:CJ124</v>
      </c>
      <c r="O1206" s="4">
        <f t="shared" ca="1" si="61"/>
        <v>73625.200000000012</v>
      </c>
    </row>
    <row r="1207" spans="1:15">
      <c r="A1207" s="2" t="s">
        <v>17</v>
      </c>
      <c r="B1207" t="s">
        <v>37</v>
      </c>
      <c r="C1207" t="s">
        <v>38</v>
      </c>
      <c r="D1207">
        <v>10</v>
      </c>
      <c r="E1207" t="s">
        <v>46</v>
      </c>
      <c r="F1207">
        <v>4</v>
      </c>
      <c r="G1207">
        <v>2</v>
      </c>
      <c r="H1207">
        <v>2</v>
      </c>
      <c r="I1207">
        <v>1</v>
      </c>
      <c r="J1207" s="4" t="s">
        <v>53</v>
      </c>
      <c r="K1207" t="str">
        <f t="shared" si="62"/>
        <v>2+2</v>
      </c>
      <c r="L1207">
        <f>VLOOKUP(A1207,'ZONE 1 PREMIUM'!$A$4:$N$16,14,0)</f>
        <v>8</v>
      </c>
      <c r="M1207">
        <f>VLOOKUP(D1207,DROPDOWN!B:C,2,0)</f>
        <v>6</v>
      </c>
      <c r="N1207" t="str">
        <f t="shared" si="63"/>
        <v>BR113:CJ124</v>
      </c>
      <c r="O1207" s="4">
        <f t="shared" ca="1" si="61"/>
        <v>94908.000000000015</v>
      </c>
    </row>
    <row r="1208" spans="1:15">
      <c r="A1208" s="2" t="s">
        <v>18</v>
      </c>
      <c r="B1208" t="s">
        <v>39</v>
      </c>
      <c r="C1208" t="s">
        <v>40</v>
      </c>
      <c r="D1208">
        <v>10</v>
      </c>
      <c r="E1208" t="s">
        <v>46</v>
      </c>
      <c r="F1208">
        <v>4</v>
      </c>
      <c r="G1208">
        <v>2</v>
      </c>
      <c r="H1208">
        <v>2</v>
      </c>
      <c r="I1208">
        <v>1</v>
      </c>
      <c r="J1208" s="4" t="s">
        <v>53</v>
      </c>
      <c r="K1208" t="str">
        <f t="shared" si="62"/>
        <v>2+2</v>
      </c>
      <c r="L1208">
        <f>VLOOKUP(A1208,'ZONE 1 PREMIUM'!$A$4:$N$16,14,0)</f>
        <v>9</v>
      </c>
      <c r="M1208">
        <f>VLOOKUP(D1208,DROPDOWN!B:C,2,0)</f>
        <v>6</v>
      </c>
      <c r="N1208" t="str">
        <f t="shared" si="63"/>
        <v>BR113:CJ124</v>
      </c>
      <c r="O1208" s="4">
        <f t="shared" ca="1" si="61"/>
        <v>126569.30000000002</v>
      </c>
    </row>
    <row r="1209" spans="1:15">
      <c r="A1209" s="2" t="s">
        <v>19</v>
      </c>
      <c r="B1209" t="s">
        <v>41</v>
      </c>
      <c r="C1209" t="s">
        <v>42</v>
      </c>
      <c r="D1209">
        <v>10</v>
      </c>
      <c r="E1209" t="s">
        <v>46</v>
      </c>
      <c r="F1209">
        <v>4</v>
      </c>
      <c r="G1209">
        <v>2</v>
      </c>
      <c r="H1209">
        <v>2</v>
      </c>
      <c r="I1209">
        <v>1</v>
      </c>
      <c r="J1209" s="4" t="s">
        <v>53</v>
      </c>
      <c r="K1209" t="str">
        <f t="shared" si="62"/>
        <v>2+2</v>
      </c>
      <c r="L1209">
        <f>VLOOKUP(A1209,'ZONE 1 PREMIUM'!$A$4:$N$16,14,0)</f>
        <v>10</v>
      </c>
      <c r="M1209">
        <f>VLOOKUP(D1209,DROPDOWN!B:C,2,0)</f>
        <v>6</v>
      </c>
      <c r="N1209" t="str">
        <f t="shared" si="63"/>
        <v>BR113:CJ124</v>
      </c>
      <c r="O1209" s="4">
        <f t="shared" ca="1" si="61"/>
        <v>163465.5</v>
      </c>
    </row>
    <row r="1210" spans="1:15">
      <c r="A1210" s="2" t="s">
        <v>20</v>
      </c>
      <c r="B1210" t="s">
        <v>43</v>
      </c>
      <c r="C1210" t="s">
        <v>44</v>
      </c>
      <c r="D1210">
        <v>10</v>
      </c>
      <c r="E1210" t="s">
        <v>46</v>
      </c>
      <c r="F1210">
        <v>4</v>
      </c>
      <c r="G1210">
        <v>2</v>
      </c>
      <c r="H1210">
        <v>2</v>
      </c>
      <c r="I1210">
        <v>1</v>
      </c>
      <c r="J1210" s="4" t="s">
        <v>53</v>
      </c>
      <c r="K1210" t="str">
        <f t="shared" si="62"/>
        <v>2+2</v>
      </c>
      <c r="L1210">
        <f>VLOOKUP(A1210,'ZONE 1 PREMIUM'!$A$4:$N$16,14,0)</f>
        <v>11</v>
      </c>
      <c r="M1210">
        <f>VLOOKUP(D1210,DROPDOWN!B:C,2,0)</f>
        <v>6</v>
      </c>
      <c r="N1210" t="str">
        <f t="shared" si="63"/>
        <v>BR113:CJ124</v>
      </c>
      <c r="O1210" s="4">
        <f t="shared" ca="1" si="61"/>
        <v>199170.40000000002</v>
      </c>
    </row>
    <row r="1211" spans="1:15">
      <c r="A1211" s="2" t="s">
        <v>21</v>
      </c>
      <c r="B1211" t="s">
        <v>22</v>
      </c>
      <c r="D1211">
        <v>10</v>
      </c>
      <c r="E1211" t="s">
        <v>46</v>
      </c>
      <c r="F1211">
        <v>4</v>
      </c>
      <c r="G1211">
        <v>2</v>
      </c>
      <c r="H1211">
        <v>2</v>
      </c>
      <c r="I1211">
        <v>1</v>
      </c>
      <c r="J1211" s="4" t="s">
        <v>53</v>
      </c>
      <c r="K1211" t="str">
        <f t="shared" si="62"/>
        <v>2+2</v>
      </c>
      <c r="L1211">
        <f>VLOOKUP(A1211,'ZONE 1 PREMIUM'!$A$4:$N$16,14,0)</f>
        <v>12</v>
      </c>
      <c r="M1211">
        <f>VLOOKUP(D1211,DROPDOWN!B:C,2,0)</f>
        <v>6</v>
      </c>
      <c r="N1211" t="str">
        <f t="shared" si="63"/>
        <v>BR113:CJ124</v>
      </c>
      <c r="O1211" s="4">
        <f t="shared" ca="1" si="61"/>
        <v>252731.60000000003</v>
      </c>
    </row>
    <row r="1212" spans="1:15">
      <c r="A1212" s="2" t="s">
        <v>11</v>
      </c>
      <c r="B1212" t="s">
        <v>45</v>
      </c>
      <c r="C1212" t="s">
        <v>25</v>
      </c>
      <c r="D1212">
        <v>10</v>
      </c>
      <c r="E1212" t="s">
        <v>46</v>
      </c>
      <c r="F1212">
        <v>5</v>
      </c>
      <c r="G1212">
        <v>2</v>
      </c>
      <c r="H1212">
        <v>3</v>
      </c>
      <c r="I1212">
        <v>1</v>
      </c>
      <c r="J1212" s="4" t="s">
        <v>53</v>
      </c>
      <c r="K1212" t="str">
        <f t="shared" si="62"/>
        <v>2+3</v>
      </c>
      <c r="L1212">
        <f>VLOOKUP(A1212,'ZONE 1 PREMIUM'!$A$4:$N$16,14,0)</f>
        <v>2</v>
      </c>
      <c r="M1212">
        <f>VLOOKUP(D1212,DROPDOWN!B:C,2,0)</f>
        <v>6</v>
      </c>
      <c r="N1212" t="str">
        <f t="shared" si="63"/>
        <v>BR128:CJ139</v>
      </c>
      <c r="O1212" s="4">
        <f t="shared" ca="1" si="61"/>
        <v>35968.9</v>
      </c>
    </row>
    <row r="1213" spans="1:15">
      <c r="A1213" s="2" t="s">
        <v>12</v>
      </c>
      <c r="B1213" t="s">
        <v>27</v>
      </c>
      <c r="C1213" t="s">
        <v>28</v>
      </c>
      <c r="D1213">
        <v>10</v>
      </c>
      <c r="E1213" t="s">
        <v>46</v>
      </c>
      <c r="F1213">
        <v>5</v>
      </c>
      <c r="G1213">
        <v>2</v>
      </c>
      <c r="H1213">
        <v>3</v>
      </c>
      <c r="I1213">
        <v>1</v>
      </c>
      <c r="J1213" s="4" t="s">
        <v>53</v>
      </c>
      <c r="K1213" t="str">
        <f t="shared" si="62"/>
        <v>2+3</v>
      </c>
      <c r="L1213">
        <f>VLOOKUP(A1213,'ZONE 1 PREMIUM'!$A$4:$N$16,14,0)</f>
        <v>3</v>
      </c>
      <c r="M1213">
        <f>VLOOKUP(D1213,DROPDOWN!B:C,2,0)</f>
        <v>6</v>
      </c>
      <c r="N1213" t="str">
        <f t="shared" si="63"/>
        <v>BR128:CJ139</v>
      </c>
      <c r="O1213" s="4">
        <f t="shared" ca="1" si="61"/>
        <v>38863</v>
      </c>
    </row>
    <row r="1214" spans="1:15">
      <c r="A1214" s="2" t="s">
        <v>13</v>
      </c>
      <c r="B1214" t="s">
        <v>29</v>
      </c>
      <c r="C1214" t="s">
        <v>30</v>
      </c>
      <c r="D1214">
        <v>10</v>
      </c>
      <c r="E1214" t="s">
        <v>46</v>
      </c>
      <c r="F1214">
        <v>5</v>
      </c>
      <c r="G1214">
        <v>2</v>
      </c>
      <c r="H1214">
        <v>3</v>
      </c>
      <c r="I1214">
        <v>1</v>
      </c>
      <c r="J1214" s="4" t="s">
        <v>53</v>
      </c>
      <c r="K1214" t="str">
        <f t="shared" si="62"/>
        <v>2+3</v>
      </c>
      <c r="L1214">
        <f>VLOOKUP(A1214,'ZONE 1 PREMIUM'!$A$4:$N$16,14,0)</f>
        <v>4</v>
      </c>
      <c r="M1214">
        <f>VLOOKUP(D1214,DROPDOWN!B:C,2,0)</f>
        <v>6</v>
      </c>
      <c r="N1214" t="str">
        <f t="shared" si="63"/>
        <v>BR128:CJ139</v>
      </c>
      <c r="O1214" s="4">
        <f t="shared" ca="1" si="61"/>
        <v>43830.600000000006</v>
      </c>
    </row>
    <row r="1215" spans="1:15">
      <c r="A1215" s="2" t="s">
        <v>14</v>
      </c>
      <c r="B1215" t="s">
        <v>31</v>
      </c>
      <c r="C1215" t="s">
        <v>32</v>
      </c>
      <c r="D1215">
        <v>10</v>
      </c>
      <c r="E1215" t="s">
        <v>46</v>
      </c>
      <c r="F1215">
        <v>5</v>
      </c>
      <c r="G1215">
        <v>2</v>
      </c>
      <c r="H1215">
        <v>3</v>
      </c>
      <c r="I1215">
        <v>1</v>
      </c>
      <c r="J1215" s="4" t="s">
        <v>53</v>
      </c>
      <c r="K1215" t="str">
        <f t="shared" si="62"/>
        <v>2+3</v>
      </c>
      <c r="L1215">
        <f>VLOOKUP(A1215,'ZONE 1 PREMIUM'!$A$4:$N$16,14,0)</f>
        <v>5</v>
      </c>
      <c r="M1215">
        <f>VLOOKUP(D1215,DROPDOWN!B:C,2,0)</f>
        <v>6</v>
      </c>
      <c r="N1215" t="str">
        <f t="shared" si="63"/>
        <v>BR128:CJ139</v>
      </c>
      <c r="O1215" s="4">
        <f t="shared" ca="1" si="61"/>
        <v>49333.9</v>
      </c>
    </row>
    <row r="1216" spans="1:15">
      <c r="A1216" s="2" t="s">
        <v>15</v>
      </c>
      <c r="B1216" t="s">
        <v>33</v>
      </c>
      <c r="C1216" t="s">
        <v>34</v>
      </c>
      <c r="D1216">
        <v>10</v>
      </c>
      <c r="E1216" t="s">
        <v>46</v>
      </c>
      <c r="F1216">
        <v>5</v>
      </c>
      <c r="G1216">
        <v>2</v>
      </c>
      <c r="H1216">
        <v>3</v>
      </c>
      <c r="I1216">
        <v>1</v>
      </c>
      <c r="J1216" s="4" t="s">
        <v>53</v>
      </c>
      <c r="K1216" t="str">
        <f t="shared" si="62"/>
        <v>2+3</v>
      </c>
      <c r="L1216">
        <f>VLOOKUP(A1216,'ZONE 1 PREMIUM'!$A$4:$N$16,14,0)</f>
        <v>6</v>
      </c>
      <c r="M1216">
        <f>VLOOKUP(D1216,DROPDOWN!B:C,2,0)</f>
        <v>6</v>
      </c>
      <c r="N1216" t="str">
        <f t="shared" si="63"/>
        <v>BR128:CJ139</v>
      </c>
      <c r="O1216" s="4">
        <f t="shared" ca="1" si="61"/>
        <v>62111.500000000007</v>
      </c>
    </row>
    <row r="1217" spans="1:15">
      <c r="A1217" s="2" t="s">
        <v>16</v>
      </c>
      <c r="B1217" t="s">
        <v>35</v>
      </c>
      <c r="C1217" t="s">
        <v>36</v>
      </c>
      <c r="D1217">
        <v>10</v>
      </c>
      <c r="E1217" t="s">
        <v>46</v>
      </c>
      <c r="F1217">
        <v>5</v>
      </c>
      <c r="G1217">
        <v>2</v>
      </c>
      <c r="H1217">
        <v>3</v>
      </c>
      <c r="I1217">
        <v>1</v>
      </c>
      <c r="J1217" s="4" t="s">
        <v>53</v>
      </c>
      <c r="K1217" t="str">
        <f t="shared" si="62"/>
        <v>2+3</v>
      </c>
      <c r="L1217">
        <f>VLOOKUP(A1217,'ZONE 1 PREMIUM'!$A$4:$N$16,14,0)</f>
        <v>7</v>
      </c>
      <c r="M1217">
        <f>VLOOKUP(D1217,DROPDOWN!B:C,2,0)</f>
        <v>6</v>
      </c>
      <c r="N1217" t="str">
        <f t="shared" si="63"/>
        <v>BR128:CJ139</v>
      </c>
      <c r="O1217" s="4">
        <f t="shared" ca="1" si="61"/>
        <v>79867.700000000012</v>
      </c>
    </row>
    <row r="1218" spans="1:15">
      <c r="A1218" s="2" t="s">
        <v>17</v>
      </c>
      <c r="B1218" t="s">
        <v>37</v>
      </c>
      <c r="C1218" t="s">
        <v>38</v>
      </c>
      <c r="D1218">
        <v>10</v>
      </c>
      <c r="E1218" t="s">
        <v>46</v>
      </c>
      <c r="F1218">
        <v>5</v>
      </c>
      <c r="G1218">
        <v>2</v>
      </c>
      <c r="H1218">
        <v>3</v>
      </c>
      <c r="I1218">
        <v>1</v>
      </c>
      <c r="J1218" s="4" t="s">
        <v>53</v>
      </c>
      <c r="K1218" t="str">
        <f t="shared" si="62"/>
        <v>2+3</v>
      </c>
      <c r="L1218">
        <f>VLOOKUP(A1218,'ZONE 1 PREMIUM'!$A$4:$N$16,14,0)</f>
        <v>8</v>
      </c>
      <c r="M1218">
        <f>VLOOKUP(D1218,DROPDOWN!B:C,2,0)</f>
        <v>6</v>
      </c>
      <c r="N1218" t="str">
        <f t="shared" si="63"/>
        <v>BR128:CJ139</v>
      </c>
      <c r="O1218" s="4">
        <f t="shared" ref="O1218:O1281" ca="1" si="64">INDEX(INDIRECT(N1218),L1218,M1218)</f>
        <v>100558.70000000001</v>
      </c>
    </row>
    <row r="1219" spans="1:15">
      <c r="A1219" s="2" t="s">
        <v>18</v>
      </c>
      <c r="B1219" t="s">
        <v>39</v>
      </c>
      <c r="C1219" t="s">
        <v>40</v>
      </c>
      <c r="D1219">
        <v>10</v>
      </c>
      <c r="E1219" t="s">
        <v>46</v>
      </c>
      <c r="F1219">
        <v>5</v>
      </c>
      <c r="G1219">
        <v>2</v>
      </c>
      <c r="H1219">
        <v>3</v>
      </c>
      <c r="I1219">
        <v>1</v>
      </c>
      <c r="J1219" s="4" t="s">
        <v>53</v>
      </c>
      <c r="K1219" t="str">
        <f t="shared" si="62"/>
        <v>2+3</v>
      </c>
      <c r="L1219">
        <f>VLOOKUP(A1219,'ZONE 1 PREMIUM'!$A$4:$N$16,14,0)</f>
        <v>9</v>
      </c>
      <c r="M1219">
        <f>VLOOKUP(D1219,DROPDOWN!B:C,2,0)</f>
        <v>6</v>
      </c>
      <c r="N1219" t="str">
        <f t="shared" si="63"/>
        <v>BR128:CJ139</v>
      </c>
      <c r="O1219" s="4">
        <f t="shared" ca="1" si="64"/>
        <v>132151.80000000002</v>
      </c>
    </row>
    <row r="1220" spans="1:15">
      <c r="A1220" s="2" t="s">
        <v>19</v>
      </c>
      <c r="B1220" t="s">
        <v>41</v>
      </c>
      <c r="C1220" t="s">
        <v>42</v>
      </c>
      <c r="D1220">
        <v>10</v>
      </c>
      <c r="E1220" t="s">
        <v>46</v>
      </c>
      <c r="F1220">
        <v>5</v>
      </c>
      <c r="G1220">
        <v>2</v>
      </c>
      <c r="H1220">
        <v>3</v>
      </c>
      <c r="I1220">
        <v>1</v>
      </c>
      <c r="J1220" s="4" t="s">
        <v>53</v>
      </c>
      <c r="K1220" t="str">
        <f t="shared" ref="K1220:K1283" si="65">G1220&amp;"+"&amp;H1220</f>
        <v>2+3</v>
      </c>
      <c r="L1220">
        <f>VLOOKUP(A1220,'ZONE 1 PREMIUM'!$A$4:$N$16,14,0)</f>
        <v>10</v>
      </c>
      <c r="M1220">
        <f>VLOOKUP(D1220,DROPDOWN!B:C,2,0)</f>
        <v>6</v>
      </c>
      <c r="N1220" t="str">
        <f t="shared" si="63"/>
        <v>BR128:CJ139</v>
      </c>
      <c r="O1220" s="4">
        <f t="shared" ca="1" si="64"/>
        <v>168736.7</v>
      </c>
    </row>
    <row r="1221" spans="1:15">
      <c r="A1221" s="2" t="s">
        <v>20</v>
      </c>
      <c r="B1221" t="s">
        <v>43</v>
      </c>
      <c r="C1221" t="s">
        <v>44</v>
      </c>
      <c r="D1221">
        <v>10</v>
      </c>
      <c r="E1221" t="s">
        <v>46</v>
      </c>
      <c r="F1221">
        <v>5</v>
      </c>
      <c r="G1221">
        <v>2</v>
      </c>
      <c r="H1221">
        <v>3</v>
      </c>
      <c r="I1221">
        <v>1</v>
      </c>
      <c r="J1221" s="4" t="s">
        <v>53</v>
      </c>
      <c r="K1221" t="str">
        <f t="shared" si="65"/>
        <v>2+3</v>
      </c>
      <c r="L1221">
        <f>VLOOKUP(A1221,'ZONE 1 PREMIUM'!$A$4:$N$16,14,0)</f>
        <v>11</v>
      </c>
      <c r="M1221">
        <f>VLOOKUP(D1221,DROPDOWN!B:C,2,0)</f>
        <v>6</v>
      </c>
      <c r="N1221" t="str">
        <f t="shared" si="63"/>
        <v>BR128:CJ139</v>
      </c>
      <c r="O1221" s="4">
        <f t="shared" ca="1" si="64"/>
        <v>205079.6</v>
      </c>
    </row>
    <row r="1222" spans="1:15">
      <c r="A1222" s="2" t="s">
        <v>21</v>
      </c>
      <c r="B1222" t="s">
        <v>22</v>
      </c>
      <c r="D1222">
        <v>10</v>
      </c>
      <c r="E1222" t="s">
        <v>46</v>
      </c>
      <c r="F1222">
        <v>5</v>
      </c>
      <c r="G1222">
        <v>2</v>
      </c>
      <c r="H1222">
        <v>3</v>
      </c>
      <c r="I1222">
        <v>1</v>
      </c>
      <c r="J1222" s="4" t="s">
        <v>53</v>
      </c>
      <c r="K1222" t="str">
        <f t="shared" si="65"/>
        <v>2+3</v>
      </c>
      <c r="L1222">
        <f>VLOOKUP(A1222,'ZONE 1 PREMIUM'!$A$4:$N$16,14,0)</f>
        <v>12</v>
      </c>
      <c r="M1222">
        <f>VLOOKUP(D1222,DROPDOWN!B:C,2,0)</f>
        <v>6</v>
      </c>
      <c r="N1222" t="str">
        <f t="shared" si="63"/>
        <v>BR128:CJ139</v>
      </c>
      <c r="O1222" s="4">
        <f t="shared" ca="1" si="64"/>
        <v>259036.80000000002</v>
      </c>
    </row>
    <row r="1223" spans="1:15">
      <c r="A1223" s="2" t="s">
        <v>11</v>
      </c>
      <c r="B1223" t="s">
        <v>45</v>
      </c>
      <c r="C1223" t="s">
        <v>25</v>
      </c>
      <c r="D1223">
        <v>10</v>
      </c>
      <c r="E1223" t="s">
        <v>46</v>
      </c>
      <c r="F1223">
        <v>6</v>
      </c>
      <c r="G1223">
        <v>2</v>
      </c>
      <c r="H1223">
        <v>4</v>
      </c>
      <c r="I1223">
        <v>1</v>
      </c>
      <c r="J1223" s="4" t="s">
        <v>53</v>
      </c>
      <c r="K1223" t="str">
        <f t="shared" si="65"/>
        <v>2+4</v>
      </c>
      <c r="L1223">
        <f>VLOOKUP(A1223,'ZONE 1 PREMIUM'!$A$4:$N$16,14,0)</f>
        <v>2</v>
      </c>
      <c r="M1223">
        <f>VLOOKUP(D1223,DROPDOWN!B:C,2,0)</f>
        <v>6</v>
      </c>
      <c r="N1223" t="str">
        <f t="shared" si="63"/>
        <v>BR143:CJ154</v>
      </c>
      <c r="O1223" s="4">
        <f t="shared" ca="1" si="64"/>
        <v>40548.200000000004</v>
      </c>
    </row>
    <row r="1224" spans="1:15">
      <c r="A1224" s="2" t="s">
        <v>12</v>
      </c>
      <c r="B1224" t="s">
        <v>27</v>
      </c>
      <c r="C1224" t="s">
        <v>28</v>
      </c>
      <c r="D1224">
        <v>10</v>
      </c>
      <c r="E1224" t="s">
        <v>46</v>
      </c>
      <c r="F1224">
        <v>6</v>
      </c>
      <c r="G1224">
        <v>2</v>
      </c>
      <c r="H1224">
        <v>4</v>
      </c>
      <c r="I1224">
        <v>1</v>
      </c>
      <c r="J1224" s="4" t="s">
        <v>53</v>
      </c>
      <c r="K1224" t="str">
        <f t="shared" si="65"/>
        <v>2+4</v>
      </c>
      <c r="L1224">
        <f>VLOOKUP(A1224,'ZONE 1 PREMIUM'!$A$4:$N$16,14,0)</f>
        <v>3</v>
      </c>
      <c r="M1224">
        <f>VLOOKUP(D1224,DROPDOWN!B:C,2,0)</f>
        <v>6</v>
      </c>
      <c r="N1224" t="str">
        <f t="shared" si="63"/>
        <v>BR143:CJ154</v>
      </c>
      <c r="O1224" s="4">
        <f t="shared" ca="1" si="64"/>
        <v>43359.8</v>
      </c>
    </row>
    <row r="1225" spans="1:15">
      <c r="A1225" s="2" t="s">
        <v>13</v>
      </c>
      <c r="B1225" t="s">
        <v>29</v>
      </c>
      <c r="C1225" t="s">
        <v>30</v>
      </c>
      <c r="D1225">
        <v>10</v>
      </c>
      <c r="E1225" t="s">
        <v>46</v>
      </c>
      <c r="F1225">
        <v>6</v>
      </c>
      <c r="G1225">
        <v>2</v>
      </c>
      <c r="H1225">
        <v>4</v>
      </c>
      <c r="I1225">
        <v>1</v>
      </c>
      <c r="J1225" s="4" t="s">
        <v>53</v>
      </c>
      <c r="K1225" t="str">
        <f t="shared" si="65"/>
        <v>2+4</v>
      </c>
      <c r="L1225">
        <f>VLOOKUP(A1225,'ZONE 1 PREMIUM'!$A$4:$N$16,14,0)</f>
        <v>4</v>
      </c>
      <c r="M1225">
        <f>VLOOKUP(D1225,DROPDOWN!B:C,2,0)</f>
        <v>6</v>
      </c>
      <c r="N1225" t="str">
        <f t="shared" si="63"/>
        <v>BR143:CJ154</v>
      </c>
      <c r="O1225" s="4">
        <f t="shared" ca="1" si="64"/>
        <v>49040.200000000004</v>
      </c>
    </row>
    <row r="1226" spans="1:15">
      <c r="A1226" s="2" t="s">
        <v>14</v>
      </c>
      <c r="B1226" t="s">
        <v>31</v>
      </c>
      <c r="C1226" t="s">
        <v>32</v>
      </c>
      <c r="D1226">
        <v>10</v>
      </c>
      <c r="E1226" t="s">
        <v>46</v>
      </c>
      <c r="F1226">
        <v>6</v>
      </c>
      <c r="G1226">
        <v>2</v>
      </c>
      <c r="H1226">
        <v>4</v>
      </c>
      <c r="I1226">
        <v>1</v>
      </c>
      <c r="J1226" s="4" t="s">
        <v>53</v>
      </c>
      <c r="K1226" t="str">
        <f t="shared" si="65"/>
        <v>2+4</v>
      </c>
      <c r="L1226">
        <f>VLOOKUP(A1226,'ZONE 1 PREMIUM'!$A$4:$N$16,14,0)</f>
        <v>5</v>
      </c>
      <c r="M1226">
        <f>VLOOKUP(D1226,DROPDOWN!B:C,2,0)</f>
        <v>6</v>
      </c>
      <c r="N1226" t="str">
        <f t="shared" si="63"/>
        <v>BR143:CJ154</v>
      </c>
      <c r="O1226" s="4">
        <f t="shared" ca="1" si="64"/>
        <v>54877.9</v>
      </c>
    </row>
    <row r="1227" spans="1:15">
      <c r="A1227" s="2" t="s">
        <v>15</v>
      </c>
      <c r="B1227" t="s">
        <v>33</v>
      </c>
      <c r="C1227" t="s">
        <v>34</v>
      </c>
      <c r="D1227">
        <v>10</v>
      </c>
      <c r="E1227" t="s">
        <v>46</v>
      </c>
      <c r="F1227">
        <v>6</v>
      </c>
      <c r="G1227">
        <v>2</v>
      </c>
      <c r="H1227">
        <v>4</v>
      </c>
      <c r="I1227">
        <v>1</v>
      </c>
      <c r="J1227" s="4" t="s">
        <v>53</v>
      </c>
      <c r="K1227" t="str">
        <f t="shared" si="65"/>
        <v>2+4</v>
      </c>
      <c r="L1227">
        <f>VLOOKUP(A1227,'ZONE 1 PREMIUM'!$A$4:$N$16,14,0)</f>
        <v>6</v>
      </c>
      <c r="M1227">
        <f>VLOOKUP(D1227,DROPDOWN!B:C,2,0)</f>
        <v>6</v>
      </c>
      <c r="N1227" t="str">
        <f t="shared" si="63"/>
        <v>BR143:CJ154</v>
      </c>
      <c r="O1227" s="4">
        <f t="shared" ca="1" si="64"/>
        <v>68328.700000000012</v>
      </c>
    </row>
    <row r="1228" spans="1:15">
      <c r="A1228" s="2" t="s">
        <v>16</v>
      </c>
      <c r="B1228" t="s">
        <v>35</v>
      </c>
      <c r="C1228" t="s">
        <v>36</v>
      </c>
      <c r="D1228">
        <v>10</v>
      </c>
      <c r="E1228" t="s">
        <v>46</v>
      </c>
      <c r="F1228">
        <v>6</v>
      </c>
      <c r="G1228">
        <v>2</v>
      </c>
      <c r="H1228">
        <v>4</v>
      </c>
      <c r="I1228">
        <v>1</v>
      </c>
      <c r="J1228" s="4" t="s">
        <v>53</v>
      </c>
      <c r="K1228" t="str">
        <f t="shared" si="65"/>
        <v>2+4</v>
      </c>
      <c r="L1228">
        <f>VLOOKUP(A1228,'ZONE 1 PREMIUM'!$A$4:$N$16,14,0)</f>
        <v>7</v>
      </c>
      <c r="M1228">
        <f>VLOOKUP(D1228,DROPDOWN!B:C,2,0)</f>
        <v>6</v>
      </c>
      <c r="N1228" t="str">
        <f t="shared" si="63"/>
        <v>BR143:CJ154</v>
      </c>
      <c r="O1228" s="4">
        <f t="shared" ca="1" si="64"/>
        <v>85476.6</v>
      </c>
    </row>
    <row r="1229" spans="1:15">
      <c r="A1229" s="2" t="s">
        <v>17</v>
      </c>
      <c r="B1229" t="s">
        <v>37</v>
      </c>
      <c r="C1229" t="s">
        <v>38</v>
      </c>
      <c r="D1229">
        <v>10</v>
      </c>
      <c r="E1229" t="s">
        <v>46</v>
      </c>
      <c r="F1229">
        <v>6</v>
      </c>
      <c r="G1229">
        <v>2</v>
      </c>
      <c r="H1229">
        <v>4</v>
      </c>
      <c r="I1229">
        <v>1</v>
      </c>
      <c r="J1229" s="4" t="s">
        <v>53</v>
      </c>
      <c r="K1229" t="str">
        <f t="shared" si="65"/>
        <v>2+4</v>
      </c>
      <c r="L1229">
        <f>VLOOKUP(A1229,'ZONE 1 PREMIUM'!$A$4:$N$16,14,0)</f>
        <v>8</v>
      </c>
      <c r="M1229">
        <f>VLOOKUP(D1229,DROPDOWN!B:C,2,0)</f>
        <v>6</v>
      </c>
      <c r="N1229" t="str">
        <f t="shared" si="63"/>
        <v>BR143:CJ154</v>
      </c>
      <c r="O1229" s="4">
        <f t="shared" ca="1" si="64"/>
        <v>106140.1</v>
      </c>
    </row>
    <row r="1230" spans="1:15">
      <c r="A1230" s="2" t="s">
        <v>18</v>
      </c>
      <c r="B1230" t="s">
        <v>39</v>
      </c>
      <c r="C1230" t="s">
        <v>40</v>
      </c>
      <c r="D1230">
        <v>10</v>
      </c>
      <c r="E1230" t="s">
        <v>46</v>
      </c>
      <c r="F1230">
        <v>6</v>
      </c>
      <c r="G1230">
        <v>2</v>
      </c>
      <c r="H1230">
        <v>4</v>
      </c>
      <c r="I1230">
        <v>1</v>
      </c>
      <c r="J1230" s="4" t="s">
        <v>53</v>
      </c>
      <c r="K1230" t="str">
        <f t="shared" si="65"/>
        <v>2+4</v>
      </c>
      <c r="L1230">
        <f>VLOOKUP(A1230,'ZONE 1 PREMIUM'!$A$4:$N$16,14,0)</f>
        <v>9</v>
      </c>
      <c r="M1230">
        <f>VLOOKUP(D1230,DROPDOWN!B:C,2,0)</f>
        <v>6</v>
      </c>
      <c r="N1230" t="str">
        <f t="shared" si="63"/>
        <v>BR143:CJ154</v>
      </c>
      <c r="O1230" s="4">
        <f t="shared" ca="1" si="64"/>
        <v>137476.90000000002</v>
      </c>
    </row>
    <row r="1231" spans="1:15">
      <c r="A1231" s="2" t="s">
        <v>19</v>
      </c>
      <c r="B1231" t="s">
        <v>41</v>
      </c>
      <c r="C1231" t="s">
        <v>42</v>
      </c>
      <c r="D1231">
        <v>10</v>
      </c>
      <c r="E1231" t="s">
        <v>46</v>
      </c>
      <c r="F1231">
        <v>6</v>
      </c>
      <c r="G1231">
        <v>2</v>
      </c>
      <c r="H1231">
        <v>4</v>
      </c>
      <c r="I1231">
        <v>1</v>
      </c>
      <c r="J1231" s="4" t="s">
        <v>53</v>
      </c>
      <c r="K1231" t="str">
        <f t="shared" si="65"/>
        <v>2+4</v>
      </c>
      <c r="L1231">
        <f>VLOOKUP(A1231,'ZONE 1 PREMIUM'!$A$4:$N$16,14,0)</f>
        <v>10</v>
      </c>
      <c r="M1231">
        <f>VLOOKUP(D1231,DROPDOWN!B:C,2,0)</f>
        <v>6</v>
      </c>
      <c r="N1231" t="str">
        <f t="shared" si="63"/>
        <v>BR143:CJ154</v>
      </c>
      <c r="O1231" s="4">
        <f t="shared" ca="1" si="64"/>
        <v>174653.6</v>
      </c>
    </row>
    <row r="1232" spans="1:15">
      <c r="A1232" s="2" t="s">
        <v>20</v>
      </c>
      <c r="B1232" t="s">
        <v>43</v>
      </c>
      <c r="C1232" t="s">
        <v>44</v>
      </c>
      <c r="D1232">
        <v>10</v>
      </c>
      <c r="E1232" t="s">
        <v>46</v>
      </c>
      <c r="F1232">
        <v>6</v>
      </c>
      <c r="G1232">
        <v>2</v>
      </c>
      <c r="H1232">
        <v>4</v>
      </c>
      <c r="I1232">
        <v>1</v>
      </c>
      <c r="J1232" s="4" t="s">
        <v>53</v>
      </c>
      <c r="K1232" t="str">
        <f t="shared" si="65"/>
        <v>2+4</v>
      </c>
      <c r="L1232">
        <f>VLOOKUP(A1232,'ZONE 1 PREMIUM'!$A$4:$N$16,14,0)</f>
        <v>11</v>
      </c>
      <c r="M1232">
        <f>VLOOKUP(D1232,DROPDOWN!B:C,2,0)</f>
        <v>6</v>
      </c>
      <c r="N1232" t="str">
        <f t="shared" si="63"/>
        <v>BR143:CJ154</v>
      </c>
      <c r="O1232" s="4">
        <f t="shared" ca="1" si="64"/>
        <v>210530.1</v>
      </c>
    </row>
    <row r="1233" spans="1:15">
      <c r="A1233" s="2" t="s">
        <v>21</v>
      </c>
      <c r="B1233" t="s">
        <v>22</v>
      </c>
      <c r="D1233">
        <v>10</v>
      </c>
      <c r="E1233" t="s">
        <v>46</v>
      </c>
      <c r="F1233">
        <v>6</v>
      </c>
      <c r="G1233">
        <v>2</v>
      </c>
      <c r="H1233">
        <v>4</v>
      </c>
      <c r="I1233">
        <v>1</v>
      </c>
      <c r="J1233" s="4" t="s">
        <v>53</v>
      </c>
      <c r="K1233" t="str">
        <f t="shared" si="65"/>
        <v>2+4</v>
      </c>
      <c r="L1233">
        <f>VLOOKUP(A1233,'ZONE 1 PREMIUM'!$A$4:$N$16,14,0)</f>
        <v>12</v>
      </c>
      <c r="M1233">
        <f>VLOOKUP(D1233,DROPDOWN!B:C,2,0)</f>
        <v>6</v>
      </c>
      <c r="N1233" t="str">
        <f t="shared" si="63"/>
        <v>BR143:CJ154</v>
      </c>
      <c r="O1233" s="4">
        <f t="shared" ca="1" si="64"/>
        <v>263476.40000000002</v>
      </c>
    </row>
    <row r="1234" spans="1:15">
      <c r="A1234" s="2" t="s">
        <v>9</v>
      </c>
      <c r="B1234" t="s">
        <v>47</v>
      </c>
      <c r="C1234" t="s">
        <v>48</v>
      </c>
      <c r="D1234">
        <v>10</v>
      </c>
      <c r="E1234" t="s">
        <v>26</v>
      </c>
      <c r="F1234">
        <v>1</v>
      </c>
      <c r="H1234">
        <v>1</v>
      </c>
      <c r="I1234">
        <v>1</v>
      </c>
      <c r="J1234" s="4" t="s">
        <v>54</v>
      </c>
      <c r="K1234" t="str">
        <f t="shared" si="65"/>
        <v>+1</v>
      </c>
      <c r="N1234" t="e">
        <f t="shared" ref="N1234:N1297" si="66">VLOOKUP(K1234,$DH$4:$DI$13,2,0)</f>
        <v>#N/A</v>
      </c>
      <c r="O1234" s="13">
        <v>3236.0167610476451</v>
      </c>
    </row>
    <row r="1235" spans="1:15">
      <c r="A1235" s="2" t="s">
        <v>10</v>
      </c>
      <c r="B1235" t="s">
        <v>49</v>
      </c>
      <c r="C1235" t="s">
        <v>50</v>
      </c>
      <c r="D1235">
        <v>10</v>
      </c>
      <c r="E1235" t="s">
        <v>26</v>
      </c>
      <c r="F1235">
        <v>1</v>
      </c>
      <c r="G1235">
        <v>1</v>
      </c>
      <c r="H1235">
        <v>0</v>
      </c>
      <c r="I1235">
        <v>1</v>
      </c>
      <c r="J1235" s="4" t="s">
        <v>54</v>
      </c>
      <c r="K1235" t="str">
        <f t="shared" si="65"/>
        <v>1+0</v>
      </c>
      <c r="L1235">
        <f>VLOOKUP(A1235,'ZONE 1 PREMIUM'!$A$3:$M$16,13,0)</f>
        <v>3</v>
      </c>
      <c r="M1235">
        <f>VLOOKUP(D1235,DROPDOWN!B:C,2,0)</f>
        <v>6</v>
      </c>
      <c r="N1235" t="str">
        <f t="shared" si="66"/>
        <v>CO3:DG16</v>
      </c>
      <c r="O1235" s="4">
        <f t="shared" ca="1" si="64"/>
        <v>5151.34</v>
      </c>
    </row>
    <row r="1236" spans="1:15">
      <c r="A1236" s="2" t="s">
        <v>11</v>
      </c>
      <c r="B1236" t="s">
        <v>45</v>
      </c>
      <c r="C1236" t="s">
        <v>25</v>
      </c>
      <c r="D1236">
        <v>10</v>
      </c>
      <c r="E1236" t="s">
        <v>26</v>
      </c>
      <c r="F1236">
        <v>1</v>
      </c>
      <c r="G1236">
        <v>1</v>
      </c>
      <c r="H1236">
        <v>0</v>
      </c>
      <c r="I1236">
        <v>1</v>
      </c>
      <c r="J1236" s="4" t="s">
        <v>54</v>
      </c>
      <c r="K1236" t="str">
        <f t="shared" si="65"/>
        <v>1+0</v>
      </c>
      <c r="L1236">
        <f>VLOOKUP(A1236,'ZONE 1 PREMIUM'!$A$3:$M$16,13,0)</f>
        <v>4</v>
      </c>
      <c r="M1236">
        <f>VLOOKUP(D1236,DROPDOWN!B:C,2,0)</f>
        <v>6</v>
      </c>
      <c r="N1236" t="str">
        <f t="shared" si="66"/>
        <v>CO3:DG16</v>
      </c>
      <c r="O1236" s="4">
        <f t="shared" ca="1" si="64"/>
        <v>13795.04</v>
      </c>
    </row>
    <row r="1237" spans="1:15">
      <c r="A1237" s="2" t="s">
        <v>12</v>
      </c>
      <c r="B1237" t="s">
        <v>27</v>
      </c>
      <c r="C1237" t="s">
        <v>28</v>
      </c>
      <c r="D1237">
        <v>10</v>
      </c>
      <c r="E1237" t="s">
        <v>26</v>
      </c>
      <c r="F1237">
        <v>1</v>
      </c>
      <c r="G1237">
        <v>1</v>
      </c>
      <c r="H1237">
        <v>0</v>
      </c>
      <c r="I1237">
        <v>1</v>
      </c>
      <c r="J1237" s="4" t="s">
        <v>54</v>
      </c>
      <c r="K1237" t="str">
        <f t="shared" si="65"/>
        <v>1+0</v>
      </c>
      <c r="L1237">
        <f>VLOOKUP(A1237,'ZONE 1 PREMIUM'!$A$3:$M$16,13,0)</f>
        <v>5</v>
      </c>
      <c r="M1237">
        <f>VLOOKUP(D1237,DROPDOWN!B:C,2,0)</f>
        <v>6</v>
      </c>
      <c r="N1237" t="str">
        <f t="shared" si="66"/>
        <v>CO3:DG16</v>
      </c>
      <c r="O1237" s="4">
        <f t="shared" ca="1" si="64"/>
        <v>15888.93</v>
      </c>
    </row>
    <row r="1238" spans="1:15">
      <c r="A1238" s="2" t="s">
        <v>13</v>
      </c>
      <c r="B1238" t="s">
        <v>29</v>
      </c>
      <c r="C1238" t="s">
        <v>30</v>
      </c>
      <c r="D1238">
        <v>10</v>
      </c>
      <c r="E1238" t="s">
        <v>26</v>
      </c>
      <c r="F1238">
        <v>1</v>
      </c>
      <c r="G1238">
        <v>1</v>
      </c>
      <c r="H1238">
        <v>0</v>
      </c>
      <c r="I1238">
        <v>1</v>
      </c>
      <c r="J1238" s="4" t="s">
        <v>54</v>
      </c>
      <c r="K1238" t="str">
        <f t="shared" si="65"/>
        <v>1+0</v>
      </c>
      <c r="L1238">
        <f>VLOOKUP(A1238,'ZONE 1 PREMIUM'!$A$3:$M$16,13,0)</f>
        <v>6</v>
      </c>
      <c r="M1238">
        <f>VLOOKUP(D1238,DROPDOWN!B:C,2,0)</f>
        <v>6</v>
      </c>
      <c r="N1238" t="str">
        <f t="shared" si="66"/>
        <v>CO3:DG16</v>
      </c>
      <c r="O1238" s="4">
        <f t="shared" ca="1" si="64"/>
        <v>18342.52</v>
      </c>
    </row>
    <row r="1239" spans="1:15">
      <c r="A1239" s="2" t="s">
        <v>14</v>
      </c>
      <c r="B1239" t="s">
        <v>31</v>
      </c>
      <c r="C1239" t="s">
        <v>32</v>
      </c>
      <c r="D1239">
        <v>10</v>
      </c>
      <c r="E1239" t="s">
        <v>26</v>
      </c>
      <c r="F1239">
        <v>1</v>
      </c>
      <c r="G1239">
        <v>1</v>
      </c>
      <c r="H1239">
        <v>0</v>
      </c>
      <c r="I1239">
        <v>1</v>
      </c>
      <c r="J1239" s="4" t="s">
        <v>54</v>
      </c>
      <c r="K1239" t="str">
        <f t="shared" si="65"/>
        <v>1+0</v>
      </c>
      <c r="L1239">
        <f>VLOOKUP(A1239,'ZONE 1 PREMIUM'!$A$3:$M$16,13,0)</f>
        <v>7</v>
      </c>
      <c r="M1239">
        <f>VLOOKUP(D1239,DROPDOWN!B:C,2,0)</f>
        <v>6</v>
      </c>
      <c r="N1239" t="str">
        <f t="shared" si="66"/>
        <v>CO3:DG16</v>
      </c>
      <c r="O1239" s="4">
        <f t="shared" ca="1" si="64"/>
        <v>21357.460000000003</v>
      </c>
    </row>
    <row r="1240" spans="1:15">
      <c r="A1240" s="2" t="s">
        <v>15</v>
      </c>
      <c r="B1240" t="s">
        <v>33</v>
      </c>
      <c r="C1240" t="s">
        <v>34</v>
      </c>
      <c r="D1240">
        <v>10</v>
      </c>
      <c r="E1240" t="s">
        <v>26</v>
      </c>
      <c r="F1240">
        <v>1</v>
      </c>
      <c r="G1240">
        <v>1</v>
      </c>
      <c r="H1240">
        <v>0</v>
      </c>
      <c r="I1240">
        <v>1</v>
      </c>
      <c r="J1240" s="4" t="s">
        <v>54</v>
      </c>
      <c r="K1240" t="str">
        <f t="shared" si="65"/>
        <v>1+0</v>
      </c>
      <c r="L1240">
        <f>VLOOKUP(A1240,'ZONE 1 PREMIUM'!$A$3:$M$16,13,0)</f>
        <v>8</v>
      </c>
      <c r="M1240">
        <f>VLOOKUP(D1240,DROPDOWN!B:C,2,0)</f>
        <v>6</v>
      </c>
      <c r="N1240" t="str">
        <f t="shared" si="66"/>
        <v>CO3:DG16</v>
      </c>
      <c r="O1240" s="4">
        <f t="shared" ca="1" si="64"/>
        <v>26532.780000000002</v>
      </c>
    </row>
    <row r="1241" spans="1:15">
      <c r="A1241" s="2" t="s">
        <v>16</v>
      </c>
      <c r="B1241" t="s">
        <v>35</v>
      </c>
      <c r="C1241" t="s">
        <v>36</v>
      </c>
      <c r="D1241">
        <v>10</v>
      </c>
      <c r="E1241" t="s">
        <v>26</v>
      </c>
      <c r="F1241">
        <v>1</v>
      </c>
      <c r="G1241">
        <v>1</v>
      </c>
      <c r="H1241">
        <v>0</v>
      </c>
      <c r="I1241">
        <v>1</v>
      </c>
      <c r="J1241" s="4" t="s">
        <v>54</v>
      </c>
      <c r="K1241" t="str">
        <f t="shared" si="65"/>
        <v>1+0</v>
      </c>
      <c r="L1241">
        <f>VLOOKUP(A1241,'ZONE 1 PREMIUM'!$A$3:$M$16,13,0)</f>
        <v>9</v>
      </c>
      <c r="M1241">
        <f>VLOOKUP(D1241,DROPDOWN!B:C,2,0)</f>
        <v>6</v>
      </c>
      <c r="N1241" t="str">
        <f t="shared" si="66"/>
        <v>CO3:DG16</v>
      </c>
      <c r="O1241" s="4">
        <f t="shared" ca="1" si="64"/>
        <v>34907.25</v>
      </c>
    </row>
    <row r="1242" spans="1:15">
      <c r="A1242" s="2" t="s">
        <v>17</v>
      </c>
      <c r="B1242" t="s">
        <v>37</v>
      </c>
      <c r="C1242" t="s">
        <v>38</v>
      </c>
      <c r="D1242">
        <v>10</v>
      </c>
      <c r="E1242" t="s">
        <v>26</v>
      </c>
      <c r="F1242">
        <v>1</v>
      </c>
      <c r="G1242">
        <v>1</v>
      </c>
      <c r="H1242">
        <v>0</v>
      </c>
      <c r="I1242">
        <v>1</v>
      </c>
      <c r="J1242" s="4" t="s">
        <v>54</v>
      </c>
      <c r="K1242" t="str">
        <f t="shared" si="65"/>
        <v>1+0</v>
      </c>
      <c r="L1242">
        <f>VLOOKUP(A1242,'ZONE 1 PREMIUM'!$A$3:$M$16,13,0)</f>
        <v>10</v>
      </c>
      <c r="M1242">
        <f>VLOOKUP(D1242,DROPDOWN!B:C,2,0)</f>
        <v>6</v>
      </c>
      <c r="N1242" t="str">
        <f t="shared" si="66"/>
        <v>CO3:DG16</v>
      </c>
      <c r="O1242" s="4">
        <f t="shared" ca="1" si="64"/>
        <v>47290.740000000005</v>
      </c>
    </row>
    <row r="1243" spans="1:15">
      <c r="A1243" s="2" t="s">
        <v>18</v>
      </c>
      <c r="B1243" t="s">
        <v>39</v>
      </c>
      <c r="C1243" t="s">
        <v>40</v>
      </c>
      <c r="D1243">
        <v>10</v>
      </c>
      <c r="E1243" t="s">
        <v>26</v>
      </c>
      <c r="F1243">
        <v>1</v>
      </c>
      <c r="G1243">
        <v>1</v>
      </c>
      <c r="H1243">
        <v>0</v>
      </c>
      <c r="I1243">
        <v>1</v>
      </c>
      <c r="J1243" s="4" t="s">
        <v>54</v>
      </c>
      <c r="K1243" t="str">
        <f t="shared" si="65"/>
        <v>1+0</v>
      </c>
      <c r="L1243">
        <f>VLOOKUP(A1243,'ZONE 1 PREMIUM'!$A$3:$M$16,13,0)</f>
        <v>11</v>
      </c>
      <c r="M1243">
        <f>VLOOKUP(D1243,DROPDOWN!B:C,2,0)</f>
        <v>6</v>
      </c>
      <c r="N1243" t="str">
        <f t="shared" si="66"/>
        <v>CO3:DG16</v>
      </c>
      <c r="O1243" s="4">
        <f t="shared" ca="1" si="64"/>
        <v>65388.01</v>
      </c>
    </row>
    <row r="1244" spans="1:15">
      <c r="A1244" s="2" t="s">
        <v>19</v>
      </c>
      <c r="B1244" t="s">
        <v>41</v>
      </c>
      <c r="C1244" t="s">
        <v>42</v>
      </c>
      <c r="D1244">
        <v>10</v>
      </c>
      <c r="E1244" t="s">
        <v>26</v>
      </c>
      <c r="F1244">
        <v>1</v>
      </c>
      <c r="G1244">
        <v>1</v>
      </c>
      <c r="H1244">
        <v>0</v>
      </c>
      <c r="I1244">
        <v>1</v>
      </c>
      <c r="J1244" s="4" t="s">
        <v>54</v>
      </c>
      <c r="K1244" t="str">
        <f t="shared" si="65"/>
        <v>1+0</v>
      </c>
      <c r="L1244">
        <f>VLOOKUP(A1244,'ZONE 1 PREMIUM'!$A$3:$M$16,13,0)</f>
        <v>12</v>
      </c>
      <c r="M1244">
        <f>VLOOKUP(D1244,DROPDOWN!B:C,2,0)</f>
        <v>6</v>
      </c>
      <c r="N1244" t="str">
        <f t="shared" si="66"/>
        <v>CO3:DG16</v>
      </c>
      <c r="O1244" s="4">
        <f t="shared" ca="1" si="64"/>
        <v>83487.460000000006</v>
      </c>
    </row>
    <row r="1245" spans="1:15">
      <c r="A1245" s="2" t="s">
        <v>20</v>
      </c>
      <c r="B1245" t="s">
        <v>43</v>
      </c>
      <c r="C1245" t="s">
        <v>44</v>
      </c>
      <c r="D1245">
        <v>10</v>
      </c>
      <c r="E1245" t="s">
        <v>26</v>
      </c>
      <c r="F1245">
        <v>1</v>
      </c>
      <c r="G1245">
        <v>1</v>
      </c>
      <c r="H1245">
        <v>0</v>
      </c>
      <c r="I1245">
        <v>1</v>
      </c>
      <c r="J1245" s="4" t="s">
        <v>54</v>
      </c>
      <c r="K1245" t="str">
        <f t="shared" si="65"/>
        <v>1+0</v>
      </c>
      <c r="L1245">
        <f>VLOOKUP(A1245,'ZONE 1 PREMIUM'!$A$3:$M$16,13,0)</f>
        <v>13</v>
      </c>
      <c r="M1245">
        <f>VLOOKUP(D1245,DROPDOWN!B:C,2,0)</f>
        <v>6</v>
      </c>
      <c r="N1245" t="str">
        <f t="shared" si="66"/>
        <v>CO3:DG16</v>
      </c>
      <c r="O1245" s="4">
        <f t="shared" ca="1" si="64"/>
        <v>100230.95000000001</v>
      </c>
    </row>
    <row r="1246" spans="1:15">
      <c r="A1246" s="2" t="s">
        <v>21</v>
      </c>
      <c r="B1246" t="s">
        <v>22</v>
      </c>
      <c r="D1246">
        <v>10</v>
      </c>
      <c r="E1246" t="s">
        <v>26</v>
      </c>
      <c r="F1246">
        <v>1</v>
      </c>
      <c r="G1246">
        <v>1</v>
      </c>
      <c r="H1246">
        <v>0</v>
      </c>
      <c r="I1246">
        <v>1</v>
      </c>
      <c r="J1246" s="4" t="s">
        <v>54</v>
      </c>
      <c r="K1246" t="str">
        <f t="shared" si="65"/>
        <v>1+0</v>
      </c>
      <c r="L1246">
        <f>VLOOKUP(A1246,'ZONE 1 PREMIUM'!$A$3:$M$16,13,0)</f>
        <v>14</v>
      </c>
      <c r="M1246">
        <f>VLOOKUP(D1246,DROPDOWN!B:C,2,0)</f>
        <v>6</v>
      </c>
      <c r="N1246" t="str">
        <f t="shared" si="66"/>
        <v>CO3:DG16</v>
      </c>
      <c r="O1246" s="4">
        <f t="shared" ca="1" si="64"/>
        <v>134488.56</v>
      </c>
    </row>
    <row r="1247" spans="1:15">
      <c r="A1247" s="2" t="s">
        <v>11</v>
      </c>
      <c r="B1247" t="s">
        <v>45</v>
      </c>
      <c r="C1247" t="s">
        <v>25</v>
      </c>
      <c r="D1247">
        <v>10</v>
      </c>
      <c r="E1247" t="s">
        <v>46</v>
      </c>
      <c r="F1247">
        <v>2</v>
      </c>
      <c r="G1247">
        <v>1</v>
      </c>
      <c r="H1247">
        <v>1</v>
      </c>
      <c r="I1247">
        <v>1</v>
      </c>
      <c r="J1247" s="4" t="s">
        <v>54</v>
      </c>
      <c r="K1247" t="str">
        <f t="shared" si="65"/>
        <v>1+1</v>
      </c>
      <c r="L1247">
        <f>VLOOKUP(A1247,'ZONE 1 PREMIUM'!$A$4:$N$16,14,0)</f>
        <v>2</v>
      </c>
      <c r="M1247">
        <f>VLOOKUP(D1247,DROPDOWN!B:C,2,0)</f>
        <v>6</v>
      </c>
      <c r="N1247" t="str">
        <f t="shared" si="66"/>
        <v>CO20:DG31</v>
      </c>
      <c r="O1247" s="4">
        <f t="shared" ca="1" si="64"/>
        <v>14526.43</v>
      </c>
    </row>
    <row r="1248" spans="1:15">
      <c r="A1248" s="2" t="s">
        <v>12</v>
      </c>
      <c r="B1248" t="s">
        <v>27</v>
      </c>
      <c r="C1248" t="s">
        <v>28</v>
      </c>
      <c r="D1248">
        <v>10</v>
      </c>
      <c r="E1248" t="s">
        <v>46</v>
      </c>
      <c r="F1248">
        <v>2</v>
      </c>
      <c r="G1248">
        <v>1</v>
      </c>
      <c r="H1248">
        <v>1</v>
      </c>
      <c r="I1248">
        <v>1</v>
      </c>
      <c r="J1248" s="4" t="s">
        <v>54</v>
      </c>
      <c r="K1248" t="str">
        <f t="shared" si="65"/>
        <v>1+1</v>
      </c>
      <c r="L1248">
        <f>VLOOKUP(A1248,'ZONE 1 PREMIUM'!$A$4:$N$16,14,0)</f>
        <v>3</v>
      </c>
      <c r="M1248">
        <f>VLOOKUP(D1248,DROPDOWN!B:C,2,0)</f>
        <v>6</v>
      </c>
      <c r="N1248" t="str">
        <f t="shared" si="66"/>
        <v>CO20:DG31</v>
      </c>
      <c r="O1248" s="4">
        <f t="shared" ca="1" si="64"/>
        <v>16098.210000000001</v>
      </c>
    </row>
    <row r="1249" spans="1:15">
      <c r="A1249" s="2" t="s">
        <v>13</v>
      </c>
      <c r="B1249" t="s">
        <v>29</v>
      </c>
      <c r="C1249" t="s">
        <v>30</v>
      </c>
      <c r="D1249">
        <v>10</v>
      </c>
      <c r="E1249" t="s">
        <v>46</v>
      </c>
      <c r="F1249">
        <v>2</v>
      </c>
      <c r="G1249">
        <v>1</v>
      </c>
      <c r="H1249">
        <v>1</v>
      </c>
      <c r="I1249">
        <v>1</v>
      </c>
      <c r="J1249" s="4" t="s">
        <v>54</v>
      </c>
      <c r="K1249" t="str">
        <f t="shared" si="65"/>
        <v>1+1</v>
      </c>
      <c r="L1249">
        <f>VLOOKUP(A1249,'ZONE 1 PREMIUM'!$A$4:$N$16,14,0)</f>
        <v>4</v>
      </c>
      <c r="M1249">
        <f>VLOOKUP(D1249,DROPDOWN!B:C,2,0)</f>
        <v>6</v>
      </c>
      <c r="N1249" t="str">
        <f t="shared" si="66"/>
        <v>CO20:DG31</v>
      </c>
      <c r="O1249" s="4">
        <f t="shared" ca="1" si="64"/>
        <v>18596.490000000002</v>
      </c>
    </row>
    <row r="1250" spans="1:15">
      <c r="A1250" s="2" t="s">
        <v>14</v>
      </c>
      <c r="B1250" t="s">
        <v>31</v>
      </c>
      <c r="C1250" t="s">
        <v>32</v>
      </c>
      <c r="D1250">
        <v>10</v>
      </c>
      <c r="E1250" t="s">
        <v>46</v>
      </c>
      <c r="F1250">
        <v>2</v>
      </c>
      <c r="G1250">
        <v>1</v>
      </c>
      <c r="H1250">
        <v>1</v>
      </c>
      <c r="I1250">
        <v>1</v>
      </c>
      <c r="J1250" s="4" t="s">
        <v>54</v>
      </c>
      <c r="K1250" t="str">
        <f t="shared" si="65"/>
        <v>1+1</v>
      </c>
      <c r="L1250">
        <f>VLOOKUP(A1250,'ZONE 1 PREMIUM'!$A$4:$N$16,14,0)</f>
        <v>5</v>
      </c>
      <c r="M1250">
        <f>VLOOKUP(D1250,DROPDOWN!B:C,2,0)</f>
        <v>6</v>
      </c>
      <c r="N1250" t="str">
        <f t="shared" si="66"/>
        <v>CO20:DG31</v>
      </c>
      <c r="O1250" s="4">
        <f t="shared" ca="1" si="64"/>
        <v>21880.66</v>
      </c>
    </row>
    <row r="1251" spans="1:15">
      <c r="A1251" s="2" t="s">
        <v>15</v>
      </c>
      <c r="B1251" t="s">
        <v>33</v>
      </c>
      <c r="C1251" t="s">
        <v>34</v>
      </c>
      <c r="D1251">
        <v>10</v>
      </c>
      <c r="E1251" t="s">
        <v>46</v>
      </c>
      <c r="F1251">
        <v>2</v>
      </c>
      <c r="G1251">
        <v>1</v>
      </c>
      <c r="H1251">
        <v>1</v>
      </c>
      <c r="I1251">
        <v>1</v>
      </c>
      <c r="J1251" s="4" t="s">
        <v>54</v>
      </c>
      <c r="K1251" t="str">
        <f t="shared" si="65"/>
        <v>1+1</v>
      </c>
      <c r="L1251">
        <f>VLOOKUP(A1251,'ZONE 1 PREMIUM'!$A$4:$N$16,14,0)</f>
        <v>6</v>
      </c>
      <c r="M1251">
        <f>VLOOKUP(D1251,DROPDOWN!B:C,2,0)</f>
        <v>6</v>
      </c>
      <c r="N1251" t="str">
        <f t="shared" si="66"/>
        <v>CO20:DG31</v>
      </c>
      <c r="O1251" s="4">
        <f t="shared" ca="1" si="64"/>
        <v>28096.93</v>
      </c>
    </row>
    <row r="1252" spans="1:15">
      <c r="A1252" s="2" t="s">
        <v>16</v>
      </c>
      <c r="B1252" t="s">
        <v>35</v>
      </c>
      <c r="C1252" t="s">
        <v>36</v>
      </c>
      <c r="D1252">
        <v>10</v>
      </c>
      <c r="E1252" t="s">
        <v>46</v>
      </c>
      <c r="F1252">
        <v>2</v>
      </c>
      <c r="G1252">
        <v>1</v>
      </c>
      <c r="H1252">
        <v>1</v>
      </c>
      <c r="I1252">
        <v>1</v>
      </c>
      <c r="J1252" s="4" t="s">
        <v>54</v>
      </c>
      <c r="K1252" t="str">
        <f t="shared" si="65"/>
        <v>1+1</v>
      </c>
      <c r="L1252">
        <f>VLOOKUP(A1252,'ZONE 1 PREMIUM'!$A$4:$N$16,14,0)</f>
        <v>7</v>
      </c>
      <c r="M1252">
        <f>VLOOKUP(D1252,DROPDOWN!B:C,2,0)</f>
        <v>6</v>
      </c>
      <c r="N1252" t="str">
        <f t="shared" si="66"/>
        <v>CO20:DG31</v>
      </c>
      <c r="O1252" s="4">
        <f t="shared" ca="1" si="64"/>
        <v>36471.4</v>
      </c>
    </row>
    <row r="1253" spans="1:15">
      <c r="A1253" s="2" t="s">
        <v>17</v>
      </c>
      <c r="B1253" t="s">
        <v>37</v>
      </c>
      <c r="C1253" t="s">
        <v>38</v>
      </c>
      <c r="D1253">
        <v>10</v>
      </c>
      <c r="E1253" t="s">
        <v>46</v>
      </c>
      <c r="F1253">
        <v>2</v>
      </c>
      <c r="G1253">
        <v>1</v>
      </c>
      <c r="H1253">
        <v>1</v>
      </c>
      <c r="I1253">
        <v>1</v>
      </c>
      <c r="J1253" s="4" t="s">
        <v>54</v>
      </c>
      <c r="K1253" t="str">
        <f t="shared" si="65"/>
        <v>1+1</v>
      </c>
      <c r="L1253">
        <f>VLOOKUP(A1253,'ZONE 1 PREMIUM'!$A$4:$N$16,14,0)</f>
        <v>8</v>
      </c>
      <c r="M1253">
        <f>VLOOKUP(D1253,DROPDOWN!B:C,2,0)</f>
        <v>6</v>
      </c>
      <c r="N1253" t="str">
        <f t="shared" si="66"/>
        <v>CO20:DG31</v>
      </c>
      <c r="O1253" s="4">
        <f t="shared" ca="1" si="64"/>
        <v>48284.820000000007</v>
      </c>
    </row>
    <row r="1254" spans="1:15">
      <c r="A1254" s="2" t="s">
        <v>18</v>
      </c>
      <c r="B1254" t="s">
        <v>39</v>
      </c>
      <c r="C1254" t="s">
        <v>40</v>
      </c>
      <c r="D1254">
        <v>10</v>
      </c>
      <c r="E1254" t="s">
        <v>46</v>
      </c>
      <c r="F1254">
        <v>2</v>
      </c>
      <c r="G1254">
        <v>1</v>
      </c>
      <c r="H1254">
        <v>1</v>
      </c>
      <c r="I1254">
        <v>1</v>
      </c>
      <c r="J1254" s="4" t="s">
        <v>54</v>
      </c>
      <c r="K1254" t="str">
        <f t="shared" si="65"/>
        <v>1+1</v>
      </c>
      <c r="L1254">
        <f>VLOOKUP(A1254,'ZONE 1 PREMIUM'!$A$4:$N$16,14,0)</f>
        <v>9</v>
      </c>
      <c r="M1254">
        <f>VLOOKUP(D1254,DROPDOWN!B:C,2,0)</f>
        <v>6</v>
      </c>
      <c r="N1254" t="str">
        <f t="shared" si="66"/>
        <v>CO20:DG31</v>
      </c>
      <c r="O1254" s="4">
        <f t="shared" ca="1" si="64"/>
        <v>67389.25</v>
      </c>
    </row>
    <row r="1255" spans="1:15">
      <c r="A1255" s="2" t="s">
        <v>19</v>
      </c>
      <c r="B1255" t="s">
        <v>41</v>
      </c>
      <c r="C1255" t="s">
        <v>42</v>
      </c>
      <c r="D1255">
        <v>10</v>
      </c>
      <c r="E1255" t="s">
        <v>46</v>
      </c>
      <c r="F1255">
        <v>2</v>
      </c>
      <c r="G1255">
        <v>1</v>
      </c>
      <c r="H1255">
        <v>1</v>
      </c>
      <c r="I1255">
        <v>1</v>
      </c>
      <c r="J1255" s="4" t="s">
        <v>54</v>
      </c>
      <c r="K1255" t="str">
        <f t="shared" si="65"/>
        <v>1+1</v>
      </c>
      <c r="L1255">
        <f>VLOOKUP(A1255,'ZONE 1 PREMIUM'!$A$4:$N$16,14,0)</f>
        <v>10</v>
      </c>
      <c r="M1255">
        <f>VLOOKUP(D1255,DROPDOWN!B:C,2,0)</f>
        <v>6</v>
      </c>
      <c r="N1255" t="str">
        <f t="shared" si="66"/>
        <v>CO20:DG31</v>
      </c>
      <c r="O1255" s="4">
        <f t="shared" ca="1" si="64"/>
        <v>85386.240000000005</v>
      </c>
    </row>
    <row r="1256" spans="1:15">
      <c r="A1256" s="2" t="s">
        <v>20</v>
      </c>
      <c r="B1256" t="s">
        <v>43</v>
      </c>
      <c r="C1256" t="s">
        <v>44</v>
      </c>
      <c r="D1256">
        <v>10</v>
      </c>
      <c r="E1256" t="s">
        <v>46</v>
      </c>
      <c r="F1256">
        <v>2</v>
      </c>
      <c r="G1256">
        <v>1</v>
      </c>
      <c r="H1256">
        <v>1</v>
      </c>
      <c r="I1256">
        <v>1</v>
      </c>
      <c r="J1256" s="4" t="s">
        <v>54</v>
      </c>
      <c r="K1256" t="str">
        <f t="shared" si="65"/>
        <v>1+1</v>
      </c>
      <c r="L1256">
        <f>VLOOKUP(A1256,'ZONE 1 PREMIUM'!$A$4:$N$16,14,0)</f>
        <v>11</v>
      </c>
      <c r="M1256">
        <f>VLOOKUP(D1256,DROPDOWN!B:C,2,0)</f>
        <v>6</v>
      </c>
      <c r="N1256" t="str">
        <f t="shared" si="66"/>
        <v>CO20:DG31</v>
      </c>
      <c r="O1256" s="4">
        <f t="shared" ca="1" si="64"/>
        <v>100692.02</v>
      </c>
    </row>
    <row r="1257" spans="1:15">
      <c r="A1257" s="2" t="s">
        <v>21</v>
      </c>
      <c r="B1257" t="s">
        <v>22</v>
      </c>
      <c r="D1257">
        <v>10</v>
      </c>
      <c r="E1257" t="s">
        <v>46</v>
      </c>
      <c r="F1257">
        <v>2</v>
      </c>
      <c r="G1257">
        <v>1</v>
      </c>
      <c r="H1257">
        <v>1</v>
      </c>
      <c r="I1257">
        <v>1</v>
      </c>
      <c r="J1257" s="4" t="s">
        <v>54</v>
      </c>
      <c r="K1257" t="str">
        <f t="shared" si="65"/>
        <v>1+1</v>
      </c>
      <c r="L1257">
        <f>VLOOKUP(A1257,'ZONE 1 PREMIUM'!$A$4:$N$16,14,0)</f>
        <v>12</v>
      </c>
      <c r="M1257">
        <f>VLOOKUP(D1257,DROPDOWN!B:C,2,0)</f>
        <v>6</v>
      </c>
      <c r="N1257" t="str">
        <f t="shared" si="66"/>
        <v>CO20:DG31</v>
      </c>
      <c r="O1257" s="4">
        <f t="shared" ca="1" si="64"/>
        <v>136619.51</v>
      </c>
    </row>
    <row r="1258" spans="1:15">
      <c r="A1258" s="2" t="s">
        <v>11</v>
      </c>
      <c r="B1258" t="s">
        <v>45</v>
      </c>
      <c r="C1258" t="s">
        <v>25</v>
      </c>
      <c r="D1258">
        <v>10</v>
      </c>
      <c r="E1258" t="s">
        <v>46</v>
      </c>
      <c r="F1258">
        <v>3</v>
      </c>
      <c r="G1258">
        <v>1</v>
      </c>
      <c r="H1258">
        <v>2</v>
      </c>
      <c r="I1258">
        <v>1</v>
      </c>
      <c r="J1258" s="4" t="s">
        <v>54</v>
      </c>
      <c r="K1258" t="str">
        <f t="shared" si="65"/>
        <v>1+2</v>
      </c>
      <c r="L1258">
        <f>VLOOKUP(A1258,'ZONE 1 PREMIUM'!$A$4:$N$16,14,0)</f>
        <v>2</v>
      </c>
      <c r="M1258">
        <f>VLOOKUP(D1258,DROPDOWN!B:C,2,0)</f>
        <v>6</v>
      </c>
      <c r="N1258" t="str">
        <f t="shared" si="66"/>
        <v>CO35:DG46</v>
      </c>
      <c r="O1258" s="4">
        <f t="shared" ca="1" si="64"/>
        <v>18737.100000000002</v>
      </c>
    </row>
    <row r="1259" spans="1:15">
      <c r="A1259" s="2" t="s">
        <v>12</v>
      </c>
      <c r="B1259" t="s">
        <v>27</v>
      </c>
      <c r="C1259" t="s">
        <v>28</v>
      </c>
      <c r="D1259">
        <v>10</v>
      </c>
      <c r="E1259" t="s">
        <v>46</v>
      </c>
      <c r="F1259">
        <v>3</v>
      </c>
      <c r="G1259">
        <v>1</v>
      </c>
      <c r="H1259">
        <v>2</v>
      </c>
      <c r="I1259">
        <v>1</v>
      </c>
      <c r="J1259" s="4" t="s">
        <v>54</v>
      </c>
      <c r="K1259" t="str">
        <f t="shared" si="65"/>
        <v>1+2</v>
      </c>
      <c r="L1259">
        <f>VLOOKUP(A1259,'ZONE 1 PREMIUM'!$A$4:$N$16,14,0)</f>
        <v>3</v>
      </c>
      <c r="M1259">
        <f>VLOOKUP(D1259,DROPDOWN!B:C,2,0)</f>
        <v>6</v>
      </c>
      <c r="N1259" t="str">
        <f t="shared" si="66"/>
        <v>CO35:DG46</v>
      </c>
      <c r="O1259" s="4">
        <f t="shared" ca="1" si="64"/>
        <v>20153.010000000002</v>
      </c>
    </row>
    <row r="1260" spans="1:15">
      <c r="A1260" s="2" t="s">
        <v>13</v>
      </c>
      <c r="B1260" t="s">
        <v>29</v>
      </c>
      <c r="C1260" t="s">
        <v>30</v>
      </c>
      <c r="D1260">
        <v>10</v>
      </c>
      <c r="E1260" t="s">
        <v>46</v>
      </c>
      <c r="F1260">
        <v>3</v>
      </c>
      <c r="G1260">
        <v>1</v>
      </c>
      <c r="H1260">
        <v>2</v>
      </c>
      <c r="I1260">
        <v>1</v>
      </c>
      <c r="J1260" s="4" t="s">
        <v>54</v>
      </c>
      <c r="K1260" t="str">
        <f t="shared" si="65"/>
        <v>1+2</v>
      </c>
      <c r="L1260">
        <f>VLOOKUP(A1260,'ZONE 1 PREMIUM'!$A$4:$N$16,14,0)</f>
        <v>4</v>
      </c>
      <c r="M1260">
        <f>VLOOKUP(D1260,DROPDOWN!B:C,2,0)</f>
        <v>6</v>
      </c>
      <c r="N1260" t="str">
        <f t="shared" si="66"/>
        <v>CO35:DG46</v>
      </c>
      <c r="O1260" s="4">
        <f t="shared" ca="1" si="64"/>
        <v>23295.480000000003</v>
      </c>
    </row>
    <row r="1261" spans="1:15">
      <c r="A1261" s="2" t="s">
        <v>14</v>
      </c>
      <c r="B1261" t="s">
        <v>31</v>
      </c>
      <c r="C1261" t="s">
        <v>32</v>
      </c>
      <c r="D1261">
        <v>10</v>
      </c>
      <c r="E1261" t="s">
        <v>46</v>
      </c>
      <c r="F1261">
        <v>3</v>
      </c>
      <c r="G1261">
        <v>1</v>
      </c>
      <c r="H1261">
        <v>2</v>
      </c>
      <c r="I1261">
        <v>1</v>
      </c>
      <c r="J1261" s="4" t="s">
        <v>54</v>
      </c>
      <c r="K1261" t="str">
        <f t="shared" si="65"/>
        <v>1+2</v>
      </c>
      <c r="L1261">
        <f>VLOOKUP(A1261,'ZONE 1 PREMIUM'!$A$4:$N$16,14,0)</f>
        <v>5</v>
      </c>
      <c r="M1261">
        <f>VLOOKUP(D1261,DROPDOWN!B:C,2,0)</f>
        <v>6</v>
      </c>
      <c r="N1261" t="str">
        <f t="shared" si="66"/>
        <v>CO35:DG46</v>
      </c>
      <c r="O1261" s="4">
        <f t="shared" ca="1" si="64"/>
        <v>26137.11</v>
      </c>
    </row>
    <row r="1262" spans="1:15">
      <c r="A1262" s="2" t="s">
        <v>15</v>
      </c>
      <c r="B1262" t="s">
        <v>33</v>
      </c>
      <c r="C1262" t="s">
        <v>34</v>
      </c>
      <c r="D1262">
        <v>10</v>
      </c>
      <c r="E1262" t="s">
        <v>46</v>
      </c>
      <c r="F1262">
        <v>3</v>
      </c>
      <c r="G1262">
        <v>1</v>
      </c>
      <c r="H1262">
        <v>2</v>
      </c>
      <c r="I1262">
        <v>1</v>
      </c>
      <c r="J1262" s="4" t="s">
        <v>54</v>
      </c>
      <c r="K1262" t="str">
        <f t="shared" si="65"/>
        <v>1+2</v>
      </c>
      <c r="L1262">
        <f>VLOOKUP(A1262,'ZONE 1 PREMIUM'!$A$4:$N$16,14,0)</f>
        <v>6</v>
      </c>
      <c r="M1262">
        <f>VLOOKUP(D1262,DROPDOWN!B:C,2,0)</f>
        <v>6</v>
      </c>
      <c r="N1262" t="str">
        <f t="shared" si="66"/>
        <v>CO35:DG46</v>
      </c>
      <c r="O1262" s="4">
        <f t="shared" ca="1" si="64"/>
        <v>33813.980000000003</v>
      </c>
    </row>
    <row r="1263" spans="1:15">
      <c r="A1263" s="2" t="s">
        <v>16</v>
      </c>
      <c r="B1263" t="s">
        <v>35</v>
      </c>
      <c r="C1263" t="s">
        <v>36</v>
      </c>
      <c r="D1263">
        <v>10</v>
      </c>
      <c r="E1263" t="s">
        <v>46</v>
      </c>
      <c r="F1263">
        <v>3</v>
      </c>
      <c r="G1263">
        <v>1</v>
      </c>
      <c r="H1263">
        <v>2</v>
      </c>
      <c r="I1263">
        <v>1</v>
      </c>
      <c r="J1263" s="4" t="s">
        <v>54</v>
      </c>
      <c r="K1263" t="str">
        <f t="shared" si="65"/>
        <v>1+2</v>
      </c>
      <c r="L1263">
        <f>VLOOKUP(A1263,'ZONE 1 PREMIUM'!$A$4:$N$16,14,0)</f>
        <v>7</v>
      </c>
      <c r="M1263">
        <f>VLOOKUP(D1263,DROPDOWN!B:C,2,0)</f>
        <v>6</v>
      </c>
      <c r="N1263" t="str">
        <f t="shared" si="66"/>
        <v>CO35:DG46</v>
      </c>
      <c r="O1263" s="4">
        <f t="shared" ca="1" si="64"/>
        <v>43557.490000000005</v>
      </c>
    </row>
    <row r="1264" spans="1:15">
      <c r="A1264" s="2" t="s">
        <v>17</v>
      </c>
      <c r="B1264" t="s">
        <v>37</v>
      </c>
      <c r="C1264" t="s">
        <v>38</v>
      </c>
      <c r="D1264">
        <v>10</v>
      </c>
      <c r="E1264" t="s">
        <v>46</v>
      </c>
      <c r="F1264">
        <v>3</v>
      </c>
      <c r="G1264">
        <v>1</v>
      </c>
      <c r="H1264">
        <v>2</v>
      </c>
      <c r="I1264">
        <v>1</v>
      </c>
      <c r="J1264" s="4" t="s">
        <v>54</v>
      </c>
      <c r="K1264" t="str">
        <f t="shared" si="65"/>
        <v>1+2</v>
      </c>
      <c r="L1264">
        <f>VLOOKUP(A1264,'ZONE 1 PREMIUM'!$A$4:$N$16,14,0)</f>
        <v>8</v>
      </c>
      <c r="M1264">
        <f>VLOOKUP(D1264,DROPDOWN!B:C,2,0)</f>
        <v>6</v>
      </c>
      <c r="N1264" t="str">
        <f t="shared" si="66"/>
        <v>CO35:DG46</v>
      </c>
      <c r="O1264" s="4">
        <f t="shared" ca="1" si="64"/>
        <v>55918.090000000004</v>
      </c>
    </row>
    <row r="1265" spans="1:15">
      <c r="A1265" s="2" t="s">
        <v>18</v>
      </c>
      <c r="B1265" t="s">
        <v>39</v>
      </c>
      <c r="C1265" t="s">
        <v>40</v>
      </c>
      <c r="D1265">
        <v>10</v>
      </c>
      <c r="E1265" t="s">
        <v>46</v>
      </c>
      <c r="F1265">
        <v>3</v>
      </c>
      <c r="G1265">
        <v>1</v>
      </c>
      <c r="H1265">
        <v>2</v>
      </c>
      <c r="I1265">
        <v>1</v>
      </c>
      <c r="J1265" s="4" t="s">
        <v>54</v>
      </c>
      <c r="K1265" t="str">
        <f t="shared" si="65"/>
        <v>1+2</v>
      </c>
      <c r="L1265">
        <f>VLOOKUP(A1265,'ZONE 1 PREMIUM'!$A$4:$N$16,14,0)</f>
        <v>9</v>
      </c>
      <c r="M1265">
        <f>VLOOKUP(D1265,DROPDOWN!B:C,2,0)</f>
        <v>6</v>
      </c>
      <c r="N1265" t="str">
        <f t="shared" si="66"/>
        <v>CO35:DG46</v>
      </c>
      <c r="O1265" s="4">
        <f t="shared" ca="1" si="64"/>
        <v>73516.14</v>
      </c>
    </row>
    <row r="1266" spans="1:15">
      <c r="A1266" s="2" t="s">
        <v>19</v>
      </c>
      <c r="B1266" t="s">
        <v>41</v>
      </c>
      <c r="C1266" t="s">
        <v>42</v>
      </c>
      <c r="D1266">
        <v>10</v>
      </c>
      <c r="E1266" t="s">
        <v>46</v>
      </c>
      <c r="F1266">
        <v>3</v>
      </c>
      <c r="G1266">
        <v>1</v>
      </c>
      <c r="H1266">
        <v>2</v>
      </c>
      <c r="I1266">
        <v>1</v>
      </c>
      <c r="J1266" s="4" t="s">
        <v>54</v>
      </c>
      <c r="K1266" t="str">
        <f t="shared" si="65"/>
        <v>1+2</v>
      </c>
      <c r="L1266">
        <f>VLOOKUP(A1266,'ZONE 1 PREMIUM'!$A$4:$N$16,14,0)</f>
        <v>10</v>
      </c>
      <c r="M1266">
        <f>VLOOKUP(D1266,DROPDOWN!B:C,2,0)</f>
        <v>6</v>
      </c>
      <c r="N1266" t="str">
        <f t="shared" si="66"/>
        <v>CO35:DG46</v>
      </c>
      <c r="O1266" s="4">
        <f t="shared" ca="1" si="64"/>
        <v>92972.640000000014</v>
      </c>
    </row>
    <row r="1267" spans="1:15">
      <c r="A1267" s="2" t="s">
        <v>20</v>
      </c>
      <c r="B1267" t="s">
        <v>43</v>
      </c>
      <c r="C1267" t="s">
        <v>44</v>
      </c>
      <c r="D1267">
        <v>10</v>
      </c>
      <c r="E1267" t="s">
        <v>46</v>
      </c>
      <c r="F1267">
        <v>3</v>
      </c>
      <c r="G1267">
        <v>1</v>
      </c>
      <c r="H1267">
        <v>2</v>
      </c>
      <c r="I1267">
        <v>1</v>
      </c>
      <c r="J1267" s="4" t="s">
        <v>54</v>
      </c>
      <c r="K1267" t="str">
        <f t="shared" si="65"/>
        <v>1+2</v>
      </c>
      <c r="L1267">
        <f>VLOOKUP(A1267,'ZONE 1 PREMIUM'!$A$4:$N$16,14,0)</f>
        <v>11</v>
      </c>
      <c r="M1267">
        <f>VLOOKUP(D1267,DROPDOWN!B:C,2,0)</f>
        <v>6</v>
      </c>
      <c r="N1267" t="str">
        <f t="shared" si="66"/>
        <v>CO35:DG46</v>
      </c>
      <c r="O1267" s="4">
        <f t="shared" ca="1" si="64"/>
        <v>109716.13</v>
      </c>
    </row>
    <row r="1268" spans="1:15">
      <c r="A1268" s="2" t="s">
        <v>21</v>
      </c>
      <c r="B1268" t="s">
        <v>22</v>
      </c>
      <c r="D1268">
        <v>10</v>
      </c>
      <c r="E1268" t="s">
        <v>46</v>
      </c>
      <c r="F1268">
        <v>3</v>
      </c>
      <c r="G1268">
        <v>1</v>
      </c>
      <c r="H1268">
        <v>2</v>
      </c>
      <c r="I1268">
        <v>1</v>
      </c>
      <c r="J1268" s="4" t="s">
        <v>54</v>
      </c>
      <c r="K1268" t="str">
        <f t="shared" si="65"/>
        <v>1+2</v>
      </c>
      <c r="L1268">
        <f>VLOOKUP(A1268,'ZONE 1 PREMIUM'!$A$4:$N$16,14,0)</f>
        <v>12</v>
      </c>
      <c r="M1268">
        <f>VLOOKUP(D1268,DROPDOWN!B:C,2,0)</f>
        <v>6</v>
      </c>
      <c r="N1268" t="str">
        <f t="shared" si="66"/>
        <v>CO35:DG46</v>
      </c>
      <c r="O1268" s="4">
        <f t="shared" ca="1" si="64"/>
        <v>143261.97</v>
      </c>
    </row>
    <row r="1269" spans="1:15">
      <c r="A1269" s="2" t="s">
        <v>11</v>
      </c>
      <c r="B1269" t="s">
        <v>45</v>
      </c>
      <c r="C1269" t="s">
        <v>25</v>
      </c>
      <c r="D1269">
        <v>10</v>
      </c>
      <c r="E1269" t="s">
        <v>46</v>
      </c>
      <c r="F1269">
        <v>4</v>
      </c>
      <c r="G1269">
        <v>1</v>
      </c>
      <c r="H1269">
        <v>3</v>
      </c>
      <c r="I1269">
        <v>1</v>
      </c>
      <c r="J1269" s="4" t="s">
        <v>54</v>
      </c>
      <c r="K1269" t="str">
        <f t="shared" si="65"/>
        <v>1+3</v>
      </c>
      <c r="L1269">
        <f>VLOOKUP(A1269,'ZONE 1 PREMIUM'!$A$4:$N$16,14,0)</f>
        <v>2</v>
      </c>
      <c r="M1269">
        <f>VLOOKUP(D1269,DROPDOWN!B:C,2,0)</f>
        <v>6</v>
      </c>
      <c r="N1269" t="str">
        <f t="shared" si="66"/>
        <v>CO50:DG61</v>
      </c>
      <c r="O1269" s="4">
        <f t="shared" ca="1" si="64"/>
        <v>22947.77</v>
      </c>
    </row>
    <row r="1270" spans="1:15">
      <c r="A1270" s="2" t="s">
        <v>12</v>
      </c>
      <c r="B1270" t="s">
        <v>27</v>
      </c>
      <c r="C1270" t="s">
        <v>28</v>
      </c>
      <c r="D1270">
        <v>10</v>
      </c>
      <c r="E1270" t="s">
        <v>46</v>
      </c>
      <c r="F1270">
        <v>4</v>
      </c>
      <c r="G1270">
        <v>1</v>
      </c>
      <c r="H1270">
        <v>3</v>
      </c>
      <c r="I1270">
        <v>1</v>
      </c>
      <c r="J1270" s="4" t="s">
        <v>54</v>
      </c>
      <c r="K1270" t="str">
        <f t="shared" si="65"/>
        <v>1+3</v>
      </c>
      <c r="L1270">
        <f>VLOOKUP(A1270,'ZONE 1 PREMIUM'!$A$4:$N$16,14,0)</f>
        <v>3</v>
      </c>
      <c r="M1270">
        <f>VLOOKUP(D1270,DROPDOWN!B:C,2,0)</f>
        <v>6</v>
      </c>
      <c r="N1270" t="str">
        <f t="shared" si="66"/>
        <v>CO50:DG61</v>
      </c>
      <c r="O1270" s="4">
        <f t="shared" ca="1" si="64"/>
        <v>24288.47</v>
      </c>
    </row>
    <row r="1271" spans="1:15">
      <c r="A1271" s="2" t="s">
        <v>13</v>
      </c>
      <c r="B1271" t="s">
        <v>29</v>
      </c>
      <c r="C1271" t="s">
        <v>30</v>
      </c>
      <c r="D1271">
        <v>10</v>
      </c>
      <c r="E1271" t="s">
        <v>46</v>
      </c>
      <c r="F1271">
        <v>4</v>
      </c>
      <c r="G1271">
        <v>1</v>
      </c>
      <c r="H1271">
        <v>3</v>
      </c>
      <c r="I1271">
        <v>1</v>
      </c>
      <c r="J1271" s="4" t="s">
        <v>54</v>
      </c>
      <c r="K1271" t="str">
        <f t="shared" si="65"/>
        <v>1+3</v>
      </c>
      <c r="L1271">
        <f>VLOOKUP(A1271,'ZONE 1 PREMIUM'!$A$4:$N$16,14,0)</f>
        <v>4</v>
      </c>
      <c r="M1271">
        <f>VLOOKUP(D1271,DROPDOWN!B:C,2,0)</f>
        <v>6</v>
      </c>
      <c r="N1271" t="str">
        <f t="shared" si="66"/>
        <v>CO50:DG61</v>
      </c>
      <c r="O1271" s="4">
        <f t="shared" ca="1" si="64"/>
        <v>28086.030000000002</v>
      </c>
    </row>
    <row r="1272" spans="1:15">
      <c r="A1272" s="2" t="s">
        <v>14</v>
      </c>
      <c r="B1272" t="s">
        <v>31</v>
      </c>
      <c r="C1272" t="s">
        <v>32</v>
      </c>
      <c r="D1272">
        <v>10</v>
      </c>
      <c r="E1272" t="s">
        <v>46</v>
      </c>
      <c r="F1272">
        <v>4</v>
      </c>
      <c r="G1272">
        <v>1</v>
      </c>
      <c r="H1272">
        <v>3</v>
      </c>
      <c r="I1272">
        <v>1</v>
      </c>
      <c r="J1272" s="4" t="s">
        <v>54</v>
      </c>
      <c r="K1272" t="str">
        <f t="shared" si="65"/>
        <v>1+3</v>
      </c>
      <c r="L1272">
        <f>VLOOKUP(A1272,'ZONE 1 PREMIUM'!$A$4:$N$16,14,0)</f>
        <v>5</v>
      </c>
      <c r="M1272">
        <f>VLOOKUP(D1272,DROPDOWN!B:C,2,0)</f>
        <v>6</v>
      </c>
      <c r="N1272" t="str">
        <f t="shared" si="66"/>
        <v>CO50:DG61</v>
      </c>
      <c r="O1272" s="4">
        <f t="shared" ca="1" si="64"/>
        <v>31233.95</v>
      </c>
    </row>
    <row r="1273" spans="1:15">
      <c r="A1273" s="2" t="s">
        <v>15</v>
      </c>
      <c r="B1273" t="s">
        <v>33</v>
      </c>
      <c r="C1273" t="s">
        <v>34</v>
      </c>
      <c r="D1273">
        <v>10</v>
      </c>
      <c r="E1273" t="s">
        <v>46</v>
      </c>
      <c r="F1273">
        <v>4</v>
      </c>
      <c r="G1273">
        <v>1</v>
      </c>
      <c r="H1273">
        <v>3</v>
      </c>
      <c r="I1273">
        <v>1</v>
      </c>
      <c r="J1273" s="4" t="s">
        <v>54</v>
      </c>
      <c r="K1273" t="str">
        <f t="shared" si="65"/>
        <v>1+3</v>
      </c>
      <c r="L1273">
        <f>VLOOKUP(A1273,'ZONE 1 PREMIUM'!$A$4:$N$16,14,0)</f>
        <v>6</v>
      </c>
      <c r="M1273">
        <f>VLOOKUP(D1273,DROPDOWN!B:C,2,0)</f>
        <v>6</v>
      </c>
      <c r="N1273" t="str">
        <f t="shared" si="66"/>
        <v>CO50:DG61</v>
      </c>
      <c r="O1273" s="4">
        <f t="shared" ca="1" si="64"/>
        <v>39531.030000000006</v>
      </c>
    </row>
    <row r="1274" spans="1:15">
      <c r="A1274" s="2" t="s">
        <v>16</v>
      </c>
      <c r="B1274" t="s">
        <v>35</v>
      </c>
      <c r="C1274" t="s">
        <v>36</v>
      </c>
      <c r="D1274">
        <v>10</v>
      </c>
      <c r="E1274" t="s">
        <v>46</v>
      </c>
      <c r="F1274">
        <v>4</v>
      </c>
      <c r="G1274">
        <v>1</v>
      </c>
      <c r="H1274">
        <v>3</v>
      </c>
      <c r="I1274">
        <v>1</v>
      </c>
      <c r="J1274" s="4" t="s">
        <v>54</v>
      </c>
      <c r="K1274" t="str">
        <f t="shared" si="65"/>
        <v>1+3</v>
      </c>
      <c r="L1274">
        <f>VLOOKUP(A1274,'ZONE 1 PREMIUM'!$A$4:$N$16,14,0)</f>
        <v>7</v>
      </c>
      <c r="M1274">
        <f>VLOOKUP(D1274,DROPDOWN!B:C,2,0)</f>
        <v>6</v>
      </c>
      <c r="N1274" t="str">
        <f t="shared" si="66"/>
        <v>CO50:DG61</v>
      </c>
      <c r="O1274" s="4">
        <f t="shared" ca="1" si="64"/>
        <v>49883.850000000006</v>
      </c>
    </row>
    <row r="1275" spans="1:15">
      <c r="A1275" s="2" t="s">
        <v>17</v>
      </c>
      <c r="B1275" t="s">
        <v>37</v>
      </c>
      <c r="C1275" t="s">
        <v>38</v>
      </c>
      <c r="D1275">
        <v>10</v>
      </c>
      <c r="E1275" t="s">
        <v>46</v>
      </c>
      <c r="F1275">
        <v>4</v>
      </c>
      <c r="G1275">
        <v>1</v>
      </c>
      <c r="H1275">
        <v>3</v>
      </c>
      <c r="I1275">
        <v>1</v>
      </c>
      <c r="J1275" s="4" t="s">
        <v>54</v>
      </c>
      <c r="K1275" t="str">
        <f t="shared" si="65"/>
        <v>1+3</v>
      </c>
      <c r="L1275">
        <f>VLOOKUP(A1275,'ZONE 1 PREMIUM'!$A$4:$N$16,14,0)</f>
        <v>8</v>
      </c>
      <c r="M1275">
        <f>VLOOKUP(D1275,DROPDOWN!B:C,2,0)</f>
        <v>6</v>
      </c>
      <c r="N1275" t="str">
        <f t="shared" si="66"/>
        <v>CO50:DG61</v>
      </c>
      <c r="O1275" s="4">
        <f t="shared" ca="1" si="64"/>
        <v>61486.9</v>
      </c>
    </row>
    <row r="1276" spans="1:15">
      <c r="A1276" s="2" t="s">
        <v>18</v>
      </c>
      <c r="B1276" t="s">
        <v>39</v>
      </c>
      <c r="C1276" t="s">
        <v>40</v>
      </c>
      <c r="D1276">
        <v>10</v>
      </c>
      <c r="E1276" t="s">
        <v>46</v>
      </c>
      <c r="F1276">
        <v>4</v>
      </c>
      <c r="G1276">
        <v>1</v>
      </c>
      <c r="H1276">
        <v>3</v>
      </c>
      <c r="I1276">
        <v>1</v>
      </c>
      <c r="J1276" s="4" t="s">
        <v>54</v>
      </c>
      <c r="K1276" t="str">
        <f t="shared" si="65"/>
        <v>1+3</v>
      </c>
      <c r="L1276">
        <f>VLOOKUP(A1276,'ZONE 1 PREMIUM'!$A$4:$N$16,14,0)</f>
        <v>9</v>
      </c>
      <c r="M1276">
        <f>VLOOKUP(D1276,DROPDOWN!B:C,2,0)</f>
        <v>6</v>
      </c>
      <c r="N1276" t="str">
        <f t="shared" si="66"/>
        <v>CO50:DG61</v>
      </c>
      <c r="O1276" s="4">
        <f t="shared" ca="1" si="64"/>
        <v>79660.47</v>
      </c>
    </row>
    <row r="1277" spans="1:15">
      <c r="A1277" s="2" t="s">
        <v>19</v>
      </c>
      <c r="B1277" t="s">
        <v>41</v>
      </c>
      <c r="C1277" t="s">
        <v>42</v>
      </c>
      <c r="D1277">
        <v>10</v>
      </c>
      <c r="E1277" t="s">
        <v>46</v>
      </c>
      <c r="F1277">
        <v>4</v>
      </c>
      <c r="G1277">
        <v>1</v>
      </c>
      <c r="H1277">
        <v>3</v>
      </c>
      <c r="I1277">
        <v>1</v>
      </c>
      <c r="J1277" s="4" t="s">
        <v>54</v>
      </c>
      <c r="K1277" t="str">
        <f t="shared" si="65"/>
        <v>1+3</v>
      </c>
      <c r="L1277">
        <f>VLOOKUP(A1277,'ZONE 1 PREMIUM'!$A$4:$N$16,14,0)</f>
        <v>10</v>
      </c>
      <c r="M1277">
        <f>VLOOKUP(D1277,DROPDOWN!B:C,2,0)</f>
        <v>6</v>
      </c>
      <c r="N1277" t="str">
        <f t="shared" si="66"/>
        <v>CO50:DG61</v>
      </c>
      <c r="O1277" s="4">
        <f t="shared" ca="1" si="64"/>
        <v>97859.11</v>
      </c>
    </row>
    <row r="1278" spans="1:15">
      <c r="A1278" s="2" t="s">
        <v>20</v>
      </c>
      <c r="B1278" t="s">
        <v>43</v>
      </c>
      <c r="C1278" t="s">
        <v>44</v>
      </c>
      <c r="D1278">
        <v>10</v>
      </c>
      <c r="E1278" t="s">
        <v>46</v>
      </c>
      <c r="F1278">
        <v>4</v>
      </c>
      <c r="G1278">
        <v>1</v>
      </c>
      <c r="H1278">
        <v>3</v>
      </c>
      <c r="I1278">
        <v>1</v>
      </c>
      <c r="J1278" s="4" t="s">
        <v>54</v>
      </c>
      <c r="K1278" t="str">
        <f t="shared" si="65"/>
        <v>1+3</v>
      </c>
      <c r="L1278">
        <f>VLOOKUP(A1278,'ZONE 1 PREMIUM'!$A$4:$N$16,14,0)</f>
        <v>11</v>
      </c>
      <c r="M1278">
        <f>VLOOKUP(D1278,DROPDOWN!B:C,2,0)</f>
        <v>6</v>
      </c>
      <c r="N1278" t="str">
        <f t="shared" si="66"/>
        <v>CO50:DG61</v>
      </c>
      <c r="O1278" s="4">
        <f t="shared" ca="1" si="64"/>
        <v>114330.1</v>
      </c>
    </row>
    <row r="1279" spans="1:15">
      <c r="A1279" s="2" t="s">
        <v>21</v>
      </c>
      <c r="B1279" t="s">
        <v>22</v>
      </c>
      <c r="D1279">
        <v>10</v>
      </c>
      <c r="E1279" t="s">
        <v>46</v>
      </c>
      <c r="F1279">
        <v>4</v>
      </c>
      <c r="G1279">
        <v>1</v>
      </c>
      <c r="H1279">
        <v>3</v>
      </c>
      <c r="I1279">
        <v>1</v>
      </c>
      <c r="J1279" s="4" t="s">
        <v>54</v>
      </c>
      <c r="K1279" t="str">
        <f t="shared" si="65"/>
        <v>1+3</v>
      </c>
      <c r="L1279">
        <f>VLOOKUP(A1279,'ZONE 1 PREMIUM'!$A$4:$N$16,14,0)</f>
        <v>12</v>
      </c>
      <c r="M1279">
        <f>VLOOKUP(D1279,DROPDOWN!B:C,2,0)</f>
        <v>6</v>
      </c>
      <c r="N1279" t="str">
        <f t="shared" si="66"/>
        <v>CO50:DG61</v>
      </c>
      <c r="O1279" s="4">
        <f t="shared" ca="1" si="64"/>
        <v>148156.07</v>
      </c>
    </row>
    <row r="1280" spans="1:15">
      <c r="A1280" s="2" t="s">
        <v>11</v>
      </c>
      <c r="B1280" t="s">
        <v>45</v>
      </c>
      <c r="C1280" t="s">
        <v>25</v>
      </c>
      <c r="D1280">
        <v>10</v>
      </c>
      <c r="E1280" t="s">
        <v>46</v>
      </c>
      <c r="F1280">
        <v>5</v>
      </c>
      <c r="G1280">
        <v>1</v>
      </c>
      <c r="H1280">
        <v>4</v>
      </c>
      <c r="I1280">
        <v>1</v>
      </c>
      <c r="J1280" s="4" t="s">
        <v>54</v>
      </c>
      <c r="K1280" t="str">
        <f t="shared" si="65"/>
        <v>1+4</v>
      </c>
      <c r="L1280">
        <f>VLOOKUP(A1280,'ZONE 1 PREMIUM'!$A$4:$N$16,14,0)</f>
        <v>2</v>
      </c>
      <c r="M1280">
        <f>VLOOKUP(D1280,DROPDOWN!B:C,2,0)</f>
        <v>6</v>
      </c>
      <c r="N1280" t="str">
        <f t="shared" si="66"/>
        <v>CO65:DG76</v>
      </c>
      <c r="O1280" s="4">
        <f t="shared" ca="1" si="64"/>
        <v>27158.440000000002</v>
      </c>
    </row>
    <row r="1281" spans="1:15">
      <c r="A1281" s="2" t="s">
        <v>12</v>
      </c>
      <c r="B1281" t="s">
        <v>27</v>
      </c>
      <c r="C1281" t="s">
        <v>28</v>
      </c>
      <c r="D1281">
        <v>10</v>
      </c>
      <c r="E1281" t="s">
        <v>46</v>
      </c>
      <c r="F1281">
        <v>5</v>
      </c>
      <c r="G1281">
        <v>1</v>
      </c>
      <c r="H1281">
        <v>4</v>
      </c>
      <c r="I1281">
        <v>1</v>
      </c>
      <c r="J1281" s="4" t="s">
        <v>54</v>
      </c>
      <c r="K1281" t="str">
        <f t="shared" si="65"/>
        <v>1+4</v>
      </c>
      <c r="L1281">
        <f>VLOOKUP(A1281,'ZONE 1 PREMIUM'!$A$4:$N$16,14,0)</f>
        <v>3</v>
      </c>
      <c r="M1281">
        <f>VLOOKUP(D1281,DROPDOWN!B:C,2,0)</f>
        <v>6</v>
      </c>
      <c r="N1281" t="str">
        <f t="shared" si="66"/>
        <v>CO65:DG76</v>
      </c>
      <c r="O1281" s="4">
        <f t="shared" ca="1" si="64"/>
        <v>28423.93</v>
      </c>
    </row>
    <row r="1282" spans="1:15">
      <c r="A1282" s="2" t="s">
        <v>13</v>
      </c>
      <c r="B1282" t="s">
        <v>29</v>
      </c>
      <c r="C1282" t="s">
        <v>30</v>
      </c>
      <c r="D1282">
        <v>10</v>
      </c>
      <c r="E1282" t="s">
        <v>46</v>
      </c>
      <c r="F1282">
        <v>5</v>
      </c>
      <c r="G1282">
        <v>1</v>
      </c>
      <c r="H1282">
        <v>4</v>
      </c>
      <c r="I1282">
        <v>1</v>
      </c>
      <c r="J1282" s="4" t="s">
        <v>54</v>
      </c>
      <c r="K1282" t="str">
        <f t="shared" si="65"/>
        <v>1+4</v>
      </c>
      <c r="L1282">
        <f>VLOOKUP(A1282,'ZONE 1 PREMIUM'!$A$4:$N$16,14,0)</f>
        <v>4</v>
      </c>
      <c r="M1282">
        <f>VLOOKUP(D1282,DROPDOWN!B:C,2,0)</f>
        <v>6</v>
      </c>
      <c r="N1282" t="str">
        <f t="shared" si="66"/>
        <v>CO65:DG76</v>
      </c>
      <c r="O1282" s="4">
        <f t="shared" ref="O1282:O1345" ca="1" si="67">INDEX(INDIRECT(N1282),L1282,M1282)</f>
        <v>32876.58</v>
      </c>
    </row>
    <row r="1283" spans="1:15">
      <c r="A1283" s="2" t="s">
        <v>14</v>
      </c>
      <c r="B1283" t="s">
        <v>31</v>
      </c>
      <c r="C1283" t="s">
        <v>32</v>
      </c>
      <c r="D1283">
        <v>10</v>
      </c>
      <c r="E1283" t="s">
        <v>46</v>
      </c>
      <c r="F1283">
        <v>5</v>
      </c>
      <c r="G1283">
        <v>1</v>
      </c>
      <c r="H1283">
        <v>4</v>
      </c>
      <c r="I1283">
        <v>1</v>
      </c>
      <c r="J1283" s="4" t="s">
        <v>54</v>
      </c>
      <c r="K1283" t="str">
        <f t="shared" si="65"/>
        <v>1+4</v>
      </c>
      <c r="L1283">
        <f>VLOOKUP(A1283,'ZONE 1 PREMIUM'!$A$4:$N$16,14,0)</f>
        <v>5</v>
      </c>
      <c r="M1283">
        <f>VLOOKUP(D1283,DROPDOWN!B:C,2,0)</f>
        <v>6</v>
      </c>
      <c r="N1283" t="str">
        <f t="shared" si="66"/>
        <v>CO65:DG76</v>
      </c>
      <c r="O1283" s="4">
        <f t="shared" ca="1" si="67"/>
        <v>36331.880000000005</v>
      </c>
    </row>
    <row r="1284" spans="1:15">
      <c r="A1284" s="2" t="s">
        <v>15</v>
      </c>
      <c r="B1284" t="s">
        <v>33</v>
      </c>
      <c r="C1284" t="s">
        <v>34</v>
      </c>
      <c r="D1284">
        <v>10</v>
      </c>
      <c r="E1284" t="s">
        <v>46</v>
      </c>
      <c r="F1284">
        <v>5</v>
      </c>
      <c r="G1284">
        <v>1</v>
      </c>
      <c r="H1284">
        <v>4</v>
      </c>
      <c r="I1284">
        <v>1</v>
      </c>
      <c r="J1284" s="4" t="s">
        <v>54</v>
      </c>
      <c r="K1284" t="str">
        <f t="shared" ref="K1284:K1347" si="68">G1284&amp;"+"&amp;H1284</f>
        <v>1+4</v>
      </c>
      <c r="L1284">
        <f>VLOOKUP(A1284,'ZONE 1 PREMIUM'!$A$4:$N$16,14,0)</f>
        <v>6</v>
      </c>
      <c r="M1284">
        <f>VLOOKUP(D1284,DROPDOWN!B:C,2,0)</f>
        <v>6</v>
      </c>
      <c r="N1284" t="str">
        <f t="shared" si="66"/>
        <v>CO65:DG76</v>
      </c>
      <c r="O1284" s="4">
        <f t="shared" ca="1" si="67"/>
        <v>45249.170000000006</v>
      </c>
    </row>
    <row r="1285" spans="1:15">
      <c r="A1285" s="2" t="s">
        <v>16</v>
      </c>
      <c r="B1285" t="s">
        <v>35</v>
      </c>
      <c r="C1285" t="s">
        <v>36</v>
      </c>
      <c r="D1285">
        <v>10</v>
      </c>
      <c r="E1285" t="s">
        <v>46</v>
      </c>
      <c r="F1285">
        <v>5</v>
      </c>
      <c r="G1285">
        <v>1</v>
      </c>
      <c r="H1285">
        <v>4</v>
      </c>
      <c r="I1285">
        <v>1</v>
      </c>
      <c r="J1285" s="4" t="s">
        <v>54</v>
      </c>
      <c r="K1285" t="str">
        <f t="shared" si="68"/>
        <v>1+4</v>
      </c>
      <c r="L1285">
        <f>VLOOKUP(A1285,'ZONE 1 PREMIUM'!$A$4:$N$16,14,0)</f>
        <v>7</v>
      </c>
      <c r="M1285">
        <f>VLOOKUP(D1285,DROPDOWN!B:C,2,0)</f>
        <v>6</v>
      </c>
      <c r="N1285" t="str">
        <f t="shared" si="66"/>
        <v>CO65:DG76</v>
      </c>
      <c r="O1285" s="4">
        <f t="shared" ca="1" si="67"/>
        <v>55132.200000000004</v>
      </c>
    </row>
    <row r="1286" spans="1:15">
      <c r="A1286" s="2" t="s">
        <v>17</v>
      </c>
      <c r="B1286" t="s">
        <v>37</v>
      </c>
      <c r="C1286" t="s">
        <v>38</v>
      </c>
      <c r="D1286">
        <v>10</v>
      </c>
      <c r="E1286" t="s">
        <v>46</v>
      </c>
      <c r="F1286">
        <v>5</v>
      </c>
      <c r="G1286">
        <v>1</v>
      </c>
      <c r="H1286">
        <v>4</v>
      </c>
      <c r="I1286">
        <v>1</v>
      </c>
      <c r="J1286" s="4" t="s">
        <v>54</v>
      </c>
      <c r="K1286" t="str">
        <f t="shared" si="68"/>
        <v>1+4</v>
      </c>
      <c r="L1286">
        <f>VLOOKUP(A1286,'ZONE 1 PREMIUM'!$A$4:$N$16,14,0)</f>
        <v>8</v>
      </c>
      <c r="M1286">
        <f>VLOOKUP(D1286,DROPDOWN!B:C,2,0)</f>
        <v>6</v>
      </c>
      <c r="N1286" t="str">
        <f t="shared" si="66"/>
        <v>CO65:DG76</v>
      </c>
      <c r="O1286" s="4">
        <f t="shared" ca="1" si="67"/>
        <v>66558.67</v>
      </c>
    </row>
    <row r="1287" spans="1:15">
      <c r="A1287" s="2" t="s">
        <v>18</v>
      </c>
      <c r="B1287" t="s">
        <v>39</v>
      </c>
      <c r="C1287" t="s">
        <v>40</v>
      </c>
      <c r="D1287">
        <v>10</v>
      </c>
      <c r="E1287" t="s">
        <v>46</v>
      </c>
      <c r="F1287">
        <v>5</v>
      </c>
      <c r="G1287">
        <v>1</v>
      </c>
      <c r="H1287">
        <v>4</v>
      </c>
      <c r="I1287">
        <v>1</v>
      </c>
      <c r="J1287" s="4" t="s">
        <v>54</v>
      </c>
      <c r="K1287" t="str">
        <f t="shared" si="68"/>
        <v>1+4</v>
      </c>
      <c r="L1287">
        <f>VLOOKUP(A1287,'ZONE 1 PREMIUM'!$A$4:$N$16,14,0)</f>
        <v>9</v>
      </c>
      <c r="M1287">
        <f>VLOOKUP(D1287,DROPDOWN!B:C,2,0)</f>
        <v>6</v>
      </c>
      <c r="N1287" t="str">
        <f t="shared" si="66"/>
        <v>CO65:DG76</v>
      </c>
      <c r="O1287" s="4">
        <f t="shared" ca="1" si="67"/>
        <v>84827.07</v>
      </c>
    </row>
    <row r="1288" spans="1:15">
      <c r="A1288" s="2" t="s">
        <v>19</v>
      </c>
      <c r="B1288" t="s">
        <v>41</v>
      </c>
      <c r="C1288" t="s">
        <v>42</v>
      </c>
      <c r="D1288">
        <v>10</v>
      </c>
      <c r="E1288" t="s">
        <v>46</v>
      </c>
      <c r="F1288">
        <v>5</v>
      </c>
      <c r="G1288">
        <v>1</v>
      </c>
      <c r="H1288">
        <v>4</v>
      </c>
      <c r="I1288">
        <v>1</v>
      </c>
      <c r="J1288" s="4" t="s">
        <v>54</v>
      </c>
      <c r="K1288" t="str">
        <f t="shared" si="68"/>
        <v>1+4</v>
      </c>
      <c r="L1288">
        <f>VLOOKUP(A1288,'ZONE 1 PREMIUM'!$A$4:$N$16,14,0)</f>
        <v>10</v>
      </c>
      <c r="M1288">
        <f>VLOOKUP(D1288,DROPDOWN!B:C,2,0)</f>
        <v>6</v>
      </c>
      <c r="N1288" t="str">
        <f t="shared" si="66"/>
        <v>CO65:DG76</v>
      </c>
      <c r="O1288" s="4">
        <f t="shared" ca="1" si="67"/>
        <v>102925.43000000001</v>
      </c>
    </row>
    <row r="1289" spans="1:15">
      <c r="A1289" s="2" t="s">
        <v>20</v>
      </c>
      <c r="B1289" t="s">
        <v>43</v>
      </c>
      <c r="C1289" t="s">
        <v>44</v>
      </c>
      <c r="D1289">
        <v>10</v>
      </c>
      <c r="E1289" t="s">
        <v>46</v>
      </c>
      <c r="F1289">
        <v>5</v>
      </c>
      <c r="G1289">
        <v>1</v>
      </c>
      <c r="H1289">
        <v>4</v>
      </c>
      <c r="I1289">
        <v>1</v>
      </c>
      <c r="J1289" s="4" t="s">
        <v>54</v>
      </c>
      <c r="K1289" t="str">
        <f t="shared" si="68"/>
        <v>1+4</v>
      </c>
      <c r="L1289">
        <f>VLOOKUP(A1289,'ZONE 1 PREMIUM'!$A$4:$N$16,14,0)</f>
        <v>11</v>
      </c>
      <c r="M1289">
        <f>VLOOKUP(D1289,DROPDOWN!B:C,2,0)</f>
        <v>6</v>
      </c>
      <c r="N1289" t="str">
        <f t="shared" si="66"/>
        <v>CO65:DG76</v>
      </c>
      <c r="O1289" s="4">
        <f t="shared" ca="1" si="67"/>
        <v>119407.32</v>
      </c>
    </row>
    <row r="1290" spans="1:15">
      <c r="A1290" s="2" t="s">
        <v>21</v>
      </c>
      <c r="B1290" t="s">
        <v>22</v>
      </c>
      <c r="D1290">
        <v>10</v>
      </c>
      <c r="E1290" t="s">
        <v>46</v>
      </c>
      <c r="F1290">
        <v>5</v>
      </c>
      <c r="G1290">
        <v>1</v>
      </c>
      <c r="H1290">
        <v>4</v>
      </c>
      <c r="I1290">
        <v>1</v>
      </c>
      <c r="J1290" s="4" t="s">
        <v>54</v>
      </c>
      <c r="K1290" t="str">
        <f t="shared" si="68"/>
        <v>1+4</v>
      </c>
      <c r="L1290">
        <f>VLOOKUP(A1290,'ZONE 1 PREMIUM'!$A$4:$N$16,14,0)</f>
        <v>12</v>
      </c>
      <c r="M1290">
        <f>VLOOKUP(D1290,DROPDOWN!B:C,2,0)</f>
        <v>6</v>
      </c>
      <c r="N1290" t="str">
        <f t="shared" si="66"/>
        <v>CO65:DG76</v>
      </c>
      <c r="O1290" s="4">
        <f t="shared" ca="1" si="67"/>
        <v>153400.06</v>
      </c>
    </row>
    <row r="1291" spans="1:15">
      <c r="A1291" s="2" t="s">
        <v>11</v>
      </c>
      <c r="B1291" t="s">
        <v>45</v>
      </c>
      <c r="C1291" t="s">
        <v>25</v>
      </c>
      <c r="D1291">
        <v>10</v>
      </c>
      <c r="E1291" t="s">
        <v>46</v>
      </c>
      <c r="F1291">
        <v>2</v>
      </c>
      <c r="G1291">
        <v>2</v>
      </c>
      <c r="H1291">
        <v>0</v>
      </c>
      <c r="I1291">
        <v>1</v>
      </c>
      <c r="J1291" s="4" t="s">
        <v>54</v>
      </c>
      <c r="K1291" t="str">
        <f t="shared" si="68"/>
        <v>2+0</v>
      </c>
      <c r="L1291">
        <f>VLOOKUP(A1291,'ZONE 1 PREMIUM'!$A$4:$N$16,14,0)</f>
        <v>2</v>
      </c>
      <c r="M1291">
        <f>VLOOKUP(D1291,DROPDOWN!B:C,2,0)</f>
        <v>6</v>
      </c>
      <c r="N1291" t="str">
        <f t="shared" si="66"/>
        <v>CO81:DG92</v>
      </c>
      <c r="O1291" s="4">
        <f t="shared" ca="1" si="67"/>
        <v>20338.310000000001</v>
      </c>
    </row>
    <row r="1292" spans="1:15">
      <c r="A1292" s="2" t="s">
        <v>12</v>
      </c>
      <c r="B1292" t="s">
        <v>27</v>
      </c>
      <c r="C1292" t="s">
        <v>28</v>
      </c>
      <c r="D1292">
        <v>10</v>
      </c>
      <c r="E1292" t="s">
        <v>46</v>
      </c>
      <c r="F1292">
        <v>2</v>
      </c>
      <c r="G1292">
        <v>2</v>
      </c>
      <c r="H1292">
        <v>0</v>
      </c>
      <c r="I1292">
        <v>1</v>
      </c>
      <c r="J1292" s="4" t="s">
        <v>54</v>
      </c>
      <c r="K1292" t="str">
        <f t="shared" si="68"/>
        <v>2+0</v>
      </c>
      <c r="L1292">
        <f>VLOOKUP(A1292,'ZONE 1 PREMIUM'!$A$4:$N$16,14,0)</f>
        <v>3</v>
      </c>
      <c r="M1292">
        <f>VLOOKUP(D1292,DROPDOWN!B:C,2,0)</f>
        <v>6</v>
      </c>
      <c r="N1292" t="str">
        <f t="shared" si="66"/>
        <v>CO81:DG92</v>
      </c>
      <c r="O1292" s="4">
        <f t="shared" ca="1" si="67"/>
        <v>23238.800000000003</v>
      </c>
    </row>
    <row r="1293" spans="1:15">
      <c r="A1293" s="2" t="s">
        <v>13</v>
      </c>
      <c r="B1293" t="s">
        <v>29</v>
      </c>
      <c r="C1293" t="s">
        <v>30</v>
      </c>
      <c r="D1293">
        <v>10</v>
      </c>
      <c r="E1293" t="s">
        <v>46</v>
      </c>
      <c r="F1293">
        <v>2</v>
      </c>
      <c r="G1293">
        <v>2</v>
      </c>
      <c r="H1293">
        <v>0</v>
      </c>
      <c r="I1293">
        <v>1</v>
      </c>
      <c r="J1293" s="4" t="s">
        <v>54</v>
      </c>
      <c r="K1293" t="str">
        <f t="shared" si="68"/>
        <v>2+0</v>
      </c>
      <c r="L1293">
        <f>VLOOKUP(A1293,'ZONE 1 PREMIUM'!$A$4:$N$16,14,0)</f>
        <v>4</v>
      </c>
      <c r="M1293">
        <f>VLOOKUP(D1293,DROPDOWN!B:C,2,0)</f>
        <v>6</v>
      </c>
      <c r="N1293" t="str">
        <f t="shared" si="66"/>
        <v>CO81:DG92</v>
      </c>
      <c r="O1293" s="4">
        <f t="shared" ca="1" si="67"/>
        <v>25802.480000000003</v>
      </c>
    </row>
    <row r="1294" spans="1:15">
      <c r="A1294" s="2" t="s">
        <v>14</v>
      </c>
      <c r="B1294" t="s">
        <v>31</v>
      </c>
      <c r="C1294" t="s">
        <v>32</v>
      </c>
      <c r="D1294">
        <v>10</v>
      </c>
      <c r="E1294" t="s">
        <v>46</v>
      </c>
      <c r="F1294">
        <v>2</v>
      </c>
      <c r="G1294">
        <v>2</v>
      </c>
      <c r="H1294">
        <v>0</v>
      </c>
      <c r="I1294">
        <v>1</v>
      </c>
      <c r="J1294" s="4" t="s">
        <v>54</v>
      </c>
      <c r="K1294" t="str">
        <f t="shared" si="68"/>
        <v>2+0</v>
      </c>
      <c r="L1294">
        <f>VLOOKUP(A1294,'ZONE 1 PREMIUM'!$A$4:$N$16,14,0)</f>
        <v>5</v>
      </c>
      <c r="M1294">
        <f>VLOOKUP(D1294,DROPDOWN!B:C,2,0)</f>
        <v>6</v>
      </c>
      <c r="N1294" t="str">
        <f t="shared" si="66"/>
        <v>CO81:DG92</v>
      </c>
      <c r="O1294" s="4">
        <f t="shared" ca="1" si="67"/>
        <v>29918.320000000003</v>
      </c>
    </row>
    <row r="1295" spans="1:15">
      <c r="A1295" s="2" t="s">
        <v>15</v>
      </c>
      <c r="B1295" t="s">
        <v>33</v>
      </c>
      <c r="C1295" t="s">
        <v>34</v>
      </c>
      <c r="D1295">
        <v>10</v>
      </c>
      <c r="E1295" t="s">
        <v>46</v>
      </c>
      <c r="F1295">
        <v>2</v>
      </c>
      <c r="G1295">
        <v>2</v>
      </c>
      <c r="H1295">
        <v>0</v>
      </c>
      <c r="I1295">
        <v>1</v>
      </c>
      <c r="J1295" s="4" t="s">
        <v>54</v>
      </c>
      <c r="K1295" t="str">
        <f t="shared" si="68"/>
        <v>2+0</v>
      </c>
      <c r="L1295">
        <f>VLOOKUP(A1295,'ZONE 1 PREMIUM'!$A$4:$N$16,14,0)</f>
        <v>6</v>
      </c>
      <c r="M1295">
        <f>VLOOKUP(D1295,DROPDOWN!B:C,2,0)</f>
        <v>6</v>
      </c>
      <c r="N1295" t="str">
        <f t="shared" si="66"/>
        <v>CO81:DG92</v>
      </c>
      <c r="O1295" s="4">
        <f t="shared" ca="1" si="67"/>
        <v>39786.090000000004</v>
      </c>
    </row>
    <row r="1296" spans="1:15">
      <c r="A1296" s="2" t="s">
        <v>16</v>
      </c>
      <c r="B1296" t="s">
        <v>35</v>
      </c>
      <c r="C1296" t="s">
        <v>36</v>
      </c>
      <c r="D1296">
        <v>10</v>
      </c>
      <c r="E1296" t="s">
        <v>46</v>
      </c>
      <c r="F1296">
        <v>2</v>
      </c>
      <c r="G1296">
        <v>2</v>
      </c>
      <c r="H1296">
        <v>0</v>
      </c>
      <c r="I1296">
        <v>1</v>
      </c>
      <c r="J1296" s="4" t="s">
        <v>54</v>
      </c>
      <c r="K1296" t="str">
        <f t="shared" si="68"/>
        <v>2+0</v>
      </c>
      <c r="L1296">
        <f>VLOOKUP(A1296,'ZONE 1 PREMIUM'!$A$4:$N$16,14,0)</f>
        <v>7</v>
      </c>
      <c r="M1296">
        <f>VLOOKUP(D1296,DROPDOWN!B:C,2,0)</f>
        <v>6</v>
      </c>
      <c r="N1296" t="str">
        <f t="shared" si="66"/>
        <v>CO81:DG92</v>
      </c>
      <c r="O1296" s="4">
        <f t="shared" ca="1" si="67"/>
        <v>53305.36</v>
      </c>
    </row>
    <row r="1297" spans="1:15">
      <c r="A1297" s="2" t="s">
        <v>17</v>
      </c>
      <c r="B1297" t="s">
        <v>37</v>
      </c>
      <c r="C1297" t="s">
        <v>38</v>
      </c>
      <c r="D1297">
        <v>10</v>
      </c>
      <c r="E1297" t="s">
        <v>46</v>
      </c>
      <c r="F1297">
        <v>2</v>
      </c>
      <c r="G1297">
        <v>2</v>
      </c>
      <c r="H1297">
        <v>0</v>
      </c>
      <c r="I1297">
        <v>1</v>
      </c>
      <c r="J1297" s="4" t="s">
        <v>54</v>
      </c>
      <c r="K1297" t="str">
        <f t="shared" si="68"/>
        <v>2+0</v>
      </c>
      <c r="L1297">
        <f>VLOOKUP(A1297,'ZONE 1 PREMIUM'!$A$4:$N$16,14,0)</f>
        <v>8</v>
      </c>
      <c r="M1297">
        <f>VLOOKUP(D1297,DROPDOWN!B:C,2,0)</f>
        <v>6</v>
      </c>
      <c r="N1297" t="str">
        <f t="shared" si="66"/>
        <v>CO81:DG92</v>
      </c>
      <c r="O1297" s="4">
        <f t="shared" ca="1" si="67"/>
        <v>72786.930000000008</v>
      </c>
    </row>
    <row r="1298" spans="1:15">
      <c r="A1298" s="2" t="s">
        <v>18</v>
      </c>
      <c r="B1298" t="s">
        <v>39</v>
      </c>
      <c r="C1298" t="s">
        <v>40</v>
      </c>
      <c r="D1298">
        <v>10</v>
      </c>
      <c r="E1298" t="s">
        <v>46</v>
      </c>
      <c r="F1298">
        <v>2</v>
      </c>
      <c r="G1298">
        <v>2</v>
      </c>
      <c r="H1298">
        <v>0</v>
      </c>
      <c r="I1298">
        <v>1</v>
      </c>
      <c r="J1298" s="4" t="s">
        <v>54</v>
      </c>
      <c r="K1298" t="str">
        <f t="shared" si="68"/>
        <v>2+0</v>
      </c>
      <c r="L1298">
        <f>VLOOKUP(A1298,'ZONE 1 PREMIUM'!$A$4:$N$16,14,0)</f>
        <v>9</v>
      </c>
      <c r="M1298">
        <f>VLOOKUP(D1298,DROPDOWN!B:C,2,0)</f>
        <v>6</v>
      </c>
      <c r="N1298" t="str">
        <f t="shared" ref="N1298:N1345" si="69">VLOOKUP(K1298,$DH$4:$DI$13,2,0)</f>
        <v>CO81:DG92</v>
      </c>
      <c r="O1298" s="4">
        <f t="shared" ca="1" si="67"/>
        <v>103171.77</v>
      </c>
    </row>
    <row r="1299" spans="1:15">
      <c r="A1299" s="2" t="s">
        <v>19</v>
      </c>
      <c r="B1299" t="s">
        <v>41</v>
      </c>
      <c r="C1299" t="s">
        <v>42</v>
      </c>
      <c r="D1299">
        <v>10</v>
      </c>
      <c r="E1299" t="s">
        <v>46</v>
      </c>
      <c r="F1299">
        <v>2</v>
      </c>
      <c r="G1299">
        <v>2</v>
      </c>
      <c r="H1299">
        <v>0</v>
      </c>
      <c r="I1299">
        <v>1</v>
      </c>
      <c r="J1299" s="4" t="s">
        <v>54</v>
      </c>
      <c r="K1299" t="str">
        <f t="shared" si="68"/>
        <v>2+0</v>
      </c>
      <c r="L1299">
        <f>VLOOKUP(A1299,'ZONE 1 PREMIUM'!$A$4:$N$16,14,0)</f>
        <v>10</v>
      </c>
      <c r="M1299">
        <f>VLOOKUP(D1299,DROPDOWN!B:C,2,0)</f>
        <v>6</v>
      </c>
      <c r="N1299" t="str">
        <f t="shared" si="69"/>
        <v>CO81:DG92</v>
      </c>
      <c r="O1299" s="4">
        <f t="shared" ca="1" si="67"/>
        <v>143447.27000000002</v>
      </c>
    </row>
    <row r="1300" spans="1:15">
      <c r="A1300" s="2" t="s">
        <v>20</v>
      </c>
      <c r="B1300" t="s">
        <v>43</v>
      </c>
      <c r="C1300" t="s">
        <v>44</v>
      </c>
      <c r="D1300">
        <v>10</v>
      </c>
      <c r="E1300" t="s">
        <v>46</v>
      </c>
      <c r="F1300">
        <v>2</v>
      </c>
      <c r="G1300">
        <v>2</v>
      </c>
      <c r="H1300">
        <v>0</v>
      </c>
      <c r="I1300">
        <v>1</v>
      </c>
      <c r="J1300" s="4" t="s">
        <v>54</v>
      </c>
      <c r="K1300" t="str">
        <f t="shared" si="68"/>
        <v>2+0</v>
      </c>
      <c r="L1300">
        <f>VLOOKUP(A1300,'ZONE 1 PREMIUM'!$A$4:$N$16,14,0)</f>
        <v>11</v>
      </c>
      <c r="M1300">
        <f>VLOOKUP(D1300,DROPDOWN!B:C,2,0)</f>
        <v>6</v>
      </c>
      <c r="N1300" t="str">
        <f t="shared" si="69"/>
        <v>CO81:DG92</v>
      </c>
      <c r="O1300" s="4">
        <f t="shared" ca="1" si="67"/>
        <v>177152.25</v>
      </c>
    </row>
    <row r="1301" spans="1:15">
      <c r="A1301" s="2" t="s">
        <v>21</v>
      </c>
      <c r="B1301" t="s">
        <v>22</v>
      </c>
      <c r="D1301">
        <v>10</v>
      </c>
      <c r="E1301" t="s">
        <v>46</v>
      </c>
      <c r="F1301">
        <v>2</v>
      </c>
      <c r="G1301">
        <v>2</v>
      </c>
      <c r="H1301">
        <v>0</v>
      </c>
      <c r="I1301">
        <v>1</v>
      </c>
      <c r="J1301" s="4" t="s">
        <v>54</v>
      </c>
      <c r="K1301" t="str">
        <f t="shared" si="68"/>
        <v>2+0</v>
      </c>
      <c r="L1301">
        <f>VLOOKUP(A1301,'ZONE 1 PREMIUM'!$A$4:$N$16,14,0)</f>
        <v>12</v>
      </c>
      <c r="M1301">
        <f>VLOOKUP(D1301,DROPDOWN!B:C,2,0)</f>
        <v>6</v>
      </c>
      <c r="N1301" t="str">
        <f t="shared" si="69"/>
        <v>CO81:DG92</v>
      </c>
      <c r="O1301" s="4">
        <f t="shared" ca="1" si="67"/>
        <v>226434.42</v>
      </c>
    </row>
    <row r="1302" spans="1:15">
      <c r="A1302" s="2" t="s">
        <v>11</v>
      </c>
      <c r="B1302" t="s">
        <v>45</v>
      </c>
      <c r="C1302" t="s">
        <v>25</v>
      </c>
      <c r="D1302">
        <v>10</v>
      </c>
      <c r="E1302" t="s">
        <v>46</v>
      </c>
      <c r="F1302">
        <v>3</v>
      </c>
      <c r="G1302">
        <v>2</v>
      </c>
      <c r="H1302">
        <v>1</v>
      </c>
      <c r="I1302">
        <v>1</v>
      </c>
      <c r="J1302" s="4" t="s">
        <v>54</v>
      </c>
      <c r="K1302" t="str">
        <f t="shared" si="68"/>
        <v>2+1</v>
      </c>
      <c r="L1302">
        <f>VLOOKUP(A1302,'ZONE 1 PREMIUM'!$A$4:$N$16,14,0)</f>
        <v>2</v>
      </c>
      <c r="M1302">
        <f>VLOOKUP(D1302,DROPDOWN!B:C,2,0)</f>
        <v>6</v>
      </c>
      <c r="N1302" t="str">
        <f t="shared" si="69"/>
        <v>CO98:DG109</v>
      </c>
      <c r="O1302" s="4">
        <f t="shared" ca="1" si="67"/>
        <v>24695.040000000001</v>
      </c>
    </row>
    <row r="1303" spans="1:15">
      <c r="A1303" s="2" t="s">
        <v>12</v>
      </c>
      <c r="B1303" t="s">
        <v>27</v>
      </c>
      <c r="C1303" t="s">
        <v>28</v>
      </c>
      <c r="D1303">
        <v>10</v>
      </c>
      <c r="E1303" t="s">
        <v>46</v>
      </c>
      <c r="F1303">
        <v>3</v>
      </c>
      <c r="G1303">
        <v>2</v>
      </c>
      <c r="H1303">
        <v>1</v>
      </c>
      <c r="I1303">
        <v>1</v>
      </c>
      <c r="J1303" s="4" t="s">
        <v>54</v>
      </c>
      <c r="K1303" t="str">
        <f t="shared" si="68"/>
        <v>2+1</v>
      </c>
      <c r="L1303">
        <f>VLOOKUP(A1303,'ZONE 1 PREMIUM'!$A$4:$N$16,14,0)</f>
        <v>3</v>
      </c>
      <c r="M1303">
        <f>VLOOKUP(D1303,DROPDOWN!B:C,2,0)</f>
        <v>6</v>
      </c>
      <c r="N1303" t="str">
        <f t="shared" si="69"/>
        <v>CO98:DG109</v>
      </c>
      <c r="O1303" s="4">
        <f t="shared" ca="1" si="67"/>
        <v>27520.320000000003</v>
      </c>
    </row>
    <row r="1304" spans="1:15">
      <c r="A1304" s="2" t="s">
        <v>13</v>
      </c>
      <c r="B1304" t="s">
        <v>29</v>
      </c>
      <c r="C1304" t="s">
        <v>30</v>
      </c>
      <c r="D1304">
        <v>10</v>
      </c>
      <c r="E1304" t="s">
        <v>46</v>
      </c>
      <c r="F1304">
        <v>3</v>
      </c>
      <c r="G1304">
        <v>2</v>
      </c>
      <c r="H1304">
        <v>1</v>
      </c>
      <c r="I1304">
        <v>1</v>
      </c>
      <c r="J1304" s="4" t="s">
        <v>54</v>
      </c>
      <c r="K1304" t="str">
        <f t="shared" si="68"/>
        <v>2+1</v>
      </c>
      <c r="L1304">
        <f>VLOOKUP(A1304,'ZONE 1 PREMIUM'!$A$4:$N$16,14,0)</f>
        <v>4</v>
      </c>
      <c r="M1304">
        <f>VLOOKUP(D1304,DROPDOWN!B:C,2,0)</f>
        <v>6</v>
      </c>
      <c r="N1304" t="str">
        <f t="shared" si="69"/>
        <v>CO98:DG109</v>
      </c>
      <c r="O1304" s="4">
        <f t="shared" ca="1" si="67"/>
        <v>30778.33</v>
      </c>
    </row>
    <row r="1305" spans="1:15">
      <c r="A1305" s="2" t="s">
        <v>14</v>
      </c>
      <c r="B1305" t="s">
        <v>31</v>
      </c>
      <c r="C1305" t="s">
        <v>32</v>
      </c>
      <c r="D1305">
        <v>10</v>
      </c>
      <c r="E1305" t="s">
        <v>46</v>
      </c>
      <c r="F1305">
        <v>3</v>
      </c>
      <c r="G1305">
        <v>2</v>
      </c>
      <c r="H1305">
        <v>1</v>
      </c>
      <c r="I1305">
        <v>1</v>
      </c>
      <c r="J1305" s="4" t="s">
        <v>54</v>
      </c>
      <c r="K1305" t="str">
        <f t="shared" si="68"/>
        <v>2+1</v>
      </c>
      <c r="L1305">
        <f>VLOOKUP(A1305,'ZONE 1 PREMIUM'!$A$4:$N$16,14,0)</f>
        <v>5</v>
      </c>
      <c r="M1305">
        <f>VLOOKUP(D1305,DROPDOWN!B:C,2,0)</f>
        <v>6</v>
      </c>
      <c r="N1305" t="str">
        <f t="shared" si="69"/>
        <v>CO98:DG109</v>
      </c>
      <c r="O1305" s="4">
        <f t="shared" ca="1" si="67"/>
        <v>35228.800000000003</v>
      </c>
    </row>
    <row r="1306" spans="1:15">
      <c r="A1306" s="2" t="s">
        <v>15</v>
      </c>
      <c r="B1306" t="s">
        <v>33</v>
      </c>
      <c r="C1306" t="s">
        <v>34</v>
      </c>
      <c r="D1306">
        <v>10</v>
      </c>
      <c r="E1306" t="s">
        <v>46</v>
      </c>
      <c r="F1306">
        <v>3</v>
      </c>
      <c r="G1306">
        <v>2</v>
      </c>
      <c r="H1306">
        <v>1</v>
      </c>
      <c r="I1306">
        <v>1</v>
      </c>
      <c r="J1306" s="4" t="s">
        <v>54</v>
      </c>
      <c r="K1306" t="str">
        <f t="shared" si="68"/>
        <v>2+1</v>
      </c>
      <c r="L1306">
        <f>VLOOKUP(A1306,'ZONE 1 PREMIUM'!$A$4:$N$16,14,0)</f>
        <v>6</v>
      </c>
      <c r="M1306">
        <f>VLOOKUP(D1306,DROPDOWN!B:C,2,0)</f>
        <v>6</v>
      </c>
      <c r="N1306" t="str">
        <f t="shared" si="69"/>
        <v>CO98:DG109</v>
      </c>
      <c r="O1306" s="4">
        <f t="shared" ca="1" si="67"/>
        <v>45748.390000000007</v>
      </c>
    </row>
    <row r="1307" spans="1:15">
      <c r="A1307" s="2" t="s">
        <v>16</v>
      </c>
      <c r="B1307" t="s">
        <v>35</v>
      </c>
      <c r="C1307" t="s">
        <v>36</v>
      </c>
      <c r="D1307">
        <v>10</v>
      </c>
      <c r="E1307" t="s">
        <v>46</v>
      </c>
      <c r="F1307">
        <v>3</v>
      </c>
      <c r="G1307">
        <v>2</v>
      </c>
      <c r="H1307">
        <v>1</v>
      </c>
      <c r="I1307">
        <v>1</v>
      </c>
      <c r="J1307" s="4" t="s">
        <v>54</v>
      </c>
      <c r="K1307" t="str">
        <f t="shared" si="68"/>
        <v>2+1</v>
      </c>
      <c r="L1307">
        <f>VLOOKUP(A1307,'ZONE 1 PREMIUM'!$A$4:$N$16,14,0)</f>
        <v>7</v>
      </c>
      <c r="M1307">
        <f>VLOOKUP(D1307,DROPDOWN!B:C,2,0)</f>
        <v>6</v>
      </c>
      <c r="N1307" t="str">
        <f t="shared" si="69"/>
        <v>CO98:DG109</v>
      </c>
      <c r="O1307" s="4">
        <f t="shared" ca="1" si="67"/>
        <v>60691.200000000004</v>
      </c>
    </row>
    <row r="1308" spans="1:15">
      <c r="A1308" s="2" t="s">
        <v>17</v>
      </c>
      <c r="B1308" t="s">
        <v>37</v>
      </c>
      <c r="C1308" t="s">
        <v>38</v>
      </c>
      <c r="D1308">
        <v>10</v>
      </c>
      <c r="E1308" t="s">
        <v>46</v>
      </c>
      <c r="F1308">
        <v>3</v>
      </c>
      <c r="G1308">
        <v>2</v>
      </c>
      <c r="H1308">
        <v>1</v>
      </c>
      <c r="I1308">
        <v>1</v>
      </c>
      <c r="J1308" s="4" t="s">
        <v>54</v>
      </c>
      <c r="K1308" t="str">
        <f t="shared" si="68"/>
        <v>2+1</v>
      </c>
      <c r="L1308">
        <f>VLOOKUP(A1308,'ZONE 1 PREMIUM'!$A$4:$N$16,14,0)</f>
        <v>8</v>
      </c>
      <c r="M1308">
        <f>VLOOKUP(D1308,DROPDOWN!B:C,2,0)</f>
        <v>6</v>
      </c>
      <c r="N1308" t="str">
        <f t="shared" si="69"/>
        <v>CO98:DG109</v>
      </c>
      <c r="O1308" s="4">
        <f t="shared" ca="1" si="67"/>
        <v>80742.840000000011</v>
      </c>
    </row>
    <row r="1309" spans="1:15">
      <c r="A1309" s="2" t="s">
        <v>18</v>
      </c>
      <c r="B1309" t="s">
        <v>39</v>
      </c>
      <c r="C1309" t="s">
        <v>40</v>
      </c>
      <c r="D1309">
        <v>10</v>
      </c>
      <c r="E1309" t="s">
        <v>46</v>
      </c>
      <c r="F1309">
        <v>3</v>
      </c>
      <c r="G1309">
        <v>2</v>
      </c>
      <c r="H1309">
        <v>1</v>
      </c>
      <c r="I1309">
        <v>1</v>
      </c>
      <c r="J1309" s="4" t="s">
        <v>54</v>
      </c>
      <c r="K1309" t="str">
        <f t="shared" si="68"/>
        <v>2+1</v>
      </c>
      <c r="L1309">
        <f>VLOOKUP(A1309,'ZONE 1 PREMIUM'!$A$4:$N$16,14,0)</f>
        <v>9</v>
      </c>
      <c r="M1309">
        <f>VLOOKUP(D1309,DROPDOWN!B:C,2,0)</f>
        <v>6</v>
      </c>
      <c r="N1309" t="str">
        <f t="shared" si="69"/>
        <v>CO98:DG109</v>
      </c>
      <c r="O1309" s="4">
        <f t="shared" ca="1" si="67"/>
        <v>111270.47</v>
      </c>
    </row>
    <row r="1310" spans="1:15">
      <c r="A1310" s="2" t="s">
        <v>19</v>
      </c>
      <c r="B1310" t="s">
        <v>41</v>
      </c>
      <c r="C1310" t="s">
        <v>42</v>
      </c>
      <c r="D1310">
        <v>10</v>
      </c>
      <c r="E1310" t="s">
        <v>46</v>
      </c>
      <c r="F1310">
        <v>3</v>
      </c>
      <c r="G1310">
        <v>2</v>
      </c>
      <c r="H1310">
        <v>1</v>
      </c>
      <c r="I1310">
        <v>1</v>
      </c>
      <c r="J1310" s="4" t="s">
        <v>54</v>
      </c>
      <c r="K1310" t="str">
        <f t="shared" si="68"/>
        <v>2+1</v>
      </c>
      <c r="L1310">
        <f>VLOOKUP(A1310,'ZONE 1 PREMIUM'!$A$4:$N$16,14,0)</f>
        <v>10</v>
      </c>
      <c r="M1310">
        <f>VLOOKUP(D1310,DROPDOWN!B:C,2,0)</f>
        <v>6</v>
      </c>
      <c r="N1310" t="str">
        <f t="shared" si="69"/>
        <v>CO98:DG109</v>
      </c>
      <c r="O1310" s="4">
        <f t="shared" ca="1" si="67"/>
        <v>148313.03</v>
      </c>
    </row>
    <row r="1311" spans="1:15">
      <c r="A1311" s="2" t="s">
        <v>20</v>
      </c>
      <c r="B1311" t="s">
        <v>43</v>
      </c>
      <c r="C1311" t="s">
        <v>44</v>
      </c>
      <c r="D1311">
        <v>10</v>
      </c>
      <c r="E1311" t="s">
        <v>46</v>
      </c>
      <c r="F1311">
        <v>3</v>
      </c>
      <c r="G1311">
        <v>2</v>
      </c>
      <c r="H1311">
        <v>1</v>
      </c>
      <c r="I1311">
        <v>1</v>
      </c>
      <c r="J1311" s="4" t="s">
        <v>54</v>
      </c>
      <c r="K1311" t="str">
        <f t="shared" si="68"/>
        <v>2+1</v>
      </c>
      <c r="L1311">
        <f>VLOOKUP(A1311,'ZONE 1 PREMIUM'!$A$4:$N$16,14,0)</f>
        <v>11</v>
      </c>
      <c r="M1311">
        <f>VLOOKUP(D1311,DROPDOWN!B:C,2,0)</f>
        <v>6</v>
      </c>
      <c r="N1311" t="str">
        <f t="shared" si="69"/>
        <v>CO98:DG109</v>
      </c>
      <c r="O1311" s="4">
        <f t="shared" ca="1" si="67"/>
        <v>180848.44</v>
      </c>
    </row>
    <row r="1312" spans="1:15">
      <c r="A1312" s="2" t="s">
        <v>21</v>
      </c>
      <c r="B1312" t="s">
        <v>22</v>
      </c>
      <c r="D1312">
        <v>10</v>
      </c>
      <c r="E1312" t="s">
        <v>46</v>
      </c>
      <c r="F1312">
        <v>3</v>
      </c>
      <c r="G1312">
        <v>2</v>
      </c>
      <c r="H1312">
        <v>1</v>
      </c>
      <c r="I1312">
        <v>1</v>
      </c>
      <c r="J1312" s="4" t="s">
        <v>54</v>
      </c>
      <c r="K1312" t="str">
        <f t="shared" si="68"/>
        <v>2+1</v>
      </c>
      <c r="L1312">
        <f>VLOOKUP(A1312,'ZONE 1 PREMIUM'!$A$4:$N$16,14,0)</f>
        <v>12</v>
      </c>
      <c r="M1312">
        <f>VLOOKUP(D1312,DROPDOWN!B:C,2,0)</f>
        <v>6</v>
      </c>
      <c r="N1312" t="str">
        <f t="shared" si="69"/>
        <v>CO98:DG109</v>
      </c>
      <c r="O1312" s="4">
        <f t="shared" ca="1" si="67"/>
        <v>229951.85</v>
      </c>
    </row>
    <row r="1313" spans="1:15">
      <c r="A1313" s="2" t="s">
        <v>11</v>
      </c>
      <c r="B1313" t="s">
        <v>45</v>
      </c>
      <c r="C1313" t="s">
        <v>25</v>
      </c>
      <c r="D1313">
        <v>10</v>
      </c>
      <c r="E1313" t="s">
        <v>46</v>
      </c>
      <c r="F1313">
        <v>4</v>
      </c>
      <c r="G1313">
        <v>2</v>
      </c>
      <c r="H1313">
        <v>2</v>
      </c>
      <c r="I1313">
        <v>1</v>
      </c>
      <c r="J1313" s="4" t="s">
        <v>54</v>
      </c>
      <c r="K1313" t="str">
        <f t="shared" si="68"/>
        <v>2+2</v>
      </c>
      <c r="L1313">
        <f>VLOOKUP(A1313,'ZONE 1 PREMIUM'!$A$4:$N$16,14,0)</f>
        <v>2</v>
      </c>
      <c r="M1313">
        <f>VLOOKUP(D1313,DROPDOWN!B:C,2,0)</f>
        <v>6</v>
      </c>
      <c r="N1313" t="str">
        <f t="shared" si="69"/>
        <v>CO113:DG124</v>
      </c>
      <c r="O1313" s="4">
        <f t="shared" ca="1" si="67"/>
        <v>28905.710000000003</v>
      </c>
    </row>
    <row r="1314" spans="1:15">
      <c r="A1314" s="2" t="s">
        <v>12</v>
      </c>
      <c r="B1314" t="s">
        <v>27</v>
      </c>
      <c r="C1314" t="s">
        <v>28</v>
      </c>
      <c r="D1314">
        <v>10</v>
      </c>
      <c r="E1314" t="s">
        <v>46</v>
      </c>
      <c r="F1314">
        <v>4</v>
      </c>
      <c r="G1314">
        <v>2</v>
      </c>
      <c r="H1314">
        <v>2</v>
      </c>
      <c r="I1314">
        <v>1</v>
      </c>
      <c r="J1314" s="4" t="s">
        <v>54</v>
      </c>
      <c r="K1314" t="str">
        <f t="shared" si="68"/>
        <v>2+2</v>
      </c>
      <c r="L1314">
        <f>VLOOKUP(A1314,'ZONE 1 PREMIUM'!$A$4:$N$16,14,0)</f>
        <v>3</v>
      </c>
      <c r="M1314">
        <f>VLOOKUP(D1314,DROPDOWN!B:C,2,0)</f>
        <v>6</v>
      </c>
      <c r="N1314" t="str">
        <f t="shared" si="69"/>
        <v>CO113:DG124</v>
      </c>
      <c r="O1314" s="4">
        <f t="shared" ca="1" si="67"/>
        <v>31655.780000000002</v>
      </c>
    </row>
    <row r="1315" spans="1:15">
      <c r="A1315" s="2" t="s">
        <v>13</v>
      </c>
      <c r="B1315" t="s">
        <v>29</v>
      </c>
      <c r="C1315" t="s">
        <v>30</v>
      </c>
      <c r="D1315">
        <v>10</v>
      </c>
      <c r="E1315" t="s">
        <v>46</v>
      </c>
      <c r="F1315">
        <v>4</v>
      </c>
      <c r="G1315">
        <v>2</v>
      </c>
      <c r="H1315">
        <v>2</v>
      </c>
      <c r="I1315">
        <v>1</v>
      </c>
      <c r="J1315" s="4" t="s">
        <v>54</v>
      </c>
      <c r="K1315" t="str">
        <f t="shared" si="68"/>
        <v>2+2</v>
      </c>
      <c r="L1315">
        <f>VLOOKUP(A1315,'ZONE 1 PREMIUM'!$A$4:$N$16,14,0)</f>
        <v>4</v>
      </c>
      <c r="M1315">
        <f>VLOOKUP(D1315,DROPDOWN!B:C,2,0)</f>
        <v>6</v>
      </c>
      <c r="N1315" t="str">
        <f t="shared" si="69"/>
        <v>CO113:DG124</v>
      </c>
      <c r="O1315" s="4">
        <f t="shared" ca="1" si="67"/>
        <v>35569.97</v>
      </c>
    </row>
    <row r="1316" spans="1:15">
      <c r="A1316" s="2" t="s">
        <v>14</v>
      </c>
      <c r="B1316" t="s">
        <v>31</v>
      </c>
      <c r="C1316" t="s">
        <v>32</v>
      </c>
      <c r="D1316">
        <v>10</v>
      </c>
      <c r="E1316" t="s">
        <v>46</v>
      </c>
      <c r="F1316">
        <v>4</v>
      </c>
      <c r="G1316">
        <v>2</v>
      </c>
      <c r="H1316">
        <v>2</v>
      </c>
      <c r="I1316">
        <v>1</v>
      </c>
      <c r="J1316" s="4" t="s">
        <v>54</v>
      </c>
      <c r="K1316" t="str">
        <f t="shared" si="68"/>
        <v>2+2</v>
      </c>
      <c r="L1316">
        <f>VLOOKUP(A1316,'ZONE 1 PREMIUM'!$A$4:$N$16,14,0)</f>
        <v>5</v>
      </c>
      <c r="M1316">
        <f>VLOOKUP(D1316,DROPDOWN!B:C,2,0)</f>
        <v>6</v>
      </c>
      <c r="N1316" t="str">
        <f t="shared" si="69"/>
        <v>CO113:DG124</v>
      </c>
      <c r="O1316" s="4">
        <f t="shared" ca="1" si="67"/>
        <v>40325.64</v>
      </c>
    </row>
    <row r="1317" spans="1:15">
      <c r="A1317" s="2" t="s">
        <v>15</v>
      </c>
      <c r="B1317" t="s">
        <v>33</v>
      </c>
      <c r="C1317" t="s">
        <v>34</v>
      </c>
      <c r="D1317">
        <v>10</v>
      </c>
      <c r="E1317" t="s">
        <v>46</v>
      </c>
      <c r="F1317">
        <v>4</v>
      </c>
      <c r="G1317">
        <v>2</v>
      </c>
      <c r="H1317">
        <v>2</v>
      </c>
      <c r="I1317">
        <v>1</v>
      </c>
      <c r="J1317" s="4" t="s">
        <v>54</v>
      </c>
      <c r="K1317" t="str">
        <f t="shared" si="68"/>
        <v>2+2</v>
      </c>
      <c r="L1317">
        <f>VLOOKUP(A1317,'ZONE 1 PREMIUM'!$A$4:$N$16,14,0)</f>
        <v>6</v>
      </c>
      <c r="M1317">
        <f>VLOOKUP(D1317,DROPDOWN!B:C,2,0)</f>
        <v>6</v>
      </c>
      <c r="N1317" t="str">
        <f t="shared" si="69"/>
        <v>CO113:DG124</v>
      </c>
      <c r="O1317" s="4">
        <f t="shared" ca="1" si="67"/>
        <v>51465.440000000002</v>
      </c>
    </row>
    <row r="1318" spans="1:15">
      <c r="A1318" s="2" t="s">
        <v>16</v>
      </c>
      <c r="B1318" t="s">
        <v>35</v>
      </c>
      <c r="C1318" t="s">
        <v>36</v>
      </c>
      <c r="D1318">
        <v>10</v>
      </c>
      <c r="E1318" t="s">
        <v>46</v>
      </c>
      <c r="F1318">
        <v>4</v>
      </c>
      <c r="G1318">
        <v>2</v>
      </c>
      <c r="H1318">
        <v>2</v>
      </c>
      <c r="I1318">
        <v>1</v>
      </c>
      <c r="J1318" s="4" t="s">
        <v>54</v>
      </c>
      <c r="K1318" t="str">
        <f t="shared" si="68"/>
        <v>2+2</v>
      </c>
      <c r="L1318">
        <f>VLOOKUP(A1318,'ZONE 1 PREMIUM'!$A$4:$N$16,14,0)</f>
        <v>7</v>
      </c>
      <c r="M1318">
        <f>VLOOKUP(D1318,DROPDOWN!B:C,2,0)</f>
        <v>6</v>
      </c>
      <c r="N1318" t="str">
        <f t="shared" si="69"/>
        <v>CO113:DG124</v>
      </c>
      <c r="O1318" s="4">
        <f t="shared" ca="1" si="67"/>
        <v>67777.290000000008</v>
      </c>
    </row>
    <row r="1319" spans="1:15">
      <c r="A1319" s="2" t="s">
        <v>17</v>
      </c>
      <c r="B1319" t="s">
        <v>37</v>
      </c>
      <c r="C1319" t="s">
        <v>38</v>
      </c>
      <c r="D1319">
        <v>10</v>
      </c>
      <c r="E1319" t="s">
        <v>46</v>
      </c>
      <c r="F1319">
        <v>4</v>
      </c>
      <c r="G1319">
        <v>2</v>
      </c>
      <c r="H1319">
        <v>2</v>
      </c>
      <c r="I1319">
        <v>1</v>
      </c>
      <c r="J1319" s="4" t="s">
        <v>54</v>
      </c>
      <c r="K1319" t="str">
        <f t="shared" si="68"/>
        <v>2+2</v>
      </c>
      <c r="L1319">
        <f>VLOOKUP(A1319,'ZONE 1 PREMIUM'!$A$4:$N$16,14,0)</f>
        <v>8</v>
      </c>
      <c r="M1319">
        <f>VLOOKUP(D1319,DROPDOWN!B:C,2,0)</f>
        <v>6</v>
      </c>
      <c r="N1319" t="str">
        <f t="shared" si="69"/>
        <v>CO113:DG124</v>
      </c>
      <c r="O1319" s="4">
        <f t="shared" ca="1" si="67"/>
        <v>87360.23000000001</v>
      </c>
    </row>
    <row r="1320" spans="1:15">
      <c r="A1320" s="2" t="s">
        <v>18</v>
      </c>
      <c r="B1320" t="s">
        <v>39</v>
      </c>
      <c r="C1320" t="s">
        <v>40</v>
      </c>
      <c r="D1320">
        <v>10</v>
      </c>
      <c r="E1320" t="s">
        <v>46</v>
      </c>
      <c r="F1320">
        <v>4</v>
      </c>
      <c r="G1320">
        <v>2</v>
      </c>
      <c r="H1320">
        <v>2</v>
      </c>
      <c r="I1320">
        <v>1</v>
      </c>
      <c r="J1320" s="4" t="s">
        <v>54</v>
      </c>
      <c r="K1320" t="str">
        <f t="shared" si="68"/>
        <v>2+2</v>
      </c>
      <c r="L1320">
        <f>VLOOKUP(A1320,'ZONE 1 PREMIUM'!$A$4:$N$16,14,0)</f>
        <v>9</v>
      </c>
      <c r="M1320">
        <f>VLOOKUP(D1320,DROPDOWN!B:C,2,0)</f>
        <v>6</v>
      </c>
      <c r="N1320" t="str">
        <f t="shared" si="69"/>
        <v>CO113:DG124</v>
      </c>
      <c r="O1320" s="4">
        <f t="shared" ca="1" si="67"/>
        <v>116481.76000000001</v>
      </c>
    </row>
    <row r="1321" spans="1:15">
      <c r="A1321" s="2" t="s">
        <v>19</v>
      </c>
      <c r="B1321" t="s">
        <v>41</v>
      </c>
      <c r="C1321" t="s">
        <v>42</v>
      </c>
      <c r="D1321">
        <v>10</v>
      </c>
      <c r="E1321" t="s">
        <v>46</v>
      </c>
      <c r="F1321">
        <v>4</v>
      </c>
      <c r="G1321">
        <v>2</v>
      </c>
      <c r="H1321">
        <v>2</v>
      </c>
      <c r="I1321">
        <v>1</v>
      </c>
      <c r="J1321" s="4" t="s">
        <v>54</v>
      </c>
      <c r="K1321" t="str">
        <f t="shared" si="68"/>
        <v>2+2</v>
      </c>
      <c r="L1321">
        <f>VLOOKUP(A1321,'ZONE 1 PREMIUM'!$A$4:$N$16,14,0)</f>
        <v>10</v>
      </c>
      <c r="M1321">
        <f>VLOOKUP(D1321,DROPDOWN!B:C,2,0)</f>
        <v>6</v>
      </c>
      <c r="N1321" t="str">
        <f t="shared" si="69"/>
        <v>CO113:DG124</v>
      </c>
      <c r="O1321" s="4">
        <f t="shared" ca="1" si="67"/>
        <v>150406.92000000001</v>
      </c>
    </row>
    <row r="1322" spans="1:15">
      <c r="A1322" s="2" t="s">
        <v>20</v>
      </c>
      <c r="B1322" t="s">
        <v>43</v>
      </c>
      <c r="C1322" t="s">
        <v>44</v>
      </c>
      <c r="D1322">
        <v>10</v>
      </c>
      <c r="E1322" t="s">
        <v>46</v>
      </c>
      <c r="F1322">
        <v>4</v>
      </c>
      <c r="G1322">
        <v>2</v>
      </c>
      <c r="H1322">
        <v>2</v>
      </c>
      <c r="I1322">
        <v>1</v>
      </c>
      <c r="J1322" s="4" t="s">
        <v>54</v>
      </c>
      <c r="K1322" t="str">
        <f t="shared" si="68"/>
        <v>2+2</v>
      </c>
      <c r="L1322">
        <f>VLOOKUP(A1322,'ZONE 1 PREMIUM'!$A$4:$N$16,14,0)</f>
        <v>11</v>
      </c>
      <c r="M1322">
        <f>VLOOKUP(D1322,DROPDOWN!B:C,2,0)</f>
        <v>6</v>
      </c>
      <c r="N1322" t="str">
        <f t="shared" si="69"/>
        <v>CO113:DG124</v>
      </c>
      <c r="O1322" s="4">
        <f t="shared" ca="1" si="67"/>
        <v>183238.81000000003</v>
      </c>
    </row>
    <row r="1323" spans="1:15">
      <c r="A1323" s="2" t="s">
        <v>21</v>
      </c>
      <c r="B1323" t="s">
        <v>22</v>
      </c>
      <c r="D1323">
        <v>10</v>
      </c>
      <c r="E1323" t="s">
        <v>46</v>
      </c>
      <c r="F1323">
        <v>4</v>
      </c>
      <c r="G1323">
        <v>2</v>
      </c>
      <c r="H1323">
        <v>2</v>
      </c>
      <c r="I1323">
        <v>1</v>
      </c>
      <c r="J1323" s="4" t="s">
        <v>54</v>
      </c>
      <c r="K1323" t="str">
        <f t="shared" si="68"/>
        <v>2+2</v>
      </c>
      <c r="L1323">
        <f>VLOOKUP(A1323,'ZONE 1 PREMIUM'!$A$4:$N$16,14,0)</f>
        <v>12</v>
      </c>
      <c r="M1323">
        <f>VLOOKUP(D1323,DROPDOWN!B:C,2,0)</f>
        <v>6</v>
      </c>
      <c r="N1323" t="str">
        <f t="shared" si="69"/>
        <v>CO113:DG124</v>
      </c>
      <c r="O1323" s="4">
        <f t="shared" ca="1" si="67"/>
        <v>232489.37000000002</v>
      </c>
    </row>
    <row r="1324" spans="1:15">
      <c r="A1324" s="2" t="s">
        <v>11</v>
      </c>
      <c r="B1324" t="s">
        <v>45</v>
      </c>
      <c r="C1324" t="s">
        <v>25</v>
      </c>
      <c r="D1324">
        <v>10</v>
      </c>
      <c r="E1324" t="s">
        <v>46</v>
      </c>
      <c r="F1324">
        <v>5</v>
      </c>
      <c r="G1324">
        <v>2</v>
      </c>
      <c r="H1324">
        <v>3</v>
      </c>
      <c r="I1324">
        <v>1</v>
      </c>
      <c r="J1324" s="4" t="s">
        <v>54</v>
      </c>
      <c r="K1324" t="str">
        <f t="shared" si="68"/>
        <v>2+3</v>
      </c>
      <c r="L1324">
        <f>VLOOKUP(A1324,'ZONE 1 PREMIUM'!$A$4:$N$16,14,0)</f>
        <v>2</v>
      </c>
      <c r="M1324">
        <f>VLOOKUP(D1324,DROPDOWN!B:C,2,0)</f>
        <v>6</v>
      </c>
      <c r="N1324" t="str">
        <f t="shared" si="69"/>
        <v>CO128:DG139</v>
      </c>
      <c r="O1324" s="4">
        <f t="shared" ca="1" si="67"/>
        <v>33116.380000000005</v>
      </c>
    </row>
    <row r="1325" spans="1:15">
      <c r="A1325" s="2" t="s">
        <v>12</v>
      </c>
      <c r="B1325" t="s">
        <v>27</v>
      </c>
      <c r="C1325" t="s">
        <v>28</v>
      </c>
      <c r="D1325">
        <v>10</v>
      </c>
      <c r="E1325" t="s">
        <v>46</v>
      </c>
      <c r="F1325">
        <v>5</v>
      </c>
      <c r="G1325">
        <v>2</v>
      </c>
      <c r="H1325">
        <v>3</v>
      </c>
      <c r="I1325">
        <v>1</v>
      </c>
      <c r="J1325" s="4" t="s">
        <v>54</v>
      </c>
      <c r="K1325" t="str">
        <f t="shared" si="68"/>
        <v>2+3</v>
      </c>
      <c r="L1325">
        <f>VLOOKUP(A1325,'ZONE 1 PREMIUM'!$A$4:$N$16,14,0)</f>
        <v>3</v>
      </c>
      <c r="M1325">
        <f>VLOOKUP(D1325,DROPDOWN!B:C,2,0)</f>
        <v>6</v>
      </c>
      <c r="N1325" t="str">
        <f t="shared" si="69"/>
        <v>CO128:DG139</v>
      </c>
      <c r="O1325" s="4">
        <f t="shared" ca="1" si="67"/>
        <v>35790.15</v>
      </c>
    </row>
    <row r="1326" spans="1:15">
      <c r="A1326" s="2" t="s">
        <v>13</v>
      </c>
      <c r="B1326" t="s">
        <v>29</v>
      </c>
      <c r="C1326" t="s">
        <v>30</v>
      </c>
      <c r="D1326">
        <v>10</v>
      </c>
      <c r="E1326" t="s">
        <v>46</v>
      </c>
      <c r="F1326">
        <v>5</v>
      </c>
      <c r="G1326">
        <v>2</v>
      </c>
      <c r="H1326">
        <v>3</v>
      </c>
      <c r="I1326">
        <v>1</v>
      </c>
      <c r="J1326" s="4" t="s">
        <v>54</v>
      </c>
      <c r="K1326" t="str">
        <f t="shared" si="68"/>
        <v>2+3</v>
      </c>
      <c r="L1326">
        <f>VLOOKUP(A1326,'ZONE 1 PREMIUM'!$A$4:$N$16,14,0)</f>
        <v>4</v>
      </c>
      <c r="M1326">
        <f>VLOOKUP(D1326,DROPDOWN!B:C,2,0)</f>
        <v>6</v>
      </c>
      <c r="N1326" t="str">
        <f t="shared" si="69"/>
        <v>CO128:DG139</v>
      </c>
      <c r="O1326" s="4">
        <f t="shared" ca="1" si="67"/>
        <v>40360.520000000004</v>
      </c>
    </row>
    <row r="1327" spans="1:15">
      <c r="A1327" s="2" t="s">
        <v>14</v>
      </c>
      <c r="B1327" t="s">
        <v>31</v>
      </c>
      <c r="C1327" t="s">
        <v>32</v>
      </c>
      <c r="D1327">
        <v>10</v>
      </c>
      <c r="E1327" t="s">
        <v>46</v>
      </c>
      <c r="F1327">
        <v>5</v>
      </c>
      <c r="G1327">
        <v>2</v>
      </c>
      <c r="H1327">
        <v>3</v>
      </c>
      <c r="I1327">
        <v>1</v>
      </c>
      <c r="J1327" s="4" t="s">
        <v>54</v>
      </c>
      <c r="K1327" t="str">
        <f t="shared" si="68"/>
        <v>2+3</v>
      </c>
      <c r="L1327">
        <f>VLOOKUP(A1327,'ZONE 1 PREMIUM'!$A$4:$N$16,14,0)</f>
        <v>5</v>
      </c>
      <c r="M1327">
        <f>VLOOKUP(D1327,DROPDOWN!B:C,2,0)</f>
        <v>6</v>
      </c>
      <c r="N1327" t="str">
        <f t="shared" si="69"/>
        <v>CO128:DG139</v>
      </c>
      <c r="O1327" s="4">
        <f t="shared" ca="1" si="67"/>
        <v>45423.57</v>
      </c>
    </row>
    <row r="1328" spans="1:15">
      <c r="A1328" s="2" t="s">
        <v>15</v>
      </c>
      <c r="B1328" t="s">
        <v>33</v>
      </c>
      <c r="C1328" t="s">
        <v>34</v>
      </c>
      <c r="D1328">
        <v>10</v>
      </c>
      <c r="E1328" t="s">
        <v>46</v>
      </c>
      <c r="F1328">
        <v>5</v>
      </c>
      <c r="G1328">
        <v>2</v>
      </c>
      <c r="H1328">
        <v>3</v>
      </c>
      <c r="I1328">
        <v>1</v>
      </c>
      <c r="J1328" s="4" t="s">
        <v>54</v>
      </c>
      <c r="K1328" t="str">
        <f t="shared" si="68"/>
        <v>2+3</v>
      </c>
      <c r="L1328">
        <f>VLOOKUP(A1328,'ZONE 1 PREMIUM'!$A$4:$N$16,14,0)</f>
        <v>6</v>
      </c>
      <c r="M1328">
        <f>VLOOKUP(D1328,DROPDOWN!B:C,2,0)</f>
        <v>6</v>
      </c>
      <c r="N1328" t="str">
        <f t="shared" si="69"/>
        <v>CO128:DG139</v>
      </c>
      <c r="O1328" s="4">
        <f t="shared" ca="1" si="67"/>
        <v>57182.490000000005</v>
      </c>
    </row>
    <row r="1329" spans="1:15">
      <c r="A1329" s="2" t="s">
        <v>16</v>
      </c>
      <c r="B1329" t="s">
        <v>35</v>
      </c>
      <c r="C1329" t="s">
        <v>36</v>
      </c>
      <c r="D1329">
        <v>10</v>
      </c>
      <c r="E1329" t="s">
        <v>46</v>
      </c>
      <c r="F1329">
        <v>5</v>
      </c>
      <c r="G1329">
        <v>2</v>
      </c>
      <c r="H1329">
        <v>3</v>
      </c>
      <c r="I1329">
        <v>1</v>
      </c>
      <c r="J1329" s="4" t="s">
        <v>54</v>
      </c>
      <c r="K1329" t="str">
        <f t="shared" si="68"/>
        <v>2+3</v>
      </c>
      <c r="L1329">
        <f>VLOOKUP(A1329,'ZONE 1 PREMIUM'!$A$4:$N$16,14,0)</f>
        <v>7</v>
      </c>
      <c r="M1329">
        <f>VLOOKUP(D1329,DROPDOWN!B:C,2,0)</f>
        <v>6</v>
      </c>
      <c r="N1329" t="str">
        <f t="shared" si="69"/>
        <v>CO128:DG139</v>
      </c>
      <c r="O1329" s="4">
        <f t="shared" ca="1" si="67"/>
        <v>73516.14</v>
      </c>
    </row>
    <row r="1330" spans="1:15">
      <c r="A1330" s="2" t="s">
        <v>17</v>
      </c>
      <c r="B1330" t="s">
        <v>37</v>
      </c>
      <c r="C1330" t="s">
        <v>38</v>
      </c>
      <c r="D1330">
        <v>10</v>
      </c>
      <c r="E1330" t="s">
        <v>46</v>
      </c>
      <c r="F1330">
        <v>5</v>
      </c>
      <c r="G1330">
        <v>2</v>
      </c>
      <c r="H1330">
        <v>3</v>
      </c>
      <c r="I1330">
        <v>1</v>
      </c>
      <c r="J1330" s="4" t="s">
        <v>54</v>
      </c>
      <c r="K1330" t="str">
        <f t="shared" si="68"/>
        <v>2+3</v>
      </c>
      <c r="L1330">
        <f>VLOOKUP(A1330,'ZONE 1 PREMIUM'!$A$4:$N$16,14,0)</f>
        <v>8</v>
      </c>
      <c r="M1330">
        <f>VLOOKUP(D1330,DROPDOWN!B:C,2,0)</f>
        <v>6</v>
      </c>
      <c r="N1330" t="str">
        <f t="shared" si="69"/>
        <v>CO128:DG139</v>
      </c>
      <c r="O1330" s="4">
        <f t="shared" ca="1" si="67"/>
        <v>92554.08</v>
      </c>
    </row>
    <row r="1331" spans="1:15">
      <c r="A1331" s="2" t="s">
        <v>18</v>
      </c>
      <c r="B1331" t="s">
        <v>39</v>
      </c>
      <c r="C1331" t="s">
        <v>40</v>
      </c>
      <c r="D1331">
        <v>10</v>
      </c>
      <c r="E1331" t="s">
        <v>46</v>
      </c>
      <c r="F1331">
        <v>5</v>
      </c>
      <c r="G1331">
        <v>2</v>
      </c>
      <c r="H1331">
        <v>3</v>
      </c>
      <c r="I1331">
        <v>1</v>
      </c>
      <c r="J1331" s="4" t="s">
        <v>54</v>
      </c>
      <c r="K1331" t="str">
        <f t="shared" si="68"/>
        <v>2+3</v>
      </c>
      <c r="L1331">
        <f>VLOOKUP(A1331,'ZONE 1 PREMIUM'!$A$4:$N$16,14,0)</f>
        <v>9</v>
      </c>
      <c r="M1331">
        <f>VLOOKUP(D1331,DROPDOWN!B:C,2,0)</f>
        <v>6</v>
      </c>
      <c r="N1331" t="str">
        <f t="shared" si="69"/>
        <v>CO128:DG139</v>
      </c>
      <c r="O1331" s="4">
        <f t="shared" ca="1" si="67"/>
        <v>121612.39000000001</v>
      </c>
    </row>
    <row r="1332" spans="1:15">
      <c r="A1332" s="2" t="s">
        <v>19</v>
      </c>
      <c r="B1332" t="s">
        <v>41</v>
      </c>
      <c r="C1332" t="s">
        <v>42</v>
      </c>
      <c r="D1332">
        <v>10</v>
      </c>
      <c r="E1332" t="s">
        <v>46</v>
      </c>
      <c r="F1332">
        <v>5</v>
      </c>
      <c r="G1332">
        <v>2</v>
      </c>
      <c r="H1332">
        <v>3</v>
      </c>
      <c r="I1332">
        <v>1</v>
      </c>
      <c r="J1332" s="4" t="s">
        <v>54</v>
      </c>
      <c r="K1332" t="str">
        <f t="shared" si="68"/>
        <v>2+3</v>
      </c>
      <c r="L1332">
        <f>VLOOKUP(A1332,'ZONE 1 PREMIUM'!$A$4:$N$16,14,0)</f>
        <v>10</v>
      </c>
      <c r="M1332">
        <f>VLOOKUP(D1332,DROPDOWN!B:C,2,0)</f>
        <v>6</v>
      </c>
      <c r="N1332" t="str">
        <f t="shared" si="69"/>
        <v>CO128:DG139</v>
      </c>
      <c r="O1332" s="4">
        <f t="shared" ca="1" si="67"/>
        <v>155251.97</v>
      </c>
    </row>
    <row r="1333" spans="1:15">
      <c r="A1333" s="2" t="s">
        <v>20</v>
      </c>
      <c r="B1333" t="s">
        <v>43</v>
      </c>
      <c r="C1333" t="s">
        <v>44</v>
      </c>
      <c r="D1333">
        <v>10</v>
      </c>
      <c r="E1333" t="s">
        <v>46</v>
      </c>
      <c r="F1333">
        <v>5</v>
      </c>
      <c r="G1333">
        <v>2</v>
      </c>
      <c r="H1333">
        <v>3</v>
      </c>
      <c r="I1333">
        <v>1</v>
      </c>
      <c r="J1333" s="4" t="s">
        <v>54</v>
      </c>
      <c r="K1333" t="str">
        <f t="shared" si="68"/>
        <v>2+3</v>
      </c>
      <c r="L1333">
        <f>VLOOKUP(A1333,'ZONE 1 PREMIUM'!$A$4:$N$16,14,0)</f>
        <v>11</v>
      </c>
      <c r="M1333">
        <f>VLOOKUP(D1333,DROPDOWN!B:C,2,0)</f>
        <v>6</v>
      </c>
      <c r="N1333" t="str">
        <f t="shared" si="69"/>
        <v>CO128:DG139</v>
      </c>
      <c r="O1333" s="4">
        <f t="shared" ca="1" si="67"/>
        <v>188671.37000000002</v>
      </c>
    </row>
    <row r="1334" spans="1:15">
      <c r="A1334" s="2" t="s">
        <v>21</v>
      </c>
      <c r="B1334" t="s">
        <v>22</v>
      </c>
      <c r="D1334">
        <v>10</v>
      </c>
      <c r="E1334" t="s">
        <v>46</v>
      </c>
      <c r="F1334">
        <v>5</v>
      </c>
      <c r="G1334">
        <v>2</v>
      </c>
      <c r="H1334">
        <v>3</v>
      </c>
      <c r="I1334">
        <v>1</v>
      </c>
      <c r="J1334" s="4" t="s">
        <v>54</v>
      </c>
      <c r="K1334" t="str">
        <f t="shared" si="68"/>
        <v>2+3</v>
      </c>
      <c r="L1334">
        <f>VLOOKUP(A1334,'ZONE 1 PREMIUM'!$A$4:$N$16,14,0)</f>
        <v>12</v>
      </c>
      <c r="M1334">
        <f>VLOOKUP(D1334,DROPDOWN!B:C,2,0)</f>
        <v>6</v>
      </c>
      <c r="N1334" t="str">
        <f t="shared" si="69"/>
        <v>CO128:DG139</v>
      </c>
      <c r="O1334" s="4">
        <f t="shared" ca="1" si="67"/>
        <v>238285.99000000002</v>
      </c>
    </row>
    <row r="1335" spans="1:15">
      <c r="A1335" s="2" t="s">
        <v>11</v>
      </c>
      <c r="B1335" t="s">
        <v>45</v>
      </c>
      <c r="C1335" t="s">
        <v>25</v>
      </c>
      <c r="D1335">
        <v>10</v>
      </c>
      <c r="E1335" t="s">
        <v>46</v>
      </c>
      <c r="F1335">
        <v>6</v>
      </c>
      <c r="G1335">
        <v>2</v>
      </c>
      <c r="H1335">
        <v>4</v>
      </c>
      <c r="I1335">
        <v>1</v>
      </c>
      <c r="J1335" s="4" t="s">
        <v>54</v>
      </c>
      <c r="K1335" t="str">
        <f t="shared" si="68"/>
        <v>2+4</v>
      </c>
      <c r="L1335">
        <f>VLOOKUP(A1335,'ZONE 1 PREMIUM'!$A$4:$N$16,14,0)</f>
        <v>2</v>
      </c>
      <c r="M1335">
        <f>VLOOKUP(D1335,DROPDOWN!B:C,2,0)</f>
        <v>6</v>
      </c>
      <c r="N1335" t="str">
        <f t="shared" si="69"/>
        <v>CO143:DG154</v>
      </c>
      <c r="O1335" s="4">
        <f t="shared" ca="1" si="67"/>
        <v>37327.050000000003</v>
      </c>
    </row>
    <row r="1336" spans="1:15">
      <c r="A1336" s="2" t="s">
        <v>12</v>
      </c>
      <c r="B1336" t="s">
        <v>27</v>
      </c>
      <c r="C1336" t="s">
        <v>28</v>
      </c>
      <c r="D1336">
        <v>10</v>
      </c>
      <c r="E1336" t="s">
        <v>46</v>
      </c>
      <c r="F1336">
        <v>6</v>
      </c>
      <c r="G1336">
        <v>2</v>
      </c>
      <c r="H1336">
        <v>4</v>
      </c>
      <c r="I1336">
        <v>1</v>
      </c>
      <c r="J1336" s="4" t="s">
        <v>54</v>
      </c>
      <c r="K1336" t="str">
        <f t="shared" si="68"/>
        <v>2+4</v>
      </c>
      <c r="L1336">
        <f>VLOOKUP(A1336,'ZONE 1 PREMIUM'!$A$4:$N$16,14,0)</f>
        <v>3</v>
      </c>
      <c r="M1336">
        <f>VLOOKUP(D1336,DROPDOWN!B:C,2,0)</f>
        <v>6</v>
      </c>
      <c r="N1336" t="str">
        <f t="shared" si="69"/>
        <v>CO143:DG154</v>
      </c>
      <c r="O1336" s="4">
        <f t="shared" ca="1" si="67"/>
        <v>39925.61</v>
      </c>
    </row>
    <row r="1337" spans="1:15">
      <c r="A1337" s="2" t="s">
        <v>13</v>
      </c>
      <c r="B1337" t="s">
        <v>29</v>
      </c>
      <c r="C1337" t="s">
        <v>30</v>
      </c>
      <c r="D1337">
        <v>10</v>
      </c>
      <c r="E1337" t="s">
        <v>46</v>
      </c>
      <c r="F1337">
        <v>6</v>
      </c>
      <c r="G1337">
        <v>2</v>
      </c>
      <c r="H1337">
        <v>4</v>
      </c>
      <c r="I1337">
        <v>1</v>
      </c>
      <c r="J1337" s="4" t="s">
        <v>54</v>
      </c>
      <c r="K1337" t="str">
        <f t="shared" si="68"/>
        <v>2+4</v>
      </c>
      <c r="L1337">
        <f>VLOOKUP(A1337,'ZONE 1 PREMIUM'!$A$4:$N$16,14,0)</f>
        <v>4</v>
      </c>
      <c r="M1337">
        <f>VLOOKUP(D1337,DROPDOWN!B:C,2,0)</f>
        <v>6</v>
      </c>
      <c r="N1337" t="str">
        <f t="shared" si="69"/>
        <v>CO143:DG154</v>
      </c>
      <c r="O1337" s="4">
        <f t="shared" ca="1" si="67"/>
        <v>45151.07</v>
      </c>
    </row>
    <row r="1338" spans="1:15">
      <c r="A1338" s="2" t="s">
        <v>14</v>
      </c>
      <c r="B1338" t="s">
        <v>31</v>
      </c>
      <c r="C1338" t="s">
        <v>32</v>
      </c>
      <c r="D1338">
        <v>10</v>
      </c>
      <c r="E1338" t="s">
        <v>46</v>
      </c>
      <c r="F1338">
        <v>6</v>
      </c>
      <c r="G1338">
        <v>2</v>
      </c>
      <c r="H1338">
        <v>4</v>
      </c>
      <c r="I1338">
        <v>1</v>
      </c>
      <c r="J1338" s="4" t="s">
        <v>54</v>
      </c>
      <c r="K1338" t="str">
        <f t="shared" si="68"/>
        <v>2+4</v>
      </c>
      <c r="L1338">
        <f>VLOOKUP(A1338,'ZONE 1 PREMIUM'!$A$4:$N$16,14,0)</f>
        <v>5</v>
      </c>
      <c r="M1338">
        <f>VLOOKUP(D1338,DROPDOWN!B:C,2,0)</f>
        <v>6</v>
      </c>
      <c r="N1338" t="str">
        <f t="shared" si="69"/>
        <v>CO143:DG154</v>
      </c>
      <c r="O1338" s="4">
        <f t="shared" ca="1" si="67"/>
        <v>50520.41</v>
      </c>
    </row>
    <row r="1339" spans="1:15">
      <c r="A1339" s="2" t="s">
        <v>15</v>
      </c>
      <c r="B1339" t="s">
        <v>33</v>
      </c>
      <c r="C1339" t="s">
        <v>34</v>
      </c>
      <c r="D1339">
        <v>10</v>
      </c>
      <c r="E1339" t="s">
        <v>46</v>
      </c>
      <c r="F1339">
        <v>6</v>
      </c>
      <c r="G1339">
        <v>2</v>
      </c>
      <c r="H1339">
        <v>4</v>
      </c>
      <c r="I1339">
        <v>1</v>
      </c>
      <c r="J1339" s="4" t="s">
        <v>54</v>
      </c>
      <c r="K1339" t="str">
        <f t="shared" si="68"/>
        <v>2+4</v>
      </c>
      <c r="L1339">
        <f>VLOOKUP(A1339,'ZONE 1 PREMIUM'!$A$4:$N$16,14,0)</f>
        <v>6</v>
      </c>
      <c r="M1339">
        <f>VLOOKUP(D1339,DROPDOWN!B:C,2,0)</f>
        <v>6</v>
      </c>
      <c r="N1339" t="str">
        <f t="shared" si="69"/>
        <v>CO143:DG154</v>
      </c>
      <c r="O1339" s="4">
        <f t="shared" ca="1" si="67"/>
        <v>62899.540000000008</v>
      </c>
    </row>
    <row r="1340" spans="1:15">
      <c r="A1340" s="2" t="s">
        <v>16</v>
      </c>
      <c r="B1340" t="s">
        <v>35</v>
      </c>
      <c r="C1340" t="s">
        <v>36</v>
      </c>
      <c r="D1340">
        <v>10</v>
      </c>
      <c r="E1340" t="s">
        <v>46</v>
      </c>
      <c r="F1340">
        <v>6</v>
      </c>
      <c r="G1340">
        <v>2</v>
      </c>
      <c r="H1340">
        <v>4</v>
      </c>
      <c r="I1340">
        <v>1</v>
      </c>
      <c r="J1340" s="4" t="s">
        <v>54</v>
      </c>
      <c r="K1340" t="str">
        <f t="shared" si="68"/>
        <v>2+4</v>
      </c>
      <c r="L1340">
        <f>VLOOKUP(A1340,'ZONE 1 PREMIUM'!$A$4:$N$16,14,0)</f>
        <v>7</v>
      </c>
      <c r="M1340">
        <f>VLOOKUP(D1340,DROPDOWN!B:C,2,0)</f>
        <v>6</v>
      </c>
      <c r="N1340" t="str">
        <f t="shared" si="69"/>
        <v>CO143:DG154</v>
      </c>
      <c r="O1340" s="4">
        <f t="shared" ca="1" si="67"/>
        <v>78671.840000000011</v>
      </c>
    </row>
    <row r="1341" spans="1:15">
      <c r="A1341" s="2" t="s">
        <v>17</v>
      </c>
      <c r="B1341" t="s">
        <v>37</v>
      </c>
      <c r="C1341" t="s">
        <v>38</v>
      </c>
      <c r="D1341">
        <v>10</v>
      </c>
      <c r="E1341" t="s">
        <v>46</v>
      </c>
      <c r="F1341">
        <v>6</v>
      </c>
      <c r="G1341">
        <v>2</v>
      </c>
      <c r="H1341">
        <v>4</v>
      </c>
      <c r="I1341">
        <v>1</v>
      </c>
      <c r="J1341" s="4" t="s">
        <v>54</v>
      </c>
      <c r="K1341" t="str">
        <f t="shared" si="68"/>
        <v>2+4</v>
      </c>
      <c r="L1341">
        <f>VLOOKUP(A1341,'ZONE 1 PREMIUM'!$A$4:$N$16,14,0)</f>
        <v>8</v>
      </c>
      <c r="M1341">
        <f>VLOOKUP(D1341,DROPDOWN!B:C,2,0)</f>
        <v>6</v>
      </c>
      <c r="N1341" t="str">
        <f t="shared" si="69"/>
        <v>CO143:DG154</v>
      </c>
      <c r="O1341" s="4">
        <f t="shared" ca="1" si="67"/>
        <v>97684.71</v>
      </c>
    </row>
    <row r="1342" spans="1:15">
      <c r="A1342" s="2" t="s">
        <v>18</v>
      </c>
      <c r="B1342" t="s">
        <v>39</v>
      </c>
      <c r="C1342" t="s">
        <v>40</v>
      </c>
      <c r="D1342">
        <v>10</v>
      </c>
      <c r="E1342" t="s">
        <v>46</v>
      </c>
      <c r="F1342">
        <v>6</v>
      </c>
      <c r="G1342">
        <v>2</v>
      </c>
      <c r="H1342">
        <v>4</v>
      </c>
      <c r="I1342">
        <v>1</v>
      </c>
      <c r="J1342" s="4" t="s">
        <v>54</v>
      </c>
      <c r="K1342" t="str">
        <f t="shared" si="68"/>
        <v>2+4</v>
      </c>
      <c r="L1342">
        <f>VLOOKUP(A1342,'ZONE 1 PREMIUM'!$A$4:$N$16,14,0)</f>
        <v>9</v>
      </c>
      <c r="M1342">
        <f>VLOOKUP(D1342,DROPDOWN!B:C,2,0)</f>
        <v>6</v>
      </c>
      <c r="N1342" t="str">
        <f t="shared" si="69"/>
        <v>CO143:DG154</v>
      </c>
      <c r="O1342" s="4">
        <f t="shared" ca="1" si="67"/>
        <v>126506.49</v>
      </c>
    </row>
    <row r="1343" spans="1:15">
      <c r="A1343" s="2" t="s">
        <v>19</v>
      </c>
      <c r="B1343" t="s">
        <v>41</v>
      </c>
      <c r="C1343" t="s">
        <v>42</v>
      </c>
      <c r="D1343">
        <v>10</v>
      </c>
      <c r="E1343" t="s">
        <v>46</v>
      </c>
      <c r="F1343">
        <v>6</v>
      </c>
      <c r="G1343">
        <v>2</v>
      </c>
      <c r="H1343">
        <v>4</v>
      </c>
      <c r="I1343">
        <v>1</v>
      </c>
      <c r="J1343" s="4" t="s">
        <v>54</v>
      </c>
      <c r="K1343" t="str">
        <f t="shared" si="68"/>
        <v>2+4</v>
      </c>
      <c r="L1343">
        <f>VLOOKUP(A1343,'ZONE 1 PREMIUM'!$A$4:$N$16,14,0)</f>
        <v>10</v>
      </c>
      <c r="M1343">
        <f>VLOOKUP(D1343,DROPDOWN!B:C,2,0)</f>
        <v>6</v>
      </c>
      <c r="N1343" t="str">
        <f t="shared" si="69"/>
        <v>CO143:DG154</v>
      </c>
      <c r="O1343" s="4">
        <f t="shared" ca="1" si="67"/>
        <v>160691.07</v>
      </c>
    </row>
    <row r="1344" spans="1:15">
      <c r="A1344" s="2" t="s">
        <v>20</v>
      </c>
      <c r="B1344" t="s">
        <v>43</v>
      </c>
      <c r="C1344" t="s">
        <v>44</v>
      </c>
      <c r="D1344">
        <v>10</v>
      </c>
      <c r="E1344" t="s">
        <v>46</v>
      </c>
      <c r="F1344">
        <v>6</v>
      </c>
      <c r="G1344">
        <v>2</v>
      </c>
      <c r="H1344">
        <v>4</v>
      </c>
      <c r="I1344">
        <v>1</v>
      </c>
      <c r="J1344" s="4" t="s">
        <v>54</v>
      </c>
      <c r="K1344" t="str">
        <f t="shared" si="68"/>
        <v>2+4</v>
      </c>
      <c r="L1344">
        <f>VLOOKUP(A1344,'ZONE 1 PREMIUM'!$A$4:$N$16,14,0)</f>
        <v>11</v>
      </c>
      <c r="M1344">
        <f>VLOOKUP(D1344,DROPDOWN!B:C,2,0)</f>
        <v>6</v>
      </c>
      <c r="N1344" t="str">
        <f t="shared" si="69"/>
        <v>CO143:DG154</v>
      </c>
      <c r="O1344" s="4">
        <f t="shared" ca="1" si="67"/>
        <v>193681.01</v>
      </c>
    </row>
    <row r="1345" spans="1:15">
      <c r="A1345" s="2" t="s">
        <v>21</v>
      </c>
      <c r="B1345" t="s">
        <v>22</v>
      </c>
      <c r="D1345">
        <v>10</v>
      </c>
      <c r="E1345" t="s">
        <v>46</v>
      </c>
      <c r="F1345">
        <v>6</v>
      </c>
      <c r="G1345">
        <v>2</v>
      </c>
      <c r="H1345">
        <v>4</v>
      </c>
      <c r="I1345">
        <v>1</v>
      </c>
      <c r="J1345" s="4" t="s">
        <v>54</v>
      </c>
      <c r="K1345" t="str">
        <f t="shared" si="68"/>
        <v>2+4</v>
      </c>
      <c r="L1345">
        <f>VLOOKUP(A1345,'ZONE 1 PREMIUM'!$A$4:$N$16,14,0)</f>
        <v>12</v>
      </c>
      <c r="M1345">
        <f>VLOOKUP(D1345,DROPDOWN!B:C,2,0)</f>
        <v>6</v>
      </c>
      <c r="N1345" t="str">
        <f t="shared" si="69"/>
        <v>CO143:DG154</v>
      </c>
      <c r="O1345" s="4">
        <f t="shared" ca="1" si="67"/>
        <v>242366.95</v>
      </c>
    </row>
    <row r="1346" spans="1:15">
      <c r="A1346" s="2" t="s">
        <v>9</v>
      </c>
      <c r="B1346" t="s">
        <v>47</v>
      </c>
      <c r="C1346" t="s">
        <v>48</v>
      </c>
      <c r="D1346">
        <v>15</v>
      </c>
      <c r="E1346" t="s">
        <v>26</v>
      </c>
      <c r="F1346">
        <v>1</v>
      </c>
      <c r="H1346">
        <v>1</v>
      </c>
      <c r="I1346">
        <v>1</v>
      </c>
      <c r="J1346" s="4" t="s">
        <v>52</v>
      </c>
      <c r="K1346" t="str">
        <f t="shared" si="68"/>
        <v>+1</v>
      </c>
      <c r="L1346">
        <f>VLOOKUP(A1346,'ZONE 1 PREMIUM'!$A$3:$M$16,13,0)</f>
        <v>2</v>
      </c>
      <c r="M1346">
        <f>VLOOKUP(D1346,DROPDOWN!B:C,2,0)</f>
        <v>7</v>
      </c>
      <c r="N1346" t="e">
        <f t="shared" ref="N1346:N1409" si="70">VLOOKUP(K1346,$AQ$3:$AR$12,2,0)</f>
        <v>#N/A</v>
      </c>
      <c r="O1346" s="13">
        <v>4514.5176416498443</v>
      </c>
    </row>
    <row r="1347" spans="1:15">
      <c r="A1347" s="2" t="s">
        <v>10</v>
      </c>
      <c r="B1347" t="s">
        <v>49</v>
      </c>
      <c r="C1347" t="s">
        <v>50</v>
      </c>
      <c r="D1347">
        <v>15</v>
      </c>
      <c r="E1347" t="s">
        <v>26</v>
      </c>
      <c r="F1347">
        <v>1</v>
      </c>
      <c r="G1347">
        <v>1</v>
      </c>
      <c r="H1347">
        <v>0</v>
      </c>
      <c r="I1347">
        <v>1</v>
      </c>
      <c r="J1347" s="4" t="s">
        <v>52</v>
      </c>
      <c r="K1347" t="str">
        <f t="shared" si="68"/>
        <v>1+0</v>
      </c>
      <c r="L1347">
        <f>VLOOKUP(A1347,'ZONE 1 PREMIUM'!$A$3:$M$16,13,0)</f>
        <v>3</v>
      </c>
      <c r="M1347">
        <f>VLOOKUP(D1347,DROPDOWN!B:C,2,0)</f>
        <v>7</v>
      </c>
      <c r="N1347" t="str">
        <f t="shared" si="70"/>
        <v>X3:AP16</v>
      </c>
      <c r="O1347" s="4">
        <f t="shared" ref="O1347:O1409" ca="1" si="71">INDEX(INDIRECT(N1347),L1347,M1347)</f>
        <v>7974.0999999999995</v>
      </c>
    </row>
    <row r="1348" spans="1:15">
      <c r="A1348" s="2" t="s">
        <v>11</v>
      </c>
      <c r="B1348" t="s">
        <v>45</v>
      </c>
      <c r="C1348" t="s">
        <v>25</v>
      </c>
      <c r="D1348">
        <v>15</v>
      </c>
      <c r="E1348" t="s">
        <v>26</v>
      </c>
      <c r="F1348">
        <v>1</v>
      </c>
      <c r="G1348">
        <v>1</v>
      </c>
      <c r="H1348">
        <v>0</v>
      </c>
      <c r="I1348">
        <v>1</v>
      </c>
      <c r="J1348" s="4" t="s">
        <v>52</v>
      </c>
      <c r="K1348" t="str">
        <f t="shared" ref="K1348:K1411" si="72">G1348&amp;"+"&amp;H1348</f>
        <v>1+0</v>
      </c>
      <c r="L1348">
        <f>VLOOKUP(A1348,'ZONE 1 PREMIUM'!$A$3:$M$16,13,0)</f>
        <v>4</v>
      </c>
      <c r="M1348">
        <f>VLOOKUP(D1348,DROPDOWN!B:C,2,0)</f>
        <v>7</v>
      </c>
      <c r="N1348" t="str">
        <f t="shared" si="70"/>
        <v>X3:AP16</v>
      </c>
      <c r="O1348" s="4">
        <f t="shared" ca="1" si="71"/>
        <v>21542.949999999997</v>
      </c>
    </row>
    <row r="1349" spans="1:15">
      <c r="A1349" s="2" t="s">
        <v>12</v>
      </c>
      <c r="B1349" t="s">
        <v>27</v>
      </c>
      <c r="C1349" t="s">
        <v>28</v>
      </c>
      <c r="D1349">
        <v>15</v>
      </c>
      <c r="E1349" t="s">
        <v>26</v>
      </c>
      <c r="F1349">
        <v>1</v>
      </c>
      <c r="G1349">
        <v>1</v>
      </c>
      <c r="H1349">
        <v>0</v>
      </c>
      <c r="I1349">
        <v>1</v>
      </c>
      <c r="J1349" s="4" t="s">
        <v>52</v>
      </c>
      <c r="K1349" t="str">
        <f t="shared" si="72"/>
        <v>1+0</v>
      </c>
      <c r="L1349">
        <f>VLOOKUP(A1349,'ZONE 1 PREMIUM'!$A$3:$M$16,13,0)</f>
        <v>5</v>
      </c>
      <c r="M1349">
        <f>VLOOKUP(D1349,DROPDOWN!B:C,2,0)</f>
        <v>7</v>
      </c>
      <c r="N1349" t="str">
        <f t="shared" si="70"/>
        <v>X3:AP16</v>
      </c>
      <c r="O1349" s="4">
        <f t="shared" ca="1" si="71"/>
        <v>24835.399999999998</v>
      </c>
    </row>
    <row r="1350" spans="1:15">
      <c r="A1350" s="2" t="s">
        <v>13</v>
      </c>
      <c r="B1350" t="s">
        <v>29</v>
      </c>
      <c r="C1350" t="s">
        <v>30</v>
      </c>
      <c r="D1350">
        <v>15</v>
      </c>
      <c r="E1350" t="s">
        <v>26</v>
      </c>
      <c r="F1350">
        <v>1</v>
      </c>
      <c r="G1350">
        <v>1</v>
      </c>
      <c r="H1350">
        <v>0</v>
      </c>
      <c r="I1350">
        <v>1</v>
      </c>
      <c r="J1350" s="4" t="s">
        <v>52</v>
      </c>
      <c r="K1350" t="str">
        <f t="shared" si="72"/>
        <v>1+0</v>
      </c>
      <c r="L1350">
        <f>VLOOKUP(A1350,'ZONE 1 PREMIUM'!$A$3:$M$16,13,0)</f>
        <v>6</v>
      </c>
      <c r="M1350">
        <f>VLOOKUP(D1350,DROPDOWN!B:C,2,0)</f>
        <v>7</v>
      </c>
      <c r="N1350" t="str">
        <f t="shared" si="70"/>
        <v>X3:AP16</v>
      </c>
      <c r="O1350" s="4">
        <f t="shared" ca="1" si="71"/>
        <v>28695.949999999997</v>
      </c>
    </row>
    <row r="1351" spans="1:15">
      <c r="A1351" s="2" t="s">
        <v>14</v>
      </c>
      <c r="B1351" t="s">
        <v>31</v>
      </c>
      <c r="C1351" t="s">
        <v>32</v>
      </c>
      <c r="D1351">
        <v>15</v>
      </c>
      <c r="E1351" t="s">
        <v>26</v>
      </c>
      <c r="F1351">
        <v>1</v>
      </c>
      <c r="G1351">
        <v>1</v>
      </c>
      <c r="H1351">
        <v>0</v>
      </c>
      <c r="I1351">
        <v>1</v>
      </c>
      <c r="J1351" s="4" t="s">
        <v>52</v>
      </c>
      <c r="K1351" t="str">
        <f t="shared" si="72"/>
        <v>1+0</v>
      </c>
      <c r="L1351">
        <f>VLOOKUP(A1351,'ZONE 1 PREMIUM'!$A$3:$M$16,13,0)</f>
        <v>7</v>
      </c>
      <c r="M1351">
        <f>VLOOKUP(D1351,DROPDOWN!B:C,2,0)</f>
        <v>7</v>
      </c>
      <c r="N1351" t="str">
        <f t="shared" si="70"/>
        <v>X3:AP16</v>
      </c>
      <c r="O1351" s="4">
        <f t="shared" ca="1" si="71"/>
        <v>33442</v>
      </c>
    </row>
    <row r="1352" spans="1:15">
      <c r="A1352" s="2" t="s">
        <v>15</v>
      </c>
      <c r="B1352" t="s">
        <v>33</v>
      </c>
      <c r="C1352" t="s">
        <v>34</v>
      </c>
      <c r="D1352">
        <v>15</v>
      </c>
      <c r="E1352" t="s">
        <v>26</v>
      </c>
      <c r="F1352">
        <v>1</v>
      </c>
      <c r="G1352">
        <v>1</v>
      </c>
      <c r="H1352">
        <v>0</v>
      </c>
      <c r="I1352">
        <v>1</v>
      </c>
      <c r="J1352" s="4" t="s">
        <v>52</v>
      </c>
      <c r="K1352" t="str">
        <f t="shared" si="72"/>
        <v>1+0</v>
      </c>
      <c r="L1352">
        <f>VLOOKUP(A1352,'ZONE 1 PREMIUM'!$A$3:$M$16,13,0)</f>
        <v>8</v>
      </c>
      <c r="M1352">
        <f>VLOOKUP(D1352,DROPDOWN!B:C,2,0)</f>
        <v>7</v>
      </c>
      <c r="N1352" t="str">
        <f t="shared" si="70"/>
        <v>X3:AP16</v>
      </c>
      <c r="O1352" s="4">
        <f t="shared" ca="1" si="71"/>
        <v>41587.449999999997</v>
      </c>
    </row>
    <row r="1353" spans="1:15">
      <c r="A1353" s="2" t="s">
        <v>16</v>
      </c>
      <c r="B1353" t="s">
        <v>35</v>
      </c>
      <c r="C1353" t="s">
        <v>36</v>
      </c>
      <c r="D1353">
        <v>15</v>
      </c>
      <c r="E1353" t="s">
        <v>26</v>
      </c>
      <c r="F1353">
        <v>1</v>
      </c>
      <c r="G1353">
        <v>1</v>
      </c>
      <c r="H1353">
        <v>0</v>
      </c>
      <c r="I1353">
        <v>1</v>
      </c>
      <c r="J1353" s="4" t="s">
        <v>52</v>
      </c>
      <c r="K1353" t="str">
        <f t="shared" si="72"/>
        <v>1+0</v>
      </c>
      <c r="L1353">
        <f>VLOOKUP(A1353,'ZONE 1 PREMIUM'!$A$3:$M$16,13,0)</f>
        <v>9</v>
      </c>
      <c r="M1353">
        <f>VLOOKUP(D1353,DROPDOWN!B:C,2,0)</f>
        <v>7</v>
      </c>
      <c r="N1353" t="str">
        <f t="shared" si="70"/>
        <v>X3:AP16</v>
      </c>
      <c r="O1353" s="4">
        <f t="shared" ca="1" si="71"/>
        <v>54760.7</v>
      </c>
    </row>
    <row r="1354" spans="1:15">
      <c r="A1354" s="2" t="s">
        <v>17</v>
      </c>
      <c r="B1354" t="s">
        <v>37</v>
      </c>
      <c r="C1354" t="s">
        <v>38</v>
      </c>
      <c r="D1354">
        <v>15</v>
      </c>
      <c r="E1354" t="s">
        <v>26</v>
      </c>
      <c r="F1354">
        <v>1</v>
      </c>
      <c r="G1354">
        <v>1</v>
      </c>
      <c r="H1354">
        <v>0</v>
      </c>
      <c r="I1354">
        <v>1</v>
      </c>
      <c r="J1354" s="4" t="s">
        <v>52</v>
      </c>
      <c r="K1354" t="str">
        <f t="shared" si="72"/>
        <v>1+0</v>
      </c>
      <c r="L1354">
        <f>VLOOKUP(A1354,'ZONE 1 PREMIUM'!$A$3:$M$16,13,0)</f>
        <v>10</v>
      </c>
      <c r="M1354">
        <f>VLOOKUP(D1354,DROPDOWN!B:C,2,0)</f>
        <v>7</v>
      </c>
      <c r="N1354" t="str">
        <f t="shared" si="70"/>
        <v>X3:AP16</v>
      </c>
      <c r="O1354" s="4">
        <f t="shared" ca="1" si="71"/>
        <v>74262.399999999994</v>
      </c>
    </row>
    <row r="1355" spans="1:15">
      <c r="A1355" s="2" t="s">
        <v>18</v>
      </c>
      <c r="B1355" t="s">
        <v>39</v>
      </c>
      <c r="C1355" t="s">
        <v>40</v>
      </c>
      <c r="D1355">
        <v>15</v>
      </c>
      <c r="E1355" t="s">
        <v>26</v>
      </c>
      <c r="F1355">
        <v>1</v>
      </c>
      <c r="G1355">
        <v>1</v>
      </c>
      <c r="H1355">
        <v>0</v>
      </c>
      <c r="I1355">
        <v>1</v>
      </c>
      <c r="J1355" s="4" t="s">
        <v>52</v>
      </c>
      <c r="K1355" t="str">
        <f t="shared" si="72"/>
        <v>1+0</v>
      </c>
      <c r="L1355">
        <f>VLOOKUP(A1355,'ZONE 1 PREMIUM'!$A$3:$M$16,13,0)</f>
        <v>11</v>
      </c>
      <c r="M1355">
        <f>VLOOKUP(D1355,DROPDOWN!B:C,2,0)</f>
        <v>7</v>
      </c>
      <c r="N1355" t="str">
        <f t="shared" si="70"/>
        <v>X3:AP16</v>
      </c>
      <c r="O1355" s="4">
        <f t="shared" ca="1" si="71"/>
        <v>102776.65</v>
      </c>
    </row>
    <row r="1356" spans="1:15">
      <c r="A1356" s="2" t="s">
        <v>19</v>
      </c>
      <c r="B1356" t="s">
        <v>41</v>
      </c>
      <c r="C1356" t="s">
        <v>42</v>
      </c>
      <c r="D1356">
        <v>15</v>
      </c>
      <c r="E1356" t="s">
        <v>26</v>
      </c>
      <c r="F1356">
        <v>1</v>
      </c>
      <c r="G1356">
        <v>1</v>
      </c>
      <c r="H1356">
        <v>0</v>
      </c>
      <c r="I1356">
        <v>1</v>
      </c>
      <c r="J1356" s="4" t="s">
        <v>52</v>
      </c>
      <c r="K1356" t="str">
        <f t="shared" si="72"/>
        <v>1+0</v>
      </c>
      <c r="L1356">
        <f>VLOOKUP(A1356,'ZONE 1 PREMIUM'!$A$3:$M$16,13,0)</f>
        <v>12</v>
      </c>
      <c r="M1356">
        <f>VLOOKUP(D1356,DROPDOWN!B:C,2,0)</f>
        <v>7</v>
      </c>
      <c r="N1356" t="str">
        <f t="shared" si="70"/>
        <v>X3:AP16</v>
      </c>
      <c r="O1356" s="4">
        <f t="shared" ca="1" si="71"/>
        <v>131342.65</v>
      </c>
    </row>
    <row r="1357" spans="1:15">
      <c r="A1357" s="2" t="s">
        <v>20</v>
      </c>
      <c r="B1357" t="s">
        <v>43</v>
      </c>
      <c r="C1357" t="s">
        <v>44</v>
      </c>
      <c r="D1357">
        <v>15</v>
      </c>
      <c r="E1357" t="s">
        <v>26</v>
      </c>
      <c r="F1357">
        <v>1</v>
      </c>
      <c r="G1357">
        <v>1</v>
      </c>
      <c r="H1357">
        <v>0</v>
      </c>
      <c r="I1357">
        <v>1</v>
      </c>
      <c r="J1357" s="4" t="s">
        <v>52</v>
      </c>
      <c r="K1357" t="str">
        <f t="shared" si="72"/>
        <v>1+0</v>
      </c>
      <c r="L1357">
        <f>VLOOKUP(A1357,'ZONE 1 PREMIUM'!$A$3:$M$16,13,0)</f>
        <v>13</v>
      </c>
      <c r="M1357">
        <f>VLOOKUP(D1357,DROPDOWN!B:C,2,0)</f>
        <v>7</v>
      </c>
      <c r="N1357" t="str">
        <f t="shared" si="70"/>
        <v>X3:AP16</v>
      </c>
      <c r="O1357" s="4">
        <f t="shared" ca="1" si="71"/>
        <v>157846.69999999998</v>
      </c>
    </row>
    <row r="1358" spans="1:15">
      <c r="A1358" s="2" t="s">
        <v>21</v>
      </c>
      <c r="B1358" t="s">
        <v>22</v>
      </c>
      <c r="D1358">
        <v>15</v>
      </c>
      <c r="E1358" t="s">
        <v>26</v>
      </c>
      <c r="F1358">
        <v>1</v>
      </c>
      <c r="G1358">
        <v>1</v>
      </c>
      <c r="H1358">
        <v>0</v>
      </c>
      <c r="I1358">
        <v>1</v>
      </c>
      <c r="J1358" s="4" t="s">
        <v>52</v>
      </c>
      <c r="K1358" t="str">
        <f t="shared" si="72"/>
        <v>1+0</v>
      </c>
      <c r="L1358">
        <f>VLOOKUP(A1358,'ZONE 1 PREMIUM'!$A$3:$M$16,13,0)</f>
        <v>14</v>
      </c>
      <c r="M1358">
        <f>VLOOKUP(D1358,DROPDOWN!B:C,2,0)</f>
        <v>7</v>
      </c>
      <c r="N1358" t="str">
        <f t="shared" si="70"/>
        <v>X3:AP16</v>
      </c>
      <c r="O1358" s="4">
        <f t="shared" ca="1" si="71"/>
        <v>212022.05</v>
      </c>
    </row>
    <row r="1359" spans="1:15">
      <c r="A1359" s="2" t="s">
        <v>11</v>
      </c>
      <c r="B1359" t="s">
        <v>45</v>
      </c>
      <c r="C1359" t="s">
        <v>25</v>
      </c>
      <c r="D1359">
        <v>15</v>
      </c>
      <c r="E1359" t="s">
        <v>46</v>
      </c>
      <c r="F1359">
        <v>2</v>
      </c>
      <c r="G1359">
        <v>1</v>
      </c>
      <c r="H1359">
        <v>1</v>
      </c>
      <c r="I1359">
        <v>1</v>
      </c>
      <c r="J1359" s="4" t="s">
        <v>52</v>
      </c>
      <c r="K1359" t="str">
        <f t="shared" si="72"/>
        <v>1+1</v>
      </c>
      <c r="L1359">
        <f>VLOOKUP(A1359,'ZONE 1 PREMIUM'!$A$4:$N$16,14,0)</f>
        <v>2</v>
      </c>
      <c r="M1359">
        <f>VLOOKUP(D1359,DROPDOWN!B:C,2,0)</f>
        <v>7</v>
      </c>
      <c r="N1359" t="str">
        <f t="shared" si="70"/>
        <v>X20:AP31</v>
      </c>
      <c r="O1359" s="4">
        <f t="shared" ca="1" si="71"/>
        <v>24315.599999999999</v>
      </c>
    </row>
    <row r="1360" spans="1:15">
      <c r="A1360" s="2" t="s">
        <v>12</v>
      </c>
      <c r="B1360" t="s">
        <v>27</v>
      </c>
      <c r="C1360" t="s">
        <v>28</v>
      </c>
      <c r="D1360">
        <v>15</v>
      </c>
      <c r="E1360" t="s">
        <v>46</v>
      </c>
      <c r="F1360">
        <v>2</v>
      </c>
      <c r="G1360">
        <v>1</v>
      </c>
      <c r="H1360">
        <v>1</v>
      </c>
      <c r="I1360">
        <v>1</v>
      </c>
      <c r="J1360" s="4" t="s">
        <v>52</v>
      </c>
      <c r="K1360" t="str">
        <f t="shared" si="72"/>
        <v>1+1</v>
      </c>
      <c r="L1360">
        <f>VLOOKUP(A1360,'ZONE 1 PREMIUM'!$A$4:$N$16,14,0)</f>
        <v>3</v>
      </c>
      <c r="M1360">
        <f>VLOOKUP(D1360,DROPDOWN!B:C,2,0)</f>
        <v>7</v>
      </c>
      <c r="N1360" t="str">
        <f t="shared" si="70"/>
        <v>X20:AP31</v>
      </c>
      <c r="O1360" s="4">
        <f t="shared" ca="1" si="71"/>
        <v>26939.899999999998</v>
      </c>
    </row>
    <row r="1361" spans="1:15">
      <c r="A1361" s="2" t="s">
        <v>13</v>
      </c>
      <c r="B1361" t="s">
        <v>29</v>
      </c>
      <c r="C1361" t="s">
        <v>30</v>
      </c>
      <c r="D1361">
        <v>15</v>
      </c>
      <c r="E1361" t="s">
        <v>46</v>
      </c>
      <c r="F1361">
        <v>2</v>
      </c>
      <c r="G1361">
        <v>1</v>
      </c>
      <c r="H1361">
        <v>1</v>
      </c>
      <c r="I1361">
        <v>1</v>
      </c>
      <c r="J1361" s="4" t="s">
        <v>52</v>
      </c>
      <c r="K1361" t="str">
        <f t="shared" si="72"/>
        <v>1+1</v>
      </c>
      <c r="L1361">
        <f>VLOOKUP(A1361,'ZONE 1 PREMIUM'!$A$4:$N$16,14,0)</f>
        <v>4</v>
      </c>
      <c r="M1361">
        <f>VLOOKUP(D1361,DROPDOWN!B:C,2,0)</f>
        <v>7</v>
      </c>
      <c r="N1361" t="str">
        <f t="shared" si="70"/>
        <v>X20:AP31</v>
      </c>
      <c r="O1361" s="4">
        <f t="shared" ca="1" si="71"/>
        <v>31174.199999999997</v>
      </c>
    </row>
    <row r="1362" spans="1:15">
      <c r="A1362" s="2" t="s">
        <v>14</v>
      </c>
      <c r="B1362" t="s">
        <v>31</v>
      </c>
      <c r="C1362" t="s">
        <v>32</v>
      </c>
      <c r="D1362">
        <v>15</v>
      </c>
      <c r="E1362" t="s">
        <v>46</v>
      </c>
      <c r="F1362">
        <v>2</v>
      </c>
      <c r="G1362">
        <v>1</v>
      </c>
      <c r="H1362">
        <v>1</v>
      </c>
      <c r="I1362">
        <v>1</v>
      </c>
      <c r="J1362" s="4" t="s">
        <v>52</v>
      </c>
      <c r="K1362" t="str">
        <f t="shared" si="72"/>
        <v>1+1</v>
      </c>
      <c r="L1362">
        <f>VLOOKUP(A1362,'ZONE 1 PREMIUM'!$A$4:$N$16,14,0)</f>
        <v>5</v>
      </c>
      <c r="M1362">
        <f>VLOOKUP(D1362,DROPDOWN!B:C,2,0)</f>
        <v>7</v>
      </c>
      <c r="N1362" t="str">
        <f t="shared" si="70"/>
        <v>X20:AP31</v>
      </c>
      <c r="O1362" s="4">
        <f t="shared" ca="1" si="71"/>
        <v>36714.899999999994</v>
      </c>
    </row>
    <row r="1363" spans="1:15">
      <c r="A1363" s="2" t="s">
        <v>15</v>
      </c>
      <c r="B1363" t="s">
        <v>33</v>
      </c>
      <c r="C1363" t="s">
        <v>34</v>
      </c>
      <c r="D1363">
        <v>15</v>
      </c>
      <c r="E1363" t="s">
        <v>46</v>
      </c>
      <c r="F1363">
        <v>2</v>
      </c>
      <c r="G1363">
        <v>1</v>
      </c>
      <c r="H1363">
        <v>1</v>
      </c>
      <c r="I1363">
        <v>1</v>
      </c>
      <c r="J1363" s="4" t="s">
        <v>52</v>
      </c>
      <c r="K1363" t="str">
        <f t="shared" si="72"/>
        <v>1+1</v>
      </c>
      <c r="L1363">
        <f>VLOOKUP(A1363,'ZONE 1 PREMIUM'!$A$4:$N$16,14,0)</f>
        <v>6</v>
      </c>
      <c r="M1363">
        <f>VLOOKUP(D1363,DROPDOWN!B:C,2,0)</f>
        <v>7</v>
      </c>
      <c r="N1363" t="str">
        <f t="shared" si="70"/>
        <v>X20:AP31</v>
      </c>
      <c r="O1363" s="4">
        <f t="shared" ca="1" si="71"/>
        <v>45268.6</v>
      </c>
    </row>
    <row r="1364" spans="1:15">
      <c r="A1364" s="2" t="s">
        <v>16</v>
      </c>
      <c r="B1364" t="s">
        <v>35</v>
      </c>
      <c r="C1364" t="s">
        <v>36</v>
      </c>
      <c r="D1364">
        <v>15</v>
      </c>
      <c r="E1364" t="s">
        <v>46</v>
      </c>
      <c r="F1364">
        <v>2</v>
      </c>
      <c r="G1364">
        <v>1</v>
      </c>
      <c r="H1364">
        <v>1</v>
      </c>
      <c r="I1364">
        <v>1</v>
      </c>
      <c r="J1364" s="4" t="s">
        <v>52</v>
      </c>
      <c r="K1364" t="str">
        <f t="shared" si="72"/>
        <v>1+1</v>
      </c>
      <c r="L1364">
        <f>VLOOKUP(A1364,'ZONE 1 PREMIUM'!$A$4:$N$16,14,0)</f>
        <v>7</v>
      </c>
      <c r="M1364">
        <f>VLOOKUP(D1364,DROPDOWN!B:C,2,0)</f>
        <v>7</v>
      </c>
      <c r="N1364" t="str">
        <f t="shared" si="70"/>
        <v>X20:AP31</v>
      </c>
      <c r="O1364" s="4">
        <f t="shared" ca="1" si="71"/>
        <v>58789.149999999994</v>
      </c>
    </row>
    <row r="1365" spans="1:15">
      <c r="A1365" s="2" t="s">
        <v>17</v>
      </c>
      <c r="B1365" t="s">
        <v>37</v>
      </c>
      <c r="C1365" t="s">
        <v>38</v>
      </c>
      <c r="D1365">
        <v>15</v>
      </c>
      <c r="E1365" t="s">
        <v>46</v>
      </c>
      <c r="F1365">
        <v>2</v>
      </c>
      <c r="G1365">
        <v>1</v>
      </c>
      <c r="H1365">
        <v>1</v>
      </c>
      <c r="I1365">
        <v>1</v>
      </c>
      <c r="J1365" s="4" t="s">
        <v>52</v>
      </c>
      <c r="K1365" t="str">
        <f t="shared" si="72"/>
        <v>1+1</v>
      </c>
      <c r="L1365">
        <f>VLOOKUP(A1365,'ZONE 1 PREMIUM'!$A$4:$N$16,14,0)</f>
        <v>8</v>
      </c>
      <c r="M1365">
        <f>VLOOKUP(D1365,DROPDOWN!B:C,2,0)</f>
        <v>7</v>
      </c>
      <c r="N1365" t="str">
        <f t="shared" si="70"/>
        <v>X20:AP31</v>
      </c>
      <c r="O1365" s="4">
        <f t="shared" ca="1" si="71"/>
        <v>78394.349999999991</v>
      </c>
    </row>
    <row r="1366" spans="1:15">
      <c r="A1366" s="2" t="s">
        <v>18</v>
      </c>
      <c r="B1366" t="s">
        <v>39</v>
      </c>
      <c r="C1366" t="s">
        <v>40</v>
      </c>
      <c r="D1366">
        <v>15</v>
      </c>
      <c r="E1366" t="s">
        <v>46</v>
      </c>
      <c r="F1366">
        <v>2</v>
      </c>
      <c r="G1366">
        <v>1</v>
      </c>
      <c r="H1366">
        <v>1</v>
      </c>
      <c r="I1366">
        <v>1</v>
      </c>
      <c r="J1366" s="4" t="s">
        <v>52</v>
      </c>
      <c r="K1366" t="str">
        <f t="shared" si="72"/>
        <v>1+1</v>
      </c>
      <c r="L1366">
        <f>VLOOKUP(A1366,'ZONE 1 PREMIUM'!$A$4:$N$16,14,0)</f>
        <v>9</v>
      </c>
      <c r="M1366">
        <f>VLOOKUP(D1366,DROPDOWN!B:C,2,0)</f>
        <v>7</v>
      </c>
      <c r="N1366" t="str">
        <f t="shared" si="70"/>
        <v>X20:AP31</v>
      </c>
      <c r="O1366" s="4">
        <f t="shared" ca="1" si="71"/>
        <v>108111.49999999999</v>
      </c>
    </row>
    <row r="1367" spans="1:15">
      <c r="A1367" s="2" t="s">
        <v>19</v>
      </c>
      <c r="B1367" t="s">
        <v>41</v>
      </c>
      <c r="C1367" t="s">
        <v>42</v>
      </c>
      <c r="D1367">
        <v>15</v>
      </c>
      <c r="E1367" t="s">
        <v>46</v>
      </c>
      <c r="F1367">
        <v>2</v>
      </c>
      <c r="G1367">
        <v>1</v>
      </c>
      <c r="H1367">
        <v>1</v>
      </c>
      <c r="I1367">
        <v>1</v>
      </c>
      <c r="J1367" s="4" t="s">
        <v>52</v>
      </c>
      <c r="K1367" t="str">
        <f t="shared" si="72"/>
        <v>1+1</v>
      </c>
      <c r="L1367">
        <f>VLOOKUP(A1367,'ZONE 1 PREMIUM'!$A$4:$N$16,14,0)</f>
        <v>10</v>
      </c>
      <c r="M1367">
        <f>VLOOKUP(D1367,DROPDOWN!B:C,2,0)</f>
        <v>7</v>
      </c>
      <c r="N1367" t="str">
        <f t="shared" si="70"/>
        <v>X20:AP31</v>
      </c>
      <c r="O1367" s="4">
        <f t="shared" ca="1" si="71"/>
        <v>136746.5</v>
      </c>
    </row>
    <row r="1368" spans="1:15">
      <c r="A1368" s="2" t="s">
        <v>20</v>
      </c>
      <c r="B1368" t="s">
        <v>43</v>
      </c>
      <c r="C1368" t="s">
        <v>44</v>
      </c>
      <c r="D1368">
        <v>15</v>
      </c>
      <c r="E1368" t="s">
        <v>46</v>
      </c>
      <c r="F1368">
        <v>2</v>
      </c>
      <c r="G1368">
        <v>1</v>
      </c>
      <c r="H1368">
        <v>1</v>
      </c>
      <c r="I1368">
        <v>1</v>
      </c>
      <c r="J1368" s="4" t="s">
        <v>52</v>
      </c>
      <c r="K1368" t="str">
        <f t="shared" si="72"/>
        <v>1+1</v>
      </c>
      <c r="L1368">
        <f>VLOOKUP(A1368,'ZONE 1 PREMIUM'!$A$4:$N$16,14,0)</f>
        <v>11</v>
      </c>
      <c r="M1368">
        <f>VLOOKUP(D1368,DROPDOWN!B:C,2,0)</f>
        <v>7</v>
      </c>
      <c r="N1368" t="str">
        <f t="shared" si="70"/>
        <v>X20:AP31</v>
      </c>
      <c r="O1368" s="4">
        <f t="shared" ca="1" si="71"/>
        <v>161249.54999999999</v>
      </c>
    </row>
    <row r="1369" spans="1:15">
      <c r="A1369" s="2" t="s">
        <v>21</v>
      </c>
      <c r="B1369" t="s">
        <v>22</v>
      </c>
      <c r="D1369">
        <v>15</v>
      </c>
      <c r="E1369" t="s">
        <v>46</v>
      </c>
      <c r="F1369">
        <v>2</v>
      </c>
      <c r="G1369">
        <v>1</v>
      </c>
      <c r="H1369">
        <v>1</v>
      </c>
      <c r="I1369">
        <v>1</v>
      </c>
      <c r="J1369" s="4" t="s">
        <v>52</v>
      </c>
      <c r="K1369" t="str">
        <f t="shared" si="72"/>
        <v>1+1</v>
      </c>
      <c r="L1369">
        <f>VLOOKUP(A1369,'ZONE 1 PREMIUM'!$A$4:$N$16,14,0)</f>
        <v>12</v>
      </c>
      <c r="M1369">
        <f>VLOOKUP(D1369,DROPDOWN!B:C,2,0)</f>
        <v>7</v>
      </c>
      <c r="N1369" t="str">
        <f t="shared" si="70"/>
        <v>X20:AP31</v>
      </c>
      <c r="O1369" s="4">
        <f t="shared" ca="1" si="71"/>
        <v>218673.65</v>
      </c>
    </row>
    <row r="1370" spans="1:15">
      <c r="A1370" s="2" t="s">
        <v>11</v>
      </c>
      <c r="B1370" t="s">
        <v>45</v>
      </c>
      <c r="C1370" t="s">
        <v>25</v>
      </c>
      <c r="D1370">
        <v>15</v>
      </c>
      <c r="E1370" t="s">
        <v>46</v>
      </c>
      <c r="F1370">
        <v>3</v>
      </c>
      <c r="G1370">
        <v>1</v>
      </c>
      <c r="H1370">
        <v>2</v>
      </c>
      <c r="I1370">
        <v>1</v>
      </c>
      <c r="J1370" s="4" t="s">
        <v>52</v>
      </c>
      <c r="K1370" t="str">
        <f t="shared" si="72"/>
        <v>1+2</v>
      </c>
      <c r="L1370">
        <f>VLOOKUP(A1370,'ZONE 1 PREMIUM'!$A$4:$N$16,14,0)</f>
        <v>2</v>
      </c>
      <c r="M1370">
        <f>VLOOKUP(D1370,DROPDOWN!B:C,2,0)</f>
        <v>7</v>
      </c>
      <c r="N1370" t="str">
        <f t="shared" si="70"/>
        <v>X35:AP46</v>
      </c>
      <c r="O1370" s="4">
        <f t="shared" ca="1" si="71"/>
        <v>31535.3</v>
      </c>
    </row>
    <row r="1371" spans="1:15">
      <c r="A1371" s="2" t="s">
        <v>12</v>
      </c>
      <c r="B1371" t="s">
        <v>27</v>
      </c>
      <c r="C1371" t="s">
        <v>28</v>
      </c>
      <c r="D1371">
        <v>15</v>
      </c>
      <c r="E1371" t="s">
        <v>46</v>
      </c>
      <c r="F1371">
        <v>3</v>
      </c>
      <c r="G1371">
        <v>1</v>
      </c>
      <c r="H1371">
        <v>2</v>
      </c>
      <c r="I1371">
        <v>1</v>
      </c>
      <c r="J1371" s="4" t="s">
        <v>52</v>
      </c>
      <c r="K1371" t="str">
        <f t="shared" si="72"/>
        <v>1+2</v>
      </c>
      <c r="L1371">
        <f>VLOOKUP(A1371,'ZONE 1 PREMIUM'!$A$4:$N$16,14,0)</f>
        <v>3</v>
      </c>
      <c r="M1371">
        <f>VLOOKUP(D1371,DROPDOWN!B:C,2,0)</f>
        <v>7</v>
      </c>
      <c r="N1371" t="str">
        <f t="shared" si="70"/>
        <v>X35:AP46</v>
      </c>
      <c r="O1371" s="4">
        <f t="shared" ca="1" si="71"/>
        <v>33897.399999999994</v>
      </c>
    </row>
    <row r="1372" spans="1:15">
      <c r="A1372" s="2" t="s">
        <v>13</v>
      </c>
      <c r="B1372" t="s">
        <v>29</v>
      </c>
      <c r="C1372" t="s">
        <v>30</v>
      </c>
      <c r="D1372">
        <v>15</v>
      </c>
      <c r="E1372" t="s">
        <v>46</v>
      </c>
      <c r="F1372">
        <v>3</v>
      </c>
      <c r="G1372">
        <v>1</v>
      </c>
      <c r="H1372">
        <v>2</v>
      </c>
      <c r="I1372">
        <v>1</v>
      </c>
      <c r="J1372" s="4" t="s">
        <v>52</v>
      </c>
      <c r="K1372" t="str">
        <f t="shared" si="72"/>
        <v>1+2</v>
      </c>
      <c r="L1372">
        <f>VLOOKUP(A1372,'ZONE 1 PREMIUM'!$A$4:$N$16,14,0)</f>
        <v>4</v>
      </c>
      <c r="M1372">
        <f>VLOOKUP(D1372,DROPDOWN!B:C,2,0)</f>
        <v>7</v>
      </c>
      <c r="N1372" t="str">
        <f t="shared" si="70"/>
        <v>X35:AP46</v>
      </c>
      <c r="O1372" s="4">
        <f t="shared" ca="1" si="71"/>
        <v>39236.85</v>
      </c>
    </row>
    <row r="1373" spans="1:15">
      <c r="A1373" s="2" t="s">
        <v>14</v>
      </c>
      <c r="B1373" t="s">
        <v>31</v>
      </c>
      <c r="C1373" t="s">
        <v>32</v>
      </c>
      <c r="D1373">
        <v>15</v>
      </c>
      <c r="E1373" t="s">
        <v>46</v>
      </c>
      <c r="F1373">
        <v>3</v>
      </c>
      <c r="G1373">
        <v>1</v>
      </c>
      <c r="H1373">
        <v>2</v>
      </c>
      <c r="I1373">
        <v>1</v>
      </c>
      <c r="J1373" s="4" t="s">
        <v>52</v>
      </c>
      <c r="K1373" t="str">
        <f t="shared" si="72"/>
        <v>1+2</v>
      </c>
      <c r="L1373">
        <f>VLOOKUP(A1373,'ZONE 1 PREMIUM'!$A$4:$N$16,14,0)</f>
        <v>5</v>
      </c>
      <c r="M1373">
        <f>VLOOKUP(D1373,DROPDOWN!B:C,2,0)</f>
        <v>7</v>
      </c>
      <c r="N1373" t="str">
        <f t="shared" si="70"/>
        <v>X35:AP46</v>
      </c>
      <c r="O1373" s="4">
        <f t="shared" ca="1" si="71"/>
        <v>44049.599999999999</v>
      </c>
    </row>
    <row r="1374" spans="1:15">
      <c r="A1374" s="2" t="s">
        <v>15</v>
      </c>
      <c r="B1374" t="s">
        <v>33</v>
      </c>
      <c r="C1374" t="s">
        <v>34</v>
      </c>
      <c r="D1374">
        <v>15</v>
      </c>
      <c r="E1374" t="s">
        <v>46</v>
      </c>
      <c r="F1374">
        <v>3</v>
      </c>
      <c r="G1374">
        <v>1</v>
      </c>
      <c r="H1374">
        <v>2</v>
      </c>
      <c r="I1374">
        <v>1</v>
      </c>
      <c r="J1374" s="4" t="s">
        <v>52</v>
      </c>
      <c r="K1374" t="str">
        <f t="shared" si="72"/>
        <v>1+2</v>
      </c>
      <c r="L1374">
        <f>VLOOKUP(A1374,'ZONE 1 PREMIUM'!$A$4:$N$16,14,0)</f>
        <v>6</v>
      </c>
      <c r="M1374">
        <f>VLOOKUP(D1374,DROPDOWN!B:C,2,0)</f>
        <v>7</v>
      </c>
      <c r="N1374" t="str">
        <f t="shared" si="70"/>
        <v>X35:AP46</v>
      </c>
      <c r="O1374" s="4">
        <f t="shared" ca="1" si="71"/>
        <v>55080.399999999994</v>
      </c>
    </row>
    <row r="1375" spans="1:15">
      <c r="A1375" s="2" t="s">
        <v>16</v>
      </c>
      <c r="B1375" t="s">
        <v>35</v>
      </c>
      <c r="C1375" t="s">
        <v>36</v>
      </c>
      <c r="D1375">
        <v>15</v>
      </c>
      <c r="E1375" t="s">
        <v>46</v>
      </c>
      <c r="F1375">
        <v>3</v>
      </c>
      <c r="G1375">
        <v>1</v>
      </c>
      <c r="H1375">
        <v>2</v>
      </c>
      <c r="I1375">
        <v>1</v>
      </c>
      <c r="J1375" s="4" t="s">
        <v>52</v>
      </c>
      <c r="K1375" t="str">
        <f t="shared" si="72"/>
        <v>1+2</v>
      </c>
      <c r="L1375">
        <f>VLOOKUP(A1375,'ZONE 1 PREMIUM'!$A$4:$N$16,14,0)</f>
        <v>7</v>
      </c>
      <c r="M1375">
        <f>VLOOKUP(D1375,DROPDOWN!B:C,2,0)</f>
        <v>7</v>
      </c>
      <c r="N1375" t="str">
        <f t="shared" si="70"/>
        <v>X35:AP46</v>
      </c>
      <c r="O1375" s="4">
        <f t="shared" ca="1" si="71"/>
        <v>70949.25</v>
      </c>
    </row>
    <row r="1376" spans="1:15">
      <c r="A1376" s="2" t="s">
        <v>17</v>
      </c>
      <c r="B1376" t="s">
        <v>37</v>
      </c>
      <c r="C1376" t="s">
        <v>38</v>
      </c>
      <c r="D1376">
        <v>15</v>
      </c>
      <c r="E1376" t="s">
        <v>46</v>
      </c>
      <c r="F1376">
        <v>3</v>
      </c>
      <c r="G1376">
        <v>1</v>
      </c>
      <c r="H1376">
        <v>2</v>
      </c>
      <c r="I1376">
        <v>1</v>
      </c>
      <c r="J1376" s="4" t="s">
        <v>52</v>
      </c>
      <c r="K1376" t="str">
        <f t="shared" si="72"/>
        <v>1+2</v>
      </c>
      <c r="L1376">
        <f>VLOOKUP(A1376,'ZONE 1 PREMIUM'!$A$4:$N$16,14,0)</f>
        <v>8</v>
      </c>
      <c r="M1376">
        <f>VLOOKUP(D1376,DROPDOWN!B:C,2,0)</f>
        <v>7</v>
      </c>
      <c r="N1376" t="str">
        <f t="shared" si="70"/>
        <v>X35:AP46</v>
      </c>
      <c r="O1376" s="4">
        <f t="shared" ca="1" si="71"/>
        <v>91494</v>
      </c>
    </row>
    <row r="1377" spans="1:15">
      <c r="A1377" s="2" t="s">
        <v>18</v>
      </c>
      <c r="B1377" t="s">
        <v>39</v>
      </c>
      <c r="C1377" t="s">
        <v>40</v>
      </c>
      <c r="D1377">
        <v>15</v>
      </c>
      <c r="E1377" t="s">
        <v>46</v>
      </c>
      <c r="F1377">
        <v>3</v>
      </c>
      <c r="G1377">
        <v>1</v>
      </c>
      <c r="H1377">
        <v>2</v>
      </c>
      <c r="I1377">
        <v>1</v>
      </c>
      <c r="J1377" s="4" t="s">
        <v>52</v>
      </c>
      <c r="K1377" t="str">
        <f t="shared" si="72"/>
        <v>1+2</v>
      </c>
      <c r="L1377">
        <f>VLOOKUP(A1377,'ZONE 1 PREMIUM'!$A$4:$N$16,14,0)</f>
        <v>9</v>
      </c>
      <c r="M1377">
        <f>VLOOKUP(D1377,DROPDOWN!B:C,2,0)</f>
        <v>7</v>
      </c>
      <c r="N1377" t="str">
        <f t="shared" si="70"/>
        <v>X35:AP46</v>
      </c>
      <c r="O1377" s="4">
        <f t="shared" ca="1" si="71"/>
        <v>118809.95</v>
      </c>
    </row>
    <row r="1378" spans="1:15">
      <c r="A1378" s="2" t="s">
        <v>19</v>
      </c>
      <c r="B1378" t="s">
        <v>41</v>
      </c>
      <c r="C1378" t="s">
        <v>42</v>
      </c>
      <c r="D1378">
        <v>15</v>
      </c>
      <c r="E1378" t="s">
        <v>46</v>
      </c>
      <c r="F1378">
        <v>3</v>
      </c>
      <c r="G1378">
        <v>1</v>
      </c>
      <c r="H1378">
        <v>2</v>
      </c>
      <c r="I1378">
        <v>1</v>
      </c>
      <c r="J1378" s="4" t="s">
        <v>52</v>
      </c>
      <c r="K1378" t="str">
        <f t="shared" si="72"/>
        <v>1+2</v>
      </c>
      <c r="L1378">
        <f>VLOOKUP(A1378,'ZONE 1 PREMIUM'!$A$4:$N$16,14,0)</f>
        <v>10</v>
      </c>
      <c r="M1378">
        <f>VLOOKUP(D1378,DROPDOWN!B:C,2,0)</f>
        <v>7</v>
      </c>
      <c r="N1378" t="str">
        <f t="shared" si="70"/>
        <v>X35:AP46</v>
      </c>
      <c r="O1378" s="4">
        <f t="shared" ca="1" si="71"/>
        <v>149817.4</v>
      </c>
    </row>
    <row r="1379" spans="1:15">
      <c r="A1379" s="2" t="s">
        <v>20</v>
      </c>
      <c r="B1379" t="s">
        <v>43</v>
      </c>
      <c r="C1379" t="s">
        <v>44</v>
      </c>
      <c r="D1379">
        <v>15</v>
      </c>
      <c r="E1379" t="s">
        <v>46</v>
      </c>
      <c r="F1379">
        <v>3</v>
      </c>
      <c r="G1379">
        <v>1</v>
      </c>
      <c r="H1379">
        <v>2</v>
      </c>
      <c r="I1379">
        <v>1</v>
      </c>
      <c r="J1379" s="4" t="s">
        <v>52</v>
      </c>
      <c r="K1379" t="str">
        <f t="shared" si="72"/>
        <v>1+2</v>
      </c>
      <c r="L1379">
        <f>VLOOKUP(A1379,'ZONE 1 PREMIUM'!$A$4:$N$16,14,0)</f>
        <v>11</v>
      </c>
      <c r="M1379">
        <f>VLOOKUP(D1379,DROPDOWN!B:C,2,0)</f>
        <v>7</v>
      </c>
      <c r="N1379" t="str">
        <f t="shared" si="70"/>
        <v>X35:AP46</v>
      </c>
      <c r="O1379" s="4">
        <f t="shared" ca="1" si="71"/>
        <v>176645.75</v>
      </c>
    </row>
    <row r="1380" spans="1:15">
      <c r="A1380" s="2" t="s">
        <v>21</v>
      </c>
      <c r="B1380" t="s">
        <v>22</v>
      </c>
      <c r="D1380">
        <v>15</v>
      </c>
      <c r="E1380" t="s">
        <v>46</v>
      </c>
      <c r="F1380">
        <v>3</v>
      </c>
      <c r="G1380">
        <v>1</v>
      </c>
      <c r="H1380">
        <v>2</v>
      </c>
      <c r="I1380">
        <v>1</v>
      </c>
      <c r="J1380" s="4" t="s">
        <v>52</v>
      </c>
      <c r="K1380" t="str">
        <f t="shared" si="72"/>
        <v>1+2</v>
      </c>
      <c r="L1380">
        <f>VLOOKUP(A1380,'ZONE 1 PREMIUM'!$A$4:$N$16,14,0)</f>
        <v>12</v>
      </c>
      <c r="M1380">
        <f>VLOOKUP(D1380,DROPDOWN!B:C,2,0)</f>
        <v>7</v>
      </c>
      <c r="N1380" t="str">
        <f t="shared" si="70"/>
        <v>X35:AP46</v>
      </c>
      <c r="O1380" s="4">
        <f t="shared" ca="1" si="71"/>
        <v>230269.09999999998</v>
      </c>
    </row>
    <row r="1381" spans="1:15">
      <c r="A1381" s="2" t="s">
        <v>11</v>
      </c>
      <c r="B1381" t="s">
        <v>45</v>
      </c>
      <c r="C1381" t="s">
        <v>25</v>
      </c>
      <c r="D1381">
        <v>15</v>
      </c>
      <c r="E1381" t="s">
        <v>46</v>
      </c>
      <c r="F1381">
        <v>4</v>
      </c>
      <c r="G1381">
        <v>1</v>
      </c>
      <c r="H1381">
        <v>3</v>
      </c>
      <c r="I1381">
        <v>1</v>
      </c>
      <c r="J1381" s="4" t="s">
        <v>52</v>
      </c>
      <c r="K1381" t="str">
        <f t="shared" si="72"/>
        <v>1+3</v>
      </c>
      <c r="L1381">
        <f>VLOOKUP(A1381,'ZONE 1 PREMIUM'!$A$4:$N$16,14,0)</f>
        <v>2</v>
      </c>
      <c r="M1381">
        <f>VLOOKUP(D1381,DROPDOWN!B:C,2,0)</f>
        <v>7</v>
      </c>
      <c r="N1381" t="str">
        <f t="shared" si="70"/>
        <v>X50:AP61</v>
      </c>
      <c r="O1381" s="4">
        <f t="shared" ca="1" si="71"/>
        <v>38755</v>
      </c>
    </row>
    <row r="1382" spans="1:15">
      <c r="A1382" s="2" t="s">
        <v>12</v>
      </c>
      <c r="B1382" t="s">
        <v>27</v>
      </c>
      <c r="C1382" t="s">
        <v>28</v>
      </c>
      <c r="D1382">
        <v>15</v>
      </c>
      <c r="E1382" t="s">
        <v>46</v>
      </c>
      <c r="F1382">
        <v>4</v>
      </c>
      <c r="G1382">
        <v>1</v>
      </c>
      <c r="H1382">
        <v>3</v>
      </c>
      <c r="I1382">
        <v>1</v>
      </c>
      <c r="J1382" s="4" t="s">
        <v>52</v>
      </c>
      <c r="K1382" t="str">
        <f t="shared" si="72"/>
        <v>1+3</v>
      </c>
      <c r="L1382">
        <f>VLOOKUP(A1382,'ZONE 1 PREMIUM'!$A$4:$N$16,14,0)</f>
        <v>3</v>
      </c>
      <c r="M1382">
        <f>VLOOKUP(D1382,DROPDOWN!B:C,2,0)</f>
        <v>7</v>
      </c>
      <c r="N1382" t="str">
        <f t="shared" si="70"/>
        <v>X50:AP61</v>
      </c>
      <c r="O1382" s="4">
        <f t="shared" ca="1" si="71"/>
        <v>40987.149999999994</v>
      </c>
    </row>
    <row r="1383" spans="1:15">
      <c r="A1383" s="2" t="s">
        <v>13</v>
      </c>
      <c r="B1383" t="s">
        <v>29</v>
      </c>
      <c r="C1383" t="s">
        <v>30</v>
      </c>
      <c r="D1383">
        <v>15</v>
      </c>
      <c r="E1383" t="s">
        <v>46</v>
      </c>
      <c r="F1383">
        <v>4</v>
      </c>
      <c r="G1383">
        <v>1</v>
      </c>
      <c r="H1383">
        <v>3</v>
      </c>
      <c r="I1383">
        <v>1</v>
      </c>
      <c r="J1383" s="4" t="s">
        <v>52</v>
      </c>
      <c r="K1383" t="str">
        <f t="shared" si="72"/>
        <v>1+3</v>
      </c>
      <c r="L1383">
        <f>VLOOKUP(A1383,'ZONE 1 PREMIUM'!$A$4:$N$16,14,0)</f>
        <v>4</v>
      </c>
      <c r="M1383">
        <f>VLOOKUP(D1383,DROPDOWN!B:C,2,0)</f>
        <v>7</v>
      </c>
      <c r="N1383" t="str">
        <f t="shared" si="70"/>
        <v>X50:AP61</v>
      </c>
      <c r="O1383" s="4">
        <f t="shared" ca="1" si="71"/>
        <v>47454.749999999993</v>
      </c>
    </row>
    <row r="1384" spans="1:15">
      <c r="A1384" s="2" t="s">
        <v>14</v>
      </c>
      <c r="B1384" t="s">
        <v>31</v>
      </c>
      <c r="C1384" t="s">
        <v>32</v>
      </c>
      <c r="D1384">
        <v>15</v>
      </c>
      <c r="E1384" t="s">
        <v>46</v>
      </c>
      <c r="F1384">
        <v>4</v>
      </c>
      <c r="G1384">
        <v>1</v>
      </c>
      <c r="H1384">
        <v>3</v>
      </c>
      <c r="I1384">
        <v>1</v>
      </c>
      <c r="J1384" s="4" t="s">
        <v>52</v>
      </c>
      <c r="K1384" t="str">
        <f t="shared" si="72"/>
        <v>1+3</v>
      </c>
      <c r="L1384">
        <f>VLOOKUP(A1384,'ZONE 1 PREMIUM'!$A$4:$N$16,14,0)</f>
        <v>5</v>
      </c>
      <c r="M1384">
        <f>VLOOKUP(D1384,DROPDOWN!B:C,2,0)</f>
        <v>7</v>
      </c>
      <c r="N1384" t="str">
        <f t="shared" si="70"/>
        <v>X50:AP61</v>
      </c>
      <c r="O1384" s="4">
        <f t="shared" ca="1" si="71"/>
        <v>52796.499999999993</v>
      </c>
    </row>
    <row r="1385" spans="1:15">
      <c r="A1385" s="2" t="s">
        <v>15</v>
      </c>
      <c r="B1385" t="s">
        <v>33</v>
      </c>
      <c r="C1385" t="s">
        <v>34</v>
      </c>
      <c r="D1385">
        <v>15</v>
      </c>
      <c r="E1385" t="s">
        <v>46</v>
      </c>
      <c r="F1385">
        <v>4</v>
      </c>
      <c r="G1385">
        <v>1</v>
      </c>
      <c r="H1385">
        <v>3</v>
      </c>
      <c r="I1385">
        <v>1</v>
      </c>
      <c r="J1385" s="4" t="s">
        <v>52</v>
      </c>
      <c r="K1385" t="str">
        <f t="shared" si="72"/>
        <v>1+3</v>
      </c>
      <c r="L1385">
        <f>VLOOKUP(A1385,'ZONE 1 PREMIUM'!$A$4:$N$16,14,0)</f>
        <v>6</v>
      </c>
      <c r="M1385">
        <f>VLOOKUP(D1385,DROPDOWN!B:C,2,0)</f>
        <v>7</v>
      </c>
      <c r="N1385" t="str">
        <f t="shared" si="70"/>
        <v>X50:AP61</v>
      </c>
      <c r="O1385" s="4">
        <f t="shared" ca="1" si="71"/>
        <v>64892.2</v>
      </c>
    </row>
    <row r="1386" spans="1:15">
      <c r="A1386" s="2" t="s">
        <v>16</v>
      </c>
      <c r="B1386" t="s">
        <v>35</v>
      </c>
      <c r="C1386" t="s">
        <v>36</v>
      </c>
      <c r="D1386">
        <v>15</v>
      </c>
      <c r="E1386" t="s">
        <v>46</v>
      </c>
      <c r="F1386">
        <v>4</v>
      </c>
      <c r="G1386">
        <v>1</v>
      </c>
      <c r="H1386">
        <v>3</v>
      </c>
      <c r="I1386">
        <v>1</v>
      </c>
      <c r="J1386" s="4" t="s">
        <v>52</v>
      </c>
      <c r="K1386" t="str">
        <f t="shared" si="72"/>
        <v>1+3</v>
      </c>
      <c r="L1386">
        <f>VLOOKUP(A1386,'ZONE 1 PREMIUM'!$A$4:$N$16,14,0)</f>
        <v>7</v>
      </c>
      <c r="M1386">
        <f>VLOOKUP(D1386,DROPDOWN!B:C,2,0)</f>
        <v>7</v>
      </c>
      <c r="N1386" t="str">
        <f t="shared" si="70"/>
        <v>X50:AP61</v>
      </c>
      <c r="O1386" s="4">
        <f t="shared" ca="1" si="71"/>
        <v>81863.899999999994</v>
      </c>
    </row>
    <row r="1387" spans="1:15">
      <c r="A1387" s="2" t="s">
        <v>17</v>
      </c>
      <c r="B1387" t="s">
        <v>37</v>
      </c>
      <c r="C1387" t="s">
        <v>38</v>
      </c>
      <c r="D1387">
        <v>15</v>
      </c>
      <c r="E1387" t="s">
        <v>46</v>
      </c>
      <c r="F1387">
        <v>4</v>
      </c>
      <c r="G1387">
        <v>1</v>
      </c>
      <c r="H1387">
        <v>3</v>
      </c>
      <c r="I1387">
        <v>1</v>
      </c>
      <c r="J1387" s="4" t="s">
        <v>52</v>
      </c>
      <c r="K1387" t="str">
        <f t="shared" si="72"/>
        <v>1+3</v>
      </c>
      <c r="L1387">
        <f>VLOOKUP(A1387,'ZONE 1 PREMIUM'!$A$4:$N$16,14,0)</f>
        <v>8</v>
      </c>
      <c r="M1387">
        <f>VLOOKUP(D1387,DROPDOWN!B:C,2,0)</f>
        <v>7</v>
      </c>
      <c r="N1387" t="str">
        <f t="shared" si="70"/>
        <v>X50:AP61</v>
      </c>
      <c r="O1387" s="4">
        <f t="shared" ca="1" si="71"/>
        <v>101195.4</v>
      </c>
    </row>
    <row r="1388" spans="1:15">
      <c r="A1388" s="2" t="s">
        <v>18</v>
      </c>
      <c r="B1388" t="s">
        <v>39</v>
      </c>
      <c r="C1388" t="s">
        <v>40</v>
      </c>
      <c r="D1388">
        <v>15</v>
      </c>
      <c r="E1388" t="s">
        <v>46</v>
      </c>
      <c r="F1388">
        <v>4</v>
      </c>
      <c r="G1388">
        <v>1</v>
      </c>
      <c r="H1388">
        <v>3</v>
      </c>
      <c r="I1388">
        <v>1</v>
      </c>
      <c r="J1388" s="4" t="s">
        <v>52</v>
      </c>
      <c r="K1388" t="str">
        <f t="shared" si="72"/>
        <v>1+3</v>
      </c>
      <c r="L1388">
        <f>VLOOKUP(A1388,'ZONE 1 PREMIUM'!$A$4:$N$16,14,0)</f>
        <v>9</v>
      </c>
      <c r="M1388">
        <f>VLOOKUP(D1388,DROPDOWN!B:C,2,0)</f>
        <v>7</v>
      </c>
      <c r="N1388" t="str">
        <f t="shared" si="70"/>
        <v>X50:AP61</v>
      </c>
      <c r="O1388" s="4">
        <f t="shared" ca="1" si="71"/>
        <v>129501.49999999999</v>
      </c>
    </row>
    <row r="1389" spans="1:15">
      <c r="A1389" s="2" t="s">
        <v>19</v>
      </c>
      <c r="B1389" t="s">
        <v>41</v>
      </c>
      <c r="C1389" t="s">
        <v>42</v>
      </c>
      <c r="D1389">
        <v>15</v>
      </c>
      <c r="E1389" t="s">
        <v>46</v>
      </c>
      <c r="F1389">
        <v>4</v>
      </c>
      <c r="G1389">
        <v>1</v>
      </c>
      <c r="H1389">
        <v>3</v>
      </c>
      <c r="I1389">
        <v>1</v>
      </c>
      <c r="J1389" s="4" t="s">
        <v>52</v>
      </c>
      <c r="K1389" t="str">
        <f t="shared" si="72"/>
        <v>1+3</v>
      </c>
      <c r="L1389">
        <f>VLOOKUP(A1389,'ZONE 1 PREMIUM'!$A$4:$N$16,14,0)</f>
        <v>10</v>
      </c>
      <c r="M1389">
        <f>VLOOKUP(D1389,DROPDOWN!B:C,2,0)</f>
        <v>7</v>
      </c>
      <c r="N1389" t="str">
        <f t="shared" si="70"/>
        <v>X50:AP61</v>
      </c>
      <c r="O1389" s="4">
        <f t="shared" ca="1" si="71"/>
        <v>158505.65</v>
      </c>
    </row>
    <row r="1390" spans="1:15">
      <c r="A1390" s="2" t="s">
        <v>20</v>
      </c>
      <c r="B1390" t="s">
        <v>43</v>
      </c>
      <c r="C1390" t="s">
        <v>44</v>
      </c>
      <c r="D1390">
        <v>15</v>
      </c>
      <c r="E1390" t="s">
        <v>46</v>
      </c>
      <c r="F1390">
        <v>4</v>
      </c>
      <c r="G1390">
        <v>1</v>
      </c>
      <c r="H1390">
        <v>3</v>
      </c>
      <c r="I1390">
        <v>1</v>
      </c>
      <c r="J1390" s="4" t="s">
        <v>52</v>
      </c>
      <c r="K1390" t="str">
        <f t="shared" si="72"/>
        <v>1+3</v>
      </c>
      <c r="L1390">
        <f>VLOOKUP(A1390,'ZONE 1 PREMIUM'!$A$4:$N$16,14,0)</f>
        <v>11</v>
      </c>
      <c r="M1390">
        <f>VLOOKUP(D1390,DROPDOWN!B:C,2,0)</f>
        <v>7</v>
      </c>
      <c r="N1390" t="str">
        <f t="shared" si="70"/>
        <v>X50:AP61</v>
      </c>
      <c r="O1390" s="4">
        <f t="shared" ca="1" si="71"/>
        <v>184922.3</v>
      </c>
    </row>
    <row r="1391" spans="1:15">
      <c r="A1391" s="2" t="s">
        <v>21</v>
      </c>
      <c r="B1391" t="s">
        <v>22</v>
      </c>
      <c r="D1391">
        <v>15</v>
      </c>
      <c r="E1391" t="s">
        <v>46</v>
      </c>
      <c r="F1391">
        <v>4</v>
      </c>
      <c r="G1391">
        <v>1</v>
      </c>
      <c r="H1391">
        <v>3</v>
      </c>
      <c r="I1391">
        <v>1</v>
      </c>
      <c r="J1391" s="4" t="s">
        <v>52</v>
      </c>
      <c r="K1391" t="str">
        <f t="shared" si="72"/>
        <v>1+3</v>
      </c>
      <c r="L1391">
        <f>VLOOKUP(A1391,'ZONE 1 PREMIUM'!$A$4:$N$16,14,0)</f>
        <v>12</v>
      </c>
      <c r="M1391">
        <f>VLOOKUP(D1391,DROPDOWN!B:C,2,0)</f>
        <v>7</v>
      </c>
      <c r="N1391" t="str">
        <f t="shared" si="70"/>
        <v>X50:AP61</v>
      </c>
      <c r="O1391" s="4">
        <f t="shared" ca="1" si="71"/>
        <v>239024.05</v>
      </c>
    </row>
    <row r="1392" spans="1:15">
      <c r="A1392" s="2" t="s">
        <v>11</v>
      </c>
      <c r="B1392" t="s">
        <v>45</v>
      </c>
      <c r="C1392" t="s">
        <v>25</v>
      </c>
      <c r="D1392">
        <v>15</v>
      </c>
      <c r="E1392" t="s">
        <v>46</v>
      </c>
      <c r="F1392">
        <v>5</v>
      </c>
      <c r="G1392">
        <v>1</v>
      </c>
      <c r="H1392">
        <v>4</v>
      </c>
      <c r="I1392">
        <v>1</v>
      </c>
      <c r="J1392" s="4" t="s">
        <v>52</v>
      </c>
      <c r="K1392" t="str">
        <f t="shared" si="72"/>
        <v>1+4</v>
      </c>
      <c r="L1392">
        <f>VLOOKUP(A1392,'ZONE 1 PREMIUM'!$A$4:$N$16,14,0)</f>
        <v>2</v>
      </c>
      <c r="M1392">
        <f>VLOOKUP(D1392,DROPDOWN!B:C,2,0)</f>
        <v>7</v>
      </c>
      <c r="N1392" t="str">
        <f t="shared" si="70"/>
        <v>X65:AP76</v>
      </c>
      <c r="O1392" s="4">
        <f t="shared" ca="1" si="71"/>
        <v>45974.7</v>
      </c>
    </row>
    <row r="1393" spans="1:15">
      <c r="A1393" s="2" t="s">
        <v>12</v>
      </c>
      <c r="B1393" t="s">
        <v>27</v>
      </c>
      <c r="C1393" t="s">
        <v>28</v>
      </c>
      <c r="D1393">
        <v>15</v>
      </c>
      <c r="E1393" t="s">
        <v>46</v>
      </c>
      <c r="F1393">
        <v>5</v>
      </c>
      <c r="G1393">
        <v>1</v>
      </c>
      <c r="H1393">
        <v>4</v>
      </c>
      <c r="I1393">
        <v>1</v>
      </c>
      <c r="J1393" s="4" t="s">
        <v>52</v>
      </c>
      <c r="K1393" t="str">
        <f t="shared" si="72"/>
        <v>1+4</v>
      </c>
      <c r="L1393">
        <f>VLOOKUP(A1393,'ZONE 1 PREMIUM'!$A$4:$N$16,14,0)</f>
        <v>3</v>
      </c>
      <c r="M1393">
        <f>VLOOKUP(D1393,DROPDOWN!B:C,2,0)</f>
        <v>7</v>
      </c>
      <c r="N1393" t="str">
        <f t="shared" si="70"/>
        <v>X65:AP76</v>
      </c>
      <c r="O1393" s="4">
        <f t="shared" ca="1" si="71"/>
        <v>48078.049999999996</v>
      </c>
    </row>
    <row r="1394" spans="1:15">
      <c r="A1394" s="2" t="s">
        <v>13</v>
      </c>
      <c r="B1394" t="s">
        <v>29</v>
      </c>
      <c r="C1394" t="s">
        <v>30</v>
      </c>
      <c r="D1394">
        <v>15</v>
      </c>
      <c r="E1394" t="s">
        <v>46</v>
      </c>
      <c r="F1394">
        <v>5</v>
      </c>
      <c r="G1394">
        <v>1</v>
      </c>
      <c r="H1394">
        <v>4</v>
      </c>
      <c r="I1394">
        <v>1</v>
      </c>
      <c r="J1394" s="4" t="s">
        <v>52</v>
      </c>
      <c r="K1394" t="str">
        <f t="shared" si="72"/>
        <v>1+4</v>
      </c>
      <c r="L1394">
        <f>VLOOKUP(A1394,'ZONE 1 PREMIUM'!$A$4:$N$16,14,0)</f>
        <v>4</v>
      </c>
      <c r="M1394">
        <f>VLOOKUP(D1394,DROPDOWN!B:C,2,0)</f>
        <v>7</v>
      </c>
      <c r="N1394" t="str">
        <f t="shared" si="70"/>
        <v>X65:AP76</v>
      </c>
      <c r="O1394" s="4">
        <f t="shared" ca="1" si="71"/>
        <v>55673.799999999996</v>
      </c>
    </row>
    <row r="1395" spans="1:15">
      <c r="A1395" s="2" t="s">
        <v>14</v>
      </c>
      <c r="B1395" t="s">
        <v>31</v>
      </c>
      <c r="C1395" t="s">
        <v>32</v>
      </c>
      <c r="D1395">
        <v>15</v>
      </c>
      <c r="E1395" t="s">
        <v>46</v>
      </c>
      <c r="F1395">
        <v>5</v>
      </c>
      <c r="G1395">
        <v>1</v>
      </c>
      <c r="H1395">
        <v>4</v>
      </c>
      <c r="I1395">
        <v>1</v>
      </c>
      <c r="J1395" s="4" t="s">
        <v>52</v>
      </c>
      <c r="K1395" t="str">
        <f t="shared" si="72"/>
        <v>1+4</v>
      </c>
      <c r="L1395">
        <f>VLOOKUP(A1395,'ZONE 1 PREMIUM'!$A$4:$N$16,14,0)</f>
        <v>5</v>
      </c>
      <c r="M1395">
        <f>VLOOKUP(D1395,DROPDOWN!B:C,2,0)</f>
        <v>7</v>
      </c>
      <c r="N1395" t="str">
        <f t="shared" si="70"/>
        <v>X65:AP76</v>
      </c>
      <c r="O1395" s="4">
        <f t="shared" ca="1" si="71"/>
        <v>61543.399999999994</v>
      </c>
    </row>
    <row r="1396" spans="1:15">
      <c r="A1396" s="2" t="s">
        <v>15</v>
      </c>
      <c r="B1396" t="s">
        <v>33</v>
      </c>
      <c r="C1396" t="s">
        <v>34</v>
      </c>
      <c r="D1396">
        <v>15</v>
      </c>
      <c r="E1396" t="s">
        <v>46</v>
      </c>
      <c r="F1396">
        <v>5</v>
      </c>
      <c r="G1396">
        <v>1</v>
      </c>
      <c r="H1396">
        <v>4</v>
      </c>
      <c r="I1396">
        <v>1</v>
      </c>
      <c r="J1396" s="4" t="s">
        <v>52</v>
      </c>
      <c r="K1396" t="str">
        <f t="shared" si="72"/>
        <v>1+4</v>
      </c>
      <c r="L1396">
        <f>VLOOKUP(A1396,'ZONE 1 PREMIUM'!$A$4:$N$16,14,0)</f>
        <v>6</v>
      </c>
      <c r="M1396">
        <f>VLOOKUP(D1396,DROPDOWN!B:C,2,0)</f>
        <v>7</v>
      </c>
      <c r="N1396" t="str">
        <f t="shared" si="70"/>
        <v>X65:AP76</v>
      </c>
      <c r="O1396" s="4">
        <f t="shared" ca="1" si="71"/>
        <v>74704</v>
      </c>
    </row>
    <row r="1397" spans="1:15">
      <c r="A1397" s="2" t="s">
        <v>16</v>
      </c>
      <c r="B1397" t="s">
        <v>35</v>
      </c>
      <c r="C1397" t="s">
        <v>36</v>
      </c>
      <c r="D1397">
        <v>15</v>
      </c>
      <c r="E1397" t="s">
        <v>46</v>
      </c>
      <c r="F1397">
        <v>5</v>
      </c>
      <c r="G1397">
        <v>1</v>
      </c>
      <c r="H1397">
        <v>4</v>
      </c>
      <c r="I1397">
        <v>1</v>
      </c>
      <c r="J1397" s="4" t="s">
        <v>52</v>
      </c>
      <c r="K1397" t="str">
        <f t="shared" si="72"/>
        <v>1+4</v>
      </c>
      <c r="L1397">
        <f>VLOOKUP(A1397,'ZONE 1 PREMIUM'!$A$4:$N$16,14,0)</f>
        <v>7</v>
      </c>
      <c r="M1397">
        <f>VLOOKUP(D1397,DROPDOWN!B:C,2,0)</f>
        <v>7</v>
      </c>
      <c r="N1397" t="str">
        <f t="shared" si="70"/>
        <v>X65:AP76</v>
      </c>
      <c r="O1397" s="4">
        <f t="shared" ca="1" si="71"/>
        <v>90983.4</v>
      </c>
    </row>
    <row r="1398" spans="1:15">
      <c r="A1398" s="2" t="s">
        <v>17</v>
      </c>
      <c r="B1398" t="s">
        <v>37</v>
      </c>
      <c r="C1398" t="s">
        <v>38</v>
      </c>
      <c r="D1398">
        <v>15</v>
      </c>
      <c r="E1398" t="s">
        <v>46</v>
      </c>
      <c r="F1398">
        <v>5</v>
      </c>
      <c r="G1398">
        <v>1</v>
      </c>
      <c r="H1398">
        <v>4</v>
      </c>
      <c r="I1398">
        <v>1</v>
      </c>
      <c r="J1398" s="4" t="s">
        <v>52</v>
      </c>
      <c r="K1398" t="str">
        <f t="shared" si="72"/>
        <v>1+4</v>
      </c>
      <c r="L1398">
        <f>VLOOKUP(A1398,'ZONE 1 PREMIUM'!$A$4:$N$16,14,0)</f>
        <v>8</v>
      </c>
      <c r="M1398">
        <f>VLOOKUP(D1398,DROPDOWN!B:C,2,0)</f>
        <v>7</v>
      </c>
      <c r="N1398" t="str">
        <f t="shared" si="70"/>
        <v>X65:AP76</v>
      </c>
      <c r="O1398" s="4">
        <f t="shared" ca="1" si="71"/>
        <v>110044.65</v>
      </c>
    </row>
    <row r="1399" spans="1:15">
      <c r="A1399" s="2" t="s">
        <v>18</v>
      </c>
      <c r="B1399" t="s">
        <v>39</v>
      </c>
      <c r="C1399" t="s">
        <v>40</v>
      </c>
      <c r="D1399">
        <v>15</v>
      </c>
      <c r="E1399" t="s">
        <v>46</v>
      </c>
      <c r="F1399">
        <v>5</v>
      </c>
      <c r="G1399">
        <v>1</v>
      </c>
      <c r="H1399">
        <v>4</v>
      </c>
      <c r="I1399">
        <v>1</v>
      </c>
      <c r="J1399" s="4" t="s">
        <v>52</v>
      </c>
      <c r="K1399" t="str">
        <f t="shared" si="72"/>
        <v>1+4</v>
      </c>
      <c r="L1399">
        <f>VLOOKUP(A1399,'ZONE 1 PREMIUM'!$A$4:$N$16,14,0)</f>
        <v>9</v>
      </c>
      <c r="M1399">
        <f>VLOOKUP(D1399,DROPDOWN!B:C,2,0)</f>
        <v>7</v>
      </c>
      <c r="N1399" t="str">
        <f t="shared" si="70"/>
        <v>X65:AP76</v>
      </c>
      <c r="O1399" s="4">
        <f t="shared" ca="1" si="71"/>
        <v>138569.25</v>
      </c>
    </row>
    <row r="1400" spans="1:15">
      <c r="A1400" s="2" t="s">
        <v>19</v>
      </c>
      <c r="B1400" t="s">
        <v>41</v>
      </c>
      <c r="C1400" t="s">
        <v>42</v>
      </c>
      <c r="D1400">
        <v>15</v>
      </c>
      <c r="E1400" t="s">
        <v>46</v>
      </c>
      <c r="F1400">
        <v>5</v>
      </c>
      <c r="G1400">
        <v>1</v>
      </c>
      <c r="H1400">
        <v>4</v>
      </c>
      <c r="I1400">
        <v>1</v>
      </c>
      <c r="J1400" s="4" t="s">
        <v>52</v>
      </c>
      <c r="K1400" t="str">
        <f t="shared" si="72"/>
        <v>1+4</v>
      </c>
      <c r="L1400">
        <f>VLOOKUP(A1400,'ZONE 1 PREMIUM'!$A$4:$N$16,14,0)</f>
        <v>10</v>
      </c>
      <c r="M1400">
        <f>VLOOKUP(D1400,DROPDOWN!B:C,2,0)</f>
        <v>7</v>
      </c>
      <c r="N1400" t="str">
        <f t="shared" si="70"/>
        <v>X65:AP76</v>
      </c>
      <c r="O1400" s="4">
        <f t="shared" ca="1" si="71"/>
        <v>167441.15</v>
      </c>
    </row>
    <row r="1401" spans="1:15">
      <c r="A1401" s="2" t="s">
        <v>20</v>
      </c>
      <c r="B1401" t="s">
        <v>43</v>
      </c>
      <c r="C1401" t="s">
        <v>44</v>
      </c>
      <c r="D1401">
        <v>15</v>
      </c>
      <c r="E1401" t="s">
        <v>46</v>
      </c>
      <c r="F1401">
        <v>5</v>
      </c>
      <c r="G1401">
        <v>1</v>
      </c>
      <c r="H1401">
        <v>4</v>
      </c>
      <c r="I1401">
        <v>1</v>
      </c>
      <c r="J1401" s="4" t="s">
        <v>52</v>
      </c>
      <c r="K1401" t="str">
        <f t="shared" si="72"/>
        <v>1+4</v>
      </c>
      <c r="L1401">
        <f>VLOOKUP(A1401,'ZONE 1 PREMIUM'!$A$4:$N$16,14,0)</f>
        <v>11</v>
      </c>
      <c r="M1401">
        <f>VLOOKUP(D1401,DROPDOWN!B:C,2,0)</f>
        <v>7</v>
      </c>
      <c r="N1401" t="str">
        <f t="shared" si="70"/>
        <v>X65:AP76</v>
      </c>
      <c r="O1401" s="4">
        <f t="shared" ca="1" si="71"/>
        <v>193903.8</v>
      </c>
    </row>
    <row r="1402" spans="1:15">
      <c r="A1402" s="2" t="s">
        <v>21</v>
      </c>
      <c r="B1402" t="s">
        <v>22</v>
      </c>
      <c r="D1402">
        <v>15</v>
      </c>
      <c r="E1402" t="s">
        <v>46</v>
      </c>
      <c r="F1402">
        <v>5</v>
      </c>
      <c r="G1402">
        <v>1</v>
      </c>
      <c r="H1402">
        <v>4</v>
      </c>
      <c r="I1402">
        <v>1</v>
      </c>
      <c r="J1402" s="4" t="s">
        <v>52</v>
      </c>
      <c r="K1402" t="str">
        <f t="shared" si="72"/>
        <v>1+4</v>
      </c>
      <c r="L1402">
        <f>VLOOKUP(A1402,'ZONE 1 PREMIUM'!$A$4:$N$16,14,0)</f>
        <v>12</v>
      </c>
      <c r="M1402">
        <f>VLOOKUP(D1402,DROPDOWN!B:C,2,0)</f>
        <v>7</v>
      </c>
      <c r="N1402" t="str">
        <f t="shared" si="70"/>
        <v>X65:AP76</v>
      </c>
      <c r="O1402" s="4">
        <f t="shared" ca="1" si="71"/>
        <v>248305.69999999998</v>
      </c>
    </row>
    <row r="1403" spans="1:15">
      <c r="A1403" s="2" t="s">
        <v>11</v>
      </c>
      <c r="B1403" t="s">
        <v>45</v>
      </c>
      <c r="C1403" t="s">
        <v>25</v>
      </c>
      <c r="D1403">
        <v>15</v>
      </c>
      <c r="E1403" t="s">
        <v>46</v>
      </c>
      <c r="F1403">
        <v>2</v>
      </c>
      <c r="G1403">
        <v>2</v>
      </c>
      <c r="H1403">
        <v>0</v>
      </c>
      <c r="I1403">
        <v>1</v>
      </c>
      <c r="J1403" s="4" t="s">
        <v>52</v>
      </c>
      <c r="K1403" t="str">
        <f t="shared" si="72"/>
        <v>2+0</v>
      </c>
      <c r="L1403">
        <f>VLOOKUP(A1403,'ZONE 1 PREMIUM'!$A$4:$N$16,14,0)</f>
        <v>2</v>
      </c>
      <c r="M1403">
        <f>VLOOKUP(D1403,DROPDOWN!B:C,2,0)</f>
        <v>7</v>
      </c>
      <c r="N1403" t="str">
        <f t="shared" si="70"/>
        <v>X81:AP92</v>
      </c>
      <c r="O1403" s="4">
        <f t="shared" ca="1" si="71"/>
        <v>33865.199999999997</v>
      </c>
    </row>
    <row r="1404" spans="1:15">
      <c r="A1404" s="2" t="s">
        <v>12</v>
      </c>
      <c r="B1404" t="s">
        <v>27</v>
      </c>
      <c r="C1404" t="s">
        <v>28</v>
      </c>
      <c r="D1404">
        <v>15</v>
      </c>
      <c r="E1404" t="s">
        <v>46</v>
      </c>
      <c r="F1404">
        <v>2</v>
      </c>
      <c r="G1404">
        <v>2</v>
      </c>
      <c r="H1404">
        <v>0</v>
      </c>
      <c r="I1404">
        <v>1</v>
      </c>
      <c r="J1404" s="4" t="s">
        <v>52</v>
      </c>
      <c r="K1404" t="str">
        <f t="shared" si="72"/>
        <v>2+0</v>
      </c>
      <c r="L1404">
        <f>VLOOKUP(A1404,'ZONE 1 PREMIUM'!$A$4:$N$16,14,0)</f>
        <v>3</v>
      </c>
      <c r="M1404">
        <f>VLOOKUP(D1404,DROPDOWN!B:C,2,0)</f>
        <v>7</v>
      </c>
      <c r="N1404" t="str">
        <f t="shared" si="70"/>
        <v>X81:AP92</v>
      </c>
      <c r="O1404" s="4">
        <f t="shared" ca="1" si="71"/>
        <v>38712.449999999997</v>
      </c>
    </row>
    <row r="1405" spans="1:15">
      <c r="A1405" s="2" t="s">
        <v>13</v>
      </c>
      <c r="B1405" t="s">
        <v>29</v>
      </c>
      <c r="C1405" t="s">
        <v>30</v>
      </c>
      <c r="D1405">
        <v>15</v>
      </c>
      <c r="E1405" t="s">
        <v>46</v>
      </c>
      <c r="F1405">
        <v>2</v>
      </c>
      <c r="G1405">
        <v>2</v>
      </c>
      <c r="H1405">
        <v>0</v>
      </c>
      <c r="I1405">
        <v>1</v>
      </c>
      <c r="J1405" s="4" t="s">
        <v>52</v>
      </c>
      <c r="K1405" t="str">
        <f t="shared" si="72"/>
        <v>2+0</v>
      </c>
      <c r="L1405">
        <f>VLOOKUP(A1405,'ZONE 1 PREMIUM'!$A$4:$N$16,14,0)</f>
        <v>4</v>
      </c>
      <c r="M1405">
        <f>VLOOKUP(D1405,DROPDOWN!B:C,2,0)</f>
        <v>7</v>
      </c>
      <c r="N1405" t="str">
        <f t="shared" si="70"/>
        <v>X81:AP92</v>
      </c>
      <c r="O1405" s="4">
        <f t="shared" ca="1" si="71"/>
        <v>43019.199999999997</v>
      </c>
    </row>
    <row r="1406" spans="1:15">
      <c r="A1406" s="2" t="s">
        <v>14</v>
      </c>
      <c r="B1406" t="s">
        <v>31</v>
      </c>
      <c r="C1406" t="s">
        <v>32</v>
      </c>
      <c r="D1406">
        <v>15</v>
      </c>
      <c r="E1406" t="s">
        <v>46</v>
      </c>
      <c r="F1406">
        <v>2</v>
      </c>
      <c r="G1406">
        <v>2</v>
      </c>
      <c r="H1406">
        <v>0</v>
      </c>
      <c r="I1406">
        <v>1</v>
      </c>
      <c r="J1406" s="4" t="s">
        <v>52</v>
      </c>
      <c r="K1406" t="str">
        <f t="shared" si="72"/>
        <v>2+0</v>
      </c>
      <c r="L1406">
        <f>VLOOKUP(A1406,'ZONE 1 PREMIUM'!$A$4:$N$16,14,0)</f>
        <v>5</v>
      </c>
      <c r="M1406">
        <f>VLOOKUP(D1406,DROPDOWN!B:C,2,0)</f>
        <v>7</v>
      </c>
      <c r="N1406" t="str">
        <f t="shared" si="70"/>
        <v>X81:AP92</v>
      </c>
      <c r="O1406" s="4">
        <f t="shared" ca="1" si="71"/>
        <v>49939.899999999994</v>
      </c>
    </row>
    <row r="1407" spans="1:15">
      <c r="A1407" s="2" t="s">
        <v>15</v>
      </c>
      <c r="B1407" t="s">
        <v>33</v>
      </c>
      <c r="C1407" t="s">
        <v>34</v>
      </c>
      <c r="D1407">
        <v>15</v>
      </c>
      <c r="E1407" t="s">
        <v>46</v>
      </c>
      <c r="F1407">
        <v>2</v>
      </c>
      <c r="G1407">
        <v>2</v>
      </c>
      <c r="H1407">
        <v>0</v>
      </c>
      <c r="I1407">
        <v>1</v>
      </c>
      <c r="J1407" s="4" t="s">
        <v>52</v>
      </c>
      <c r="K1407" t="str">
        <f t="shared" si="72"/>
        <v>2+0</v>
      </c>
      <c r="L1407">
        <f>VLOOKUP(A1407,'ZONE 1 PREMIUM'!$A$4:$N$16,14,0)</f>
        <v>6</v>
      </c>
      <c r="M1407">
        <f>VLOOKUP(D1407,DROPDOWN!B:C,2,0)</f>
        <v>7</v>
      </c>
      <c r="N1407" t="str">
        <f t="shared" si="70"/>
        <v>X81:AP92</v>
      </c>
      <c r="O1407" s="4">
        <f t="shared" ca="1" si="71"/>
        <v>64020.499999999993</v>
      </c>
    </row>
    <row r="1408" spans="1:15">
      <c r="A1408" s="2" t="s">
        <v>16</v>
      </c>
      <c r="B1408" t="s">
        <v>35</v>
      </c>
      <c r="C1408" t="s">
        <v>36</v>
      </c>
      <c r="D1408">
        <v>15</v>
      </c>
      <c r="E1408" t="s">
        <v>46</v>
      </c>
      <c r="F1408">
        <v>2</v>
      </c>
      <c r="G1408">
        <v>2</v>
      </c>
      <c r="H1408">
        <v>0</v>
      </c>
      <c r="I1408">
        <v>1</v>
      </c>
      <c r="J1408" s="4" t="s">
        <v>52</v>
      </c>
      <c r="K1408" t="str">
        <f t="shared" si="72"/>
        <v>2+0</v>
      </c>
      <c r="L1408">
        <f>VLOOKUP(A1408,'ZONE 1 PREMIUM'!$A$4:$N$16,14,0)</f>
        <v>7</v>
      </c>
      <c r="M1408">
        <f>VLOOKUP(D1408,DROPDOWN!B:C,2,0)</f>
        <v>7</v>
      </c>
      <c r="N1408" t="str">
        <f t="shared" si="70"/>
        <v>X81:AP92</v>
      </c>
      <c r="O1408" s="4">
        <f t="shared" ca="1" si="71"/>
        <v>84590.549999999988</v>
      </c>
    </row>
    <row r="1409" spans="1:15">
      <c r="A1409" s="2" t="s">
        <v>17</v>
      </c>
      <c r="B1409" t="s">
        <v>37</v>
      </c>
      <c r="C1409" t="s">
        <v>38</v>
      </c>
      <c r="D1409">
        <v>15</v>
      </c>
      <c r="E1409" t="s">
        <v>46</v>
      </c>
      <c r="F1409">
        <v>2</v>
      </c>
      <c r="G1409">
        <v>2</v>
      </c>
      <c r="H1409">
        <v>0</v>
      </c>
      <c r="I1409">
        <v>1</v>
      </c>
      <c r="J1409" s="4" t="s">
        <v>52</v>
      </c>
      <c r="K1409" t="str">
        <f t="shared" si="72"/>
        <v>2+0</v>
      </c>
      <c r="L1409">
        <f>VLOOKUP(A1409,'ZONE 1 PREMIUM'!$A$4:$N$16,14,0)</f>
        <v>8</v>
      </c>
      <c r="M1409">
        <f>VLOOKUP(D1409,DROPDOWN!B:C,2,0)</f>
        <v>7</v>
      </c>
      <c r="N1409" t="str">
        <f t="shared" si="70"/>
        <v>X81:AP92</v>
      </c>
      <c r="O1409" s="4">
        <f t="shared" ca="1" si="71"/>
        <v>116546.74999999999</v>
      </c>
    </row>
    <row r="1410" spans="1:15">
      <c r="A1410" s="2" t="s">
        <v>18</v>
      </c>
      <c r="B1410" t="s">
        <v>39</v>
      </c>
      <c r="C1410" t="s">
        <v>40</v>
      </c>
      <c r="D1410">
        <v>15</v>
      </c>
      <c r="E1410" t="s">
        <v>46</v>
      </c>
      <c r="F1410">
        <v>2</v>
      </c>
      <c r="G1410">
        <v>2</v>
      </c>
      <c r="H1410">
        <v>0</v>
      </c>
      <c r="I1410">
        <v>1</v>
      </c>
      <c r="J1410" s="4" t="s">
        <v>52</v>
      </c>
      <c r="K1410" t="str">
        <f t="shared" si="72"/>
        <v>2+0</v>
      </c>
      <c r="L1410">
        <f>VLOOKUP(A1410,'ZONE 1 PREMIUM'!$A$4:$N$16,14,0)</f>
        <v>9</v>
      </c>
      <c r="M1410">
        <f>VLOOKUP(D1410,DROPDOWN!B:C,2,0)</f>
        <v>7</v>
      </c>
      <c r="N1410" t="str">
        <f t="shared" ref="N1410:N1457" si="73">VLOOKUP(K1410,$AQ$3:$AR$12,2,0)</f>
        <v>X81:AP92</v>
      </c>
      <c r="O1410" s="4">
        <f t="shared" ref="O1410:O1473" ca="1" si="74">INDEX(INDIRECT(N1410),L1410,M1410)</f>
        <v>164468.4</v>
      </c>
    </row>
    <row r="1411" spans="1:15">
      <c r="A1411" s="2" t="s">
        <v>19</v>
      </c>
      <c r="B1411" t="s">
        <v>41</v>
      </c>
      <c r="C1411" t="s">
        <v>42</v>
      </c>
      <c r="D1411">
        <v>15</v>
      </c>
      <c r="E1411" t="s">
        <v>46</v>
      </c>
      <c r="F1411">
        <v>2</v>
      </c>
      <c r="G1411">
        <v>2</v>
      </c>
      <c r="H1411">
        <v>0</v>
      </c>
      <c r="I1411">
        <v>1</v>
      </c>
      <c r="J1411" s="4" t="s">
        <v>52</v>
      </c>
      <c r="K1411" t="str">
        <f t="shared" si="72"/>
        <v>2+0</v>
      </c>
      <c r="L1411">
        <f>VLOOKUP(A1411,'ZONE 1 PREMIUM'!$A$4:$N$16,14,0)</f>
        <v>10</v>
      </c>
      <c r="M1411">
        <f>VLOOKUP(D1411,DROPDOWN!B:C,2,0)</f>
        <v>7</v>
      </c>
      <c r="N1411" t="str">
        <f t="shared" si="73"/>
        <v>X81:AP92</v>
      </c>
      <c r="O1411" s="4">
        <f t="shared" ca="1" si="74"/>
        <v>228013.94999999998</v>
      </c>
    </row>
    <row r="1412" spans="1:15">
      <c r="A1412" s="2" t="s">
        <v>20</v>
      </c>
      <c r="B1412" t="s">
        <v>43</v>
      </c>
      <c r="C1412" t="s">
        <v>44</v>
      </c>
      <c r="D1412">
        <v>15</v>
      </c>
      <c r="E1412" t="s">
        <v>46</v>
      </c>
      <c r="F1412">
        <v>2</v>
      </c>
      <c r="G1412">
        <v>2</v>
      </c>
      <c r="H1412">
        <v>0</v>
      </c>
      <c r="I1412">
        <v>1</v>
      </c>
      <c r="J1412" s="4" t="s">
        <v>52</v>
      </c>
      <c r="K1412" t="str">
        <f t="shared" ref="K1412:K1475" si="75">G1412&amp;"+"&amp;H1412</f>
        <v>2+0</v>
      </c>
      <c r="L1412">
        <f>VLOOKUP(A1412,'ZONE 1 PREMIUM'!$A$4:$N$16,14,0)</f>
        <v>11</v>
      </c>
      <c r="M1412">
        <f>VLOOKUP(D1412,DROPDOWN!B:C,2,0)</f>
        <v>7</v>
      </c>
      <c r="N1412" t="str">
        <f t="shared" si="73"/>
        <v>X81:AP92</v>
      </c>
      <c r="O1412" s="4">
        <f t="shared" ca="1" si="74"/>
        <v>281801.75</v>
      </c>
    </row>
    <row r="1413" spans="1:15">
      <c r="A1413" s="2" t="s">
        <v>21</v>
      </c>
      <c r="B1413" t="s">
        <v>22</v>
      </c>
      <c r="D1413">
        <v>15</v>
      </c>
      <c r="E1413" t="s">
        <v>46</v>
      </c>
      <c r="F1413">
        <v>2</v>
      </c>
      <c r="G1413">
        <v>2</v>
      </c>
      <c r="H1413">
        <v>0</v>
      </c>
      <c r="I1413">
        <v>1</v>
      </c>
      <c r="J1413" s="4" t="s">
        <v>52</v>
      </c>
      <c r="K1413" t="str">
        <f t="shared" si="75"/>
        <v>2+0</v>
      </c>
      <c r="L1413">
        <f>VLOOKUP(A1413,'ZONE 1 PREMIUM'!$A$4:$N$16,14,0)</f>
        <v>12</v>
      </c>
      <c r="M1413">
        <f>VLOOKUP(D1413,DROPDOWN!B:C,2,0)</f>
        <v>7</v>
      </c>
      <c r="N1413" t="str">
        <f t="shared" si="73"/>
        <v>X81:AP92</v>
      </c>
      <c r="O1413" s="4">
        <f t="shared" ca="1" si="74"/>
        <v>360594</v>
      </c>
    </row>
    <row r="1414" spans="1:15">
      <c r="A1414" s="2" t="s">
        <v>11</v>
      </c>
      <c r="B1414" t="s">
        <v>45</v>
      </c>
      <c r="C1414" t="s">
        <v>25</v>
      </c>
      <c r="D1414">
        <v>15</v>
      </c>
      <c r="E1414" t="s">
        <v>46</v>
      </c>
      <c r="F1414">
        <v>3</v>
      </c>
      <c r="G1414">
        <v>2</v>
      </c>
      <c r="H1414">
        <v>1</v>
      </c>
      <c r="I1414">
        <v>1</v>
      </c>
      <c r="J1414" s="4" t="s">
        <v>52</v>
      </c>
      <c r="K1414" t="str">
        <f t="shared" si="75"/>
        <v>2+1</v>
      </c>
      <c r="L1414">
        <f>VLOOKUP(A1414,'ZONE 1 PREMIUM'!$A$4:$N$16,14,0)</f>
        <v>2</v>
      </c>
      <c r="M1414">
        <f>VLOOKUP(D1414,DROPDOWN!B:C,2,0)</f>
        <v>7</v>
      </c>
      <c r="N1414" t="str">
        <f t="shared" si="73"/>
        <v>X98:AP109</v>
      </c>
      <c r="O1414" s="4">
        <f t="shared" ca="1" si="74"/>
        <v>41247.049999999996</v>
      </c>
    </row>
    <row r="1415" spans="1:15">
      <c r="A1415" s="2" t="s">
        <v>12</v>
      </c>
      <c r="B1415" t="s">
        <v>27</v>
      </c>
      <c r="C1415" t="s">
        <v>28</v>
      </c>
      <c r="D1415">
        <v>15</v>
      </c>
      <c r="E1415" t="s">
        <v>46</v>
      </c>
      <c r="F1415">
        <v>3</v>
      </c>
      <c r="G1415">
        <v>2</v>
      </c>
      <c r="H1415">
        <v>1</v>
      </c>
      <c r="I1415">
        <v>1</v>
      </c>
      <c r="J1415" s="4" t="s">
        <v>52</v>
      </c>
      <c r="K1415" t="str">
        <f t="shared" si="75"/>
        <v>2+1</v>
      </c>
      <c r="L1415">
        <f>VLOOKUP(A1415,'ZONE 1 PREMIUM'!$A$4:$N$16,14,0)</f>
        <v>3</v>
      </c>
      <c r="M1415">
        <f>VLOOKUP(D1415,DROPDOWN!B:C,2,0)</f>
        <v>7</v>
      </c>
      <c r="N1415" t="str">
        <f t="shared" si="73"/>
        <v>X98:AP109</v>
      </c>
      <c r="O1415" s="4">
        <f t="shared" ca="1" si="74"/>
        <v>45965.5</v>
      </c>
    </row>
    <row r="1416" spans="1:15">
      <c r="A1416" s="2" t="s">
        <v>13</v>
      </c>
      <c r="B1416" t="s">
        <v>29</v>
      </c>
      <c r="C1416" t="s">
        <v>30</v>
      </c>
      <c r="D1416">
        <v>15</v>
      </c>
      <c r="E1416" t="s">
        <v>46</v>
      </c>
      <c r="F1416">
        <v>3</v>
      </c>
      <c r="G1416">
        <v>2</v>
      </c>
      <c r="H1416">
        <v>1</v>
      </c>
      <c r="I1416">
        <v>1</v>
      </c>
      <c r="J1416" s="4" t="s">
        <v>52</v>
      </c>
      <c r="K1416" t="str">
        <f t="shared" si="75"/>
        <v>2+1</v>
      </c>
      <c r="L1416">
        <f>VLOOKUP(A1416,'ZONE 1 PREMIUM'!$A$4:$N$16,14,0)</f>
        <v>4</v>
      </c>
      <c r="M1416">
        <f>VLOOKUP(D1416,DROPDOWN!B:C,2,0)</f>
        <v>7</v>
      </c>
      <c r="N1416" t="str">
        <f t="shared" si="73"/>
        <v>X98:AP109</v>
      </c>
      <c r="O1416" s="4">
        <f t="shared" ca="1" si="74"/>
        <v>51473.999999999993</v>
      </c>
    </row>
    <row r="1417" spans="1:15">
      <c r="A1417" s="2" t="s">
        <v>14</v>
      </c>
      <c r="B1417" t="s">
        <v>31</v>
      </c>
      <c r="C1417" t="s">
        <v>32</v>
      </c>
      <c r="D1417">
        <v>15</v>
      </c>
      <c r="E1417" t="s">
        <v>46</v>
      </c>
      <c r="F1417">
        <v>3</v>
      </c>
      <c r="G1417">
        <v>2</v>
      </c>
      <c r="H1417">
        <v>1</v>
      </c>
      <c r="I1417">
        <v>1</v>
      </c>
      <c r="J1417" s="4" t="s">
        <v>52</v>
      </c>
      <c r="K1417" t="str">
        <f t="shared" si="75"/>
        <v>2+1</v>
      </c>
      <c r="L1417">
        <f>VLOOKUP(A1417,'ZONE 1 PREMIUM'!$A$4:$N$16,14,0)</f>
        <v>5</v>
      </c>
      <c r="M1417">
        <f>VLOOKUP(D1417,DROPDOWN!B:C,2,0)</f>
        <v>7</v>
      </c>
      <c r="N1417" t="str">
        <f t="shared" si="73"/>
        <v>X98:AP109</v>
      </c>
      <c r="O1417" s="4">
        <f t="shared" ca="1" si="74"/>
        <v>58976.6</v>
      </c>
    </row>
    <row r="1418" spans="1:15">
      <c r="A1418" s="2" t="s">
        <v>15</v>
      </c>
      <c r="B1418" t="s">
        <v>33</v>
      </c>
      <c r="C1418" t="s">
        <v>34</v>
      </c>
      <c r="D1418">
        <v>15</v>
      </c>
      <c r="E1418" t="s">
        <v>46</v>
      </c>
      <c r="F1418">
        <v>3</v>
      </c>
      <c r="G1418">
        <v>2</v>
      </c>
      <c r="H1418">
        <v>1</v>
      </c>
      <c r="I1418">
        <v>1</v>
      </c>
      <c r="J1418" s="4" t="s">
        <v>52</v>
      </c>
      <c r="K1418" t="str">
        <f t="shared" si="75"/>
        <v>2+1</v>
      </c>
      <c r="L1418">
        <f>VLOOKUP(A1418,'ZONE 1 PREMIUM'!$A$4:$N$16,14,0)</f>
        <v>6</v>
      </c>
      <c r="M1418">
        <f>VLOOKUP(D1418,DROPDOWN!B:C,2,0)</f>
        <v>7</v>
      </c>
      <c r="N1418" t="str">
        <f t="shared" si="73"/>
        <v>X98:AP109</v>
      </c>
      <c r="O1418" s="4">
        <f t="shared" ca="1" si="74"/>
        <v>74185.349999999991</v>
      </c>
    </row>
    <row r="1419" spans="1:15">
      <c r="A1419" s="2" t="s">
        <v>16</v>
      </c>
      <c r="B1419" t="s">
        <v>35</v>
      </c>
      <c r="C1419" t="s">
        <v>36</v>
      </c>
      <c r="D1419">
        <v>15</v>
      </c>
      <c r="E1419" t="s">
        <v>46</v>
      </c>
      <c r="F1419">
        <v>3</v>
      </c>
      <c r="G1419">
        <v>2</v>
      </c>
      <c r="H1419">
        <v>1</v>
      </c>
      <c r="I1419">
        <v>1</v>
      </c>
      <c r="J1419" s="4" t="s">
        <v>52</v>
      </c>
      <c r="K1419" t="str">
        <f t="shared" si="75"/>
        <v>2+1</v>
      </c>
      <c r="L1419">
        <f>VLOOKUP(A1419,'ZONE 1 PREMIUM'!$A$4:$N$16,14,0)</f>
        <v>7</v>
      </c>
      <c r="M1419">
        <f>VLOOKUP(D1419,DROPDOWN!B:C,2,0)</f>
        <v>7</v>
      </c>
      <c r="N1419" t="str">
        <f t="shared" si="73"/>
        <v>X98:AP109</v>
      </c>
      <c r="O1419" s="4">
        <f t="shared" ca="1" si="74"/>
        <v>97211.799999999988</v>
      </c>
    </row>
    <row r="1420" spans="1:15">
      <c r="A1420" s="2" t="s">
        <v>17</v>
      </c>
      <c r="B1420" t="s">
        <v>37</v>
      </c>
      <c r="C1420" t="s">
        <v>38</v>
      </c>
      <c r="D1420">
        <v>15</v>
      </c>
      <c r="E1420" t="s">
        <v>46</v>
      </c>
      <c r="F1420">
        <v>3</v>
      </c>
      <c r="G1420">
        <v>2</v>
      </c>
      <c r="H1420">
        <v>1</v>
      </c>
      <c r="I1420">
        <v>1</v>
      </c>
      <c r="J1420" s="4" t="s">
        <v>52</v>
      </c>
      <c r="K1420" t="str">
        <f t="shared" si="75"/>
        <v>2+1</v>
      </c>
      <c r="L1420">
        <f>VLOOKUP(A1420,'ZONE 1 PREMIUM'!$A$4:$N$16,14,0)</f>
        <v>8</v>
      </c>
      <c r="M1420">
        <f>VLOOKUP(D1420,DROPDOWN!B:C,2,0)</f>
        <v>7</v>
      </c>
      <c r="N1420" t="str">
        <f t="shared" si="73"/>
        <v>X98:AP109</v>
      </c>
      <c r="O1420" s="4">
        <f t="shared" ca="1" si="74"/>
        <v>130148.95</v>
      </c>
    </row>
    <row r="1421" spans="1:15">
      <c r="A1421" s="2" t="s">
        <v>18</v>
      </c>
      <c r="B1421" t="s">
        <v>39</v>
      </c>
      <c r="C1421" t="s">
        <v>40</v>
      </c>
      <c r="D1421">
        <v>15</v>
      </c>
      <c r="E1421" t="s">
        <v>46</v>
      </c>
      <c r="F1421">
        <v>3</v>
      </c>
      <c r="G1421">
        <v>2</v>
      </c>
      <c r="H1421">
        <v>1</v>
      </c>
      <c r="I1421">
        <v>1</v>
      </c>
      <c r="J1421" s="4" t="s">
        <v>52</v>
      </c>
      <c r="K1421" t="str">
        <f t="shared" si="75"/>
        <v>2+1</v>
      </c>
      <c r="L1421">
        <f>VLOOKUP(A1421,'ZONE 1 PREMIUM'!$A$4:$N$16,14,0)</f>
        <v>9</v>
      </c>
      <c r="M1421">
        <f>VLOOKUP(D1421,DROPDOWN!B:C,2,0)</f>
        <v>7</v>
      </c>
      <c r="N1421" t="str">
        <f t="shared" si="73"/>
        <v>X98:AP109</v>
      </c>
      <c r="O1421" s="4">
        <f t="shared" ca="1" si="74"/>
        <v>178316.69999999998</v>
      </c>
    </row>
    <row r="1422" spans="1:15">
      <c r="A1422" s="2" t="s">
        <v>19</v>
      </c>
      <c r="B1422" t="s">
        <v>41</v>
      </c>
      <c r="C1422" t="s">
        <v>42</v>
      </c>
      <c r="D1422">
        <v>15</v>
      </c>
      <c r="E1422" t="s">
        <v>46</v>
      </c>
      <c r="F1422">
        <v>3</v>
      </c>
      <c r="G1422">
        <v>2</v>
      </c>
      <c r="H1422">
        <v>1</v>
      </c>
      <c r="I1422">
        <v>1</v>
      </c>
      <c r="J1422" s="4" t="s">
        <v>52</v>
      </c>
      <c r="K1422" t="str">
        <f t="shared" si="75"/>
        <v>2+1</v>
      </c>
      <c r="L1422">
        <f>VLOOKUP(A1422,'ZONE 1 PREMIUM'!$A$4:$N$16,14,0)</f>
        <v>10</v>
      </c>
      <c r="M1422">
        <f>VLOOKUP(D1422,DROPDOWN!B:C,2,0)</f>
        <v>7</v>
      </c>
      <c r="N1422" t="str">
        <f t="shared" si="73"/>
        <v>X98:AP109</v>
      </c>
      <c r="O1422" s="4">
        <f t="shared" ca="1" si="74"/>
        <v>236773.49999999997</v>
      </c>
    </row>
    <row r="1423" spans="1:15">
      <c r="A1423" s="2" t="s">
        <v>20</v>
      </c>
      <c r="B1423" t="s">
        <v>43</v>
      </c>
      <c r="C1423" t="s">
        <v>44</v>
      </c>
      <c r="D1423">
        <v>15</v>
      </c>
      <c r="E1423" t="s">
        <v>46</v>
      </c>
      <c r="F1423">
        <v>3</v>
      </c>
      <c r="G1423">
        <v>2</v>
      </c>
      <c r="H1423">
        <v>1</v>
      </c>
      <c r="I1423">
        <v>1</v>
      </c>
      <c r="J1423" s="4" t="s">
        <v>52</v>
      </c>
      <c r="K1423" t="str">
        <f t="shared" si="75"/>
        <v>2+1</v>
      </c>
      <c r="L1423">
        <f>VLOOKUP(A1423,'ZONE 1 PREMIUM'!$A$4:$N$16,14,0)</f>
        <v>11</v>
      </c>
      <c r="M1423">
        <f>VLOOKUP(D1423,DROPDOWN!B:C,2,0)</f>
        <v>7</v>
      </c>
      <c r="N1423" t="str">
        <f t="shared" si="73"/>
        <v>X98:AP109</v>
      </c>
      <c r="O1423" s="4">
        <f t="shared" ca="1" si="74"/>
        <v>288713.25</v>
      </c>
    </row>
    <row r="1424" spans="1:15">
      <c r="A1424" s="2" t="s">
        <v>21</v>
      </c>
      <c r="B1424" t="s">
        <v>22</v>
      </c>
      <c r="D1424">
        <v>15</v>
      </c>
      <c r="E1424" t="s">
        <v>46</v>
      </c>
      <c r="F1424">
        <v>3</v>
      </c>
      <c r="G1424">
        <v>2</v>
      </c>
      <c r="H1424">
        <v>1</v>
      </c>
      <c r="I1424">
        <v>1</v>
      </c>
      <c r="J1424" s="4" t="s">
        <v>52</v>
      </c>
      <c r="K1424" t="str">
        <f t="shared" si="75"/>
        <v>2+1</v>
      </c>
      <c r="L1424">
        <f>VLOOKUP(A1424,'ZONE 1 PREMIUM'!$A$4:$N$16,14,0)</f>
        <v>12</v>
      </c>
      <c r="M1424">
        <f>VLOOKUP(D1424,DROPDOWN!B:C,2,0)</f>
        <v>7</v>
      </c>
      <c r="N1424" t="str">
        <f t="shared" si="73"/>
        <v>X98:AP109</v>
      </c>
      <c r="O1424" s="4">
        <f t="shared" ca="1" si="74"/>
        <v>367216.85</v>
      </c>
    </row>
    <row r="1425" spans="1:15">
      <c r="A1425" s="2" t="s">
        <v>11</v>
      </c>
      <c r="B1425" t="s">
        <v>45</v>
      </c>
      <c r="C1425" t="s">
        <v>25</v>
      </c>
      <c r="D1425">
        <v>15</v>
      </c>
      <c r="E1425" t="s">
        <v>46</v>
      </c>
      <c r="F1425">
        <v>4</v>
      </c>
      <c r="G1425">
        <v>2</v>
      </c>
      <c r="H1425">
        <v>2</v>
      </c>
      <c r="I1425">
        <v>1</v>
      </c>
      <c r="J1425" s="4" t="s">
        <v>52</v>
      </c>
      <c r="K1425" t="str">
        <f t="shared" si="75"/>
        <v>2+2</v>
      </c>
      <c r="L1425">
        <f>VLOOKUP(A1425,'ZONE 1 PREMIUM'!$A$4:$N$16,14,0)</f>
        <v>2</v>
      </c>
      <c r="M1425">
        <f>VLOOKUP(D1425,DROPDOWN!B:C,2,0)</f>
        <v>7</v>
      </c>
      <c r="N1425" t="str">
        <f t="shared" si="73"/>
        <v>X113:AP124</v>
      </c>
      <c r="O1425" s="4">
        <f t="shared" ca="1" si="74"/>
        <v>48467.899999999994</v>
      </c>
    </row>
    <row r="1426" spans="1:15">
      <c r="A1426" s="2" t="s">
        <v>12</v>
      </c>
      <c r="B1426" t="s">
        <v>27</v>
      </c>
      <c r="C1426" t="s">
        <v>28</v>
      </c>
      <c r="D1426">
        <v>15</v>
      </c>
      <c r="E1426" t="s">
        <v>46</v>
      </c>
      <c r="F1426">
        <v>4</v>
      </c>
      <c r="G1426">
        <v>2</v>
      </c>
      <c r="H1426">
        <v>2</v>
      </c>
      <c r="I1426">
        <v>1</v>
      </c>
      <c r="J1426" s="4" t="s">
        <v>52</v>
      </c>
      <c r="K1426" t="str">
        <f t="shared" si="75"/>
        <v>2+2</v>
      </c>
      <c r="L1426">
        <f>VLOOKUP(A1426,'ZONE 1 PREMIUM'!$A$4:$N$16,14,0)</f>
        <v>3</v>
      </c>
      <c r="M1426">
        <f>VLOOKUP(D1426,DROPDOWN!B:C,2,0)</f>
        <v>7</v>
      </c>
      <c r="N1426" t="str">
        <f t="shared" si="73"/>
        <v>X113:AP124</v>
      </c>
      <c r="O1426" s="4">
        <f t="shared" ca="1" si="74"/>
        <v>53056.399999999994</v>
      </c>
    </row>
    <row r="1427" spans="1:15">
      <c r="A1427" s="2" t="s">
        <v>13</v>
      </c>
      <c r="B1427" t="s">
        <v>29</v>
      </c>
      <c r="C1427" t="s">
        <v>30</v>
      </c>
      <c r="D1427">
        <v>15</v>
      </c>
      <c r="E1427" t="s">
        <v>46</v>
      </c>
      <c r="F1427">
        <v>4</v>
      </c>
      <c r="G1427">
        <v>2</v>
      </c>
      <c r="H1427">
        <v>2</v>
      </c>
      <c r="I1427">
        <v>1</v>
      </c>
      <c r="J1427" s="4" t="s">
        <v>52</v>
      </c>
      <c r="K1427" t="str">
        <f t="shared" si="75"/>
        <v>2+2</v>
      </c>
      <c r="L1427">
        <f>VLOOKUP(A1427,'ZONE 1 PREMIUM'!$A$4:$N$16,14,0)</f>
        <v>4</v>
      </c>
      <c r="M1427">
        <f>VLOOKUP(D1427,DROPDOWN!B:C,2,0)</f>
        <v>7</v>
      </c>
      <c r="N1427" t="str">
        <f t="shared" si="73"/>
        <v>X113:AP124</v>
      </c>
      <c r="O1427" s="4">
        <f t="shared" ca="1" si="74"/>
        <v>59693.049999999996</v>
      </c>
    </row>
    <row r="1428" spans="1:15">
      <c r="A1428" s="2" t="s">
        <v>14</v>
      </c>
      <c r="B1428" t="s">
        <v>31</v>
      </c>
      <c r="C1428" t="s">
        <v>32</v>
      </c>
      <c r="D1428">
        <v>15</v>
      </c>
      <c r="E1428" t="s">
        <v>46</v>
      </c>
      <c r="F1428">
        <v>4</v>
      </c>
      <c r="G1428">
        <v>2</v>
      </c>
      <c r="H1428">
        <v>2</v>
      </c>
      <c r="I1428">
        <v>1</v>
      </c>
      <c r="J1428" s="4" t="s">
        <v>52</v>
      </c>
      <c r="K1428" t="str">
        <f t="shared" si="75"/>
        <v>2+2</v>
      </c>
      <c r="L1428">
        <f>VLOOKUP(A1428,'ZONE 1 PREMIUM'!$A$4:$N$16,14,0)</f>
        <v>5</v>
      </c>
      <c r="M1428">
        <f>VLOOKUP(D1428,DROPDOWN!B:C,2,0)</f>
        <v>7</v>
      </c>
      <c r="N1428" t="str">
        <f t="shared" si="73"/>
        <v>X113:AP124</v>
      </c>
      <c r="O1428" s="4">
        <f t="shared" ca="1" si="74"/>
        <v>67723.5</v>
      </c>
    </row>
    <row r="1429" spans="1:15">
      <c r="A1429" s="2" t="s">
        <v>15</v>
      </c>
      <c r="B1429" t="s">
        <v>33</v>
      </c>
      <c r="C1429" t="s">
        <v>34</v>
      </c>
      <c r="D1429">
        <v>15</v>
      </c>
      <c r="E1429" t="s">
        <v>46</v>
      </c>
      <c r="F1429">
        <v>4</v>
      </c>
      <c r="G1429">
        <v>2</v>
      </c>
      <c r="H1429">
        <v>2</v>
      </c>
      <c r="I1429">
        <v>1</v>
      </c>
      <c r="J1429" s="4" t="s">
        <v>52</v>
      </c>
      <c r="K1429" t="str">
        <f t="shared" si="75"/>
        <v>2+2</v>
      </c>
      <c r="L1429">
        <f>VLOOKUP(A1429,'ZONE 1 PREMIUM'!$A$4:$N$16,14,0)</f>
        <v>6</v>
      </c>
      <c r="M1429">
        <f>VLOOKUP(D1429,DROPDOWN!B:C,2,0)</f>
        <v>7</v>
      </c>
      <c r="N1429" t="str">
        <f t="shared" si="73"/>
        <v>X113:AP124</v>
      </c>
      <c r="O1429" s="4">
        <f t="shared" ca="1" si="74"/>
        <v>83997.15</v>
      </c>
    </row>
    <row r="1430" spans="1:15">
      <c r="A1430" s="2" t="s">
        <v>16</v>
      </c>
      <c r="B1430" t="s">
        <v>35</v>
      </c>
      <c r="C1430" t="s">
        <v>36</v>
      </c>
      <c r="D1430">
        <v>15</v>
      </c>
      <c r="E1430" t="s">
        <v>46</v>
      </c>
      <c r="F1430">
        <v>4</v>
      </c>
      <c r="G1430">
        <v>2</v>
      </c>
      <c r="H1430">
        <v>2</v>
      </c>
      <c r="I1430">
        <v>1</v>
      </c>
      <c r="J1430" s="4" t="s">
        <v>52</v>
      </c>
      <c r="K1430" t="str">
        <f t="shared" si="75"/>
        <v>2+2</v>
      </c>
      <c r="L1430">
        <f>VLOOKUP(A1430,'ZONE 1 PREMIUM'!$A$4:$N$16,14,0)</f>
        <v>7</v>
      </c>
      <c r="M1430">
        <f>VLOOKUP(D1430,DROPDOWN!B:C,2,0)</f>
        <v>7</v>
      </c>
      <c r="N1430" t="str">
        <f t="shared" si="73"/>
        <v>X113:AP124</v>
      </c>
      <c r="O1430" s="4">
        <f t="shared" ca="1" si="74"/>
        <v>109371.9</v>
      </c>
    </row>
    <row r="1431" spans="1:15">
      <c r="A1431" s="2" t="s">
        <v>17</v>
      </c>
      <c r="B1431" t="s">
        <v>37</v>
      </c>
      <c r="C1431" t="s">
        <v>38</v>
      </c>
      <c r="D1431">
        <v>15</v>
      </c>
      <c r="E1431" t="s">
        <v>46</v>
      </c>
      <c r="F1431">
        <v>4</v>
      </c>
      <c r="G1431">
        <v>2</v>
      </c>
      <c r="H1431">
        <v>2</v>
      </c>
      <c r="I1431">
        <v>1</v>
      </c>
      <c r="J1431" s="4" t="s">
        <v>52</v>
      </c>
      <c r="K1431" t="str">
        <f t="shared" si="75"/>
        <v>2+2</v>
      </c>
      <c r="L1431">
        <f>VLOOKUP(A1431,'ZONE 1 PREMIUM'!$A$4:$N$16,14,0)</f>
        <v>8</v>
      </c>
      <c r="M1431">
        <f>VLOOKUP(D1431,DROPDOWN!B:C,2,0)</f>
        <v>7</v>
      </c>
      <c r="N1431" t="str">
        <f t="shared" si="73"/>
        <v>X113:AP124</v>
      </c>
      <c r="O1431" s="4">
        <f t="shared" ca="1" si="74"/>
        <v>141601.79999999999</v>
      </c>
    </row>
    <row r="1432" spans="1:15">
      <c r="A1432" s="2" t="s">
        <v>18</v>
      </c>
      <c r="B1432" t="s">
        <v>39</v>
      </c>
      <c r="C1432" t="s">
        <v>40</v>
      </c>
      <c r="D1432">
        <v>15</v>
      </c>
      <c r="E1432" t="s">
        <v>46</v>
      </c>
      <c r="F1432">
        <v>4</v>
      </c>
      <c r="G1432">
        <v>2</v>
      </c>
      <c r="H1432">
        <v>2</v>
      </c>
      <c r="I1432">
        <v>1</v>
      </c>
      <c r="J1432" s="4" t="s">
        <v>52</v>
      </c>
      <c r="K1432" t="str">
        <f t="shared" si="75"/>
        <v>2+2</v>
      </c>
      <c r="L1432">
        <f>VLOOKUP(A1432,'ZONE 1 PREMIUM'!$A$4:$N$16,14,0)</f>
        <v>9</v>
      </c>
      <c r="M1432">
        <f>VLOOKUP(D1432,DROPDOWN!B:C,2,0)</f>
        <v>7</v>
      </c>
      <c r="N1432" t="str">
        <f t="shared" si="73"/>
        <v>X113:AP124</v>
      </c>
      <c r="O1432" s="4">
        <f t="shared" ca="1" si="74"/>
        <v>187530.5</v>
      </c>
    </row>
    <row r="1433" spans="1:15">
      <c r="A1433" s="2" t="s">
        <v>19</v>
      </c>
      <c r="B1433" t="s">
        <v>41</v>
      </c>
      <c r="C1433" t="s">
        <v>42</v>
      </c>
      <c r="D1433">
        <v>15</v>
      </c>
      <c r="E1433" t="s">
        <v>46</v>
      </c>
      <c r="F1433">
        <v>4</v>
      </c>
      <c r="G1433">
        <v>2</v>
      </c>
      <c r="H1433">
        <v>2</v>
      </c>
      <c r="I1433">
        <v>1</v>
      </c>
      <c r="J1433" s="4" t="s">
        <v>52</v>
      </c>
      <c r="K1433" t="str">
        <f t="shared" si="75"/>
        <v>2+2</v>
      </c>
      <c r="L1433">
        <f>VLOOKUP(A1433,'ZONE 1 PREMIUM'!$A$4:$N$16,14,0)</f>
        <v>10</v>
      </c>
      <c r="M1433">
        <f>VLOOKUP(D1433,DROPDOWN!B:C,2,0)</f>
        <v>7</v>
      </c>
      <c r="N1433" t="str">
        <f t="shared" si="73"/>
        <v>X113:AP124</v>
      </c>
      <c r="O1433" s="4">
        <f t="shared" ca="1" si="74"/>
        <v>241049.19999999998</v>
      </c>
    </row>
    <row r="1434" spans="1:15">
      <c r="A1434" s="2" t="s">
        <v>20</v>
      </c>
      <c r="B1434" t="s">
        <v>43</v>
      </c>
      <c r="C1434" t="s">
        <v>44</v>
      </c>
      <c r="D1434">
        <v>15</v>
      </c>
      <c r="E1434" t="s">
        <v>46</v>
      </c>
      <c r="F1434">
        <v>4</v>
      </c>
      <c r="G1434">
        <v>2</v>
      </c>
      <c r="H1434">
        <v>2</v>
      </c>
      <c r="I1434">
        <v>1</v>
      </c>
      <c r="J1434" s="4" t="s">
        <v>52</v>
      </c>
      <c r="K1434" t="str">
        <f t="shared" si="75"/>
        <v>2+2</v>
      </c>
      <c r="L1434">
        <f>VLOOKUP(A1434,'ZONE 1 PREMIUM'!$A$4:$N$16,14,0)</f>
        <v>11</v>
      </c>
      <c r="M1434">
        <f>VLOOKUP(D1434,DROPDOWN!B:C,2,0)</f>
        <v>7</v>
      </c>
      <c r="N1434" t="str">
        <f t="shared" si="73"/>
        <v>X113:AP124</v>
      </c>
      <c r="O1434" s="4">
        <f t="shared" ca="1" si="74"/>
        <v>293482.3</v>
      </c>
    </row>
    <row r="1435" spans="1:15">
      <c r="A1435" s="2" t="s">
        <v>21</v>
      </c>
      <c r="B1435" t="s">
        <v>22</v>
      </c>
      <c r="D1435">
        <v>15</v>
      </c>
      <c r="E1435" t="s">
        <v>46</v>
      </c>
      <c r="F1435">
        <v>4</v>
      </c>
      <c r="G1435">
        <v>2</v>
      </c>
      <c r="H1435">
        <v>2</v>
      </c>
      <c r="I1435">
        <v>1</v>
      </c>
      <c r="J1435" s="4" t="s">
        <v>52</v>
      </c>
      <c r="K1435" t="str">
        <f t="shared" si="75"/>
        <v>2+2</v>
      </c>
      <c r="L1435">
        <f>VLOOKUP(A1435,'ZONE 1 PREMIUM'!$A$4:$N$16,14,0)</f>
        <v>12</v>
      </c>
      <c r="M1435">
        <f>VLOOKUP(D1435,DROPDOWN!B:C,2,0)</f>
        <v>7</v>
      </c>
      <c r="N1435" t="str">
        <f t="shared" si="73"/>
        <v>X113:AP124</v>
      </c>
      <c r="O1435" s="4">
        <f t="shared" ca="1" si="74"/>
        <v>372230.85</v>
      </c>
    </row>
    <row r="1436" spans="1:15">
      <c r="A1436" s="2" t="s">
        <v>11</v>
      </c>
      <c r="B1436" t="s">
        <v>45</v>
      </c>
      <c r="C1436" t="s">
        <v>25</v>
      </c>
      <c r="D1436">
        <v>15</v>
      </c>
      <c r="E1436" t="s">
        <v>46</v>
      </c>
      <c r="F1436">
        <v>5</v>
      </c>
      <c r="G1436">
        <v>2</v>
      </c>
      <c r="H1436">
        <v>3</v>
      </c>
      <c r="I1436">
        <v>1</v>
      </c>
      <c r="J1436" s="4" t="s">
        <v>52</v>
      </c>
      <c r="K1436" t="str">
        <f t="shared" si="75"/>
        <v>2+3</v>
      </c>
      <c r="L1436">
        <f>VLOOKUP(A1436,'ZONE 1 PREMIUM'!$A$4:$N$16,14,0)</f>
        <v>2</v>
      </c>
      <c r="M1436">
        <f>VLOOKUP(D1436,DROPDOWN!B:C,2,0)</f>
        <v>7</v>
      </c>
      <c r="N1436" t="str">
        <f t="shared" si="73"/>
        <v>X128:AP139</v>
      </c>
      <c r="O1436" s="4">
        <f t="shared" ca="1" si="74"/>
        <v>55687.6</v>
      </c>
    </row>
    <row r="1437" spans="1:15">
      <c r="A1437" s="2" t="s">
        <v>12</v>
      </c>
      <c r="B1437" t="s">
        <v>27</v>
      </c>
      <c r="C1437" t="s">
        <v>28</v>
      </c>
      <c r="D1437">
        <v>15</v>
      </c>
      <c r="E1437" t="s">
        <v>46</v>
      </c>
      <c r="F1437">
        <v>5</v>
      </c>
      <c r="G1437">
        <v>2</v>
      </c>
      <c r="H1437">
        <v>3</v>
      </c>
      <c r="I1437">
        <v>1</v>
      </c>
      <c r="J1437" s="4" t="s">
        <v>52</v>
      </c>
      <c r="K1437" t="str">
        <f t="shared" si="75"/>
        <v>2+3</v>
      </c>
      <c r="L1437">
        <f>VLOOKUP(A1437,'ZONE 1 PREMIUM'!$A$4:$N$16,14,0)</f>
        <v>3</v>
      </c>
      <c r="M1437">
        <f>VLOOKUP(D1437,DROPDOWN!B:C,2,0)</f>
        <v>7</v>
      </c>
      <c r="N1437" t="str">
        <f t="shared" si="73"/>
        <v>X128:AP139</v>
      </c>
      <c r="O1437" s="4">
        <f t="shared" ca="1" si="74"/>
        <v>60147.299999999996</v>
      </c>
    </row>
    <row r="1438" spans="1:15">
      <c r="A1438" s="2" t="s">
        <v>13</v>
      </c>
      <c r="B1438" t="s">
        <v>29</v>
      </c>
      <c r="C1438" t="s">
        <v>30</v>
      </c>
      <c r="D1438">
        <v>15</v>
      </c>
      <c r="E1438" t="s">
        <v>46</v>
      </c>
      <c r="F1438">
        <v>5</v>
      </c>
      <c r="G1438">
        <v>2</v>
      </c>
      <c r="H1438">
        <v>3</v>
      </c>
      <c r="I1438">
        <v>1</v>
      </c>
      <c r="J1438" s="4" t="s">
        <v>52</v>
      </c>
      <c r="K1438" t="str">
        <f t="shared" si="75"/>
        <v>2+3</v>
      </c>
      <c r="L1438">
        <f>VLOOKUP(A1438,'ZONE 1 PREMIUM'!$A$4:$N$16,14,0)</f>
        <v>4</v>
      </c>
      <c r="M1438">
        <f>VLOOKUP(D1438,DROPDOWN!B:C,2,0)</f>
        <v>7</v>
      </c>
      <c r="N1438" t="str">
        <f t="shared" si="73"/>
        <v>X128:AP139</v>
      </c>
      <c r="O1438" s="4">
        <f t="shared" ca="1" si="74"/>
        <v>67910.95</v>
      </c>
    </row>
    <row r="1439" spans="1:15">
      <c r="A1439" s="2" t="s">
        <v>14</v>
      </c>
      <c r="B1439" t="s">
        <v>31</v>
      </c>
      <c r="C1439" t="s">
        <v>32</v>
      </c>
      <c r="D1439">
        <v>15</v>
      </c>
      <c r="E1439" t="s">
        <v>46</v>
      </c>
      <c r="F1439">
        <v>5</v>
      </c>
      <c r="G1439">
        <v>2</v>
      </c>
      <c r="H1439">
        <v>3</v>
      </c>
      <c r="I1439">
        <v>1</v>
      </c>
      <c r="J1439" s="4" t="s">
        <v>52</v>
      </c>
      <c r="K1439" t="str">
        <f t="shared" si="75"/>
        <v>2+3</v>
      </c>
      <c r="L1439">
        <f>VLOOKUP(A1439,'ZONE 1 PREMIUM'!$A$4:$N$16,14,0)</f>
        <v>5</v>
      </c>
      <c r="M1439">
        <f>VLOOKUP(D1439,DROPDOWN!B:C,2,0)</f>
        <v>7</v>
      </c>
      <c r="N1439" t="str">
        <f t="shared" si="73"/>
        <v>X128:AP139</v>
      </c>
      <c r="O1439" s="4">
        <f t="shared" ca="1" si="74"/>
        <v>76471.549999999988</v>
      </c>
    </row>
    <row r="1440" spans="1:15">
      <c r="A1440" s="2" t="s">
        <v>15</v>
      </c>
      <c r="B1440" t="s">
        <v>33</v>
      </c>
      <c r="C1440" t="s">
        <v>34</v>
      </c>
      <c r="D1440">
        <v>15</v>
      </c>
      <c r="E1440" t="s">
        <v>46</v>
      </c>
      <c r="F1440">
        <v>5</v>
      </c>
      <c r="G1440">
        <v>2</v>
      </c>
      <c r="H1440">
        <v>3</v>
      </c>
      <c r="I1440">
        <v>1</v>
      </c>
      <c r="J1440" s="4" t="s">
        <v>52</v>
      </c>
      <c r="K1440" t="str">
        <f t="shared" si="75"/>
        <v>2+3</v>
      </c>
      <c r="L1440">
        <f>VLOOKUP(A1440,'ZONE 1 PREMIUM'!$A$4:$N$16,14,0)</f>
        <v>6</v>
      </c>
      <c r="M1440">
        <f>VLOOKUP(D1440,DROPDOWN!B:C,2,0)</f>
        <v>7</v>
      </c>
      <c r="N1440" t="str">
        <f t="shared" si="73"/>
        <v>X128:AP139</v>
      </c>
      <c r="O1440" s="4">
        <f t="shared" ca="1" si="74"/>
        <v>93808.95</v>
      </c>
    </row>
    <row r="1441" spans="1:15">
      <c r="A1441" s="2" t="s">
        <v>16</v>
      </c>
      <c r="B1441" t="s">
        <v>35</v>
      </c>
      <c r="C1441" t="s">
        <v>36</v>
      </c>
      <c r="D1441">
        <v>15</v>
      </c>
      <c r="E1441" t="s">
        <v>46</v>
      </c>
      <c r="F1441">
        <v>5</v>
      </c>
      <c r="G1441">
        <v>2</v>
      </c>
      <c r="H1441">
        <v>3</v>
      </c>
      <c r="I1441">
        <v>1</v>
      </c>
      <c r="J1441" s="4" t="s">
        <v>52</v>
      </c>
      <c r="K1441" t="str">
        <f t="shared" si="75"/>
        <v>2+3</v>
      </c>
      <c r="L1441">
        <f>VLOOKUP(A1441,'ZONE 1 PREMIUM'!$A$4:$N$16,14,0)</f>
        <v>7</v>
      </c>
      <c r="M1441">
        <f>VLOOKUP(D1441,DROPDOWN!B:C,2,0)</f>
        <v>7</v>
      </c>
      <c r="N1441" t="str">
        <f t="shared" si="73"/>
        <v>X128:AP139</v>
      </c>
      <c r="O1441" s="4">
        <f t="shared" ca="1" si="74"/>
        <v>119344.7</v>
      </c>
    </row>
    <row r="1442" spans="1:15">
      <c r="A1442" s="2" t="s">
        <v>17</v>
      </c>
      <c r="B1442" t="s">
        <v>37</v>
      </c>
      <c r="C1442" t="s">
        <v>38</v>
      </c>
      <c r="D1442">
        <v>15</v>
      </c>
      <c r="E1442" t="s">
        <v>46</v>
      </c>
      <c r="F1442">
        <v>5</v>
      </c>
      <c r="G1442">
        <v>2</v>
      </c>
      <c r="H1442">
        <v>3</v>
      </c>
      <c r="I1442">
        <v>1</v>
      </c>
      <c r="J1442" s="4" t="s">
        <v>52</v>
      </c>
      <c r="K1442" t="str">
        <f t="shared" si="75"/>
        <v>2+3</v>
      </c>
      <c r="L1442">
        <f>VLOOKUP(A1442,'ZONE 1 PREMIUM'!$A$4:$N$16,14,0)</f>
        <v>8</v>
      </c>
      <c r="M1442">
        <f>VLOOKUP(D1442,DROPDOWN!B:C,2,0)</f>
        <v>7</v>
      </c>
      <c r="N1442" t="str">
        <f t="shared" si="73"/>
        <v>X128:AP139</v>
      </c>
      <c r="O1442" s="4">
        <f t="shared" ca="1" si="74"/>
        <v>150721.29999999999</v>
      </c>
    </row>
    <row r="1443" spans="1:15">
      <c r="A1443" s="2" t="s">
        <v>18</v>
      </c>
      <c r="B1443" t="s">
        <v>39</v>
      </c>
      <c r="C1443" t="s">
        <v>40</v>
      </c>
      <c r="D1443">
        <v>15</v>
      </c>
      <c r="E1443" t="s">
        <v>46</v>
      </c>
      <c r="F1443">
        <v>5</v>
      </c>
      <c r="G1443">
        <v>2</v>
      </c>
      <c r="H1443">
        <v>3</v>
      </c>
      <c r="I1443">
        <v>1</v>
      </c>
      <c r="J1443" s="4" t="s">
        <v>52</v>
      </c>
      <c r="K1443" t="str">
        <f t="shared" si="75"/>
        <v>2+3</v>
      </c>
      <c r="L1443">
        <f>VLOOKUP(A1443,'ZONE 1 PREMIUM'!$A$4:$N$16,14,0)</f>
        <v>9</v>
      </c>
      <c r="M1443">
        <f>VLOOKUP(D1443,DROPDOWN!B:C,2,0)</f>
        <v>7</v>
      </c>
      <c r="N1443" t="str">
        <f t="shared" si="73"/>
        <v>X128:AP139</v>
      </c>
      <c r="O1443" s="4">
        <f t="shared" ca="1" si="74"/>
        <v>196582.15</v>
      </c>
    </row>
    <row r="1444" spans="1:15">
      <c r="A1444" s="2" t="s">
        <v>19</v>
      </c>
      <c r="B1444" t="s">
        <v>41</v>
      </c>
      <c r="C1444" t="s">
        <v>42</v>
      </c>
      <c r="D1444">
        <v>15</v>
      </c>
      <c r="E1444" t="s">
        <v>46</v>
      </c>
      <c r="F1444">
        <v>5</v>
      </c>
      <c r="G1444">
        <v>2</v>
      </c>
      <c r="H1444">
        <v>3</v>
      </c>
      <c r="I1444">
        <v>1</v>
      </c>
      <c r="J1444" s="4" t="s">
        <v>52</v>
      </c>
      <c r="K1444" t="str">
        <f t="shared" si="75"/>
        <v>2+3</v>
      </c>
      <c r="L1444">
        <f>VLOOKUP(A1444,'ZONE 1 PREMIUM'!$A$4:$N$16,14,0)</f>
        <v>10</v>
      </c>
      <c r="M1444">
        <f>VLOOKUP(D1444,DROPDOWN!B:C,2,0)</f>
        <v>7</v>
      </c>
      <c r="N1444" t="str">
        <f t="shared" si="73"/>
        <v>X128:AP139</v>
      </c>
      <c r="O1444" s="4">
        <f t="shared" ca="1" si="74"/>
        <v>249682.24999999997</v>
      </c>
    </row>
    <row r="1445" spans="1:15">
      <c r="A1445" s="2" t="s">
        <v>20</v>
      </c>
      <c r="B1445" t="s">
        <v>43</v>
      </c>
      <c r="C1445" t="s">
        <v>44</v>
      </c>
      <c r="D1445">
        <v>15</v>
      </c>
      <c r="E1445" t="s">
        <v>46</v>
      </c>
      <c r="F1445">
        <v>5</v>
      </c>
      <c r="G1445">
        <v>2</v>
      </c>
      <c r="H1445">
        <v>3</v>
      </c>
      <c r="I1445">
        <v>1</v>
      </c>
      <c r="J1445" s="4" t="s">
        <v>52</v>
      </c>
      <c r="K1445" t="str">
        <f t="shared" si="75"/>
        <v>2+3</v>
      </c>
      <c r="L1445">
        <f>VLOOKUP(A1445,'ZONE 1 PREMIUM'!$A$4:$N$16,14,0)</f>
        <v>11</v>
      </c>
      <c r="M1445">
        <f>VLOOKUP(D1445,DROPDOWN!B:C,2,0)</f>
        <v>7</v>
      </c>
      <c r="N1445" t="str">
        <f t="shared" si="73"/>
        <v>X128:AP139</v>
      </c>
      <c r="O1445" s="4">
        <f t="shared" ca="1" si="74"/>
        <v>303083.64999999997</v>
      </c>
    </row>
    <row r="1446" spans="1:15">
      <c r="A1446" s="2" t="s">
        <v>21</v>
      </c>
      <c r="B1446" t="s">
        <v>22</v>
      </c>
      <c r="D1446">
        <v>15</v>
      </c>
      <c r="E1446" t="s">
        <v>46</v>
      </c>
      <c r="F1446">
        <v>5</v>
      </c>
      <c r="G1446">
        <v>2</v>
      </c>
      <c r="H1446">
        <v>3</v>
      </c>
      <c r="I1446">
        <v>1</v>
      </c>
      <c r="J1446" s="4" t="s">
        <v>52</v>
      </c>
      <c r="K1446" t="str">
        <f t="shared" si="75"/>
        <v>2+3</v>
      </c>
      <c r="L1446">
        <f>VLOOKUP(A1446,'ZONE 1 PREMIUM'!$A$4:$N$16,14,0)</f>
        <v>12</v>
      </c>
      <c r="M1446">
        <f>VLOOKUP(D1446,DROPDOWN!B:C,2,0)</f>
        <v>7</v>
      </c>
      <c r="N1446" t="str">
        <f t="shared" si="73"/>
        <v>X128:AP139</v>
      </c>
      <c r="O1446" s="4">
        <f t="shared" ca="1" si="74"/>
        <v>382431.35</v>
      </c>
    </row>
    <row r="1447" spans="1:15">
      <c r="A1447" s="2" t="s">
        <v>11</v>
      </c>
      <c r="B1447" t="s">
        <v>45</v>
      </c>
      <c r="C1447" t="s">
        <v>25</v>
      </c>
      <c r="D1447">
        <v>15</v>
      </c>
      <c r="E1447" t="s">
        <v>46</v>
      </c>
      <c r="F1447">
        <v>6</v>
      </c>
      <c r="G1447">
        <v>2</v>
      </c>
      <c r="H1447">
        <v>4</v>
      </c>
      <c r="I1447">
        <v>1</v>
      </c>
      <c r="J1447" s="4" t="s">
        <v>52</v>
      </c>
      <c r="K1447" t="str">
        <f t="shared" si="75"/>
        <v>2+4</v>
      </c>
      <c r="L1447">
        <f>VLOOKUP(A1447,'ZONE 1 PREMIUM'!$A$4:$N$16,14,0)</f>
        <v>2</v>
      </c>
      <c r="M1447">
        <f>VLOOKUP(D1447,DROPDOWN!B:C,2,0)</f>
        <v>7</v>
      </c>
      <c r="N1447" t="str">
        <f t="shared" si="73"/>
        <v>X143:AP154</v>
      </c>
      <c r="O1447" s="4">
        <f t="shared" ca="1" si="74"/>
        <v>62907.299999999996</v>
      </c>
    </row>
    <row r="1448" spans="1:15">
      <c r="A1448" s="2" t="s">
        <v>12</v>
      </c>
      <c r="B1448" t="s">
        <v>27</v>
      </c>
      <c r="C1448" t="s">
        <v>28</v>
      </c>
      <c r="D1448">
        <v>15</v>
      </c>
      <c r="E1448" t="s">
        <v>46</v>
      </c>
      <c r="F1448">
        <v>6</v>
      </c>
      <c r="G1448">
        <v>2</v>
      </c>
      <c r="H1448">
        <v>4</v>
      </c>
      <c r="I1448">
        <v>1</v>
      </c>
      <c r="J1448" s="4" t="s">
        <v>52</v>
      </c>
      <c r="K1448" t="str">
        <f t="shared" si="75"/>
        <v>2+4</v>
      </c>
      <c r="L1448">
        <f>VLOOKUP(A1448,'ZONE 1 PREMIUM'!$A$4:$N$16,14,0)</f>
        <v>3</v>
      </c>
      <c r="M1448">
        <f>VLOOKUP(D1448,DROPDOWN!B:C,2,0)</f>
        <v>7</v>
      </c>
      <c r="N1448" t="str">
        <f t="shared" si="73"/>
        <v>X143:AP154</v>
      </c>
      <c r="O1448" s="4">
        <f t="shared" ca="1" si="74"/>
        <v>67238.2</v>
      </c>
    </row>
    <row r="1449" spans="1:15">
      <c r="A1449" s="2" t="s">
        <v>13</v>
      </c>
      <c r="B1449" t="s">
        <v>29</v>
      </c>
      <c r="C1449" t="s">
        <v>30</v>
      </c>
      <c r="D1449">
        <v>15</v>
      </c>
      <c r="E1449" t="s">
        <v>46</v>
      </c>
      <c r="F1449">
        <v>6</v>
      </c>
      <c r="G1449">
        <v>2</v>
      </c>
      <c r="H1449">
        <v>4</v>
      </c>
      <c r="I1449">
        <v>1</v>
      </c>
      <c r="J1449" s="4" t="s">
        <v>52</v>
      </c>
      <c r="K1449" t="str">
        <f t="shared" si="75"/>
        <v>2+4</v>
      </c>
      <c r="L1449">
        <f>VLOOKUP(A1449,'ZONE 1 PREMIUM'!$A$4:$N$16,14,0)</f>
        <v>4</v>
      </c>
      <c r="M1449">
        <f>VLOOKUP(D1449,DROPDOWN!B:C,2,0)</f>
        <v>7</v>
      </c>
      <c r="N1449" t="str">
        <f t="shared" si="73"/>
        <v>X143:AP154</v>
      </c>
      <c r="O1449" s="4">
        <f t="shared" ca="1" si="74"/>
        <v>76130</v>
      </c>
    </row>
    <row r="1450" spans="1:15">
      <c r="A1450" s="2" t="s">
        <v>14</v>
      </c>
      <c r="B1450" t="s">
        <v>31</v>
      </c>
      <c r="C1450" t="s">
        <v>32</v>
      </c>
      <c r="D1450">
        <v>15</v>
      </c>
      <c r="E1450" t="s">
        <v>46</v>
      </c>
      <c r="F1450">
        <v>6</v>
      </c>
      <c r="G1450">
        <v>2</v>
      </c>
      <c r="H1450">
        <v>4</v>
      </c>
      <c r="I1450">
        <v>1</v>
      </c>
      <c r="J1450" s="4" t="s">
        <v>52</v>
      </c>
      <c r="K1450" t="str">
        <f t="shared" si="75"/>
        <v>2+4</v>
      </c>
      <c r="L1450">
        <f>VLOOKUP(A1450,'ZONE 1 PREMIUM'!$A$4:$N$16,14,0)</f>
        <v>5</v>
      </c>
      <c r="M1450">
        <f>VLOOKUP(D1450,DROPDOWN!B:C,2,0)</f>
        <v>7</v>
      </c>
      <c r="N1450" t="str">
        <f t="shared" si="73"/>
        <v>X143:AP154</v>
      </c>
      <c r="O1450" s="4">
        <f t="shared" ca="1" si="74"/>
        <v>85218.45</v>
      </c>
    </row>
    <row r="1451" spans="1:15">
      <c r="A1451" s="2" t="s">
        <v>15</v>
      </c>
      <c r="B1451" t="s">
        <v>33</v>
      </c>
      <c r="C1451" t="s">
        <v>34</v>
      </c>
      <c r="D1451">
        <v>15</v>
      </c>
      <c r="E1451" t="s">
        <v>46</v>
      </c>
      <c r="F1451">
        <v>6</v>
      </c>
      <c r="G1451">
        <v>2</v>
      </c>
      <c r="H1451">
        <v>4</v>
      </c>
      <c r="I1451">
        <v>1</v>
      </c>
      <c r="J1451" s="4" t="s">
        <v>52</v>
      </c>
      <c r="K1451" t="str">
        <f t="shared" si="75"/>
        <v>2+4</v>
      </c>
      <c r="L1451">
        <f>VLOOKUP(A1451,'ZONE 1 PREMIUM'!$A$4:$N$16,14,0)</f>
        <v>6</v>
      </c>
      <c r="M1451">
        <f>VLOOKUP(D1451,DROPDOWN!B:C,2,0)</f>
        <v>7</v>
      </c>
      <c r="N1451" t="str">
        <f t="shared" si="73"/>
        <v>X143:AP154</v>
      </c>
      <c r="O1451" s="4">
        <f t="shared" ca="1" si="74"/>
        <v>103620.74999999999</v>
      </c>
    </row>
    <row r="1452" spans="1:15">
      <c r="A1452" s="2" t="s">
        <v>16</v>
      </c>
      <c r="B1452" t="s">
        <v>35</v>
      </c>
      <c r="C1452" t="s">
        <v>36</v>
      </c>
      <c r="D1452">
        <v>15</v>
      </c>
      <c r="E1452" t="s">
        <v>46</v>
      </c>
      <c r="F1452">
        <v>6</v>
      </c>
      <c r="G1452">
        <v>2</v>
      </c>
      <c r="H1452">
        <v>4</v>
      </c>
      <c r="I1452">
        <v>1</v>
      </c>
      <c r="J1452" s="4" t="s">
        <v>52</v>
      </c>
      <c r="K1452" t="str">
        <f t="shared" si="75"/>
        <v>2+4</v>
      </c>
      <c r="L1452">
        <f>VLOOKUP(A1452,'ZONE 1 PREMIUM'!$A$4:$N$16,14,0)</f>
        <v>7</v>
      </c>
      <c r="M1452">
        <f>VLOOKUP(D1452,DROPDOWN!B:C,2,0)</f>
        <v>7</v>
      </c>
      <c r="N1452" t="str">
        <f t="shared" si="73"/>
        <v>X143:AP154</v>
      </c>
      <c r="O1452" s="4">
        <f t="shared" ca="1" si="74"/>
        <v>128345.74999999999</v>
      </c>
    </row>
    <row r="1453" spans="1:15">
      <c r="A1453" s="2" t="s">
        <v>17</v>
      </c>
      <c r="B1453" t="s">
        <v>37</v>
      </c>
      <c r="C1453" t="s">
        <v>38</v>
      </c>
      <c r="D1453">
        <v>15</v>
      </c>
      <c r="E1453" t="s">
        <v>46</v>
      </c>
      <c r="F1453">
        <v>6</v>
      </c>
      <c r="G1453">
        <v>2</v>
      </c>
      <c r="H1453">
        <v>4</v>
      </c>
      <c r="I1453">
        <v>1</v>
      </c>
      <c r="J1453" s="4" t="s">
        <v>52</v>
      </c>
      <c r="K1453" t="str">
        <f t="shared" si="75"/>
        <v>2+4</v>
      </c>
      <c r="L1453">
        <f>VLOOKUP(A1453,'ZONE 1 PREMIUM'!$A$4:$N$16,14,0)</f>
        <v>8</v>
      </c>
      <c r="M1453">
        <f>VLOOKUP(D1453,DROPDOWN!B:C,2,0)</f>
        <v>7</v>
      </c>
      <c r="N1453" t="str">
        <f t="shared" si="73"/>
        <v>X143:AP154</v>
      </c>
      <c r="O1453" s="4">
        <f t="shared" ca="1" si="74"/>
        <v>159706.25</v>
      </c>
    </row>
    <row r="1454" spans="1:15">
      <c r="A1454" s="2" t="s">
        <v>18</v>
      </c>
      <c r="B1454" t="s">
        <v>39</v>
      </c>
      <c r="C1454" t="s">
        <v>40</v>
      </c>
      <c r="D1454">
        <v>15</v>
      </c>
      <c r="E1454" t="s">
        <v>46</v>
      </c>
      <c r="F1454">
        <v>6</v>
      </c>
      <c r="G1454">
        <v>2</v>
      </c>
      <c r="H1454">
        <v>4</v>
      </c>
      <c r="I1454">
        <v>1</v>
      </c>
      <c r="J1454" s="4" t="s">
        <v>52</v>
      </c>
      <c r="K1454" t="str">
        <f t="shared" si="75"/>
        <v>2+4</v>
      </c>
      <c r="L1454">
        <f>VLOOKUP(A1454,'ZONE 1 PREMIUM'!$A$4:$N$16,14,0)</f>
        <v>9</v>
      </c>
      <c r="M1454">
        <f>VLOOKUP(D1454,DROPDOWN!B:C,2,0)</f>
        <v>7</v>
      </c>
      <c r="N1454" t="str">
        <f t="shared" si="73"/>
        <v>X143:AP154</v>
      </c>
      <c r="O1454" s="4">
        <f t="shared" ca="1" si="74"/>
        <v>205222.09999999998</v>
      </c>
    </row>
    <row r="1455" spans="1:15">
      <c r="A1455" s="2" t="s">
        <v>19</v>
      </c>
      <c r="B1455" t="s">
        <v>41</v>
      </c>
      <c r="C1455" t="s">
        <v>42</v>
      </c>
      <c r="D1455">
        <v>15</v>
      </c>
      <c r="E1455" t="s">
        <v>46</v>
      </c>
      <c r="F1455">
        <v>6</v>
      </c>
      <c r="G1455">
        <v>2</v>
      </c>
      <c r="H1455">
        <v>4</v>
      </c>
      <c r="I1455">
        <v>1</v>
      </c>
      <c r="J1455" s="4" t="s">
        <v>52</v>
      </c>
      <c r="K1455" t="str">
        <f t="shared" si="75"/>
        <v>2+4</v>
      </c>
      <c r="L1455">
        <f>VLOOKUP(A1455,'ZONE 1 PREMIUM'!$A$4:$N$16,14,0)</f>
        <v>10</v>
      </c>
      <c r="M1455">
        <f>VLOOKUP(D1455,DROPDOWN!B:C,2,0)</f>
        <v>7</v>
      </c>
      <c r="N1455" t="str">
        <f t="shared" si="73"/>
        <v>X143:AP154</v>
      </c>
      <c r="O1455" s="4">
        <f t="shared" ca="1" si="74"/>
        <v>259243.34999999998</v>
      </c>
    </row>
    <row r="1456" spans="1:15">
      <c r="A1456" s="2" t="s">
        <v>20</v>
      </c>
      <c r="B1456" t="s">
        <v>43</v>
      </c>
      <c r="C1456" t="s">
        <v>44</v>
      </c>
      <c r="D1456">
        <v>15</v>
      </c>
      <c r="E1456" t="s">
        <v>46</v>
      </c>
      <c r="F1456">
        <v>6</v>
      </c>
      <c r="G1456">
        <v>2</v>
      </c>
      <c r="H1456">
        <v>4</v>
      </c>
      <c r="I1456">
        <v>1</v>
      </c>
      <c r="J1456" s="4" t="s">
        <v>52</v>
      </c>
      <c r="K1456" t="str">
        <f t="shared" si="75"/>
        <v>2+4</v>
      </c>
      <c r="L1456">
        <f>VLOOKUP(A1456,'ZONE 1 PREMIUM'!$A$4:$N$16,14,0)</f>
        <v>11</v>
      </c>
      <c r="M1456">
        <f>VLOOKUP(D1456,DROPDOWN!B:C,2,0)</f>
        <v>7</v>
      </c>
      <c r="N1456" t="str">
        <f t="shared" si="73"/>
        <v>X143:AP154</v>
      </c>
      <c r="O1456" s="4">
        <f t="shared" ca="1" si="74"/>
        <v>311982.34999999998</v>
      </c>
    </row>
    <row r="1457" spans="1:15">
      <c r="A1457" s="2" t="s">
        <v>21</v>
      </c>
      <c r="B1457" t="s">
        <v>22</v>
      </c>
      <c r="D1457">
        <v>15</v>
      </c>
      <c r="E1457" t="s">
        <v>46</v>
      </c>
      <c r="F1457">
        <v>6</v>
      </c>
      <c r="G1457">
        <v>2</v>
      </c>
      <c r="H1457">
        <v>4</v>
      </c>
      <c r="I1457">
        <v>1</v>
      </c>
      <c r="J1457" s="4" t="s">
        <v>52</v>
      </c>
      <c r="K1457" t="str">
        <f t="shared" si="75"/>
        <v>2+4</v>
      </c>
      <c r="L1457">
        <f>VLOOKUP(A1457,'ZONE 1 PREMIUM'!$A$4:$N$16,14,0)</f>
        <v>12</v>
      </c>
      <c r="M1457">
        <f>VLOOKUP(D1457,DROPDOWN!B:C,2,0)</f>
        <v>7</v>
      </c>
      <c r="N1457" t="str">
        <f t="shared" si="73"/>
        <v>X143:AP154</v>
      </c>
      <c r="O1457" s="4">
        <f t="shared" ca="1" si="74"/>
        <v>389854.6</v>
      </c>
    </row>
    <row r="1458" spans="1:15">
      <c r="A1458" s="2" t="s">
        <v>9</v>
      </c>
      <c r="B1458" t="s">
        <v>47</v>
      </c>
      <c r="C1458" t="s">
        <v>48</v>
      </c>
      <c r="D1458">
        <v>15</v>
      </c>
      <c r="E1458" t="s">
        <v>26</v>
      </c>
      <c r="F1458">
        <v>1</v>
      </c>
      <c r="H1458">
        <v>1</v>
      </c>
      <c r="I1458">
        <v>1</v>
      </c>
      <c r="J1458" s="4" t="s">
        <v>55</v>
      </c>
      <c r="K1458" t="str">
        <f t="shared" si="75"/>
        <v>+1</v>
      </c>
      <c r="N1458" t="e">
        <f t="shared" ref="N1458:N1521" si="76">VLOOKUP(K1458,$BN$3:$BO$12,2,0)</f>
        <v>#N/A</v>
      </c>
      <c r="O1458" s="7">
        <v>4144.2009773693399</v>
      </c>
    </row>
    <row r="1459" spans="1:15">
      <c r="A1459" s="2" t="s">
        <v>10</v>
      </c>
      <c r="B1459" t="s">
        <v>49</v>
      </c>
      <c r="C1459" t="s">
        <v>50</v>
      </c>
      <c r="D1459">
        <v>15</v>
      </c>
      <c r="E1459" t="s">
        <v>26</v>
      </c>
      <c r="F1459">
        <v>1</v>
      </c>
      <c r="G1459">
        <v>1</v>
      </c>
      <c r="H1459">
        <v>0</v>
      </c>
      <c r="I1459">
        <v>1</v>
      </c>
      <c r="J1459" s="4" t="s">
        <v>55</v>
      </c>
      <c r="K1459" t="str">
        <f t="shared" si="75"/>
        <v>1+0</v>
      </c>
      <c r="L1459">
        <f>VLOOKUP(A1459,'ZONE 1 PREMIUM'!$A$3:$M$16,13,0)</f>
        <v>3</v>
      </c>
      <c r="M1459">
        <f>VLOOKUP(D1459,DROPDOWN!B:C,2,0)</f>
        <v>7</v>
      </c>
      <c r="N1459" t="str">
        <f t="shared" si="76"/>
        <v>AU3:BM16</v>
      </c>
      <c r="O1459" s="4">
        <f t="shared" ca="1" si="74"/>
        <v>7075.125</v>
      </c>
    </row>
    <row r="1460" spans="1:15">
      <c r="A1460" s="2" t="s">
        <v>11</v>
      </c>
      <c r="B1460" t="s">
        <v>45</v>
      </c>
      <c r="C1460" t="s">
        <v>25</v>
      </c>
      <c r="D1460">
        <v>15</v>
      </c>
      <c r="E1460" t="s">
        <v>26</v>
      </c>
      <c r="F1460">
        <v>1</v>
      </c>
      <c r="G1460">
        <v>1</v>
      </c>
      <c r="H1460">
        <v>0</v>
      </c>
      <c r="I1460">
        <v>1</v>
      </c>
      <c r="J1460" s="4" t="s">
        <v>55</v>
      </c>
      <c r="K1460" t="str">
        <f t="shared" si="75"/>
        <v>1+0</v>
      </c>
      <c r="L1460">
        <f>VLOOKUP(A1460,'ZONE 1 PREMIUM'!$A$3:$M$16,13,0)</f>
        <v>4</v>
      </c>
      <c r="M1460">
        <f>VLOOKUP(D1460,DROPDOWN!B:C,2,0)</f>
        <v>7</v>
      </c>
      <c r="N1460" t="str">
        <f t="shared" si="76"/>
        <v>AU3:BM16</v>
      </c>
      <c r="O1460" s="4">
        <f t="shared" ca="1" si="74"/>
        <v>19123.875</v>
      </c>
    </row>
    <row r="1461" spans="1:15">
      <c r="A1461" s="2" t="s">
        <v>12</v>
      </c>
      <c r="B1461" t="s">
        <v>27</v>
      </c>
      <c r="C1461" t="s">
        <v>28</v>
      </c>
      <c r="D1461">
        <v>15</v>
      </c>
      <c r="E1461" t="s">
        <v>26</v>
      </c>
      <c r="F1461">
        <v>1</v>
      </c>
      <c r="G1461">
        <v>1</v>
      </c>
      <c r="H1461">
        <v>0</v>
      </c>
      <c r="I1461">
        <v>1</v>
      </c>
      <c r="J1461" s="4" t="s">
        <v>55</v>
      </c>
      <c r="K1461" t="str">
        <f t="shared" si="75"/>
        <v>1+0</v>
      </c>
      <c r="L1461">
        <f>VLOOKUP(A1461,'ZONE 1 PREMIUM'!$A$3:$M$16,13,0)</f>
        <v>5</v>
      </c>
      <c r="M1461">
        <f>VLOOKUP(D1461,DROPDOWN!B:C,2,0)</f>
        <v>7</v>
      </c>
      <c r="N1461" t="str">
        <f t="shared" si="76"/>
        <v>AU3:BM16</v>
      </c>
      <c r="O1461" s="4">
        <f t="shared" ca="1" si="74"/>
        <v>22059</v>
      </c>
    </row>
    <row r="1462" spans="1:15">
      <c r="A1462" s="2" t="s">
        <v>13</v>
      </c>
      <c r="B1462" t="s">
        <v>29</v>
      </c>
      <c r="C1462" t="s">
        <v>30</v>
      </c>
      <c r="D1462">
        <v>15</v>
      </c>
      <c r="E1462" t="s">
        <v>26</v>
      </c>
      <c r="F1462">
        <v>1</v>
      </c>
      <c r="G1462">
        <v>1</v>
      </c>
      <c r="H1462">
        <v>0</v>
      </c>
      <c r="I1462">
        <v>1</v>
      </c>
      <c r="J1462" s="4" t="s">
        <v>55</v>
      </c>
      <c r="K1462" t="str">
        <f t="shared" si="75"/>
        <v>1+0</v>
      </c>
      <c r="L1462">
        <f>VLOOKUP(A1462,'ZONE 1 PREMIUM'!$A$3:$M$16,13,0)</f>
        <v>6</v>
      </c>
      <c r="M1462">
        <f>VLOOKUP(D1462,DROPDOWN!B:C,2,0)</f>
        <v>7</v>
      </c>
      <c r="N1462" t="str">
        <f t="shared" si="76"/>
        <v>AU3:BM16</v>
      </c>
      <c r="O1462" s="4">
        <f t="shared" ca="1" si="74"/>
        <v>25476.75</v>
      </c>
    </row>
    <row r="1463" spans="1:15">
      <c r="A1463" s="2" t="s">
        <v>14</v>
      </c>
      <c r="B1463" t="s">
        <v>31</v>
      </c>
      <c r="C1463" t="s">
        <v>32</v>
      </c>
      <c r="D1463">
        <v>15</v>
      </c>
      <c r="E1463" t="s">
        <v>26</v>
      </c>
      <c r="F1463">
        <v>1</v>
      </c>
      <c r="G1463">
        <v>1</v>
      </c>
      <c r="H1463">
        <v>0</v>
      </c>
      <c r="I1463">
        <v>1</v>
      </c>
      <c r="J1463" s="4" t="s">
        <v>55</v>
      </c>
      <c r="K1463" t="str">
        <f t="shared" si="75"/>
        <v>1+0</v>
      </c>
      <c r="L1463">
        <f>VLOOKUP(A1463,'ZONE 1 PREMIUM'!$A$3:$M$16,13,0)</f>
        <v>7</v>
      </c>
      <c r="M1463">
        <f>VLOOKUP(D1463,DROPDOWN!B:C,2,0)</f>
        <v>7</v>
      </c>
      <c r="N1463" t="str">
        <f t="shared" si="76"/>
        <v>AU3:BM16</v>
      </c>
      <c r="O1463" s="4">
        <f t="shared" ca="1" si="74"/>
        <v>29680.875</v>
      </c>
    </row>
    <row r="1464" spans="1:15">
      <c r="A1464" s="2" t="s">
        <v>15</v>
      </c>
      <c r="B1464" t="s">
        <v>33</v>
      </c>
      <c r="C1464" t="s">
        <v>34</v>
      </c>
      <c r="D1464">
        <v>15</v>
      </c>
      <c r="E1464" t="s">
        <v>26</v>
      </c>
      <c r="F1464">
        <v>1</v>
      </c>
      <c r="G1464">
        <v>1</v>
      </c>
      <c r="H1464">
        <v>0</v>
      </c>
      <c r="I1464">
        <v>1</v>
      </c>
      <c r="J1464" s="4" t="s">
        <v>55</v>
      </c>
      <c r="K1464" t="str">
        <f t="shared" si="75"/>
        <v>1+0</v>
      </c>
      <c r="L1464">
        <f>VLOOKUP(A1464,'ZONE 1 PREMIUM'!$A$3:$M$16,13,0)</f>
        <v>8</v>
      </c>
      <c r="M1464">
        <f>VLOOKUP(D1464,DROPDOWN!B:C,2,0)</f>
        <v>7</v>
      </c>
      <c r="N1464" t="str">
        <f t="shared" si="76"/>
        <v>AU3:BM16</v>
      </c>
      <c r="O1464" s="4">
        <f t="shared" ca="1" si="74"/>
        <v>36912.375</v>
      </c>
    </row>
    <row r="1465" spans="1:15">
      <c r="A1465" s="2" t="s">
        <v>16</v>
      </c>
      <c r="B1465" t="s">
        <v>35</v>
      </c>
      <c r="C1465" t="s">
        <v>36</v>
      </c>
      <c r="D1465">
        <v>15</v>
      </c>
      <c r="E1465" t="s">
        <v>26</v>
      </c>
      <c r="F1465">
        <v>1</v>
      </c>
      <c r="G1465">
        <v>1</v>
      </c>
      <c r="H1465">
        <v>0</v>
      </c>
      <c r="I1465">
        <v>1</v>
      </c>
      <c r="J1465" s="4" t="s">
        <v>55</v>
      </c>
      <c r="K1465" t="str">
        <f t="shared" si="75"/>
        <v>1+0</v>
      </c>
      <c r="L1465">
        <f>VLOOKUP(A1465,'ZONE 1 PREMIUM'!$A$3:$M$16,13,0)</f>
        <v>9</v>
      </c>
      <c r="M1465">
        <f>VLOOKUP(D1465,DROPDOWN!B:C,2,0)</f>
        <v>7</v>
      </c>
      <c r="N1465" t="str">
        <f t="shared" si="76"/>
        <v>AU3:BM16</v>
      </c>
      <c r="O1465" s="4">
        <f t="shared" ca="1" si="74"/>
        <v>48577.5</v>
      </c>
    </row>
    <row r="1466" spans="1:15">
      <c r="A1466" s="2" t="s">
        <v>17</v>
      </c>
      <c r="B1466" t="s">
        <v>37</v>
      </c>
      <c r="C1466" t="s">
        <v>38</v>
      </c>
      <c r="D1466">
        <v>15</v>
      </c>
      <c r="E1466" t="s">
        <v>26</v>
      </c>
      <c r="F1466">
        <v>1</v>
      </c>
      <c r="G1466">
        <v>1</v>
      </c>
      <c r="H1466">
        <v>0</v>
      </c>
      <c r="I1466">
        <v>1</v>
      </c>
      <c r="J1466" s="4" t="s">
        <v>55</v>
      </c>
      <c r="K1466" t="str">
        <f t="shared" si="75"/>
        <v>1+0</v>
      </c>
      <c r="L1466">
        <f>VLOOKUP(A1466,'ZONE 1 PREMIUM'!$A$3:$M$16,13,0)</f>
        <v>10</v>
      </c>
      <c r="M1466">
        <f>VLOOKUP(D1466,DROPDOWN!B:C,2,0)</f>
        <v>7</v>
      </c>
      <c r="N1466" t="str">
        <f t="shared" si="76"/>
        <v>AU3:BM16</v>
      </c>
      <c r="O1466" s="4">
        <f t="shared" ca="1" si="74"/>
        <v>65874.375</v>
      </c>
    </row>
    <row r="1467" spans="1:15">
      <c r="A1467" s="2" t="s">
        <v>18</v>
      </c>
      <c r="B1467" t="s">
        <v>39</v>
      </c>
      <c r="C1467" t="s">
        <v>40</v>
      </c>
      <c r="D1467">
        <v>15</v>
      </c>
      <c r="E1467" t="s">
        <v>26</v>
      </c>
      <c r="F1467">
        <v>1</v>
      </c>
      <c r="G1467">
        <v>1</v>
      </c>
      <c r="H1467">
        <v>0</v>
      </c>
      <c r="I1467">
        <v>1</v>
      </c>
      <c r="J1467" s="4" t="s">
        <v>55</v>
      </c>
      <c r="K1467" t="str">
        <f t="shared" si="75"/>
        <v>1+0</v>
      </c>
      <c r="L1467">
        <f>VLOOKUP(A1467,'ZONE 1 PREMIUM'!$A$3:$M$16,13,0)</f>
        <v>11</v>
      </c>
      <c r="M1467">
        <f>VLOOKUP(D1467,DROPDOWN!B:C,2,0)</f>
        <v>7</v>
      </c>
      <c r="N1467" t="str">
        <f t="shared" si="76"/>
        <v>AU3:BM16</v>
      </c>
      <c r="O1467" s="4">
        <f t="shared" ca="1" si="74"/>
        <v>91125</v>
      </c>
    </row>
    <row r="1468" spans="1:15">
      <c r="A1468" s="2" t="s">
        <v>19</v>
      </c>
      <c r="B1468" t="s">
        <v>41</v>
      </c>
      <c r="C1468" t="s">
        <v>42</v>
      </c>
      <c r="D1468">
        <v>15</v>
      </c>
      <c r="E1468" t="s">
        <v>26</v>
      </c>
      <c r="F1468">
        <v>1</v>
      </c>
      <c r="G1468">
        <v>1</v>
      </c>
      <c r="H1468">
        <v>0</v>
      </c>
      <c r="I1468">
        <v>1</v>
      </c>
      <c r="J1468" s="4" t="s">
        <v>55</v>
      </c>
      <c r="K1468" t="str">
        <f t="shared" si="75"/>
        <v>1+0</v>
      </c>
      <c r="L1468">
        <f>VLOOKUP(A1468,'ZONE 1 PREMIUM'!$A$3:$M$16,13,0)</f>
        <v>12</v>
      </c>
      <c r="M1468">
        <f>VLOOKUP(D1468,DROPDOWN!B:C,2,0)</f>
        <v>7</v>
      </c>
      <c r="N1468" t="str">
        <f t="shared" si="76"/>
        <v>AU3:BM16</v>
      </c>
      <c r="O1468" s="4">
        <f t="shared" ca="1" si="74"/>
        <v>116422.875</v>
      </c>
    </row>
    <row r="1469" spans="1:15">
      <c r="A1469" s="2" t="s">
        <v>20</v>
      </c>
      <c r="B1469" t="s">
        <v>43</v>
      </c>
      <c r="C1469" t="s">
        <v>44</v>
      </c>
      <c r="D1469">
        <v>15</v>
      </c>
      <c r="E1469" t="s">
        <v>26</v>
      </c>
      <c r="F1469">
        <v>1</v>
      </c>
      <c r="G1469">
        <v>1</v>
      </c>
      <c r="H1469">
        <v>0</v>
      </c>
      <c r="I1469">
        <v>1</v>
      </c>
      <c r="J1469" s="4" t="s">
        <v>55</v>
      </c>
      <c r="K1469" t="str">
        <f t="shared" si="75"/>
        <v>1+0</v>
      </c>
      <c r="L1469">
        <f>VLOOKUP(A1469,'ZONE 1 PREMIUM'!$A$3:$M$16,13,0)</f>
        <v>13</v>
      </c>
      <c r="M1469">
        <f>VLOOKUP(D1469,DROPDOWN!B:C,2,0)</f>
        <v>7</v>
      </c>
      <c r="N1469" t="str">
        <f t="shared" si="76"/>
        <v>AU3:BM16</v>
      </c>
      <c r="O1469" s="4">
        <f t="shared" ca="1" si="74"/>
        <v>139893.75</v>
      </c>
    </row>
    <row r="1470" spans="1:15">
      <c r="A1470" s="2" t="s">
        <v>21</v>
      </c>
      <c r="B1470" t="s">
        <v>22</v>
      </c>
      <c r="D1470">
        <v>15</v>
      </c>
      <c r="E1470" t="s">
        <v>26</v>
      </c>
      <c r="F1470">
        <v>1</v>
      </c>
      <c r="G1470">
        <v>1</v>
      </c>
      <c r="H1470">
        <v>0</v>
      </c>
      <c r="I1470">
        <v>1</v>
      </c>
      <c r="J1470" s="4" t="s">
        <v>55</v>
      </c>
      <c r="K1470" t="str">
        <f t="shared" si="75"/>
        <v>1+0</v>
      </c>
      <c r="L1470">
        <f>VLOOKUP(A1470,'ZONE 1 PREMIUM'!$A$3:$M$16,13,0)</f>
        <v>14</v>
      </c>
      <c r="M1470">
        <f>VLOOKUP(D1470,DROPDOWN!B:C,2,0)</f>
        <v>7</v>
      </c>
      <c r="N1470" t="str">
        <f t="shared" si="76"/>
        <v>AU3:BM16</v>
      </c>
      <c r="O1470" s="4">
        <f t="shared" ca="1" si="74"/>
        <v>187867.125</v>
      </c>
    </row>
    <row r="1471" spans="1:15">
      <c r="A1471" s="2" t="s">
        <v>11</v>
      </c>
      <c r="B1471" t="s">
        <v>45</v>
      </c>
      <c r="C1471" t="s">
        <v>25</v>
      </c>
      <c r="D1471">
        <v>15</v>
      </c>
      <c r="E1471" t="s">
        <v>46</v>
      </c>
      <c r="F1471">
        <v>2</v>
      </c>
      <c r="G1471">
        <v>1</v>
      </c>
      <c r="H1471">
        <v>1</v>
      </c>
      <c r="I1471">
        <v>1</v>
      </c>
      <c r="J1471" s="4" t="s">
        <v>55</v>
      </c>
      <c r="K1471" t="str">
        <f t="shared" si="75"/>
        <v>1+1</v>
      </c>
      <c r="L1471">
        <f>VLOOKUP(A1471,'ZONE 1 PREMIUM'!$A$4:$N$16,14,0)</f>
        <v>2</v>
      </c>
      <c r="M1471">
        <f>VLOOKUP(D1471,DROPDOWN!B:C,2,0)</f>
        <v>7</v>
      </c>
      <c r="N1471" t="str">
        <f t="shared" si="76"/>
        <v>AU20:BM31</v>
      </c>
      <c r="O1471" s="4">
        <f t="shared" ca="1" si="74"/>
        <v>21592.125</v>
      </c>
    </row>
    <row r="1472" spans="1:15">
      <c r="A1472" s="2" t="s">
        <v>12</v>
      </c>
      <c r="B1472" t="s">
        <v>27</v>
      </c>
      <c r="C1472" t="s">
        <v>28</v>
      </c>
      <c r="D1472">
        <v>15</v>
      </c>
      <c r="E1472" t="s">
        <v>46</v>
      </c>
      <c r="F1472">
        <v>2</v>
      </c>
      <c r="G1472">
        <v>1</v>
      </c>
      <c r="H1472">
        <v>1</v>
      </c>
      <c r="I1472">
        <v>1</v>
      </c>
      <c r="J1472" s="4" t="s">
        <v>55</v>
      </c>
      <c r="K1472" t="str">
        <f t="shared" si="75"/>
        <v>1+1</v>
      </c>
      <c r="L1472">
        <f>VLOOKUP(A1472,'ZONE 1 PREMIUM'!$A$4:$N$16,14,0)</f>
        <v>3</v>
      </c>
      <c r="M1472">
        <f>VLOOKUP(D1472,DROPDOWN!B:C,2,0)</f>
        <v>7</v>
      </c>
      <c r="N1472" t="str">
        <f t="shared" si="76"/>
        <v>AU20:BM31</v>
      </c>
      <c r="O1472" s="4">
        <f t="shared" ca="1" si="74"/>
        <v>23936.625</v>
      </c>
    </row>
    <row r="1473" spans="1:15">
      <c r="A1473" s="2" t="s">
        <v>13</v>
      </c>
      <c r="B1473" t="s">
        <v>29</v>
      </c>
      <c r="C1473" t="s">
        <v>30</v>
      </c>
      <c r="D1473">
        <v>15</v>
      </c>
      <c r="E1473" t="s">
        <v>46</v>
      </c>
      <c r="F1473">
        <v>2</v>
      </c>
      <c r="G1473">
        <v>1</v>
      </c>
      <c r="H1473">
        <v>1</v>
      </c>
      <c r="I1473">
        <v>1</v>
      </c>
      <c r="J1473" s="4" t="s">
        <v>55</v>
      </c>
      <c r="K1473" t="str">
        <f t="shared" si="75"/>
        <v>1+1</v>
      </c>
      <c r="L1473">
        <f>VLOOKUP(A1473,'ZONE 1 PREMIUM'!$A$4:$N$16,14,0)</f>
        <v>4</v>
      </c>
      <c r="M1473">
        <f>VLOOKUP(D1473,DROPDOWN!B:C,2,0)</f>
        <v>7</v>
      </c>
      <c r="N1473" t="str">
        <f t="shared" si="76"/>
        <v>AU20:BM31</v>
      </c>
      <c r="O1473" s="4">
        <f t="shared" ca="1" si="74"/>
        <v>27690.75</v>
      </c>
    </row>
    <row r="1474" spans="1:15">
      <c r="A1474" s="2" t="s">
        <v>14</v>
      </c>
      <c r="B1474" t="s">
        <v>31</v>
      </c>
      <c r="C1474" t="s">
        <v>32</v>
      </c>
      <c r="D1474">
        <v>15</v>
      </c>
      <c r="E1474" t="s">
        <v>46</v>
      </c>
      <c r="F1474">
        <v>2</v>
      </c>
      <c r="G1474">
        <v>1</v>
      </c>
      <c r="H1474">
        <v>1</v>
      </c>
      <c r="I1474">
        <v>1</v>
      </c>
      <c r="J1474" s="4" t="s">
        <v>55</v>
      </c>
      <c r="K1474" t="str">
        <f t="shared" si="75"/>
        <v>1+1</v>
      </c>
      <c r="L1474">
        <f>VLOOKUP(A1474,'ZONE 1 PREMIUM'!$A$4:$N$16,14,0)</f>
        <v>5</v>
      </c>
      <c r="M1474">
        <f>VLOOKUP(D1474,DROPDOWN!B:C,2,0)</f>
        <v>7</v>
      </c>
      <c r="N1474" t="str">
        <f t="shared" si="76"/>
        <v>AU20:BM31</v>
      </c>
      <c r="O1474" s="4">
        <f t="shared" ref="O1474:O1537" ca="1" si="77">INDEX(INDIRECT(N1474),L1474,M1474)</f>
        <v>32605.875</v>
      </c>
    </row>
    <row r="1475" spans="1:15">
      <c r="A1475" s="2" t="s">
        <v>15</v>
      </c>
      <c r="B1475" t="s">
        <v>33</v>
      </c>
      <c r="C1475" t="s">
        <v>34</v>
      </c>
      <c r="D1475">
        <v>15</v>
      </c>
      <c r="E1475" t="s">
        <v>46</v>
      </c>
      <c r="F1475">
        <v>2</v>
      </c>
      <c r="G1475">
        <v>1</v>
      </c>
      <c r="H1475">
        <v>1</v>
      </c>
      <c r="I1475">
        <v>1</v>
      </c>
      <c r="J1475" s="4" t="s">
        <v>55</v>
      </c>
      <c r="K1475" t="str">
        <f t="shared" si="75"/>
        <v>1+1</v>
      </c>
      <c r="L1475">
        <f>VLOOKUP(A1475,'ZONE 1 PREMIUM'!$A$4:$N$16,14,0)</f>
        <v>6</v>
      </c>
      <c r="M1475">
        <f>VLOOKUP(D1475,DROPDOWN!B:C,2,0)</f>
        <v>7</v>
      </c>
      <c r="N1475" t="str">
        <f t="shared" si="76"/>
        <v>AU20:BM31</v>
      </c>
      <c r="O1475" s="4">
        <f t="shared" ca="1" si="77"/>
        <v>40200.75</v>
      </c>
    </row>
    <row r="1476" spans="1:15">
      <c r="A1476" s="2" t="s">
        <v>16</v>
      </c>
      <c r="B1476" t="s">
        <v>35</v>
      </c>
      <c r="C1476" t="s">
        <v>36</v>
      </c>
      <c r="D1476">
        <v>15</v>
      </c>
      <c r="E1476" t="s">
        <v>46</v>
      </c>
      <c r="F1476">
        <v>2</v>
      </c>
      <c r="G1476">
        <v>1</v>
      </c>
      <c r="H1476">
        <v>1</v>
      </c>
      <c r="I1476">
        <v>1</v>
      </c>
      <c r="J1476" s="4" t="s">
        <v>55</v>
      </c>
      <c r="K1476" t="str">
        <f t="shared" ref="K1476:K1539" si="78">G1476&amp;"+"&amp;H1476</f>
        <v>1+1</v>
      </c>
      <c r="L1476">
        <f>VLOOKUP(A1476,'ZONE 1 PREMIUM'!$A$4:$N$16,14,0)</f>
        <v>7</v>
      </c>
      <c r="M1476">
        <f>VLOOKUP(D1476,DROPDOWN!B:C,2,0)</f>
        <v>7</v>
      </c>
      <c r="N1476" t="str">
        <f t="shared" si="76"/>
        <v>AU20:BM31</v>
      </c>
      <c r="O1476" s="4">
        <f t="shared" ca="1" si="77"/>
        <v>52182</v>
      </c>
    </row>
    <row r="1477" spans="1:15">
      <c r="A1477" s="2" t="s">
        <v>17</v>
      </c>
      <c r="B1477" t="s">
        <v>37</v>
      </c>
      <c r="C1477" t="s">
        <v>38</v>
      </c>
      <c r="D1477">
        <v>15</v>
      </c>
      <c r="E1477" t="s">
        <v>46</v>
      </c>
      <c r="F1477">
        <v>2</v>
      </c>
      <c r="G1477">
        <v>1</v>
      </c>
      <c r="H1477">
        <v>1</v>
      </c>
      <c r="I1477">
        <v>1</v>
      </c>
      <c r="J1477" s="4" t="s">
        <v>55</v>
      </c>
      <c r="K1477" t="str">
        <f t="shared" si="78"/>
        <v>1+1</v>
      </c>
      <c r="L1477">
        <f>VLOOKUP(A1477,'ZONE 1 PREMIUM'!$A$4:$N$16,14,0)</f>
        <v>8</v>
      </c>
      <c r="M1477">
        <f>VLOOKUP(D1477,DROPDOWN!B:C,2,0)</f>
        <v>7</v>
      </c>
      <c r="N1477" t="str">
        <f t="shared" si="76"/>
        <v>AU20:BM31</v>
      </c>
      <c r="O1477" s="4">
        <f t="shared" ca="1" si="77"/>
        <v>69574.5</v>
      </c>
    </row>
    <row r="1478" spans="1:15">
      <c r="A1478" s="2" t="s">
        <v>18</v>
      </c>
      <c r="B1478" t="s">
        <v>39</v>
      </c>
      <c r="C1478" t="s">
        <v>40</v>
      </c>
      <c r="D1478">
        <v>15</v>
      </c>
      <c r="E1478" t="s">
        <v>46</v>
      </c>
      <c r="F1478">
        <v>2</v>
      </c>
      <c r="G1478">
        <v>1</v>
      </c>
      <c r="H1478">
        <v>1</v>
      </c>
      <c r="I1478">
        <v>1</v>
      </c>
      <c r="J1478" s="4" t="s">
        <v>55</v>
      </c>
      <c r="K1478" t="str">
        <f t="shared" si="78"/>
        <v>1+1</v>
      </c>
      <c r="L1478">
        <f>VLOOKUP(A1478,'ZONE 1 PREMIUM'!$A$4:$N$16,14,0)</f>
        <v>9</v>
      </c>
      <c r="M1478">
        <f>VLOOKUP(D1478,DROPDOWN!B:C,2,0)</f>
        <v>7</v>
      </c>
      <c r="N1478" t="str">
        <f t="shared" si="76"/>
        <v>AU20:BM31</v>
      </c>
      <c r="O1478" s="4">
        <f t="shared" ca="1" si="77"/>
        <v>95895</v>
      </c>
    </row>
    <row r="1479" spans="1:15">
      <c r="A1479" s="2" t="s">
        <v>19</v>
      </c>
      <c r="B1479" t="s">
        <v>41</v>
      </c>
      <c r="C1479" t="s">
        <v>42</v>
      </c>
      <c r="D1479">
        <v>15</v>
      </c>
      <c r="E1479" t="s">
        <v>46</v>
      </c>
      <c r="F1479">
        <v>2</v>
      </c>
      <c r="G1479">
        <v>1</v>
      </c>
      <c r="H1479">
        <v>1</v>
      </c>
      <c r="I1479">
        <v>1</v>
      </c>
      <c r="J1479" s="4" t="s">
        <v>55</v>
      </c>
      <c r="K1479" t="str">
        <f t="shared" si="78"/>
        <v>1+1</v>
      </c>
      <c r="L1479">
        <f>VLOOKUP(A1479,'ZONE 1 PREMIUM'!$A$4:$N$16,14,0)</f>
        <v>10</v>
      </c>
      <c r="M1479">
        <f>VLOOKUP(D1479,DROPDOWN!B:C,2,0)</f>
        <v>7</v>
      </c>
      <c r="N1479" t="str">
        <f t="shared" si="76"/>
        <v>AU20:BM31</v>
      </c>
      <c r="O1479" s="4">
        <f t="shared" ca="1" si="77"/>
        <v>121249.125</v>
      </c>
    </row>
    <row r="1480" spans="1:15">
      <c r="A1480" s="2" t="s">
        <v>20</v>
      </c>
      <c r="B1480" t="s">
        <v>43</v>
      </c>
      <c r="C1480" t="s">
        <v>44</v>
      </c>
      <c r="D1480">
        <v>15</v>
      </c>
      <c r="E1480" t="s">
        <v>46</v>
      </c>
      <c r="F1480">
        <v>2</v>
      </c>
      <c r="G1480">
        <v>1</v>
      </c>
      <c r="H1480">
        <v>1</v>
      </c>
      <c r="I1480">
        <v>1</v>
      </c>
      <c r="J1480" s="4" t="s">
        <v>55</v>
      </c>
      <c r="K1480" t="str">
        <f t="shared" si="78"/>
        <v>1+1</v>
      </c>
      <c r="L1480">
        <f>VLOOKUP(A1480,'ZONE 1 PREMIUM'!$A$4:$N$16,14,0)</f>
        <v>11</v>
      </c>
      <c r="M1480">
        <f>VLOOKUP(D1480,DROPDOWN!B:C,2,0)</f>
        <v>7</v>
      </c>
      <c r="N1480" t="str">
        <f t="shared" si="76"/>
        <v>AU20:BM31</v>
      </c>
      <c r="O1480" s="4">
        <f t="shared" ca="1" si="77"/>
        <v>142947</v>
      </c>
    </row>
    <row r="1481" spans="1:15">
      <c r="A1481" s="2" t="s">
        <v>21</v>
      </c>
      <c r="B1481" t="s">
        <v>22</v>
      </c>
      <c r="D1481">
        <v>15</v>
      </c>
      <c r="E1481" t="s">
        <v>46</v>
      </c>
      <c r="F1481">
        <v>2</v>
      </c>
      <c r="G1481">
        <v>1</v>
      </c>
      <c r="H1481">
        <v>1</v>
      </c>
      <c r="I1481">
        <v>1</v>
      </c>
      <c r="J1481" s="4" t="s">
        <v>55</v>
      </c>
      <c r="K1481" t="str">
        <f t="shared" si="78"/>
        <v>1+1</v>
      </c>
      <c r="L1481">
        <f>VLOOKUP(A1481,'ZONE 1 PREMIUM'!$A$4:$N$16,14,0)</f>
        <v>12</v>
      </c>
      <c r="M1481">
        <f>VLOOKUP(D1481,DROPDOWN!B:C,2,0)</f>
        <v>7</v>
      </c>
      <c r="N1481" t="str">
        <f t="shared" si="76"/>
        <v>AU20:BM31</v>
      </c>
      <c r="O1481" s="4">
        <f t="shared" ca="1" si="77"/>
        <v>193803.75</v>
      </c>
    </row>
    <row r="1482" spans="1:15">
      <c r="A1482" s="2" t="s">
        <v>11</v>
      </c>
      <c r="B1482" t="s">
        <v>45</v>
      </c>
      <c r="C1482" t="s">
        <v>25</v>
      </c>
      <c r="D1482">
        <v>15</v>
      </c>
      <c r="E1482" t="s">
        <v>46</v>
      </c>
      <c r="F1482">
        <v>3</v>
      </c>
      <c r="G1482">
        <v>1</v>
      </c>
      <c r="H1482">
        <v>2</v>
      </c>
      <c r="I1482">
        <v>1</v>
      </c>
      <c r="J1482" s="4" t="s">
        <v>55</v>
      </c>
      <c r="K1482" t="str">
        <f t="shared" si="78"/>
        <v>1+2</v>
      </c>
      <c r="L1482">
        <f>VLOOKUP(A1482,'ZONE 1 PREMIUM'!$A$4:$N$16,14,0)</f>
        <v>2</v>
      </c>
      <c r="M1482">
        <f>VLOOKUP(D1482,DROPDOWN!B:C,2,0)</f>
        <v>7</v>
      </c>
      <c r="N1482" t="str">
        <f t="shared" si="76"/>
        <v>AU35:BM46</v>
      </c>
      <c r="O1482" s="4">
        <f t="shared" ca="1" si="77"/>
        <v>27985.5</v>
      </c>
    </row>
    <row r="1483" spans="1:15">
      <c r="A1483" s="2" t="s">
        <v>12</v>
      </c>
      <c r="B1483" t="s">
        <v>27</v>
      </c>
      <c r="C1483" t="s">
        <v>28</v>
      </c>
      <c r="D1483">
        <v>15</v>
      </c>
      <c r="E1483" t="s">
        <v>46</v>
      </c>
      <c r="F1483">
        <v>3</v>
      </c>
      <c r="G1483">
        <v>1</v>
      </c>
      <c r="H1483">
        <v>2</v>
      </c>
      <c r="I1483">
        <v>1</v>
      </c>
      <c r="J1483" s="4" t="s">
        <v>55</v>
      </c>
      <c r="K1483" t="str">
        <f t="shared" si="78"/>
        <v>1+2</v>
      </c>
      <c r="L1483">
        <f>VLOOKUP(A1483,'ZONE 1 PREMIUM'!$A$4:$N$16,14,0)</f>
        <v>3</v>
      </c>
      <c r="M1483">
        <f>VLOOKUP(D1483,DROPDOWN!B:C,2,0)</f>
        <v>7</v>
      </c>
      <c r="N1483" t="str">
        <f t="shared" si="76"/>
        <v>AU35:BM46</v>
      </c>
      <c r="O1483" s="4">
        <f t="shared" ca="1" si="77"/>
        <v>30096</v>
      </c>
    </row>
    <row r="1484" spans="1:15">
      <c r="A1484" s="2" t="s">
        <v>13</v>
      </c>
      <c r="B1484" t="s">
        <v>29</v>
      </c>
      <c r="C1484" t="s">
        <v>30</v>
      </c>
      <c r="D1484">
        <v>15</v>
      </c>
      <c r="E1484" t="s">
        <v>46</v>
      </c>
      <c r="F1484">
        <v>3</v>
      </c>
      <c r="G1484">
        <v>1</v>
      </c>
      <c r="H1484">
        <v>2</v>
      </c>
      <c r="I1484">
        <v>1</v>
      </c>
      <c r="J1484" s="4" t="s">
        <v>55</v>
      </c>
      <c r="K1484" t="str">
        <f t="shared" si="78"/>
        <v>1+2</v>
      </c>
      <c r="L1484">
        <f>VLOOKUP(A1484,'ZONE 1 PREMIUM'!$A$4:$N$16,14,0)</f>
        <v>4</v>
      </c>
      <c r="M1484">
        <f>VLOOKUP(D1484,DROPDOWN!B:C,2,0)</f>
        <v>7</v>
      </c>
      <c r="N1484" t="str">
        <f t="shared" si="76"/>
        <v>AU35:BM46</v>
      </c>
      <c r="O1484" s="4">
        <f t="shared" ca="1" si="77"/>
        <v>34831.125</v>
      </c>
    </row>
    <row r="1485" spans="1:15">
      <c r="A1485" s="2" t="s">
        <v>14</v>
      </c>
      <c r="B1485" t="s">
        <v>31</v>
      </c>
      <c r="C1485" t="s">
        <v>32</v>
      </c>
      <c r="D1485">
        <v>15</v>
      </c>
      <c r="E1485" t="s">
        <v>46</v>
      </c>
      <c r="F1485">
        <v>3</v>
      </c>
      <c r="G1485">
        <v>1</v>
      </c>
      <c r="H1485">
        <v>2</v>
      </c>
      <c r="I1485">
        <v>1</v>
      </c>
      <c r="J1485" s="4" t="s">
        <v>55</v>
      </c>
      <c r="K1485" t="str">
        <f t="shared" si="78"/>
        <v>1+2</v>
      </c>
      <c r="L1485">
        <f>VLOOKUP(A1485,'ZONE 1 PREMIUM'!$A$4:$N$16,14,0)</f>
        <v>5</v>
      </c>
      <c r="M1485">
        <f>VLOOKUP(D1485,DROPDOWN!B:C,2,0)</f>
        <v>7</v>
      </c>
      <c r="N1485" t="str">
        <f t="shared" si="76"/>
        <v>AU35:BM46</v>
      </c>
      <c r="O1485" s="4">
        <f t="shared" ca="1" si="77"/>
        <v>39097.125</v>
      </c>
    </row>
    <row r="1486" spans="1:15">
      <c r="A1486" s="2" t="s">
        <v>15</v>
      </c>
      <c r="B1486" t="s">
        <v>33</v>
      </c>
      <c r="C1486" t="s">
        <v>34</v>
      </c>
      <c r="D1486">
        <v>15</v>
      </c>
      <c r="E1486" t="s">
        <v>46</v>
      </c>
      <c r="F1486">
        <v>3</v>
      </c>
      <c r="G1486">
        <v>1</v>
      </c>
      <c r="H1486">
        <v>2</v>
      </c>
      <c r="I1486">
        <v>1</v>
      </c>
      <c r="J1486" s="4" t="s">
        <v>55</v>
      </c>
      <c r="K1486" t="str">
        <f t="shared" si="78"/>
        <v>1+2</v>
      </c>
      <c r="L1486">
        <f>VLOOKUP(A1486,'ZONE 1 PREMIUM'!$A$4:$N$16,14,0)</f>
        <v>6</v>
      </c>
      <c r="M1486">
        <f>VLOOKUP(D1486,DROPDOWN!B:C,2,0)</f>
        <v>7</v>
      </c>
      <c r="N1486" t="str">
        <f t="shared" si="76"/>
        <v>AU35:BM46</v>
      </c>
      <c r="O1486" s="4">
        <f t="shared" ca="1" si="77"/>
        <v>48889.125</v>
      </c>
    </row>
    <row r="1487" spans="1:15">
      <c r="A1487" s="2" t="s">
        <v>16</v>
      </c>
      <c r="B1487" t="s">
        <v>35</v>
      </c>
      <c r="C1487" t="s">
        <v>36</v>
      </c>
      <c r="D1487">
        <v>15</v>
      </c>
      <c r="E1487" t="s">
        <v>46</v>
      </c>
      <c r="F1487">
        <v>3</v>
      </c>
      <c r="G1487">
        <v>1</v>
      </c>
      <c r="H1487">
        <v>2</v>
      </c>
      <c r="I1487">
        <v>1</v>
      </c>
      <c r="J1487" s="4" t="s">
        <v>55</v>
      </c>
      <c r="K1487" t="str">
        <f t="shared" si="78"/>
        <v>1+2</v>
      </c>
      <c r="L1487">
        <f>VLOOKUP(A1487,'ZONE 1 PREMIUM'!$A$4:$N$16,14,0)</f>
        <v>7</v>
      </c>
      <c r="M1487">
        <f>VLOOKUP(D1487,DROPDOWN!B:C,2,0)</f>
        <v>7</v>
      </c>
      <c r="N1487" t="str">
        <f t="shared" si="76"/>
        <v>AU35:BM46</v>
      </c>
      <c r="O1487" s="4">
        <f t="shared" ca="1" si="77"/>
        <v>62950.5</v>
      </c>
    </row>
    <row r="1488" spans="1:15">
      <c r="A1488" s="2" t="s">
        <v>17</v>
      </c>
      <c r="B1488" t="s">
        <v>37</v>
      </c>
      <c r="C1488" t="s">
        <v>38</v>
      </c>
      <c r="D1488">
        <v>15</v>
      </c>
      <c r="E1488" t="s">
        <v>46</v>
      </c>
      <c r="F1488">
        <v>3</v>
      </c>
      <c r="G1488">
        <v>1</v>
      </c>
      <c r="H1488">
        <v>2</v>
      </c>
      <c r="I1488">
        <v>1</v>
      </c>
      <c r="J1488" s="4" t="s">
        <v>55</v>
      </c>
      <c r="K1488" t="str">
        <f t="shared" si="78"/>
        <v>1+2</v>
      </c>
      <c r="L1488">
        <f>VLOOKUP(A1488,'ZONE 1 PREMIUM'!$A$4:$N$16,14,0)</f>
        <v>8</v>
      </c>
      <c r="M1488">
        <f>VLOOKUP(D1488,DROPDOWN!B:C,2,0)</f>
        <v>7</v>
      </c>
      <c r="N1488" t="str">
        <f t="shared" si="76"/>
        <v>AU35:BM46</v>
      </c>
      <c r="O1488" s="4">
        <f t="shared" ca="1" si="77"/>
        <v>81174.375</v>
      </c>
    </row>
    <row r="1489" spans="1:15">
      <c r="A1489" s="2" t="s">
        <v>18</v>
      </c>
      <c r="B1489" t="s">
        <v>39</v>
      </c>
      <c r="C1489" t="s">
        <v>40</v>
      </c>
      <c r="D1489">
        <v>15</v>
      </c>
      <c r="E1489" t="s">
        <v>46</v>
      </c>
      <c r="F1489">
        <v>3</v>
      </c>
      <c r="G1489">
        <v>1</v>
      </c>
      <c r="H1489">
        <v>2</v>
      </c>
      <c r="I1489">
        <v>1</v>
      </c>
      <c r="J1489" s="4" t="s">
        <v>55</v>
      </c>
      <c r="K1489" t="str">
        <f t="shared" si="78"/>
        <v>1+2</v>
      </c>
      <c r="L1489">
        <f>VLOOKUP(A1489,'ZONE 1 PREMIUM'!$A$4:$N$16,14,0)</f>
        <v>9</v>
      </c>
      <c r="M1489">
        <f>VLOOKUP(D1489,DROPDOWN!B:C,2,0)</f>
        <v>7</v>
      </c>
      <c r="N1489" t="str">
        <f t="shared" si="76"/>
        <v>AU35:BM46</v>
      </c>
      <c r="O1489" s="4">
        <f t="shared" ca="1" si="77"/>
        <v>105364.125</v>
      </c>
    </row>
    <row r="1490" spans="1:15">
      <c r="A1490" s="2" t="s">
        <v>19</v>
      </c>
      <c r="B1490" t="s">
        <v>41</v>
      </c>
      <c r="C1490" t="s">
        <v>42</v>
      </c>
      <c r="D1490">
        <v>15</v>
      </c>
      <c r="E1490" t="s">
        <v>46</v>
      </c>
      <c r="F1490">
        <v>3</v>
      </c>
      <c r="G1490">
        <v>1</v>
      </c>
      <c r="H1490">
        <v>2</v>
      </c>
      <c r="I1490">
        <v>1</v>
      </c>
      <c r="J1490" s="4" t="s">
        <v>55</v>
      </c>
      <c r="K1490" t="str">
        <f t="shared" si="78"/>
        <v>1+2</v>
      </c>
      <c r="L1490">
        <f>VLOOKUP(A1490,'ZONE 1 PREMIUM'!$A$4:$N$16,14,0)</f>
        <v>10</v>
      </c>
      <c r="M1490">
        <f>VLOOKUP(D1490,DROPDOWN!B:C,2,0)</f>
        <v>7</v>
      </c>
      <c r="N1490" t="str">
        <f t="shared" si="76"/>
        <v>AU35:BM46</v>
      </c>
      <c r="O1490" s="4">
        <f t="shared" ca="1" si="77"/>
        <v>132822</v>
      </c>
    </row>
    <row r="1491" spans="1:15">
      <c r="A1491" s="2" t="s">
        <v>20</v>
      </c>
      <c r="B1491" t="s">
        <v>43</v>
      </c>
      <c r="C1491" t="s">
        <v>44</v>
      </c>
      <c r="D1491">
        <v>15</v>
      </c>
      <c r="E1491" t="s">
        <v>46</v>
      </c>
      <c r="F1491">
        <v>3</v>
      </c>
      <c r="G1491">
        <v>1</v>
      </c>
      <c r="H1491">
        <v>2</v>
      </c>
      <c r="I1491">
        <v>1</v>
      </c>
      <c r="J1491" s="4" t="s">
        <v>55</v>
      </c>
      <c r="K1491" t="str">
        <f t="shared" si="78"/>
        <v>1+2</v>
      </c>
      <c r="L1491">
        <f>VLOOKUP(A1491,'ZONE 1 PREMIUM'!$A$4:$N$16,14,0)</f>
        <v>11</v>
      </c>
      <c r="M1491">
        <f>VLOOKUP(D1491,DROPDOWN!B:C,2,0)</f>
        <v>7</v>
      </c>
      <c r="N1491" t="str">
        <f t="shared" si="76"/>
        <v>AU35:BM46</v>
      </c>
      <c r="O1491" s="4">
        <f t="shared" ca="1" si="77"/>
        <v>156582</v>
      </c>
    </row>
    <row r="1492" spans="1:15">
      <c r="A1492" s="2" t="s">
        <v>21</v>
      </c>
      <c r="B1492" t="s">
        <v>22</v>
      </c>
      <c r="D1492">
        <v>15</v>
      </c>
      <c r="E1492" t="s">
        <v>46</v>
      </c>
      <c r="F1492">
        <v>3</v>
      </c>
      <c r="G1492">
        <v>1</v>
      </c>
      <c r="H1492">
        <v>2</v>
      </c>
      <c r="I1492">
        <v>1</v>
      </c>
      <c r="J1492" s="4" t="s">
        <v>55</v>
      </c>
      <c r="K1492" t="str">
        <f t="shared" si="78"/>
        <v>1+2</v>
      </c>
      <c r="L1492">
        <f>VLOOKUP(A1492,'ZONE 1 PREMIUM'!$A$4:$N$16,14,0)</f>
        <v>12</v>
      </c>
      <c r="M1492">
        <f>VLOOKUP(D1492,DROPDOWN!B:C,2,0)</f>
        <v>7</v>
      </c>
      <c r="N1492" t="str">
        <f t="shared" si="76"/>
        <v>AU35:BM46</v>
      </c>
      <c r="O1492" s="4">
        <f t="shared" ca="1" si="77"/>
        <v>204069.375</v>
      </c>
    </row>
    <row r="1493" spans="1:15">
      <c r="A1493" s="2" t="s">
        <v>11</v>
      </c>
      <c r="B1493" t="s">
        <v>45</v>
      </c>
      <c r="C1493" t="s">
        <v>25</v>
      </c>
      <c r="D1493">
        <v>15</v>
      </c>
      <c r="E1493" t="s">
        <v>46</v>
      </c>
      <c r="F1493">
        <v>4</v>
      </c>
      <c r="G1493">
        <v>1</v>
      </c>
      <c r="H1493">
        <v>3</v>
      </c>
      <c r="I1493">
        <v>1</v>
      </c>
      <c r="J1493" s="4" t="s">
        <v>55</v>
      </c>
      <c r="K1493" t="str">
        <f t="shared" si="78"/>
        <v>1+3</v>
      </c>
      <c r="L1493">
        <f>VLOOKUP(A1493,'ZONE 1 PREMIUM'!$A$4:$N$16,14,0)</f>
        <v>2</v>
      </c>
      <c r="M1493">
        <f>VLOOKUP(D1493,DROPDOWN!B:C,2,0)</f>
        <v>7</v>
      </c>
      <c r="N1493" t="str">
        <f t="shared" si="76"/>
        <v>AU50:BM61</v>
      </c>
      <c r="O1493" s="4">
        <f t="shared" ca="1" si="77"/>
        <v>34378.875</v>
      </c>
    </row>
    <row r="1494" spans="1:15">
      <c r="A1494" s="2" t="s">
        <v>12</v>
      </c>
      <c r="B1494" t="s">
        <v>27</v>
      </c>
      <c r="C1494" t="s">
        <v>28</v>
      </c>
      <c r="D1494">
        <v>15</v>
      </c>
      <c r="E1494" t="s">
        <v>46</v>
      </c>
      <c r="F1494">
        <v>4</v>
      </c>
      <c r="G1494">
        <v>1</v>
      </c>
      <c r="H1494">
        <v>3</v>
      </c>
      <c r="I1494">
        <v>1</v>
      </c>
      <c r="J1494" s="4" t="s">
        <v>55</v>
      </c>
      <c r="K1494" t="str">
        <f t="shared" si="78"/>
        <v>1+3</v>
      </c>
      <c r="L1494">
        <f>VLOOKUP(A1494,'ZONE 1 PREMIUM'!$A$4:$N$16,14,0)</f>
        <v>3</v>
      </c>
      <c r="M1494">
        <f>VLOOKUP(D1494,DROPDOWN!B:C,2,0)</f>
        <v>7</v>
      </c>
      <c r="N1494" t="str">
        <f t="shared" si="76"/>
        <v>AU50:BM61</v>
      </c>
      <c r="O1494" s="4">
        <f t="shared" ca="1" si="77"/>
        <v>36374.625</v>
      </c>
    </row>
    <row r="1495" spans="1:15">
      <c r="A1495" s="2" t="s">
        <v>13</v>
      </c>
      <c r="B1495" t="s">
        <v>29</v>
      </c>
      <c r="C1495" t="s">
        <v>30</v>
      </c>
      <c r="D1495">
        <v>15</v>
      </c>
      <c r="E1495" t="s">
        <v>46</v>
      </c>
      <c r="F1495">
        <v>4</v>
      </c>
      <c r="G1495">
        <v>1</v>
      </c>
      <c r="H1495">
        <v>3</v>
      </c>
      <c r="I1495">
        <v>1</v>
      </c>
      <c r="J1495" s="4" t="s">
        <v>55</v>
      </c>
      <c r="K1495" t="str">
        <f t="shared" si="78"/>
        <v>1+3</v>
      </c>
      <c r="L1495">
        <f>VLOOKUP(A1495,'ZONE 1 PREMIUM'!$A$4:$N$16,14,0)</f>
        <v>4</v>
      </c>
      <c r="M1495">
        <f>VLOOKUP(D1495,DROPDOWN!B:C,2,0)</f>
        <v>7</v>
      </c>
      <c r="N1495" t="str">
        <f t="shared" si="76"/>
        <v>AU50:BM61</v>
      </c>
      <c r="O1495" s="4">
        <f t="shared" ca="1" si="77"/>
        <v>42108.75</v>
      </c>
    </row>
    <row r="1496" spans="1:15">
      <c r="A1496" s="2" t="s">
        <v>14</v>
      </c>
      <c r="B1496" t="s">
        <v>31</v>
      </c>
      <c r="C1496" t="s">
        <v>32</v>
      </c>
      <c r="D1496">
        <v>15</v>
      </c>
      <c r="E1496" t="s">
        <v>46</v>
      </c>
      <c r="F1496">
        <v>4</v>
      </c>
      <c r="G1496">
        <v>1</v>
      </c>
      <c r="H1496">
        <v>3</v>
      </c>
      <c r="I1496">
        <v>1</v>
      </c>
      <c r="J1496" s="4" t="s">
        <v>55</v>
      </c>
      <c r="K1496" t="str">
        <f t="shared" si="78"/>
        <v>1+3</v>
      </c>
      <c r="L1496">
        <f>VLOOKUP(A1496,'ZONE 1 PREMIUM'!$A$4:$N$16,14,0)</f>
        <v>5</v>
      </c>
      <c r="M1496">
        <f>VLOOKUP(D1496,DROPDOWN!B:C,2,0)</f>
        <v>7</v>
      </c>
      <c r="N1496" t="str">
        <f t="shared" si="76"/>
        <v>AU50:BM61</v>
      </c>
      <c r="O1496" s="4">
        <f t="shared" ca="1" si="77"/>
        <v>46842.75</v>
      </c>
    </row>
    <row r="1497" spans="1:15">
      <c r="A1497" s="2" t="s">
        <v>15</v>
      </c>
      <c r="B1497" t="s">
        <v>33</v>
      </c>
      <c r="C1497" t="s">
        <v>34</v>
      </c>
      <c r="D1497">
        <v>15</v>
      </c>
      <c r="E1497" t="s">
        <v>46</v>
      </c>
      <c r="F1497">
        <v>4</v>
      </c>
      <c r="G1497">
        <v>1</v>
      </c>
      <c r="H1497">
        <v>3</v>
      </c>
      <c r="I1497">
        <v>1</v>
      </c>
      <c r="J1497" s="4" t="s">
        <v>55</v>
      </c>
      <c r="K1497" t="str">
        <f t="shared" si="78"/>
        <v>1+3</v>
      </c>
      <c r="L1497">
        <f>VLOOKUP(A1497,'ZONE 1 PREMIUM'!$A$4:$N$16,14,0)</f>
        <v>6</v>
      </c>
      <c r="M1497">
        <f>VLOOKUP(D1497,DROPDOWN!B:C,2,0)</f>
        <v>7</v>
      </c>
      <c r="N1497" t="str">
        <f t="shared" si="76"/>
        <v>AU50:BM61</v>
      </c>
      <c r="O1497" s="4">
        <f t="shared" ca="1" si="77"/>
        <v>57577.5</v>
      </c>
    </row>
    <row r="1498" spans="1:15">
      <c r="A1498" s="2" t="s">
        <v>16</v>
      </c>
      <c r="B1498" t="s">
        <v>35</v>
      </c>
      <c r="C1498" t="s">
        <v>36</v>
      </c>
      <c r="D1498">
        <v>15</v>
      </c>
      <c r="E1498" t="s">
        <v>46</v>
      </c>
      <c r="F1498">
        <v>4</v>
      </c>
      <c r="G1498">
        <v>1</v>
      </c>
      <c r="H1498">
        <v>3</v>
      </c>
      <c r="I1498">
        <v>1</v>
      </c>
      <c r="J1498" s="4" t="s">
        <v>55</v>
      </c>
      <c r="K1498" t="str">
        <f t="shared" si="78"/>
        <v>1+3</v>
      </c>
      <c r="L1498">
        <f>VLOOKUP(A1498,'ZONE 1 PREMIUM'!$A$4:$N$16,14,0)</f>
        <v>7</v>
      </c>
      <c r="M1498">
        <f>VLOOKUP(D1498,DROPDOWN!B:C,2,0)</f>
        <v>7</v>
      </c>
      <c r="N1498" t="str">
        <f t="shared" si="76"/>
        <v>AU50:BM61</v>
      </c>
      <c r="O1498" s="4">
        <f t="shared" ca="1" si="77"/>
        <v>72613.125</v>
      </c>
    </row>
    <row r="1499" spans="1:15">
      <c r="A1499" s="2" t="s">
        <v>17</v>
      </c>
      <c r="B1499" t="s">
        <v>37</v>
      </c>
      <c r="C1499" t="s">
        <v>38</v>
      </c>
      <c r="D1499">
        <v>15</v>
      </c>
      <c r="E1499" t="s">
        <v>46</v>
      </c>
      <c r="F1499">
        <v>4</v>
      </c>
      <c r="G1499">
        <v>1</v>
      </c>
      <c r="H1499">
        <v>3</v>
      </c>
      <c r="I1499">
        <v>1</v>
      </c>
      <c r="J1499" s="4" t="s">
        <v>55</v>
      </c>
      <c r="K1499" t="str">
        <f t="shared" si="78"/>
        <v>1+3</v>
      </c>
      <c r="L1499">
        <f>VLOOKUP(A1499,'ZONE 1 PREMIUM'!$A$4:$N$16,14,0)</f>
        <v>8</v>
      </c>
      <c r="M1499">
        <f>VLOOKUP(D1499,DROPDOWN!B:C,2,0)</f>
        <v>7</v>
      </c>
      <c r="N1499" t="str">
        <f t="shared" si="76"/>
        <v>AU50:BM61</v>
      </c>
      <c r="O1499" s="4">
        <f t="shared" ca="1" si="77"/>
        <v>89760.375</v>
      </c>
    </row>
    <row r="1500" spans="1:15">
      <c r="A1500" s="2" t="s">
        <v>18</v>
      </c>
      <c r="B1500" t="s">
        <v>39</v>
      </c>
      <c r="C1500" t="s">
        <v>40</v>
      </c>
      <c r="D1500">
        <v>15</v>
      </c>
      <c r="E1500" t="s">
        <v>46</v>
      </c>
      <c r="F1500">
        <v>4</v>
      </c>
      <c r="G1500">
        <v>1</v>
      </c>
      <c r="H1500">
        <v>3</v>
      </c>
      <c r="I1500">
        <v>1</v>
      </c>
      <c r="J1500" s="4" t="s">
        <v>55</v>
      </c>
      <c r="K1500" t="str">
        <f t="shared" si="78"/>
        <v>1+3</v>
      </c>
      <c r="L1500">
        <f>VLOOKUP(A1500,'ZONE 1 PREMIUM'!$A$4:$N$16,14,0)</f>
        <v>9</v>
      </c>
      <c r="M1500">
        <f>VLOOKUP(D1500,DROPDOWN!B:C,2,0)</f>
        <v>7</v>
      </c>
      <c r="N1500" t="str">
        <f t="shared" si="76"/>
        <v>AU50:BM61</v>
      </c>
      <c r="O1500" s="4">
        <f t="shared" ca="1" si="77"/>
        <v>114828.75</v>
      </c>
    </row>
    <row r="1501" spans="1:15">
      <c r="A1501" s="2" t="s">
        <v>19</v>
      </c>
      <c r="B1501" t="s">
        <v>41</v>
      </c>
      <c r="C1501" t="s">
        <v>42</v>
      </c>
      <c r="D1501">
        <v>15</v>
      </c>
      <c r="E1501" t="s">
        <v>46</v>
      </c>
      <c r="F1501">
        <v>4</v>
      </c>
      <c r="G1501">
        <v>1</v>
      </c>
      <c r="H1501">
        <v>3</v>
      </c>
      <c r="I1501">
        <v>1</v>
      </c>
      <c r="J1501" s="4" t="s">
        <v>55</v>
      </c>
      <c r="K1501" t="str">
        <f t="shared" si="78"/>
        <v>1+3</v>
      </c>
      <c r="L1501">
        <f>VLOOKUP(A1501,'ZONE 1 PREMIUM'!$A$4:$N$16,14,0)</f>
        <v>10</v>
      </c>
      <c r="M1501">
        <f>VLOOKUP(D1501,DROPDOWN!B:C,2,0)</f>
        <v>7</v>
      </c>
      <c r="N1501" t="str">
        <f t="shared" si="76"/>
        <v>AU50:BM61</v>
      </c>
      <c r="O1501" s="4">
        <f t="shared" ca="1" si="77"/>
        <v>140512.5</v>
      </c>
    </row>
    <row r="1502" spans="1:15">
      <c r="A1502" s="2" t="s">
        <v>20</v>
      </c>
      <c r="B1502" t="s">
        <v>43</v>
      </c>
      <c r="C1502" t="s">
        <v>44</v>
      </c>
      <c r="D1502">
        <v>15</v>
      </c>
      <c r="E1502" t="s">
        <v>46</v>
      </c>
      <c r="F1502">
        <v>4</v>
      </c>
      <c r="G1502">
        <v>1</v>
      </c>
      <c r="H1502">
        <v>3</v>
      </c>
      <c r="I1502">
        <v>1</v>
      </c>
      <c r="J1502" s="4" t="s">
        <v>55</v>
      </c>
      <c r="K1502" t="str">
        <f t="shared" si="78"/>
        <v>1+3</v>
      </c>
      <c r="L1502">
        <f>VLOOKUP(A1502,'ZONE 1 PREMIUM'!$A$4:$N$16,14,0)</f>
        <v>11</v>
      </c>
      <c r="M1502">
        <f>VLOOKUP(D1502,DROPDOWN!B:C,2,0)</f>
        <v>7</v>
      </c>
      <c r="N1502" t="str">
        <f t="shared" si="76"/>
        <v>AU50:BM61</v>
      </c>
      <c r="O1502" s="4">
        <f t="shared" ca="1" si="77"/>
        <v>163906.875</v>
      </c>
    </row>
    <row r="1503" spans="1:15">
      <c r="A1503" s="2" t="s">
        <v>21</v>
      </c>
      <c r="B1503" t="s">
        <v>22</v>
      </c>
      <c r="D1503">
        <v>15</v>
      </c>
      <c r="E1503" t="s">
        <v>46</v>
      </c>
      <c r="F1503">
        <v>4</v>
      </c>
      <c r="G1503">
        <v>1</v>
      </c>
      <c r="H1503">
        <v>3</v>
      </c>
      <c r="I1503">
        <v>1</v>
      </c>
      <c r="J1503" s="4" t="s">
        <v>55</v>
      </c>
      <c r="K1503" t="str">
        <f t="shared" si="78"/>
        <v>1+3</v>
      </c>
      <c r="L1503">
        <f>VLOOKUP(A1503,'ZONE 1 PREMIUM'!$A$4:$N$16,14,0)</f>
        <v>12</v>
      </c>
      <c r="M1503">
        <f>VLOOKUP(D1503,DROPDOWN!B:C,2,0)</f>
        <v>7</v>
      </c>
      <c r="N1503" t="str">
        <f t="shared" si="76"/>
        <v>AU50:BM61</v>
      </c>
      <c r="O1503" s="4">
        <f t="shared" ca="1" si="77"/>
        <v>211818.375</v>
      </c>
    </row>
    <row r="1504" spans="1:15">
      <c r="A1504" s="2" t="s">
        <v>11</v>
      </c>
      <c r="B1504" t="s">
        <v>45</v>
      </c>
      <c r="C1504" t="s">
        <v>25</v>
      </c>
      <c r="D1504">
        <v>15</v>
      </c>
      <c r="E1504" t="s">
        <v>46</v>
      </c>
      <c r="F1504">
        <v>5</v>
      </c>
      <c r="G1504">
        <v>1</v>
      </c>
      <c r="H1504">
        <v>4</v>
      </c>
      <c r="I1504">
        <v>1</v>
      </c>
      <c r="J1504" s="4" t="s">
        <v>55</v>
      </c>
      <c r="K1504" t="str">
        <f t="shared" si="78"/>
        <v>1+4</v>
      </c>
      <c r="L1504">
        <f>VLOOKUP(A1504,'ZONE 1 PREMIUM'!$A$4:$N$16,14,0)</f>
        <v>2</v>
      </c>
      <c r="M1504">
        <f>VLOOKUP(D1504,DROPDOWN!B:C,2,0)</f>
        <v>7</v>
      </c>
      <c r="N1504" t="str">
        <f t="shared" si="76"/>
        <v>AU65:BM76</v>
      </c>
      <c r="O1504" s="4">
        <f t="shared" ca="1" si="77"/>
        <v>40772.25</v>
      </c>
    </row>
    <row r="1505" spans="1:15">
      <c r="A1505" s="2" t="s">
        <v>12</v>
      </c>
      <c r="B1505" t="s">
        <v>27</v>
      </c>
      <c r="C1505" t="s">
        <v>28</v>
      </c>
      <c r="D1505">
        <v>15</v>
      </c>
      <c r="E1505" t="s">
        <v>46</v>
      </c>
      <c r="F1505">
        <v>5</v>
      </c>
      <c r="G1505">
        <v>1</v>
      </c>
      <c r="H1505">
        <v>4</v>
      </c>
      <c r="I1505">
        <v>1</v>
      </c>
      <c r="J1505" s="4" t="s">
        <v>55</v>
      </c>
      <c r="K1505" t="str">
        <f t="shared" si="78"/>
        <v>1+4</v>
      </c>
      <c r="L1505">
        <f>VLOOKUP(A1505,'ZONE 1 PREMIUM'!$A$4:$N$16,14,0)</f>
        <v>3</v>
      </c>
      <c r="M1505">
        <f>VLOOKUP(D1505,DROPDOWN!B:C,2,0)</f>
        <v>7</v>
      </c>
      <c r="N1505" t="str">
        <f t="shared" si="76"/>
        <v>AU65:BM76</v>
      </c>
      <c r="O1505" s="4">
        <f t="shared" ca="1" si="77"/>
        <v>42654.375</v>
      </c>
    </row>
    <row r="1506" spans="1:15">
      <c r="A1506" s="2" t="s">
        <v>13</v>
      </c>
      <c r="B1506" t="s">
        <v>29</v>
      </c>
      <c r="C1506" t="s">
        <v>30</v>
      </c>
      <c r="D1506">
        <v>15</v>
      </c>
      <c r="E1506" t="s">
        <v>46</v>
      </c>
      <c r="F1506">
        <v>5</v>
      </c>
      <c r="G1506">
        <v>1</v>
      </c>
      <c r="H1506">
        <v>4</v>
      </c>
      <c r="I1506">
        <v>1</v>
      </c>
      <c r="J1506" s="4" t="s">
        <v>55</v>
      </c>
      <c r="K1506" t="str">
        <f t="shared" si="78"/>
        <v>1+4</v>
      </c>
      <c r="L1506">
        <f>VLOOKUP(A1506,'ZONE 1 PREMIUM'!$A$4:$N$16,14,0)</f>
        <v>4</v>
      </c>
      <c r="M1506">
        <f>VLOOKUP(D1506,DROPDOWN!B:C,2,0)</f>
        <v>7</v>
      </c>
      <c r="N1506" t="str">
        <f t="shared" si="76"/>
        <v>AU65:BM76</v>
      </c>
      <c r="O1506" s="4">
        <f t="shared" ca="1" si="77"/>
        <v>49385.25</v>
      </c>
    </row>
    <row r="1507" spans="1:15">
      <c r="A1507" s="2" t="s">
        <v>14</v>
      </c>
      <c r="B1507" t="s">
        <v>31</v>
      </c>
      <c r="C1507" t="s">
        <v>32</v>
      </c>
      <c r="D1507">
        <v>15</v>
      </c>
      <c r="E1507" t="s">
        <v>46</v>
      </c>
      <c r="F1507">
        <v>5</v>
      </c>
      <c r="G1507">
        <v>1</v>
      </c>
      <c r="H1507">
        <v>4</v>
      </c>
      <c r="I1507">
        <v>1</v>
      </c>
      <c r="J1507" s="4" t="s">
        <v>55</v>
      </c>
      <c r="K1507" t="str">
        <f t="shared" si="78"/>
        <v>1+4</v>
      </c>
      <c r="L1507">
        <f>VLOOKUP(A1507,'ZONE 1 PREMIUM'!$A$4:$N$16,14,0)</f>
        <v>5</v>
      </c>
      <c r="M1507">
        <f>VLOOKUP(D1507,DROPDOWN!B:C,2,0)</f>
        <v>7</v>
      </c>
      <c r="N1507" t="str">
        <f t="shared" si="76"/>
        <v>AU65:BM76</v>
      </c>
      <c r="O1507" s="4">
        <f t="shared" ca="1" si="77"/>
        <v>54588.375</v>
      </c>
    </row>
    <row r="1508" spans="1:15">
      <c r="A1508" s="2" t="s">
        <v>15</v>
      </c>
      <c r="B1508" t="s">
        <v>33</v>
      </c>
      <c r="C1508" t="s">
        <v>34</v>
      </c>
      <c r="D1508">
        <v>15</v>
      </c>
      <c r="E1508" t="s">
        <v>46</v>
      </c>
      <c r="F1508">
        <v>5</v>
      </c>
      <c r="G1508">
        <v>1</v>
      </c>
      <c r="H1508">
        <v>4</v>
      </c>
      <c r="I1508">
        <v>1</v>
      </c>
      <c r="J1508" s="4" t="s">
        <v>55</v>
      </c>
      <c r="K1508" t="str">
        <f t="shared" si="78"/>
        <v>1+4</v>
      </c>
      <c r="L1508">
        <f>VLOOKUP(A1508,'ZONE 1 PREMIUM'!$A$4:$N$16,14,0)</f>
        <v>6</v>
      </c>
      <c r="M1508">
        <f>VLOOKUP(D1508,DROPDOWN!B:C,2,0)</f>
        <v>7</v>
      </c>
      <c r="N1508" t="str">
        <f t="shared" si="76"/>
        <v>AU65:BM76</v>
      </c>
      <c r="O1508" s="4">
        <f t="shared" ca="1" si="77"/>
        <v>66265.875</v>
      </c>
    </row>
    <row r="1509" spans="1:15">
      <c r="A1509" s="2" t="s">
        <v>16</v>
      </c>
      <c r="B1509" t="s">
        <v>35</v>
      </c>
      <c r="C1509" t="s">
        <v>36</v>
      </c>
      <c r="D1509">
        <v>15</v>
      </c>
      <c r="E1509" t="s">
        <v>46</v>
      </c>
      <c r="F1509">
        <v>5</v>
      </c>
      <c r="G1509">
        <v>1</v>
      </c>
      <c r="H1509">
        <v>4</v>
      </c>
      <c r="I1509">
        <v>1</v>
      </c>
      <c r="J1509" s="4" t="s">
        <v>55</v>
      </c>
      <c r="K1509" t="str">
        <f t="shared" si="78"/>
        <v>1+4</v>
      </c>
      <c r="L1509">
        <f>VLOOKUP(A1509,'ZONE 1 PREMIUM'!$A$4:$N$16,14,0)</f>
        <v>7</v>
      </c>
      <c r="M1509">
        <f>VLOOKUP(D1509,DROPDOWN!B:C,2,0)</f>
        <v>7</v>
      </c>
      <c r="N1509" t="str">
        <f t="shared" si="76"/>
        <v>AU65:BM76</v>
      </c>
      <c r="O1509" s="4">
        <f t="shared" ca="1" si="77"/>
        <v>80685</v>
      </c>
    </row>
    <row r="1510" spans="1:15">
      <c r="A1510" s="2" t="s">
        <v>17</v>
      </c>
      <c r="B1510" t="s">
        <v>37</v>
      </c>
      <c r="C1510" t="s">
        <v>38</v>
      </c>
      <c r="D1510">
        <v>15</v>
      </c>
      <c r="E1510" t="s">
        <v>46</v>
      </c>
      <c r="F1510">
        <v>5</v>
      </c>
      <c r="G1510">
        <v>1</v>
      </c>
      <c r="H1510">
        <v>4</v>
      </c>
      <c r="I1510">
        <v>1</v>
      </c>
      <c r="J1510" s="4" t="s">
        <v>55</v>
      </c>
      <c r="K1510" t="str">
        <f t="shared" si="78"/>
        <v>1+4</v>
      </c>
      <c r="L1510">
        <f>VLOOKUP(A1510,'ZONE 1 PREMIUM'!$A$4:$N$16,14,0)</f>
        <v>8</v>
      </c>
      <c r="M1510">
        <f>VLOOKUP(D1510,DROPDOWN!B:C,2,0)</f>
        <v>7</v>
      </c>
      <c r="N1510" t="str">
        <f t="shared" si="76"/>
        <v>AU65:BM76</v>
      </c>
      <c r="O1510" s="4">
        <f t="shared" ca="1" si="77"/>
        <v>97591.5</v>
      </c>
    </row>
    <row r="1511" spans="1:15">
      <c r="A1511" s="2" t="s">
        <v>18</v>
      </c>
      <c r="B1511" t="s">
        <v>39</v>
      </c>
      <c r="C1511" t="s">
        <v>40</v>
      </c>
      <c r="D1511">
        <v>15</v>
      </c>
      <c r="E1511" t="s">
        <v>46</v>
      </c>
      <c r="F1511">
        <v>5</v>
      </c>
      <c r="G1511">
        <v>1</v>
      </c>
      <c r="H1511">
        <v>4</v>
      </c>
      <c r="I1511">
        <v>1</v>
      </c>
      <c r="J1511" s="4" t="s">
        <v>55</v>
      </c>
      <c r="K1511" t="str">
        <f t="shared" si="78"/>
        <v>1+4</v>
      </c>
      <c r="L1511">
        <f>VLOOKUP(A1511,'ZONE 1 PREMIUM'!$A$4:$N$16,14,0)</f>
        <v>9</v>
      </c>
      <c r="M1511">
        <f>VLOOKUP(D1511,DROPDOWN!B:C,2,0)</f>
        <v>7</v>
      </c>
      <c r="N1511" t="str">
        <f t="shared" si="76"/>
        <v>AU65:BM76</v>
      </c>
      <c r="O1511" s="4">
        <f t="shared" ca="1" si="77"/>
        <v>122854.5</v>
      </c>
    </row>
    <row r="1512" spans="1:15">
      <c r="A1512" s="2" t="s">
        <v>19</v>
      </c>
      <c r="B1512" t="s">
        <v>41</v>
      </c>
      <c r="C1512" t="s">
        <v>42</v>
      </c>
      <c r="D1512">
        <v>15</v>
      </c>
      <c r="E1512" t="s">
        <v>46</v>
      </c>
      <c r="F1512">
        <v>5</v>
      </c>
      <c r="G1512">
        <v>1</v>
      </c>
      <c r="H1512">
        <v>4</v>
      </c>
      <c r="I1512">
        <v>1</v>
      </c>
      <c r="J1512" s="4" t="s">
        <v>55</v>
      </c>
      <c r="K1512" t="str">
        <f t="shared" si="78"/>
        <v>1+4</v>
      </c>
      <c r="L1512">
        <f>VLOOKUP(A1512,'ZONE 1 PREMIUM'!$A$4:$N$16,14,0)</f>
        <v>10</v>
      </c>
      <c r="M1512">
        <f>VLOOKUP(D1512,DROPDOWN!B:C,2,0)</f>
        <v>7</v>
      </c>
      <c r="N1512" t="str">
        <f t="shared" si="76"/>
        <v>AU65:BM76</v>
      </c>
      <c r="O1512" s="4">
        <f t="shared" ca="1" si="77"/>
        <v>148421.25</v>
      </c>
    </row>
    <row r="1513" spans="1:15">
      <c r="A1513" s="2" t="s">
        <v>20</v>
      </c>
      <c r="B1513" t="s">
        <v>43</v>
      </c>
      <c r="C1513" t="s">
        <v>44</v>
      </c>
      <c r="D1513">
        <v>15</v>
      </c>
      <c r="E1513" t="s">
        <v>46</v>
      </c>
      <c r="F1513">
        <v>5</v>
      </c>
      <c r="G1513">
        <v>1</v>
      </c>
      <c r="H1513">
        <v>4</v>
      </c>
      <c r="I1513">
        <v>1</v>
      </c>
      <c r="J1513" s="4" t="s">
        <v>55</v>
      </c>
      <c r="K1513" t="str">
        <f t="shared" si="78"/>
        <v>1+4</v>
      </c>
      <c r="L1513">
        <f>VLOOKUP(A1513,'ZONE 1 PREMIUM'!$A$4:$N$16,14,0)</f>
        <v>11</v>
      </c>
      <c r="M1513">
        <f>VLOOKUP(D1513,DROPDOWN!B:C,2,0)</f>
        <v>7</v>
      </c>
      <c r="N1513" t="str">
        <f t="shared" si="76"/>
        <v>AU65:BM76</v>
      </c>
      <c r="O1513" s="4">
        <f t="shared" ca="1" si="77"/>
        <v>171857.25</v>
      </c>
    </row>
    <row r="1514" spans="1:15">
      <c r="A1514" s="2" t="s">
        <v>21</v>
      </c>
      <c r="B1514" t="s">
        <v>22</v>
      </c>
      <c r="D1514">
        <v>15</v>
      </c>
      <c r="E1514" t="s">
        <v>46</v>
      </c>
      <c r="F1514">
        <v>5</v>
      </c>
      <c r="G1514">
        <v>1</v>
      </c>
      <c r="H1514">
        <v>4</v>
      </c>
      <c r="I1514">
        <v>1</v>
      </c>
      <c r="J1514" s="4" t="s">
        <v>55</v>
      </c>
      <c r="K1514" t="str">
        <f t="shared" si="78"/>
        <v>1+4</v>
      </c>
      <c r="L1514">
        <f>VLOOKUP(A1514,'ZONE 1 PREMIUM'!$A$4:$N$16,14,0)</f>
        <v>12</v>
      </c>
      <c r="M1514">
        <f>VLOOKUP(D1514,DROPDOWN!B:C,2,0)</f>
        <v>7</v>
      </c>
      <c r="N1514" t="str">
        <f t="shared" si="76"/>
        <v>AU65:BM76</v>
      </c>
      <c r="O1514" s="4">
        <f t="shared" ca="1" si="77"/>
        <v>220035.375</v>
      </c>
    </row>
    <row r="1515" spans="1:15">
      <c r="A1515" s="2" t="s">
        <v>11</v>
      </c>
      <c r="B1515" t="s">
        <v>45</v>
      </c>
      <c r="C1515" t="s">
        <v>25</v>
      </c>
      <c r="D1515">
        <v>15</v>
      </c>
      <c r="E1515" t="s">
        <v>46</v>
      </c>
      <c r="F1515">
        <v>2</v>
      </c>
      <c r="G1515">
        <v>2</v>
      </c>
      <c r="H1515">
        <v>0</v>
      </c>
      <c r="I1515">
        <v>1</v>
      </c>
      <c r="J1515" s="4" t="s">
        <v>55</v>
      </c>
      <c r="K1515" t="str">
        <f t="shared" si="78"/>
        <v>2+0</v>
      </c>
      <c r="L1515">
        <f>VLOOKUP(A1515,'ZONE 1 PREMIUM'!$A$4:$N$16,14,0)</f>
        <v>2</v>
      </c>
      <c r="M1515">
        <f>VLOOKUP(D1515,DROPDOWN!B:C,2,0)</f>
        <v>7</v>
      </c>
      <c r="N1515" t="str">
        <f t="shared" si="76"/>
        <v>AU81:BM92</v>
      </c>
      <c r="O1515" s="4">
        <f t="shared" ca="1" si="77"/>
        <v>30083.625</v>
      </c>
    </row>
    <row r="1516" spans="1:15">
      <c r="A1516" s="2" t="s">
        <v>12</v>
      </c>
      <c r="B1516" t="s">
        <v>27</v>
      </c>
      <c r="C1516" t="s">
        <v>28</v>
      </c>
      <c r="D1516">
        <v>15</v>
      </c>
      <c r="E1516" t="s">
        <v>46</v>
      </c>
      <c r="F1516">
        <v>2</v>
      </c>
      <c r="G1516">
        <v>2</v>
      </c>
      <c r="H1516">
        <v>0</v>
      </c>
      <c r="I1516">
        <v>1</v>
      </c>
      <c r="J1516" s="4" t="s">
        <v>55</v>
      </c>
      <c r="K1516" t="str">
        <f t="shared" si="78"/>
        <v>2+0</v>
      </c>
      <c r="L1516">
        <f>VLOOKUP(A1516,'ZONE 1 PREMIUM'!$A$4:$N$16,14,0)</f>
        <v>3</v>
      </c>
      <c r="M1516">
        <f>VLOOKUP(D1516,DROPDOWN!B:C,2,0)</f>
        <v>7</v>
      </c>
      <c r="N1516" t="str">
        <f t="shared" si="76"/>
        <v>AU81:BM92</v>
      </c>
      <c r="O1516" s="4">
        <f t="shared" ca="1" si="77"/>
        <v>34410.375</v>
      </c>
    </row>
    <row r="1517" spans="1:15">
      <c r="A1517" s="2" t="s">
        <v>13</v>
      </c>
      <c r="B1517" t="s">
        <v>29</v>
      </c>
      <c r="C1517" t="s">
        <v>30</v>
      </c>
      <c r="D1517">
        <v>15</v>
      </c>
      <c r="E1517" t="s">
        <v>46</v>
      </c>
      <c r="F1517">
        <v>2</v>
      </c>
      <c r="G1517">
        <v>2</v>
      </c>
      <c r="H1517">
        <v>0</v>
      </c>
      <c r="I1517">
        <v>1</v>
      </c>
      <c r="J1517" s="4" t="s">
        <v>55</v>
      </c>
      <c r="K1517" t="str">
        <f t="shared" si="78"/>
        <v>2+0</v>
      </c>
      <c r="L1517">
        <f>VLOOKUP(A1517,'ZONE 1 PREMIUM'!$A$4:$N$16,14,0)</f>
        <v>4</v>
      </c>
      <c r="M1517">
        <f>VLOOKUP(D1517,DROPDOWN!B:C,2,0)</f>
        <v>7</v>
      </c>
      <c r="N1517" t="str">
        <f t="shared" si="76"/>
        <v>AU81:BM92</v>
      </c>
      <c r="O1517" s="4">
        <f t="shared" ca="1" si="77"/>
        <v>38227.5</v>
      </c>
    </row>
    <row r="1518" spans="1:15">
      <c r="A1518" s="2" t="s">
        <v>14</v>
      </c>
      <c r="B1518" t="s">
        <v>31</v>
      </c>
      <c r="C1518" t="s">
        <v>32</v>
      </c>
      <c r="D1518">
        <v>15</v>
      </c>
      <c r="E1518" t="s">
        <v>46</v>
      </c>
      <c r="F1518">
        <v>2</v>
      </c>
      <c r="G1518">
        <v>2</v>
      </c>
      <c r="H1518">
        <v>0</v>
      </c>
      <c r="I1518">
        <v>1</v>
      </c>
      <c r="J1518" s="4" t="s">
        <v>55</v>
      </c>
      <c r="K1518" t="str">
        <f t="shared" si="78"/>
        <v>2+0</v>
      </c>
      <c r="L1518">
        <f>VLOOKUP(A1518,'ZONE 1 PREMIUM'!$A$4:$N$16,14,0)</f>
        <v>5</v>
      </c>
      <c r="M1518">
        <f>VLOOKUP(D1518,DROPDOWN!B:C,2,0)</f>
        <v>7</v>
      </c>
      <c r="N1518" t="str">
        <f t="shared" si="76"/>
        <v>AU81:BM92</v>
      </c>
      <c r="O1518" s="4">
        <f t="shared" ca="1" si="77"/>
        <v>44355.375</v>
      </c>
    </row>
    <row r="1519" spans="1:15">
      <c r="A1519" s="2" t="s">
        <v>15</v>
      </c>
      <c r="B1519" t="s">
        <v>33</v>
      </c>
      <c r="C1519" t="s">
        <v>34</v>
      </c>
      <c r="D1519">
        <v>15</v>
      </c>
      <c r="E1519" t="s">
        <v>46</v>
      </c>
      <c r="F1519">
        <v>2</v>
      </c>
      <c r="G1519">
        <v>2</v>
      </c>
      <c r="H1519">
        <v>0</v>
      </c>
      <c r="I1519">
        <v>1</v>
      </c>
      <c r="J1519" s="4" t="s">
        <v>55</v>
      </c>
      <c r="K1519" t="str">
        <f t="shared" si="78"/>
        <v>2+0</v>
      </c>
      <c r="L1519">
        <f>VLOOKUP(A1519,'ZONE 1 PREMIUM'!$A$4:$N$16,14,0)</f>
        <v>6</v>
      </c>
      <c r="M1519">
        <f>VLOOKUP(D1519,DROPDOWN!B:C,2,0)</f>
        <v>7</v>
      </c>
      <c r="N1519" t="str">
        <f t="shared" si="76"/>
        <v>AU81:BM92</v>
      </c>
      <c r="O1519" s="4">
        <f t="shared" ca="1" si="77"/>
        <v>56848.5</v>
      </c>
    </row>
    <row r="1520" spans="1:15">
      <c r="A1520" s="2" t="s">
        <v>16</v>
      </c>
      <c r="B1520" t="s">
        <v>35</v>
      </c>
      <c r="C1520" t="s">
        <v>36</v>
      </c>
      <c r="D1520">
        <v>15</v>
      </c>
      <c r="E1520" t="s">
        <v>46</v>
      </c>
      <c r="F1520">
        <v>2</v>
      </c>
      <c r="G1520">
        <v>2</v>
      </c>
      <c r="H1520">
        <v>0</v>
      </c>
      <c r="I1520">
        <v>1</v>
      </c>
      <c r="J1520" s="4" t="s">
        <v>55</v>
      </c>
      <c r="K1520" t="str">
        <f t="shared" si="78"/>
        <v>2+0</v>
      </c>
      <c r="L1520">
        <f>VLOOKUP(A1520,'ZONE 1 PREMIUM'!$A$4:$N$16,14,0)</f>
        <v>7</v>
      </c>
      <c r="M1520">
        <f>VLOOKUP(D1520,DROPDOWN!B:C,2,0)</f>
        <v>7</v>
      </c>
      <c r="N1520" t="str">
        <f t="shared" si="76"/>
        <v>AU81:BM92</v>
      </c>
      <c r="O1520" s="4">
        <f t="shared" ca="1" si="77"/>
        <v>75078</v>
      </c>
    </row>
    <row r="1521" spans="1:15">
      <c r="A1521" s="2" t="s">
        <v>17</v>
      </c>
      <c r="B1521" t="s">
        <v>37</v>
      </c>
      <c r="C1521" t="s">
        <v>38</v>
      </c>
      <c r="D1521">
        <v>15</v>
      </c>
      <c r="E1521" t="s">
        <v>46</v>
      </c>
      <c r="F1521">
        <v>2</v>
      </c>
      <c r="G1521">
        <v>2</v>
      </c>
      <c r="H1521">
        <v>0</v>
      </c>
      <c r="I1521">
        <v>1</v>
      </c>
      <c r="J1521" s="4" t="s">
        <v>55</v>
      </c>
      <c r="K1521" t="str">
        <f t="shared" si="78"/>
        <v>2+0</v>
      </c>
      <c r="L1521">
        <f>VLOOKUP(A1521,'ZONE 1 PREMIUM'!$A$4:$N$16,14,0)</f>
        <v>8</v>
      </c>
      <c r="M1521">
        <f>VLOOKUP(D1521,DROPDOWN!B:C,2,0)</f>
        <v>7</v>
      </c>
      <c r="N1521" t="str">
        <f t="shared" si="76"/>
        <v>AU81:BM92</v>
      </c>
      <c r="O1521" s="4">
        <f t="shared" ca="1" si="77"/>
        <v>103412.25</v>
      </c>
    </row>
    <row r="1522" spans="1:15">
      <c r="A1522" s="2" t="s">
        <v>18</v>
      </c>
      <c r="B1522" t="s">
        <v>39</v>
      </c>
      <c r="C1522" t="s">
        <v>40</v>
      </c>
      <c r="D1522">
        <v>15</v>
      </c>
      <c r="E1522" t="s">
        <v>46</v>
      </c>
      <c r="F1522">
        <v>2</v>
      </c>
      <c r="G1522">
        <v>2</v>
      </c>
      <c r="H1522">
        <v>0</v>
      </c>
      <c r="I1522">
        <v>1</v>
      </c>
      <c r="J1522" s="4" t="s">
        <v>55</v>
      </c>
      <c r="K1522" t="str">
        <f t="shared" si="78"/>
        <v>2+0</v>
      </c>
      <c r="L1522">
        <f>VLOOKUP(A1522,'ZONE 1 PREMIUM'!$A$4:$N$16,14,0)</f>
        <v>9</v>
      </c>
      <c r="M1522">
        <f>VLOOKUP(D1522,DROPDOWN!B:C,2,0)</f>
        <v>7</v>
      </c>
      <c r="N1522" t="str">
        <f t="shared" ref="N1522:N1569" si="79">VLOOKUP(K1522,$BN$3:$BO$12,2,0)</f>
        <v>AU81:BM92</v>
      </c>
      <c r="O1522" s="4">
        <f t="shared" ca="1" si="77"/>
        <v>145868.625</v>
      </c>
    </row>
    <row r="1523" spans="1:15">
      <c r="A1523" s="2" t="s">
        <v>19</v>
      </c>
      <c r="B1523" t="s">
        <v>41</v>
      </c>
      <c r="C1523" t="s">
        <v>42</v>
      </c>
      <c r="D1523">
        <v>15</v>
      </c>
      <c r="E1523" t="s">
        <v>46</v>
      </c>
      <c r="F1523">
        <v>2</v>
      </c>
      <c r="G1523">
        <v>2</v>
      </c>
      <c r="H1523">
        <v>0</v>
      </c>
      <c r="I1523">
        <v>1</v>
      </c>
      <c r="J1523" s="4" t="s">
        <v>55</v>
      </c>
      <c r="K1523" t="str">
        <f t="shared" si="78"/>
        <v>2+0</v>
      </c>
      <c r="L1523">
        <f>VLOOKUP(A1523,'ZONE 1 PREMIUM'!$A$4:$N$16,14,0)</f>
        <v>10</v>
      </c>
      <c r="M1523">
        <f>VLOOKUP(D1523,DROPDOWN!B:C,2,0)</f>
        <v>7</v>
      </c>
      <c r="N1523" t="str">
        <f t="shared" si="79"/>
        <v>AU81:BM92</v>
      </c>
      <c r="O1523" s="4">
        <f t="shared" ca="1" si="77"/>
        <v>202143.375</v>
      </c>
    </row>
    <row r="1524" spans="1:15">
      <c r="A1524" s="2" t="s">
        <v>20</v>
      </c>
      <c r="B1524" t="s">
        <v>43</v>
      </c>
      <c r="C1524" t="s">
        <v>44</v>
      </c>
      <c r="D1524">
        <v>15</v>
      </c>
      <c r="E1524" t="s">
        <v>46</v>
      </c>
      <c r="F1524">
        <v>2</v>
      </c>
      <c r="G1524">
        <v>2</v>
      </c>
      <c r="H1524">
        <v>0</v>
      </c>
      <c r="I1524">
        <v>1</v>
      </c>
      <c r="J1524" s="4" t="s">
        <v>55</v>
      </c>
      <c r="K1524" t="str">
        <f t="shared" si="78"/>
        <v>2+0</v>
      </c>
      <c r="L1524">
        <f>VLOOKUP(A1524,'ZONE 1 PREMIUM'!$A$4:$N$16,14,0)</f>
        <v>11</v>
      </c>
      <c r="M1524">
        <f>VLOOKUP(D1524,DROPDOWN!B:C,2,0)</f>
        <v>7</v>
      </c>
      <c r="N1524" t="str">
        <f t="shared" si="79"/>
        <v>AU81:BM92</v>
      </c>
      <c r="O1524" s="4">
        <f t="shared" ca="1" si="77"/>
        <v>249773.625</v>
      </c>
    </row>
    <row r="1525" spans="1:15">
      <c r="A1525" s="2" t="s">
        <v>21</v>
      </c>
      <c r="B1525" t="s">
        <v>22</v>
      </c>
      <c r="D1525">
        <v>15</v>
      </c>
      <c r="E1525" t="s">
        <v>46</v>
      </c>
      <c r="F1525">
        <v>2</v>
      </c>
      <c r="G1525">
        <v>2</v>
      </c>
      <c r="H1525">
        <v>0</v>
      </c>
      <c r="I1525">
        <v>1</v>
      </c>
      <c r="J1525" s="4" t="s">
        <v>55</v>
      </c>
      <c r="K1525" t="str">
        <f t="shared" si="78"/>
        <v>2+0</v>
      </c>
      <c r="L1525">
        <f>VLOOKUP(A1525,'ZONE 1 PREMIUM'!$A$4:$N$16,14,0)</f>
        <v>12</v>
      </c>
      <c r="M1525">
        <f>VLOOKUP(D1525,DROPDOWN!B:C,2,0)</f>
        <v>7</v>
      </c>
      <c r="N1525" t="str">
        <f t="shared" si="79"/>
        <v>AU81:BM92</v>
      </c>
      <c r="O1525" s="4">
        <f t="shared" ca="1" si="77"/>
        <v>319542.75</v>
      </c>
    </row>
    <row r="1526" spans="1:15">
      <c r="A1526" s="2" t="s">
        <v>11</v>
      </c>
      <c r="B1526" t="s">
        <v>45</v>
      </c>
      <c r="C1526" t="s">
        <v>25</v>
      </c>
      <c r="D1526">
        <v>15</v>
      </c>
      <c r="E1526" t="s">
        <v>46</v>
      </c>
      <c r="F1526">
        <v>3</v>
      </c>
      <c r="G1526">
        <v>2</v>
      </c>
      <c r="H1526">
        <v>1</v>
      </c>
      <c r="I1526">
        <v>1</v>
      </c>
      <c r="J1526" s="4" t="s">
        <v>55</v>
      </c>
      <c r="K1526" t="str">
        <f t="shared" si="78"/>
        <v>2+1</v>
      </c>
      <c r="L1526">
        <f>VLOOKUP(A1526,'ZONE 1 PREMIUM'!$A$4:$N$16,14,0)</f>
        <v>2</v>
      </c>
      <c r="M1526">
        <f>VLOOKUP(D1526,DROPDOWN!B:C,2,0)</f>
        <v>7</v>
      </c>
      <c r="N1526" t="str">
        <f t="shared" si="79"/>
        <v>AU98:BM109</v>
      </c>
      <c r="O1526" s="4">
        <f t="shared" ca="1" si="77"/>
        <v>36633.375</v>
      </c>
    </row>
    <row r="1527" spans="1:15">
      <c r="A1527" s="2" t="s">
        <v>12</v>
      </c>
      <c r="B1527" t="s">
        <v>27</v>
      </c>
      <c r="C1527" t="s">
        <v>28</v>
      </c>
      <c r="D1527">
        <v>15</v>
      </c>
      <c r="E1527" t="s">
        <v>46</v>
      </c>
      <c r="F1527">
        <v>3</v>
      </c>
      <c r="G1527">
        <v>2</v>
      </c>
      <c r="H1527">
        <v>1</v>
      </c>
      <c r="I1527">
        <v>1</v>
      </c>
      <c r="J1527" s="4" t="s">
        <v>55</v>
      </c>
      <c r="K1527" t="str">
        <f t="shared" si="78"/>
        <v>2+1</v>
      </c>
      <c r="L1527">
        <f>VLOOKUP(A1527,'ZONE 1 PREMIUM'!$A$4:$N$16,14,0)</f>
        <v>3</v>
      </c>
      <c r="M1527">
        <f>VLOOKUP(D1527,DROPDOWN!B:C,2,0)</f>
        <v>7</v>
      </c>
      <c r="N1527" t="str">
        <f t="shared" si="79"/>
        <v>AU98:BM109</v>
      </c>
      <c r="O1527" s="4">
        <f t="shared" ca="1" si="77"/>
        <v>40846.5</v>
      </c>
    </row>
    <row r="1528" spans="1:15">
      <c r="A1528" s="2" t="s">
        <v>13</v>
      </c>
      <c r="B1528" t="s">
        <v>29</v>
      </c>
      <c r="C1528" t="s">
        <v>30</v>
      </c>
      <c r="D1528">
        <v>15</v>
      </c>
      <c r="E1528" t="s">
        <v>46</v>
      </c>
      <c r="F1528">
        <v>3</v>
      </c>
      <c r="G1528">
        <v>2</v>
      </c>
      <c r="H1528">
        <v>1</v>
      </c>
      <c r="I1528">
        <v>1</v>
      </c>
      <c r="J1528" s="4" t="s">
        <v>55</v>
      </c>
      <c r="K1528" t="str">
        <f t="shared" si="78"/>
        <v>2+1</v>
      </c>
      <c r="L1528">
        <f>VLOOKUP(A1528,'ZONE 1 PREMIUM'!$A$4:$N$16,14,0)</f>
        <v>4</v>
      </c>
      <c r="M1528">
        <f>VLOOKUP(D1528,DROPDOWN!B:C,2,0)</f>
        <v>7</v>
      </c>
      <c r="N1528" t="str">
        <f t="shared" si="79"/>
        <v>AU98:BM109</v>
      </c>
      <c r="O1528" s="4">
        <f t="shared" ca="1" si="77"/>
        <v>45733.5</v>
      </c>
    </row>
    <row r="1529" spans="1:15">
      <c r="A1529" s="2" t="s">
        <v>14</v>
      </c>
      <c r="B1529" t="s">
        <v>31</v>
      </c>
      <c r="C1529" t="s">
        <v>32</v>
      </c>
      <c r="D1529">
        <v>15</v>
      </c>
      <c r="E1529" t="s">
        <v>46</v>
      </c>
      <c r="F1529">
        <v>3</v>
      </c>
      <c r="G1529">
        <v>2</v>
      </c>
      <c r="H1529">
        <v>1</v>
      </c>
      <c r="I1529">
        <v>1</v>
      </c>
      <c r="J1529" s="4" t="s">
        <v>55</v>
      </c>
      <c r="K1529" t="str">
        <f t="shared" si="78"/>
        <v>2+1</v>
      </c>
      <c r="L1529">
        <f>VLOOKUP(A1529,'ZONE 1 PREMIUM'!$A$4:$N$16,14,0)</f>
        <v>5</v>
      </c>
      <c r="M1529">
        <f>VLOOKUP(D1529,DROPDOWN!B:C,2,0)</f>
        <v>7</v>
      </c>
      <c r="N1529" t="str">
        <f t="shared" si="79"/>
        <v>AU98:BM109</v>
      </c>
      <c r="O1529" s="4">
        <f t="shared" ca="1" si="77"/>
        <v>52382.25</v>
      </c>
    </row>
    <row r="1530" spans="1:15">
      <c r="A1530" s="2" t="s">
        <v>15</v>
      </c>
      <c r="B1530" t="s">
        <v>33</v>
      </c>
      <c r="C1530" t="s">
        <v>34</v>
      </c>
      <c r="D1530">
        <v>15</v>
      </c>
      <c r="E1530" t="s">
        <v>46</v>
      </c>
      <c r="F1530">
        <v>3</v>
      </c>
      <c r="G1530">
        <v>2</v>
      </c>
      <c r="H1530">
        <v>1</v>
      </c>
      <c r="I1530">
        <v>1</v>
      </c>
      <c r="J1530" s="4" t="s">
        <v>55</v>
      </c>
      <c r="K1530" t="str">
        <f t="shared" si="78"/>
        <v>2+1</v>
      </c>
      <c r="L1530">
        <f>VLOOKUP(A1530,'ZONE 1 PREMIUM'!$A$4:$N$16,14,0)</f>
        <v>6</v>
      </c>
      <c r="M1530">
        <f>VLOOKUP(D1530,DROPDOWN!B:C,2,0)</f>
        <v>7</v>
      </c>
      <c r="N1530" t="str">
        <f t="shared" si="79"/>
        <v>AU98:BM109</v>
      </c>
      <c r="O1530" s="4">
        <f t="shared" ca="1" si="77"/>
        <v>65878.875</v>
      </c>
    </row>
    <row r="1531" spans="1:15">
      <c r="A1531" s="2" t="s">
        <v>16</v>
      </c>
      <c r="B1531" t="s">
        <v>35</v>
      </c>
      <c r="C1531" t="s">
        <v>36</v>
      </c>
      <c r="D1531">
        <v>15</v>
      </c>
      <c r="E1531" t="s">
        <v>46</v>
      </c>
      <c r="F1531">
        <v>3</v>
      </c>
      <c r="G1531">
        <v>2</v>
      </c>
      <c r="H1531">
        <v>1</v>
      </c>
      <c r="I1531">
        <v>1</v>
      </c>
      <c r="J1531" s="4" t="s">
        <v>55</v>
      </c>
      <c r="K1531" t="str">
        <f t="shared" si="78"/>
        <v>2+1</v>
      </c>
      <c r="L1531">
        <f>VLOOKUP(A1531,'ZONE 1 PREMIUM'!$A$4:$N$16,14,0)</f>
        <v>7</v>
      </c>
      <c r="M1531">
        <f>VLOOKUP(D1531,DROPDOWN!B:C,2,0)</f>
        <v>7</v>
      </c>
      <c r="N1531" t="str">
        <f t="shared" si="79"/>
        <v>AU98:BM109</v>
      </c>
      <c r="O1531" s="4">
        <f t="shared" ca="1" si="77"/>
        <v>86290.875</v>
      </c>
    </row>
    <row r="1532" spans="1:15">
      <c r="A1532" s="2" t="s">
        <v>17</v>
      </c>
      <c r="B1532" t="s">
        <v>37</v>
      </c>
      <c r="C1532" t="s">
        <v>38</v>
      </c>
      <c r="D1532">
        <v>15</v>
      </c>
      <c r="E1532" t="s">
        <v>46</v>
      </c>
      <c r="F1532">
        <v>3</v>
      </c>
      <c r="G1532">
        <v>2</v>
      </c>
      <c r="H1532">
        <v>1</v>
      </c>
      <c r="I1532">
        <v>1</v>
      </c>
      <c r="J1532" s="4" t="s">
        <v>55</v>
      </c>
      <c r="K1532" t="str">
        <f t="shared" si="78"/>
        <v>2+1</v>
      </c>
      <c r="L1532">
        <f>VLOOKUP(A1532,'ZONE 1 PREMIUM'!$A$4:$N$16,14,0)</f>
        <v>8</v>
      </c>
      <c r="M1532">
        <f>VLOOKUP(D1532,DROPDOWN!B:C,2,0)</f>
        <v>7</v>
      </c>
      <c r="N1532" t="str">
        <f t="shared" si="79"/>
        <v>AU98:BM109</v>
      </c>
      <c r="O1532" s="4">
        <f t="shared" ca="1" si="77"/>
        <v>115498.125</v>
      </c>
    </row>
    <row r="1533" spans="1:15">
      <c r="A1533" s="2" t="s">
        <v>18</v>
      </c>
      <c r="B1533" t="s">
        <v>39</v>
      </c>
      <c r="C1533" t="s">
        <v>40</v>
      </c>
      <c r="D1533">
        <v>15</v>
      </c>
      <c r="E1533" t="s">
        <v>46</v>
      </c>
      <c r="F1533">
        <v>3</v>
      </c>
      <c r="G1533">
        <v>2</v>
      </c>
      <c r="H1533">
        <v>1</v>
      </c>
      <c r="I1533">
        <v>1</v>
      </c>
      <c r="J1533" s="4" t="s">
        <v>55</v>
      </c>
      <c r="K1533" t="str">
        <f t="shared" si="78"/>
        <v>2+1</v>
      </c>
      <c r="L1533">
        <f>VLOOKUP(A1533,'ZONE 1 PREMIUM'!$A$4:$N$16,14,0)</f>
        <v>9</v>
      </c>
      <c r="M1533">
        <f>VLOOKUP(D1533,DROPDOWN!B:C,2,0)</f>
        <v>7</v>
      </c>
      <c r="N1533" t="str">
        <f t="shared" si="79"/>
        <v>AU98:BM109</v>
      </c>
      <c r="O1533" s="4">
        <f t="shared" ca="1" si="77"/>
        <v>158172.75</v>
      </c>
    </row>
    <row r="1534" spans="1:15">
      <c r="A1534" s="2" t="s">
        <v>19</v>
      </c>
      <c r="B1534" t="s">
        <v>41</v>
      </c>
      <c r="C1534" t="s">
        <v>42</v>
      </c>
      <c r="D1534">
        <v>15</v>
      </c>
      <c r="E1534" t="s">
        <v>46</v>
      </c>
      <c r="F1534">
        <v>3</v>
      </c>
      <c r="G1534">
        <v>2</v>
      </c>
      <c r="H1534">
        <v>1</v>
      </c>
      <c r="I1534">
        <v>1</v>
      </c>
      <c r="J1534" s="4" t="s">
        <v>55</v>
      </c>
      <c r="K1534" t="str">
        <f t="shared" si="78"/>
        <v>2+1</v>
      </c>
      <c r="L1534">
        <f>VLOOKUP(A1534,'ZONE 1 PREMIUM'!$A$4:$N$16,14,0)</f>
        <v>10</v>
      </c>
      <c r="M1534">
        <f>VLOOKUP(D1534,DROPDOWN!B:C,2,0)</f>
        <v>7</v>
      </c>
      <c r="N1534" t="str">
        <f t="shared" si="79"/>
        <v>AU98:BM109</v>
      </c>
      <c r="O1534" s="4">
        <f t="shared" ca="1" si="77"/>
        <v>209937.375</v>
      </c>
    </row>
    <row r="1535" spans="1:15">
      <c r="A1535" s="2" t="s">
        <v>20</v>
      </c>
      <c r="B1535" t="s">
        <v>43</v>
      </c>
      <c r="C1535" t="s">
        <v>44</v>
      </c>
      <c r="D1535">
        <v>15</v>
      </c>
      <c r="E1535" t="s">
        <v>46</v>
      </c>
      <c r="F1535">
        <v>3</v>
      </c>
      <c r="G1535">
        <v>2</v>
      </c>
      <c r="H1535">
        <v>1</v>
      </c>
      <c r="I1535">
        <v>1</v>
      </c>
      <c r="J1535" s="4" t="s">
        <v>55</v>
      </c>
      <c r="K1535" t="str">
        <f t="shared" si="78"/>
        <v>2+1</v>
      </c>
      <c r="L1535">
        <f>VLOOKUP(A1535,'ZONE 1 PREMIUM'!$A$4:$N$16,14,0)</f>
        <v>11</v>
      </c>
      <c r="M1535">
        <f>VLOOKUP(D1535,DROPDOWN!B:C,2,0)</f>
        <v>7</v>
      </c>
      <c r="N1535" t="str">
        <f t="shared" si="79"/>
        <v>AU98:BM109</v>
      </c>
      <c r="O1535" s="4">
        <f t="shared" ca="1" si="77"/>
        <v>255931.875</v>
      </c>
    </row>
    <row r="1536" spans="1:15">
      <c r="A1536" s="2" t="s">
        <v>21</v>
      </c>
      <c r="B1536" t="s">
        <v>22</v>
      </c>
      <c r="D1536">
        <v>15</v>
      </c>
      <c r="E1536" t="s">
        <v>46</v>
      </c>
      <c r="F1536">
        <v>3</v>
      </c>
      <c r="G1536">
        <v>2</v>
      </c>
      <c r="H1536">
        <v>1</v>
      </c>
      <c r="I1536">
        <v>1</v>
      </c>
      <c r="J1536" s="4" t="s">
        <v>55</v>
      </c>
      <c r="K1536" t="str">
        <f t="shared" si="78"/>
        <v>2+1</v>
      </c>
      <c r="L1536">
        <f>VLOOKUP(A1536,'ZONE 1 PREMIUM'!$A$4:$N$16,14,0)</f>
        <v>12</v>
      </c>
      <c r="M1536">
        <f>VLOOKUP(D1536,DROPDOWN!B:C,2,0)</f>
        <v>7</v>
      </c>
      <c r="N1536" t="str">
        <f t="shared" si="79"/>
        <v>AU98:BM109</v>
      </c>
      <c r="O1536" s="4">
        <f t="shared" ca="1" si="77"/>
        <v>325446.75</v>
      </c>
    </row>
    <row r="1537" spans="1:15">
      <c r="A1537" s="2" t="s">
        <v>11</v>
      </c>
      <c r="B1537" t="s">
        <v>45</v>
      </c>
      <c r="C1537" t="s">
        <v>25</v>
      </c>
      <c r="D1537">
        <v>15</v>
      </c>
      <c r="E1537" t="s">
        <v>46</v>
      </c>
      <c r="F1537">
        <v>4</v>
      </c>
      <c r="G1537">
        <v>2</v>
      </c>
      <c r="H1537">
        <v>2</v>
      </c>
      <c r="I1537">
        <v>1</v>
      </c>
      <c r="J1537" s="4" t="s">
        <v>55</v>
      </c>
      <c r="K1537" t="str">
        <f t="shared" si="78"/>
        <v>2+2</v>
      </c>
      <c r="L1537">
        <f>VLOOKUP(A1537,'ZONE 1 PREMIUM'!$A$4:$N$16,14,0)</f>
        <v>2</v>
      </c>
      <c r="M1537">
        <f>VLOOKUP(D1537,DROPDOWN!B:C,2,0)</f>
        <v>7</v>
      </c>
      <c r="N1537" t="str">
        <f t="shared" si="79"/>
        <v>AU113:BM124</v>
      </c>
      <c r="O1537" s="4">
        <f t="shared" ca="1" si="77"/>
        <v>43026.75</v>
      </c>
    </row>
    <row r="1538" spans="1:15">
      <c r="A1538" s="2" t="s">
        <v>12</v>
      </c>
      <c r="B1538" t="s">
        <v>27</v>
      </c>
      <c r="C1538" t="s">
        <v>28</v>
      </c>
      <c r="D1538">
        <v>15</v>
      </c>
      <c r="E1538" t="s">
        <v>46</v>
      </c>
      <c r="F1538">
        <v>4</v>
      </c>
      <c r="G1538">
        <v>2</v>
      </c>
      <c r="H1538">
        <v>2</v>
      </c>
      <c r="I1538">
        <v>1</v>
      </c>
      <c r="J1538" s="4" t="s">
        <v>55</v>
      </c>
      <c r="K1538" t="str">
        <f t="shared" si="78"/>
        <v>2+2</v>
      </c>
      <c r="L1538">
        <f>VLOOKUP(A1538,'ZONE 1 PREMIUM'!$A$4:$N$16,14,0)</f>
        <v>3</v>
      </c>
      <c r="M1538">
        <f>VLOOKUP(D1538,DROPDOWN!B:C,2,0)</f>
        <v>7</v>
      </c>
      <c r="N1538" t="str">
        <f t="shared" si="79"/>
        <v>AU113:BM124</v>
      </c>
      <c r="O1538" s="4">
        <f t="shared" ref="O1538:O1601" ca="1" si="80">INDEX(INDIRECT(N1538),L1538,M1538)</f>
        <v>47126.25</v>
      </c>
    </row>
    <row r="1539" spans="1:15">
      <c r="A1539" s="2" t="s">
        <v>13</v>
      </c>
      <c r="B1539" t="s">
        <v>29</v>
      </c>
      <c r="C1539" t="s">
        <v>30</v>
      </c>
      <c r="D1539">
        <v>15</v>
      </c>
      <c r="E1539" t="s">
        <v>46</v>
      </c>
      <c r="F1539">
        <v>4</v>
      </c>
      <c r="G1539">
        <v>2</v>
      </c>
      <c r="H1539">
        <v>2</v>
      </c>
      <c r="I1539">
        <v>1</v>
      </c>
      <c r="J1539" s="4" t="s">
        <v>55</v>
      </c>
      <c r="K1539" t="str">
        <f t="shared" si="78"/>
        <v>2+2</v>
      </c>
      <c r="L1539">
        <f>VLOOKUP(A1539,'ZONE 1 PREMIUM'!$A$4:$N$16,14,0)</f>
        <v>4</v>
      </c>
      <c r="M1539">
        <f>VLOOKUP(D1539,DROPDOWN!B:C,2,0)</f>
        <v>7</v>
      </c>
      <c r="N1539" t="str">
        <f t="shared" si="79"/>
        <v>AU113:BM124</v>
      </c>
      <c r="O1539" s="4">
        <f t="shared" ca="1" si="80"/>
        <v>53011.125</v>
      </c>
    </row>
    <row r="1540" spans="1:15">
      <c r="A1540" s="2" t="s">
        <v>14</v>
      </c>
      <c r="B1540" t="s">
        <v>31</v>
      </c>
      <c r="C1540" t="s">
        <v>32</v>
      </c>
      <c r="D1540">
        <v>15</v>
      </c>
      <c r="E1540" t="s">
        <v>46</v>
      </c>
      <c r="F1540">
        <v>4</v>
      </c>
      <c r="G1540">
        <v>2</v>
      </c>
      <c r="H1540">
        <v>2</v>
      </c>
      <c r="I1540">
        <v>1</v>
      </c>
      <c r="J1540" s="4" t="s">
        <v>55</v>
      </c>
      <c r="K1540" t="str">
        <f t="shared" ref="K1540:K1603" si="81">G1540&amp;"+"&amp;H1540</f>
        <v>2+2</v>
      </c>
      <c r="L1540">
        <f>VLOOKUP(A1540,'ZONE 1 PREMIUM'!$A$4:$N$16,14,0)</f>
        <v>5</v>
      </c>
      <c r="M1540">
        <f>VLOOKUP(D1540,DROPDOWN!B:C,2,0)</f>
        <v>7</v>
      </c>
      <c r="N1540" t="str">
        <f t="shared" si="79"/>
        <v>AU113:BM124</v>
      </c>
      <c r="O1540" s="4">
        <f t="shared" ca="1" si="80"/>
        <v>60127.875</v>
      </c>
    </row>
    <row r="1541" spans="1:15">
      <c r="A1541" s="2" t="s">
        <v>15</v>
      </c>
      <c r="B1541" t="s">
        <v>33</v>
      </c>
      <c r="C1541" t="s">
        <v>34</v>
      </c>
      <c r="D1541">
        <v>15</v>
      </c>
      <c r="E1541" t="s">
        <v>46</v>
      </c>
      <c r="F1541">
        <v>4</v>
      </c>
      <c r="G1541">
        <v>2</v>
      </c>
      <c r="H1541">
        <v>2</v>
      </c>
      <c r="I1541">
        <v>1</v>
      </c>
      <c r="J1541" s="4" t="s">
        <v>55</v>
      </c>
      <c r="K1541" t="str">
        <f t="shared" si="81"/>
        <v>2+2</v>
      </c>
      <c r="L1541">
        <f>VLOOKUP(A1541,'ZONE 1 PREMIUM'!$A$4:$N$16,14,0)</f>
        <v>6</v>
      </c>
      <c r="M1541">
        <f>VLOOKUP(D1541,DROPDOWN!B:C,2,0)</f>
        <v>7</v>
      </c>
      <c r="N1541" t="str">
        <f t="shared" si="79"/>
        <v>AU113:BM124</v>
      </c>
      <c r="O1541" s="4">
        <f t="shared" ca="1" si="80"/>
        <v>74567.25</v>
      </c>
    </row>
    <row r="1542" spans="1:15">
      <c r="A1542" s="2" t="s">
        <v>16</v>
      </c>
      <c r="B1542" t="s">
        <v>35</v>
      </c>
      <c r="C1542" t="s">
        <v>36</v>
      </c>
      <c r="D1542">
        <v>15</v>
      </c>
      <c r="E1542" t="s">
        <v>46</v>
      </c>
      <c r="F1542">
        <v>4</v>
      </c>
      <c r="G1542">
        <v>2</v>
      </c>
      <c r="H1542">
        <v>2</v>
      </c>
      <c r="I1542">
        <v>1</v>
      </c>
      <c r="J1542" s="4" t="s">
        <v>55</v>
      </c>
      <c r="K1542" t="str">
        <f t="shared" si="81"/>
        <v>2+2</v>
      </c>
      <c r="L1542">
        <f>VLOOKUP(A1542,'ZONE 1 PREMIUM'!$A$4:$N$16,14,0)</f>
        <v>7</v>
      </c>
      <c r="M1542">
        <f>VLOOKUP(D1542,DROPDOWN!B:C,2,0)</f>
        <v>7</v>
      </c>
      <c r="N1542" t="str">
        <f t="shared" si="79"/>
        <v>AU113:BM124</v>
      </c>
      <c r="O1542" s="4">
        <f t="shared" ca="1" si="80"/>
        <v>97059.375</v>
      </c>
    </row>
    <row r="1543" spans="1:15">
      <c r="A1543" s="2" t="s">
        <v>17</v>
      </c>
      <c r="B1543" t="s">
        <v>37</v>
      </c>
      <c r="C1543" t="s">
        <v>38</v>
      </c>
      <c r="D1543">
        <v>15</v>
      </c>
      <c r="E1543" t="s">
        <v>46</v>
      </c>
      <c r="F1543">
        <v>4</v>
      </c>
      <c r="G1543">
        <v>2</v>
      </c>
      <c r="H1543">
        <v>2</v>
      </c>
      <c r="I1543">
        <v>1</v>
      </c>
      <c r="J1543" s="4" t="s">
        <v>55</v>
      </c>
      <c r="K1543" t="str">
        <f t="shared" si="81"/>
        <v>2+2</v>
      </c>
      <c r="L1543">
        <f>VLOOKUP(A1543,'ZONE 1 PREMIUM'!$A$4:$N$16,14,0)</f>
        <v>8</v>
      </c>
      <c r="M1543">
        <f>VLOOKUP(D1543,DROPDOWN!B:C,2,0)</f>
        <v>7</v>
      </c>
      <c r="N1543" t="str">
        <f t="shared" si="79"/>
        <v>AU113:BM124</v>
      </c>
      <c r="O1543" s="4">
        <f t="shared" ca="1" si="80"/>
        <v>125637.75</v>
      </c>
    </row>
    <row r="1544" spans="1:15">
      <c r="A1544" s="2" t="s">
        <v>18</v>
      </c>
      <c r="B1544" t="s">
        <v>39</v>
      </c>
      <c r="C1544" t="s">
        <v>40</v>
      </c>
      <c r="D1544">
        <v>15</v>
      </c>
      <c r="E1544" t="s">
        <v>46</v>
      </c>
      <c r="F1544">
        <v>4</v>
      </c>
      <c r="G1544">
        <v>2</v>
      </c>
      <c r="H1544">
        <v>2</v>
      </c>
      <c r="I1544">
        <v>1</v>
      </c>
      <c r="J1544" s="4" t="s">
        <v>55</v>
      </c>
      <c r="K1544" t="str">
        <f t="shared" si="81"/>
        <v>2+2</v>
      </c>
      <c r="L1544">
        <f>VLOOKUP(A1544,'ZONE 1 PREMIUM'!$A$4:$N$16,14,0)</f>
        <v>9</v>
      </c>
      <c r="M1544">
        <f>VLOOKUP(D1544,DROPDOWN!B:C,2,0)</f>
        <v>7</v>
      </c>
      <c r="N1544" t="str">
        <f t="shared" si="79"/>
        <v>AU113:BM124</v>
      </c>
      <c r="O1544" s="4">
        <f t="shared" ca="1" si="80"/>
        <v>166326.75</v>
      </c>
    </row>
    <row r="1545" spans="1:15">
      <c r="A1545" s="2" t="s">
        <v>19</v>
      </c>
      <c r="B1545" t="s">
        <v>41</v>
      </c>
      <c r="C1545" t="s">
        <v>42</v>
      </c>
      <c r="D1545">
        <v>15</v>
      </c>
      <c r="E1545" t="s">
        <v>46</v>
      </c>
      <c r="F1545">
        <v>4</v>
      </c>
      <c r="G1545">
        <v>2</v>
      </c>
      <c r="H1545">
        <v>2</v>
      </c>
      <c r="I1545">
        <v>1</v>
      </c>
      <c r="J1545" s="4" t="s">
        <v>55</v>
      </c>
      <c r="K1545" t="str">
        <f t="shared" si="81"/>
        <v>2+2</v>
      </c>
      <c r="L1545">
        <f>VLOOKUP(A1545,'ZONE 1 PREMIUM'!$A$4:$N$16,14,0)</f>
        <v>10</v>
      </c>
      <c r="M1545">
        <f>VLOOKUP(D1545,DROPDOWN!B:C,2,0)</f>
        <v>7</v>
      </c>
      <c r="N1545" t="str">
        <f t="shared" si="79"/>
        <v>AU113:BM124</v>
      </c>
      <c r="O1545" s="4">
        <f t="shared" ca="1" si="80"/>
        <v>213714</v>
      </c>
    </row>
    <row r="1546" spans="1:15">
      <c r="A1546" s="2" t="s">
        <v>20</v>
      </c>
      <c r="B1546" t="s">
        <v>43</v>
      </c>
      <c r="C1546" t="s">
        <v>44</v>
      </c>
      <c r="D1546">
        <v>15</v>
      </c>
      <c r="E1546" t="s">
        <v>46</v>
      </c>
      <c r="F1546">
        <v>4</v>
      </c>
      <c r="G1546">
        <v>2</v>
      </c>
      <c r="H1546">
        <v>2</v>
      </c>
      <c r="I1546">
        <v>1</v>
      </c>
      <c r="J1546" s="4" t="s">
        <v>55</v>
      </c>
      <c r="K1546" t="str">
        <f t="shared" si="81"/>
        <v>2+2</v>
      </c>
      <c r="L1546">
        <f>VLOOKUP(A1546,'ZONE 1 PREMIUM'!$A$4:$N$16,14,0)</f>
        <v>11</v>
      </c>
      <c r="M1546">
        <f>VLOOKUP(D1546,DROPDOWN!B:C,2,0)</f>
        <v>7</v>
      </c>
      <c r="N1546" t="str">
        <f t="shared" si="79"/>
        <v>AU113:BM124</v>
      </c>
      <c r="O1546" s="4">
        <f t="shared" ca="1" si="80"/>
        <v>260146.125</v>
      </c>
    </row>
    <row r="1547" spans="1:15">
      <c r="A1547" s="2" t="s">
        <v>21</v>
      </c>
      <c r="B1547" t="s">
        <v>22</v>
      </c>
      <c r="D1547">
        <v>15</v>
      </c>
      <c r="E1547" t="s">
        <v>46</v>
      </c>
      <c r="F1547">
        <v>4</v>
      </c>
      <c r="G1547">
        <v>2</v>
      </c>
      <c r="H1547">
        <v>2</v>
      </c>
      <c r="I1547">
        <v>1</v>
      </c>
      <c r="J1547" s="4" t="s">
        <v>55</v>
      </c>
      <c r="K1547" t="str">
        <f t="shared" si="81"/>
        <v>2+2</v>
      </c>
      <c r="L1547">
        <f>VLOOKUP(A1547,'ZONE 1 PREMIUM'!$A$4:$N$16,14,0)</f>
        <v>12</v>
      </c>
      <c r="M1547">
        <f>VLOOKUP(D1547,DROPDOWN!B:C,2,0)</f>
        <v>7</v>
      </c>
      <c r="N1547" t="str">
        <f t="shared" si="79"/>
        <v>AU113:BM124</v>
      </c>
      <c r="O1547" s="4">
        <f t="shared" ca="1" si="80"/>
        <v>329880.375</v>
      </c>
    </row>
    <row r="1548" spans="1:15">
      <c r="A1548" s="2" t="s">
        <v>11</v>
      </c>
      <c r="B1548" t="s">
        <v>45</v>
      </c>
      <c r="C1548" t="s">
        <v>25</v>
      </c>
      <c r="D1548">
        <v>15</v>
      </c>
      <c r="E1548" t="s">
        <v>46</v>
      </c>
      <c r="F1548">
        <v>5</v>
      </c>
      <c r="G1548">
        <v>2</v>
      </c>
      <c r="H1548">
        <v>3</v>
      </c>
      <c r="I1548">
        <v>1</v>
      </c>
      <c r="J1548" s="4" t="s">
        <v>55</v>
      </c>
      <c r="K1548" t="str">
        <f t="shared" si="81"/>
        <v>2+3</v>
      </c>
      <c r="L1548">
        <f>VLOOKUP(A1548,'ZONE 1 PREMIUM'!$A$4:$N$16,14,0)</f>
        <v>2</v>
      </c>
      <c r="M1548">
        <f>VLOOKUP(D1548,DROPDOWN!B:C,2,0)</f>
        <v>7</v>
      </c>
      <c r="N1548" t="str">
        <f t="shared" si="79"/>
        <v>AU128:BM139</v>
      </c>
      <c r="O1548" s="4">
        <f t="shared" ca="1" si="80"/>
        <v>49420.125</v>
      </c>
    </row>
    <row r="1549" spans="1:15">
      <c r="A1549" s="2" t="s">
        <v>12</v>
      </c>
      <c r="B1549" t="s">
        <v>27</v>
      </c>
      <c r="C1549" t="s">
        <v>28</v>
      </c>
      <c r="D1549">
        <v>15</v>
      </c>
      <c r="E1549" t="s">
        <v>46</v>
      </c>
      <c r="F1549">
        <v>5</v>
      </c>
      <c r="G1549">
        <v>2</v>
      </c>
      <c r="H1549">
        <v>3</v>
      </c>
      <c r="I1549">
        <v>1</v>
      </c>
      <c r="J1549" s="4" t="s">
        <v>55</v>
      </c>
      <c r="K1549" t="str">
        <f t="shared" si="81"/>
        <v>2+3</v>
      </c>
      <c r="L1549">
        <f>VLOOKUP(A1549,'ZONE 1 PREMIUM'!$A$4:$N$16,14,0)</f>
        <v>3</v>
      </c>
      <c r="M1549">
        <f>VLOOKUP(D1549,DROPDOWN!B:C,2,0)</f>
        <v>7</v>
      </c>
      <c r="N1549" t="str">
        <f t="shared" si="79"/>
        <v>AU128:BM139</v>
      </c>
      <c r="O1549" s="4">
        <f t="shared" ca="1" si="80"/>
        <v>53404.875</v>
      </c>
    </row>
    <row r="1550" spans="1:15">
      <c r="A1550" s="2" t="s">
        <v>13</v>
      </c>
      <c r="B1550" t="s">
        <v>29</v>
      </c>
      <c r="C1550" t="s">
        <v>30</v>
      </c>
      <c r="D1550">
        <v>15</v>
      </c>
      <c r="E1550" t="s">
        <v>46</v>
      </c>
      <c r="F1550">
        <v>5</v>
      </c>
      <c r="G1550">
        <v>2</v>
      </c>
      <c r="H1550">
        <v>3</v>
      </c>
      <c r="I1550">
        <v>1</v>
      </c>
      <c r="J1550" s="4" t="s">
        <v>55</v>
      </c>
      <c r="K1550" t="str">
        <f t="shared" si="81"/>
        <v>2+3</v>
      </c>
      <c r="L1550">
        <f>VLOOKUP(A1550,'ZONE 1 PREMIUM'!$A$4:$N$16,14,0)</f>
        <v>4</v>
      </c>
      <c r="M1550">
        <f>VLOOKUP(D1550,DROPDOWN!B:C,2,0)</f>
        <v>7</v>
      </c>
      <c r="N1550" t="str">
        <f t="shared" si="79"/>
        <v>AU128:BM139</v>
      </c>
      <c r="O1550" s="4">
        <f t="shared" ca="1" si="80"/>
        <v>60288.75</v>
      </c>
    </row>
    <row r="1551" spans="1:15">
      <c r="A1551" s="2" t="s">
        <v>14</v>
      </c>
      <c r="B1551" t="s">
        <v>31</v>
      </c>
      <c r="C1551" t="s">
        <v>32</v>
      </c>
      <c r="D1551">
        <v>15</v>
      </c>
      <c r="E1551" t="s">
        <v>46</v>
      </c>
      <c r="F1551">
        <v>5</v>
      </c>
      <c r="G1551">
        <v>2</v>
      </c>
      <c r="H1551">
        <v>3</v>
      </c>
      <c r="I1551">
        <v>1</v>
      </c>
      <c r="J1551" s="4" t="s">
        <v>55</v>
      </c>
      <c r="K1551" t="str">
        <f t="shared" si="81"/>
        <v>2+3</v>
      </c>
      <c r="L1551">
        <f>VLOOKUP(A1551,'ZONE 1 PREMIUM'!$A$4:$N$16,14,0)</f>
        <v>5</v>
      </c>
      <c r="M1551">
        <f>VLOOKUP(D1551,DROPDOWN!B:C,2,0)</f>
        <v>7</v>
      </c>
      <c r="N1551" t="str">
        <f t="shared" si="79"/>
        <v>AU128:BM139</v>
      </c>
      <c r="O1551" s="4">
        <f t="shared" ca="1" si="80"/>
        <v>67873.5</v>
      </c>
    </row>
    <row r="1552" spans="1:15">
      <c r="A1552" s="2" t="s">
        <v>15</v>
      </c>
      <c r="B1552" t="s">
        <v>33</v>
      </c>
      <c r="C1552" t="s">
        <v>34</v>
      </c>
      <c r="D1552">
        <v>15</v>
      </c>
      <c r="E1552" t="s">
        <v>46</v>
      </c>
      <c r="F1552">
        <v>5</v>
      </c>
      <c r="G1552">
        <v>2</v>
      </c>
      <c r="H1552">
        <v>3</v>
      </c>
      <c r="I1552">
        <v>1</v>
      </c>
      <c r="J1552" s="4" t="s">
        <v>55</v>
      </c>
      <c r="K1552" t="str">
        <f t="shared" si="81"/>
        <v>2+3</v>
      </c>
      <c r="L1552">
        <f>VLOOKUP(A1552,'ZONE 1 PREMIUM'!$A$4:$N$16,14,0)</f>
        <v>6</v>
      </c>
      <c r="M1552">
        <f>VLOOKUP(D1552,DROPDOWN!B:C,2,0)</f>
        <v>7</v>
      </c>
      <c r="N1552" t="str">
        <f t="shared" si="79"/>
        <v>AU128:BM139</v>
      </c>
      <c r="O1552" s="4">
        <f t="shared" ca="1" si="80"/>
        <v>83256.75</v>
      </c>
    </row>
    <row r="1553" spans="1:15">
      <c r="A1553" s="2" t="s">
        <v>16</v>
      </c>
      <c r="B1553" t="s">
        <v>35</v>
      </c>
      <c r="C1553" t="s">
        <v>36</v>
      </c>
      <c r="D1553">
        <v>15</v>
      </c>
      <c r="E1553" t="s">
        <v>46</v>
      </c>
      <c r="F1553">
        <v>5</v>
      </c>
      <c r="G1553">
        <v>2</v>
      </c>
      <c r="H1553">
        <v>3</v>
      </c>
      <c r="I1553">
        <v>1</v>
      </c>
      <c r="J1553" s="4" t="s">
        <v>55</v>
      </c>
      <c r="K1553" t="str">
        <f t="shared" si="81"/>
        <v>2+3</v>
      </c>
      <c r="L1553">
        <f>VLOOKUP(A1553,'ZONE 1 PREMIUM'!$A$4:$N$16,14,0)</f>
        <v>7</v>
      </c>
      <c r="M1553">
        <f>VLOOKUP(D1553,DROPDOWN!B:C,2,0)</f>
        <v>7</v>
      </c>
      <c r="N1553" t="str">
        <f t="shared" si="79"/>
        <v>AU128:BM139</v>
      </c>
      <c r="O1553" s="4">
        <f t="shared" ca="1" si="80"/>
        <v>105887.25</v>
      </c>
    </row>
    <row r="1554" spans="1:15">
      <c r="A1554" s="2" t="s">
        <v>17</v>
      </c>
      <c r="B1554" t="s">
        <v>37</v>
      </c>
      <c r="C1554" t="s">
        <v>38</v>
      </c>
      <c r="D1554">
        <v>15</v>
      </c>
      <c r="E1554" t="s">
        <v>46</v>
      </c>
      <c r="F1554">
        <v>5</v>
      </c>
      <c r="G1554">
        <v>2</v>
      </c>
      <c r="H1554">
        <v>3</v>
      </c>
      <c r="I1554">
        <v>1</v>
      </c>
      <c r="J1554" s="4" t="s">
        <v>55</v>
      </c>
      <c r="K1554" t="str">
        <f t="shared" si="81"/>
        <v>2+3</v>
      </c>
      <c r="L1554">
        <f>VLOOKUP(A1554,'ZONE 1 PREMIUM'!$A$4:$N$16,14,0)</f>
        <v>8</v>
      </c>
      <c r="M1554">
        <f>VLOOKUP(D1554,DROPDOWN!B:C,2,0)</f>
        <v>7</v>
      </c>
      <c r="N1554" t="str">
        <f t="shared" si="79"/>
        <v>AU128:BM139</v>
      </c>
      <c r="O1554" s="4">
        <f t="shared" ca="1" si="80"/>
        <v>133706.25</v>
      </c>
    </row>
    <row r="1555" spans="1:15">
      <c r="A1555" s="2" t="s">
        <v>18</v>
      </c>
      <c r="B1555" t="s">
        <v>39</v>
      </c>
      <c r="C1555" t="s">
        <v>40</v>
      </c>
      <c r="D1555">
        <v>15</v>
      </c>
      <c r="E1555" t="s">
        <v>46</v>
      </c>
      <c r="F1555">
        <v>5</v>
      </c>
      <c r="G1555">
        <v>2</v>
      </c>
      <c r="H1555">
        <v>3</v>
      </c>
      <c r="I1555">
        <v>1</v>
      </c>
      <c r="J1555" s="4" t="s">
        <v>55</v>
      </c>
      <c r="K1555" t="str">
        <f t="shared" si="81"/>
        <v>2+3</v>
      </c>
      <c r="L1555">
        <f>VLOOKUP(A1555,'ZONE 1 PREMIUM'!$A$4:$N$16,14,0)</f>
        <v>9</v>
      </c>
      <c r="M1555">
        <f>VLOOKUP(D1555,DROPDOWN!B:C,2,0)</f>
        <v>7</v>
      </c>
      <c r="N1555" t="str">
        <f t="shared" si="79"/>
        <v>AU128:BM139</v>
      </c>
      <c r="O1555" s="4">
        <f t="shared" ca="1" si="80"/>
        <v>174336.75</v>
      </c>
    </row>
    <row r="1556" spans="1:15">
      <c r="A1556" s="2" t="s">
        <v>19</v>
      </c>
      <c r="B1556" t="s">
        <v>41</v>
      </c>
      <c r="C1556" t="s">
        <v>42</v>
      </c>
      <c r="D1556">
        <v>15</v>
      </c>
      <c r="E1556" t="s">
        <v>46</v>
      </c>
      <c r="F1556">
        <v>5</v>
      </c>
      <c r="G1556">
        <v>2</v>
      </c>
      <c r="H1556">
        <v>3</v>
      </c>
      <c r="I1556">
        <v>1</v>
      </c>
      <c r="J1556" s="4" t="s">
        <v>55</v>
      </c>
      <c r="K1556" t="str">
        <f t="shared" si="81"/>
        <v>2+3</v>
      </c>
      <c r="L1556">
        <f>VLOOKUP(A1556,'ZONE 1 PREMIUM'!$A$4:$N$16,14,0)</f>
        <v>10</v>
      </c>
      <c r="M1556">
        <f>VLOOKUP(D1556,DROPDOWN!B:C,2,0)</f>
        <v>7</v>
      </c>
      <c r="N1556" t="str">
        <f t="shared" si="79"/>
        <v>AU128:BM139</v>
      </c>
      <c r="O1556" s="4">
        <f t="shared" ca="1" si="80"/>
        <v>221353.875</v>
      </c>
    </row>
    <row r="1557" spans="1:15">
      <c r="A1557" s="2" t="s">
        <v>20</v>
      </c>
      <c r="B1557" t="s">
        <v>43</v>
      </c>
      <c r="C1557" t="s">
        <v>44</v>
      </c>
      <c r="D1557">
        <v>15</v>
      </c>
      <c r="E1557" t="s">
        <v>46</v>
      </c>
      <c r="F1557">
        <v>5</v>
      </c>
      <c r="G1557">
        <v>2</v>
      </c>
      <c r="H1557">
        <v>3</v>
      </c>
      <c r="I1557">
        <v>1</v>
      </c>
      <c r="J1557" s="4" t="s">
        <v>55</v>
      </c>
      <c r="K1557" t="str">
        <f t="shared" si="81"/>
        <v>2+3</v>
      </c>
      <c r="L1557">
        <f>VLOOKUP(A1557,'ZONE 1 PREMIUM'!$A$4:$N$16,14,0)</f>
        <v>11</v>
      </c>
      <c r="M1557">
        <f>VLOOKUP(D1557,DROPDOWN!B:C,2,0)</f>
        <v>7</v>
      </c>
      <c r="N1557" t="str">
        <f t="shared" si="79"/>
        <v>AU128:BM139</v>
      </c>
      <c r="O1557" s="4">
        <f t="shared" ca="1" si="80"/>
        <v>268645.5</v>
      </c>
    </row>
    <row r="1558" spans="1:15">
      <c r="A1558" s="2" t="s">
        <v>21</v>
      </c>
      <c r="B1558" t="s">
        <v>22</v>
      </c>
      <c r="D1558">
        <v>15</v>
      </c>
      <c r="E1558" t="s">
        <v>46</v>
      </c>
      <c r="F1558">
        <v>5</v>
      </c>
      <c r="G1558">
        <v>2</v>
      </c>
      <c r="H1558">
        <v>3</v>
      </c>
      <c r="I1558">
        <v>1</v>
      </c>
      <c r="J1558" s="4" t="s">
        <v>55</v>
      </c>
      <c r="K1558" t="str">
        <f t="shared" si="81"/>
        <v>2+3</v>
      </c>
      <c r="L1558">
        <f>VLOOKUP(A1558,'ZONE 1 PREMIUM'!$A$4:$N$16,14,0)</f>
        <v>12</v>
      </c>
      <c r="M1558">
        <f>VLOOKUP(D1558,DROPDOWN!B:C,2,0)</f>
        <v>7</v>
      </c>
      <c r="N1558" t="str">
        <f t="shared" si="79"/>
        <v>AU128:BM139</v>
      </c>
      <c r="O1558" s="4">
        <f t="shared" ca="1" si="80"/>
        <v>338909.625</v>
      </c>
    </row>
    <row r="1559" spans="1:15">
      <c r="A1559" s="2" t="s">
        <v>11</v>
      </c>
      <c r="B1559" t="s">
        <v>45</v>
      </c>
      <c r="C1559" t="s">
        <v>25</v>
      </c>
      <c r="D1559">
        <v>15</v>
      </c>
      <c r="E1559" t="s">
        <v>46</v>
      </c>
      <c r="F1559">
        <v>6</v>
      </c>
      <c r="G1559">
        <v>2</v>
      </c>
      <c r="H1559">
        <v>4</v>
      </c>
      <c r="I1559">
        <v>1</v>
      </c>
      <c r="J1559" s="4" t="s">
        <v>55</v>
      </c>
      <c r="K1559" t="str">
        <f t="shared" si="81"/>
        <v>2+4</v>
      </c>
      <c r="L1559">
        <f>VLOOKUP(A1559,'ZONE 1 PREMIUM'!$A$4:$N$16,14,0)</f>
        <v>2</v>
      </c>
      <c r="M1559">
        <f>VLOOKUP(D1559,DROPDOWN!B:C,2,0)</f>
        <v>7</v>
      </c>
      <c r="N1559" t="str">
        <f t="shared" si="79"/>
        <v>AU143:BM154</v>
      </c>
      <c r="O1559" s="4">
        <f t="shared" ca="1" si="80"/>
        <v>55813.5</v>
      </c>
    </row>
    <row r="1560" spans="1:15">
      <c r="A1560" s="2" t="s">
        <v>12</v>
      </c>
      <c r="B1560" t="s">
        <v>27</v>
      </c>
      <c r="C1560" t="s">
        <v>28</v>
      </c>
      <c r="D1560">
        <v>15</v>
      </c>
      <c r="E1560" t="s">
        <v>46</v>
      </c>
      <c r="F1560">
        <v>6</v>
      </c>
      <c r="G1560">
        <v>2</v>
      </c>
      <c r="H1560">
        <v>4</v>
      </c>
      <c r="I1560">
        <v>1</v>
      </c>
      <c r="J1560" s="4" t="s">
        <v>55</v>
      </c>
      <c r="K1560" t="str">
        <f t="shared" si="81"/>
        <v>2+4</v>
      </c>
      <c r="L1560">
        <f>VLOOKUP(A1560,'ZONE 1 PREMIUM'!$A$4:$N$16,14,0)</f>
        <v>3</v>
      </c>
      <c r="M1560">
        <f>VLOOKUP(D1560,DROPDOWN!B:C,2,0)</f>
        <v>7</v>
      </c>
      <c r="N1560" t="str">
        <f t="shared" si="79"/>
        <v>AU143:BM154</v>
      </c>
      <c r="O1560" s="4">
        <f t="shared" ca="1" si="80"/>
        <v>59683.5</v>
      </c>
    </row>
    <row r="1561" spans="1:15">
      <c r="A1561" s="2" t="s">
        <v>13</v>
      </c>
      <c r="B1561" t="s">
        <v>29</v>
      </c>
      <c r="C1561" t="s">
        <v>30</v>
      </c>
      <c r="D1561">
        <v>15</v>
      </c>
      <c r="E1561" t="s">
        <v>46</v>
      </c>
      <c r="F1561">
        <v>6</v>
      </c>
      <c r="G1561">
        <v>2</v>
      </c>
      <c r="H1561">
        <v>4</v>
      </c>
      <c r="I1561">
        <v>1</v>
      </c>
      <c r="J1561" s="4" t="s">
        <v>55</v>
      </c>
      <c r="K1561" t="str">
        <f t="shared" si="81"/>
        <v>2+4</v>
      </c>
      <c r="L1561">
        <f>VLOOKUP(A1561,'ZONE 1 PREMIUM'!$A$4:$N$16,14,0)</f>
        <v>4</v>
      </c>
      <c r="M1561">
        <f>VLOOKUP(D1561,DROPDOWN!B:C,2,0)</f>
        <v>7</v>
      </c>
      <c r="N1561" t="str">
        <f t="shared" si="79"/>
        <v>AU143:BM154</v>
      </c>
      <c r="O1561" s="4">
        <f t="shared" ca="1" si="80"/>
        <v>67566.375</v>
      </c>
    </row>
    <row r="1562" spans="1:15">
      <c r="A1562" s="2" t="s">
        <v>14</v>
      </c>
      <c r="B1562" t="s">
        <v>31</v>
      </c>
      <c r="C1562" t="s">
        <v>32</v>
      </c>
      <c r="D1562">
        <v>15</v>
      </c>
      <c r="E1562" t="s">
        <v>46</v>
      </c>
      <c r="F1562">
        <v>6</v>
      </c>
      <c r="G1562">
        <v>2</v>
      </c>
      <c r="H1562">
        <v>4</v>
      </c>
      <c r="I1562">
        <v>1</v>
      </c>
      <c r="J1562" s="4" t="s">
        <v>55</v>
      </c>
      <c r="K1562" t="str">
        <f t="shared" si="81"/>
        <v>2+4</v>
      </c>
      <c r="L1562">
        <f>VLOOKUP(A1562,'ZONE 1 PREMIUM'!$A$4:$N$16,14,0)</f>
        <v>5</v>
      </c>
      <c r="M1562">
        <f>VLOOKUP(D1562,DROPDOWN!B:C,2,0)</f>
        <v>7</v>
      </c>
      <c r="N1562" t="str">
        <f t="shared" si="79"/>
        <v>AU143:BM154</v>
      </c>
      <c r="O1562" s="4">
        <f t="shared" ca="1" si="80"/>
        <v>75619.125</v>
      </c>
    </row>
    <row r="1563" spans="1:15">
      <c r="A1563" s="2" t="s">
        <v>15</v>
      </c>
      <c r="B1563" t="s">
        <v>33</v>
      </c>
      <c r="C1563" t="s">
        <v>34</v>
      </c>
      <c r="D1563">
        <v>15</v>
      </c>
      <c r="E1563" t="s">
        <v>46</v>
      </c>
      <c r="F1563">
        <v>6</v>
      </c>
      <c r="G1563">
        <v>2</v>
      </c>
      <c r="H1563">
        <v>4</v>
      </c>
      <c r="I1563">
        <v>1</v>
      </c>
      <c r="J1563" s="4" t="s">
        <v>55</v>
      </c>
      <c r="K1563" t="str">
        <f t="shared" si="81"/>
        <v>2+4</v>
      </c>
      <c r="L1563">
        <f>VLOOKUP(A1563,'ZONE 1 PREMIUM'!$A$4:$N$16,14,0)</f>
        <v>6</v>
      </c>
      <c r="M1563">
        <f>VLOOKUP(D1563,DROPDOWN!B:C,2,0)</f>
        <v>7</v>
      </c>
      <c r="N1563" t="str">
        <f t="shared" si="79"/>
        <v>AU143:BM154</v>
      </c>
      <c r="O1563" s="4">
        <f t="shared" ca="1" si="80"/>
        <v>91945.125</v>
      </c>
    </row>
    <row r="1564" spans="1:15">
      <c r="A1564" s="2" t="s">
        <v>16</v>
      </c>
      <c r="B1564" t="s">
        <v>35</v>
      </c>
      <c r="C1564" t="s">
        <v>36</v>
      </c>
      <c r="D1564">
        <v>15</v>
      </c>
      <c r="E1564" t="s">
        <v>46</v>
      </c>
      <c r="F1564">
        <v>6</v>
      </c>
      <c r="G1564">
        <v>2</v>
      </c>
      <c r="H1564">
        <v>4</v>
      </c>
      <c r="I1564">
        <v>1</v>
      </c>
      <c r="J1564" s="4" t="s">
        <v>55</v>
      </c>
      <c r="K1564" t="str">
        <f t="shared" si="81"/>
        <v>2+4</v>
      </c>
      <c r="L1564">
        <f>VLOOKUP(A1564,'ZONE 1 PREMIUM'!$A$4:$N$16,14,0)</f>
        <v>7</v>
      </c>
      <c r="M1564">
        <f>VLOOKUP(D1564,DROPDOWN!B:C,2,0)</f>
        <v>7</v>
      </c>
      <c r="N1564" t="str">
        <f t="shared" si="79"/>
        <v>AU143:BM154</v>
      </c>
      <c r="O1564" s="4">
        <f t="shared" ca="1" si="80"/>
        <v>113853.375</v>
      </c>
    </row>
    <row r="1565" spans="1:15">
      <c r="A1565" s="2" t="s">
        <v>17</v>
      </c>
      <c r="B1565" t="s">
        <v>37</v>
      </c>
      <c r="C1565" t="s">
        <v>38</v>
      </c>
      <c r="D1565">
        <v>15</v>
      </c>
      <c r="E1565" t="s">
        <v>46</v>
      </c>
      <c r="F1565">
        <v>6</v>
      </c>
      <c r="G1565">
        <v>2</v>
      </c>
      <c r="H1565">
        <v>4</v>
      </c>
      <c r="I1565">
        <v>1</v>
      </c>
      <c r="J1565" s="4" t="s">
        <v>55</v>
      </c>
      <c r="K1565" t="str">
        <f t="shared" si="81"/>
        <v>2+4</v>
      </c>
      <c r="L1565">
        <f>VLOOKUP(A1565,'ZONE 1 PREMIUM'!$A$4:$N$16,14,0)</f>
        <v>8</v>
      </c>
      <c r="M1565">
        <f>VLOOKUP(D1565,DROPDOWN!B:C,2,0)</f>
        <v>7</v>
      </c>
      <c r="N1565" t="str">
        <f t="shared" si="79"/>
        <v>AU143:BM154</v>
      </c>
      <c r="O1565" s="4">
        <f t="shared" ca="1" si="80"/>
        <v>141657.75</v>
      </c>
    </row>
    <row r="1566" spans="1:15">
      <c r="A1566" s="2" t="s">
        <v>18</v>
      </c>
      <c r="B1566" t="s">
        <v>39</v>
      </c>
      <c r="C1566" t="s">
        <v>40</v>
      </c>
      <c r="D1566">
        <v>15</v>
      </c>
      <c r="E1566" t="s">
        <v>46</v>
      </c>
      <c r="F1566">
        <v>6</v>
      </c>
      <c r="G1566">
        <v>2</v>
      </c>
      <c r="H1566">
        <v>4</v>
      </c>
      <c r="I1566">
        <v>1</v>
      </c>
      <c r="J1566" s="4" t="s">
        <v>55</v>
      </c>
      <c r="K1566" t="str">
        <f t="shared" si="81"/>
        <v>2+4</v>
      </c>
      <c r="L1566">
        <f>VLOOKUP(A1566,'ZONE 1 PREMIUM'!$A$4:$N$16,14,0)</f>
        <v>9</v>
      </c>
      <c r="M1566">
        <f>VLOOKUP(D1566,DROPDOWN!B:C,2,0)</f>
        <v>7</v>
      </c>
      <c r="N1566" t="str">
        <f t="shared" si="79"/>
        <v>AU143:BM154</v>
      </c>
      <c r="O1566" s="4">
        <f t="shared" ca="1" si="80"/>
        <v>181982.25</v>
      </c>
    </row>
    <row r="1567" spans="1:15">
      <c r="A1567" s="2" t="s">
        <v>19</v>
      </c>
      <c r="B1567" t="s">
        <v>41</v>
      </c>
      <c r="C1567" t="s">
        <v>42</v>
      </c>
      <c r="D1567">
        <v>15</v>
      </c>
      <c r="E1567" t="s">
        <v>46</v>
      </c>
      <c r="F1567">
        <v>6</v>
      </c>
      <c r="G1567">
        <v>2</v>
      </c>
      <c r="H1567">
        <v>4</v>
      </c>
      <c r="I1567">
        <v>1</v>
      </c>
      <c r="J1567" s="4" t="s">
        <v>55</v>
      </c>
      <c r="K1567" t="str">
        <f t="shared" si="81"/>
        <v>2+4</v>
      </c>
      <c r="L1567">
        <f>VLOOKUP(A1567,'ZONE 1 PREMIUM'!$A$4:$N$16,14,0)</f>
        <v>10</v>
      </c>
      <c r="M1567">
        <f>VLOOKUP(D1567,DROPDOWN!B:C,2,0)</f>
        <v>7</v>
      </c>
      <c r="N1567" t="str">
        <f t="shared" si="79"/>
        <v>AU143:BM154</v>
      </c>
      <c r="O1567" s="4">
        <f t="shared" ca="1" si="80"/>
        <v>229817.25</v>
      </c>
    </row>
    <row r="1568" spans="1:15">
      <c r="A1568" s="2" t="s">
        <v>20</v>
      </c>
      <c r="B1568" t="s">
        <v>43</v>
      </c>
      <c r="C1568" t="s">
        <v>44</v>
      </c>
      <c r="D1568">
        <v>15</v>
      </c>
      <c r="E1568" t="s">
        <v>46</v>
      </c>
      <c r="F1568">
        <v>6</v>
      </c>
      <c r="G1568">
        <v>2</v>
      </c>
      <c r="H1568">
        <v>4</v>
      </c>
      <c r="I1568">
        <v>1</v>
      </c>
      <c r="J1568" s="4" t="s">
        <v>55</v>
      </c>
      <c r="K1568" t="str">
        <f t="shared" si="81"/>
        <v>2+4</v>
      </c>
      <c r="L1568">
        <f>VLOOKUP(A1568,'ZONE 1 PREMIUM'!$A$4:$N$16,14,0)</f>
        <v>11</v>
      </c>
      <c r="M1568">
        <f>VLOOKUP(D1568,DROPDOWN!B:C,2,0)</f>
        <v>7</v>
      </c>
      <c r="N1568" t="str">
        <f t="shared" si="79"/>
        <v>AU143:BM154</v>
      </c>
      <c r="O1568" s="4">
        <f t="shared" ca="1" si="80"/>
        <v>276521.625</v>
      </c>
    </row>
    <row r="1569" spans="1:15">
      <c r="A1569" s="2" t="s">
        <v>21</v>
      </c>
      <c r="B1569" t="s">
        <v>22</v>
      </c>
      <c r="D1569">
        <v>15</v>
      </c>
      <c r="E1569" t="s">
        <v>46</v>
      </c>
      <c r="F1569">
        <v>6</v>
      </c>
      <c r="G1569">
        <v>2</v>
      </c>
      <c r="H1569">
        <v>4</v>
      </c>
      <c r="I1569">
        <v>1</v>
      </c>
      <c r="J1569" s="4" t="s">
        <v>55</v>
      </c>
      <c r="K1569" t="str">
        <f t="shared" si="81"/>
        <v>2+4</v>
      </c>
      <c r="L1569">
        <f>VLOOKUP(A1569,'ZONE 1 PREMIUM'!$A$4:$N$16,14,0)</f>
        <v>12</v>
      </c>
      <c r="M1569">
        <f>VLOOKUP(D1569,DROPDOWN!B:C,2,0)</f>
        <v>7</v>
      </c>
      <c r="N1569" t="str">
        <f t="shared" si="79"/>
        <v>AU143:BM154</v>
      </c>
      <c r="O1569" s="4">
        <f t="shared" ca="1" si="80"/>
        <v>345479.625</v>
      </c>
    </row>
    <row r="1570" spans="1:15">
      <c r="A1570" s="2" t="s">
        <v>9</v>
      </c>
      <c r="B1570" t="s">
        <v>47</v>
      </c>
      <c r="C1570" t="s">
        <v>48</v>
      </c>
      <c r="D1570">
        <v>15</v>
      </c>
      <c r="E1570" t="s">
        <v>26</v>
      </c>
      <c r="F1570">
        <v>1</v>
      </c>
      <c r="H1570">
        <v>1</v>
      </c>
      <c r="I1570">
        <v>1</v>
      </c>
      <c r="J1570" s="4" t="s">
        <v>53</v>
      </c>
      <c r="K1570" t="str">
        <f t="shared" si="81"/>
        <v>+1</v>
      </c>
      <c r="N1570" t="e">
        <f t="shared" ref="N1570:N1633" si="82">VLOOKUP(K1570,$CK$3:$CL$12,2,0)</f>
        <v>#N/A</v>
      </c>
      <c r="O1570" s="13">
        <v>3959.0426452290881</v>
      </c>
    </row>
    <row r="1571" spans="1:15">
      <c r="A1571" s="2" t="s">
        <v>10</v>
      </c>
      <c r="B1571" t="s">
        <v>49</v>
      </c>
      <c r="C1571" t="s">
        <v>50</v>
      </c>
      <c r="D1571">
        <v>15</v>
      </c>
      <c r="E1571" t="s">
        <v>26</v>
      </c>
      <c r="F1571">
        <v>1</v>
      </c>
      <c r="G1571">
        <v>1</v>
      </c>
      <c r="H1571">
        <v>0</v>
      </c>
      <c r="I1571">
        <v>1</v>
      </c>
      <c r="J1571" s="4" t="s">
        <v>53</v>
      </c>
      <c r="K1571" t="str">
        <f t="shared" si="81"/>
        <v>1+0</v>
      </c>
      <c r="L1571">
        <f>VLOOKUP(A1571,'ZONE 1 PREMIUM'!$A$3:$M$16,13,0)</f>
        <v>3</v>
      </c>
      <c r="M1571">
        <f>VLOOKUP(D1571,DROPDOWN!B:C,2,0)</f>
        <v>7</v>
      </c>
      <c r="N1571" t="str">
        <f t="shared" si="82"/>
        <v>BR3:CJ16</v>
      </c>
      <c r="O1571" s="4">
        <f t="shared" ca="1" si="80"/>
        <v>6526.3</v>
      </c>
    </row>
    <row r="1572" spans="1:15">
      <c r="A1572" s="2" t="s">
        <v>11</v>
      </c>
      <c r="B1572" t="s">
        <v>45</v>
      </c>
      <c r="C1572" t="s">
        <v>25</v>
      </c>
      <c r="D1572">
        <v>15</v>
      </c>
      <c r="E1572" t="s">
        <v>26</v>
      </c>
      <c r="F1572">
        <v>1</v>
      </c>
      <c r="G1572">
        <v>1</v>
      </c>
      <c r="H1572">
        <v>0</v>
      </c>
      <c r="I1572">
        <v>1</v>
      </c>
      <c r="J1572" s="4" t="s">
        <v>53</v>
      </c>
      <c r="K1572" t="str">
        <f t="shared" si="81"/>
        <v>1+0</v>
      </c>
      <c r="L1572">
        <f>VLOOKUP(A1572,'ZONE 1 PREMIUM'!$A$3:$M$16,13,0)</f>
        <v>4</v>
      </c>
      <c r="M1572">
        <f>VLOOKUP(D1572,DROPDOWN!B:C,2,0)</f>
        <v>7</v>
      </c>
      <c r="N1572" t="str">
        <f t="shared" si="82"/>
        <v>BR3:CJ16</v>
      </c>
      <c r="O1572" s="4">
        <f t="shared" ca="1" si="80"/>
        <v>17648.400000000001</v>
      </c>
    </row>
    <row r="1573" spans="1:15">
      <c r="A1573" s="2" t="s">
        <v>12</v>
      </c>
      <c r="B1573" t="s">
        <v>27</v>
      </c>
      <c r="C1573" t="s">
        <v>28</v>
      </c>
      <c r="D1573">
        <v>15</v>
      </c>
      <c r="E1573" t="s">
        <v>26</v>
      </c>
      <c r="F1573">
        <v>1</v>
      </c>
      <c r="G1573">
        <v>1</v>
      </c>
      <c r="H1573">
        <v>0</v>
      </c>
      <c r="I1573">
        <v>1</v>
      </c>
      <c r="J1573" s="4" t="s">
        <v>53</v>
      </c>
      <c r="K1573" t="str">
        <f t="shared" si="81"/>
        <v>1+0</v>
      </c>
      <c r="L1573">
        <f>VLOOKUP(A1573,'ZONE 1 PREMIUM'!$A$3:$M$16,13,0)</f>
        <v>5</v>
      </c>
      <c r="M1573">
        <f>VLOOKUP(D1573,DROPDOWN!B:C,2,0)</f>
        <v>7</v>
      </c>
      <c r="N1573" t="str">
        <f t="shared" si="82"/>
        <v>BR3:CJ16</v>
      </c>
      <c r="O1573" s="4">
        <f t="shared" ca="1" si="80"/>
        <v>20363.2</v>
      </c>
    </row>
    <row r="1574" spans="1:15">
      <c r="A1574" s="2" t="s">
        <v>13</v>
      </c>
      <c r="B1574" t="s">
        <v>29</v>
      </c>
      <c r="C1574" t="s">
        <v>30</v>
      </c>
      <c r="D1574">
        <v>15</v>
      </c>
      <c r="E1574" t="s">
        <v>26</v>
      </c>
      <c r="F1574">
        <v>1</v>
      </c>
      <c r="G1574">
        <v>1</v>
      </c>
      <c r="H1574">
        <v>0</v>
      </c>
      <c r="I1574">
        <v>1</v>
      </c>
      <c r="J1574" s="4" t="s">
        <v>53</v>
      </c>
      <c r="K1574" t="str">
        <f t="shared" si="81"/>
        <v>1+0</v>
      </c>
      <c r="L1574">
        <f>VLOOKUP(A1574,'ZONE 1 PREMIUM'!$A$3:$M$16,13,0)</f>
        <v>6</v>
      </c>
      <c r="M1574">
        <f>VLOOKUP(D1574,DROPDOWN!B:C,2,0)</f>
        <v>7</v>
      </c>
      <c r="N1574" t="str">
        <f t="shared" si="82"/>
        <v>BR3:CJ16</v>
      </c>
      <c r="O1574" s="4">
        <f t="shared" ca="1" si="80"/>
        <v>23512.500000000004</v>
      </c>
    </row>
    <row r="1575" spans="1:15">
      <c r="A1575" s="2" t="s">
        <v>14</v>
      </c>
      <c r="B1575" t="s">
        <v>31</v>
      </c>
      <c r="C1575" t="s">
        <v>32</v>
      </c>
      <c r="D1575">
        <v>15</v>
      </c>
      <c r="E1575" t="s">
        <v>26</v>
      </c>
      <c r="F1575">
        <v>1</v>
      </c>
      <c r="G1575">
        <v>1</v>
      </c>
      <c r="H1575">
        <v>0</v>
      </c>
      <c r="I1575">
        <v>1</v>
      </c>
      <c r="J1575" s="4" t="s">
        <v>53</v>
      </c>
      <c r="K1575" t="str">
        <f t="shared" si="81"/>
        <v>1+0</v>
      </c>
      <c r="L1575">
        <f>VLOOKUP(A1575,'ZONE 1 PREMIUM'!$A$3:$M$16,13,0)</f>
        <v>7</v>
      </c>
      <c r="M1575">
        <f>VLOOKUP(D1575,DROPDOWN!B:C,2,0)</f>
        <v>7</v>
      </c>
      <c r="N1575" t="str">
        <f t="shared" si="82"/>
        <v>BR3:CJ16</v>
      </c>
      <c r="O1575" s="4">
        <f t="shared" ca="1" si="80"/>
        <v>27385.600000000002</v>
      </c>
    </row>
    <row r="1576" spans="1:15">
      <c r="A1576" s="2" t="s">
        <v>15</v>
      </c>
      <c r="B1576" t="s">
        <v>33</v>
      </c>
      <c r="C1576" t="s">
        <v>34</v>
      </c>
      <c r="D1576">
        <v>15</v>
      </c>
      <c r="E1576" t="s">
        <v>26</v>
      </c>
      <c r="F1576">
        <v>1</v>
      </c>
      <c r="G1576">
        <v>1</v>
      </c>
      <c r="H1576">
        <v>0</v>
      </c>
      <c r="I1576">
        <v>1</v>
      </c>
      <c r="J1576" s="4" t="s">
        <v>53</v>
      </c>
      <c r="K1576" t="str">
        <f t="shared" si="81"/>
        <v>1+0</v>
      </c>
      <c r="L1576">
        <f>VLOOKUP(A1576,'ZONE 1 PREMIUM'!$A$3:$M$16,13,0)</f>
        <v>8</v>
      </c>
      <c r="M1576">
        <f>VLOOKUP(D1576,DROPDOWN!B:C,2,0)</f>
        <v>7</v>
      </c>
      <c r="N1576" t="str">
        <f t="shared" si="82"/>
        <v>BR3:CJ16</v>
      </c>
      <c r="O1576" s="4">
        <f t="shared" ca="1" si="80"/>
        <v>34060.400000000001</v>
      </c>
    </row>
    <row r="1577" spans="1:15">
      <c r="A1577" s="2" t="s">
        <v>16</v>
      </c>
      <c r="B1577" t="s">
        <v>35</v>
      </c>
      <c r="C1577" t="s">
        <v>36</v>
      </c>
      <c r="D1577">
        <v>15</v>
      </c>
      <c r="E1577" t="s">
        <v>26</v>
      </c>
      <c r="F1577">
        <v>1</v>
      </c>
      <c r="G1577">
        <v>1</v>
      </c>
      <c r="H1577">
        <v>0</v>
      </c>
      <c r="I1577">
        <v>1</v>
      </c>
      <c r="J1577" s="4" t="s">
        <v>53</v>
      </c>
      <c r="K1577" t="str">
        <f t="shared" si="81"/>
        <v>1+0</v>
      </c>
      <c r="L1577">
        <f>VLOOKUP(A1577,'ZONE 1 PREMIUM'!$A$3:$M$16,13,0)</f>
        <v>9</v>
      </c>
      <c r="M1577">
        <f>VLOOKUP(D1577,DROPDOWN!B:C,2,0)</f>
        <v>7</v>
      </c>
      <c r="N1577" t="str">
        <f t="shared" si="82"/>
        <v>BR3:CJ16</v>
      </c>
      <c r="O1577" s="4">
        <f t="shared" ca="1" si="80"/>
        <v>44809.600000000006</v>
      </c>
    </row>
    <row r="1578" spans="1:15">
      <c r="A1578" s="2" t="s">
        <v>17</v>
      </c>
      <c r="B1578" t="s">
        <v>37</v>
      </c>
      <c r="C1578" t="s">
        <v>38</v>
      </c>
      <c r="D1578">
        <v>15</v>
      </c>
      <c r="E1578" t="s">
        <v>26</v>
      </c>
      <c r="F1578">
        <v>1</v>
      </c>
      <c r="G1578">
        <v>1</v>
      </c>
      <c r="H1578">
        <v>0</v>
      </c>
      <c r="I1578">
        <v>1</v>
      </c>
      <c r="J1578" s="4" t="s">
        <v>53</v>
      </c>
      <c r="K1578" t="str">
        <f t="shared" si="81"/>
        <v>1+0</v>
      </c>
      <c r="L1578">
        <f>VLOOKUP(A1578,'ZONE 1 PREMIUM'!$A$3:$M$16,13,0)</f>
        <v>10</v>
      </c>
      <c r="M1578">
        <f>VLOOKUP(D1578,DROPDOWN!B:C,2,0)</f>
        <v>7</v>
      </c>
      <c r="N1578" t="str">
        <f t="shared" si="82"/>
        <v>BR3:CJ16</v>
      </c>
      <c r="O1578" s="4">
        <f t="shared" ca="1" si="80"/>
        <v>60765.100000000006</v>
      </c>
    </row>
    <row r="1579" spans="1:15">
      <c r="A1579" s="2" t="s">
        <v>18</v>
      </c>
      <c r="B1579" t="s">
        <v>39</v>
      </c>
      <c r="C1579" t="s">
        <v>40</v>
      </c>
      <c r="D1579">
        <v>15</v>
      </c>
      <c r="E1579" t="s">
        <v>26</v>
      </c>
      <c r="F1579">
        <v>1</v>
      </c>
      <c r="G1579">
        <v>1</v>
      </c>
      <c r="H1579">
        <v>0</v>
      </c>
      <c r="I1579">
        <v>1</v>
      </c>
      <c r="J1579" s="4" t="s">
        <v>53</v>
      </c>
      <c r="K1579" t="str">
        <f t="shared" si="81"/>
        <v>1+0</v>
      </c>
      <c r="L1579">
        <f>VLOOKUP(A1579,'ZONE 1 PREMIUM'!$A$3:$M$16,13,0)</f>
        <v>11</v>
      </c>
      <c r="M1579">
        <f>VLOOKUP(D1579,DROPDOWN!B:C,2,0)</f>
        <v>7</v>
      </c>
      <c r="N1579" t="str">
        <f t="shared" si="82"/>
        <v>BR3:CJ16</v>
      </c>
      <c r="O1579" s="4">
        <f t="shared" ca="1" si="80"/>
        <v>84033.400000000009</v>
      </c>
    </row>
    <row r="1580" spans="1:15">
      <c r="A1580" s="2" t="s">
        <v>19</v>
      </c>
      <c r="B1580" t="s">
        <v>41</v>
      </c>
      <c r="C1580" t="s">
        <v>42</v>
      </c>
      <c r="D1580">
        <v>15</v>
      </c>
      <c r="E1580" t="s">
        <v>26</v>
      </c>
      <c r="F1580">
        <v>1</v>
      </c>
      <c r="G1580">
        <v>1</v>
      </c>
      <c r="H1580">
        <v>0</v>
      </c>
      <c r="I1580">
        <v>1</v>
      </c>
      <c r="J1580" s="4" t="s">
        <v>53</v>
      </c>
      <c r="K1580" t="str">
        <f t="shared" si="81"/>
        <v>1+0</v>
      </c>
      <c r="L1580">
        <f>VLOOKUP(A1580,'ZONE 1 PREMIUM'!$A$3:$M$16,13,0)</f>
        <v>12</v>
      </c>
      <c r="M1580">
        <f>VLOOKUP(D1580,DROPDOWN!B:C,2,0)</f>
        <v>7</v>
      </c>
      <c r="N1580" t="str">
        <f t="shared" si="82"/>
        <v>BR3:CJ16</v>
      </c>
      <c r="O1580" s="4">
        <f t="shared" ca="1" si="80"/>
        <v>107346.8</v>
      </c>
    </row>
    <row r="1581" spans="1:15">
      <c r="A1581" s="2" t="s">
        <v>20</v>
      </c>
      <c r="B1581" t="s">
        <v>43</v>
      </c>
      <c r="C1581" t="s">
        <v>44</v>
      </c>
      <c r="D1581">
        <v>15</v>
      </c>
      <c r="E1581" t="s">
        <v>26</v>
      </c>
      <c r="F1581">
        <v>1</v>
      </c>
      <c r="G1581">
        <v>1</v>
      </c>
      <c r="H1581">
        <v>0</v>
      </c>
      <c r="I1581">
        <v>1</v>
      </c>
      <c r="J1581" s="4" t="s">
        <v>53</v>
      </c>
      <c r="K1581" t="str">
        <f t="shared" si="81"/>
        <v>1+0</v>
      </c>
      <c r="L1581">
        <f>VLOOKUP(A1581,'ZONE 1 PREMIUM'!$A$3:$M$16,13,0)</f>
        <v>13</v>
      </c>
      <c r="M1581">
        <f>VLOOKUP(D1581,DROPDOWN!B:C,2,0)</f>
        <v>7</v>
      </c>
      <c r="N1581" t="str">
        <f t="shared" si="82"/>
        <v>BR3:CJ16</v>
      </c>
      <c r="O1581" s="4">
        <f t="shared" ca="1" si="80"/>
        <v>128976.1</v>
      </c>
    </row>
    <row r="1582" spans="1:15">
      <c r="A1582" s="2" t="s">
        <v>21</v>
      </c>
      <c r="B1582" t="s">
        <v>22</v>
      </c>
      <c r="D1582">
        <v>15</v>
      </c>
      <c r="E1582" t="s">
        <v>26</v>
      </c>
      <c r="F1582">
        <v>1</v>
      </c>
      <c r="G1582">
        <v>1</v>
      </c>
      <c r="H1582">
        <v>0</v>
      </c>
      <c r="I1582">
        <v>1</v>
      </c>
      <c r="J1582" s="4" t="s">
        <v>53</v>
      </c>
      <c r="K1582" t="str">
        <f t="shared" si="81"/>
        <v>1+0</v>
      </c>
      <c r="L1582">
        <f>VLOOKUP(A1582,'ZONE 1 PREMIUM'!$A$3:$M$16,13,0)</f>
        <v>14</v>
      </c>
      <c r="M1582">
        <f>VLOOKUP(D1582,DROPDOWN!B:C,2,0)</f>
        <v>7</v>
      </c>
      <c r="N1582" t="str">
        <f t="shared" si="82"/>
        <v>BR3:CJ16</v>
      </c>
      <c r="O1582" s="4">
        <f t="shared" ca="1" si="80"/>
        <v>173184</v>
      </c>
    </row>
    <row r="1583" spans="1:15">
      <c r="A1583" s="2" t="s">
        <v>11</v>
      </c>
      <c r="B1583" t="s">
        <v>45</v>
      </c>
      <c r="C1583" t="s">
        <v>25</v>
      </c>
      <c r="D1583">
        <v>15</v>
      </c>
      <c r="E1583" t="s">
        <v>46</v>
      </c>
      <c r="F1583">
        <v>2</v>
      </c>
      <c r="G1583">
        <v>1</v>
      </c>
      <c r="H1583">
        <v>1</v>
      </c>
      <c r="I1583">
        <v>1</v>
      </c>
      <c r="J1583" s="4" t="s">
        <v>53</v>
      </c>
      <c r="K1583" t="str">
        <f t="shared" si="81"/>
        <v>1+1</v>
      </c>
      <c r="L1583">
        <f>VLOOKUP(A1583,'ZONE 1 PREMIUM'!$A$4:$N$16,14,0)</f>
        <v>2</v>
      </c>
      <c r="M1583">
        <f>VLOOKUP(D1583,DROPDOWN!B:C,2,0)</f>
        <v>7</v>
      </c>
      <c r="N1583" t="str">
        <f t="shared" si="82"/>
        <v>BR20:CJ31</v>
      </c>
      <c r="O1583" s="4">
        <f t="shared" ca="1" si="80"/>
        <v>19929.800000000003</v>
      </c>
    </row>
    <row r="1584" spans="1:15">
      <c r="A1584" s="2" t="s">
        <v>12</v>
      </c>
      <c r="B1584" t="s">
        <v>27</v>
      </c>
      <c r="C1584" t="s">
        <v>28</v>
      </c>
      <c r="D1584">
        <v>15</v>
      </c>
      <c r="E1584" t="s">
        <v>46</v>
      </c>
      <c r="F1584">
        <v>2</v>
      </c>
      <c r="G1584">
        <v>1</v>
      </c>
      <c r="H1584">
        <v>1</v>
      </c>
      <c r="I1584">
        <v>1</v>
      </c>
      <c r="J1584" s="4" t="s">
        <v>53</v>
      </c>
      <c r="K1584" t="str">
        <f t="shared" si="81"/>
        <v>1+1</v>
      </c>
      <c r="L1584">
        <f>VLOOKUP(A1584,'ZONE 1 PREMIUM'!$A$4:$N$16,14,0)</f>
        <v>3</v>
      </c>
      <c r="M1584">
        <f>VLOOKUP(D1584,DROPDOWN!B:C,2,0)</f>
        <v>7</v>
      </c>
      <c r="N1584" t="str">
        <f t="shared" si="82"/>
        <v>BR20:CJ31</v>
      </c>
      <c r="O1584" s="4">
        <f t="shared" ca="1" si="80"/>
        <v>22099</v>
      </c>
    </row>
    <row r="1585" spans="1:15">
      <c r="A1585" s="2" t="s">
        <v>13</v>
      </c>
      <c r="B1585" t="s">
        <v>29</v>
      </c>
      <c r="C1585" t="s">
        <v>30</v>
      </c>
      <c r="D1585">
        <v>15</v>
      </c>
      <c r="E1585" t="s">
        <v>46</v>
      </c>
      <c r="F1585">
        <v>2</v>
      </c>
      <c r="G1585">
        <v>1</v>
      </c>
      <c r="H1585">
        <v>1</v>
      </c>
      <c r="I1585">
        <v>1</v>
      </c>
      <c r="J1585" s="4" t="s">
        <v>53</v>
      </c>
      <c r="K1585" t="str">
        <f t="shared" si="81"/>
        <v>1+1</v>
      </c>
      <c r="L1585">
        <f>VLOOKUP(A1585,'ZONE 1 PREMIUM'!$A$4:$N$16,14,0)</f>
        <v>4</v>
      </c>
      <c r="M1585">
        <f>VLOOKUP(D1585,DROPDOWN!B:C,2,0)</f>
        <v>7</v>
      </c>
      <c r="N1585" t="str">
        <f t="shared" si="82"/>
        <v>BR20:CJ31</v>
      </c>
      <c r="O1585" s="4">
        <f t="shared" ca="1" si="80"/>
        <v>25562.9</v>
      </c>
    </row>
    <row r="1586" spans="1:15">
      <c r="A1586" s="2" t="s">
        <v>14</v>
      </c>
      <c r="B1586" t="s">
        <v>31</v>
      </c>
      <c r="C1586" t="s">
        <v>32</v>
      </c>
      <c r="D1586">
        <v>15</v>
      </c>
      <c r="E1586" t="s">
        <v>46</v>
      </c>
      <c r="F1586">
        <v>2</v>
      </c>
      <c r="G1586">
        <v>1</v>
      </c>
      <c r="H1586">
        <v>1</v>
      </c>
      <c r="I1586">
        <v>1</v>
      </c>
      <c r="J1586" s="4" t="s">
        <v>53</v>
      </c>
      <c r="K1586" t="str">
        <f t="shared" si="81"/>
        <v>1+1</v>
      </c>
      <c r="L1586">
        <f>VLOOKUP(A1586,'ZONE 1 PREMIUM'!$A$4:$N$16,14,0)</f>
        <v>5</v>
      </c>
      <c r="M1586">
        <f>VLOOKUP(D1586,DROPDOWN!B:C,2,0)</f>
        <v>7</v>
      </c>
      <c r="N1586" t="str">
        <f t="shared" si="82"/>
        <v>BR20:CJ31</v>
      </c>
      <c r="O1586" s="4">
        <f t="shared" ca="1" si="80"/>
        <v>30096.000000000004</v>
      </c>
    </row>
    <row r="1587" spans="1:15">
      <c r="A1587" s="2" t="s">
        <v>15</v>
      </c>
      <c r="B1587" t="s">
        <v>33</v>
      </c>
      <c r="C1587" t="s">
        <v>34</v>
      </c>
      <c r="D1587">
        <v>15</v>
      </c>
      <c r="E1587" t="s">
        <v>46</v>
      </c>
      <c r="F1587">
        <v>2</v>
      </c>
      <c r="G1587">
        <v>1</v>
      </c>
      <c r="H1587">
        <v>1</v>
      </c>
      <c r="I1587">
        <v>1</v>
      </c>
      <c r="J1587" s="4" t="s">
        <v>53</v>
      </c>
      <c r="K1587" t="str">
        <f t="shared" si="81"/>
        <v>1+1</v>
      </c>
      <c r="L1587">
        <f>VLOOKUP(A1587,'ZONE 1 PREMIUM'!$A$4:$N$16,14,0)</f>
        <v>6</v>
      </c>
      <c r="M1587">
        <f>VLOOKUP(D1587,DROPDOWN!B:C,2,0)</f>
        <v>7</v>
      </c>
      <c r="N1587" t="str">
        <f t="shared" si="82"/>
        <v>BR20:CJ31</v>
      </c>
      <c r="O1587" s="4">
        <f t="shared" ca="1" si="80"/>
        <v>37105.200000000004</v>
      </c>
    </row>
    <row r="1588" spans="1:15">
      <c r="A1588" s="2" t="s">
        <v>16</v>
      </c>
      <c r="B1588" t="s">
        <v>35</v>
      </c>
      <c r="C1588" t="s">
        <v>36</v>
      </c>
      <c r="D1588">
        <v>15</v>
      </c>
      <c r="E1588" t="s">
        <v>46</v>
      </c>
      <c r="F1588">
        <v>2</v>
      </c>
      <c r="G1588">
        <v>1</v>
      </c>
      <c r="H1588">
        <v>1</v>
      </c>
      <c r="I1588">
        <v>1</v>
      </c>
      <c r="J1588" s="4" t="s">
        <v>53</v>
      </c>
      <c r="K1588" t="str">
        <f t="shared" si="81"/>
        <v>1+1</v>
      </c>
      <c r="L1588">
        <f>VLOOKUP(A1588,'ZONE 1 PREMIUM'!$A$4:$N$16,14,0)</f>
        <v>7</v>
      </c>
      <c r="M1588">
        <f>VLOOKUP(D1588,DROPDOWN!B:C,2,0)</f>
        <v>7</v>
      </c>
      <c r="N1588" t="str">
        <f t="shared" si="82"/>
        <v>BR20:CJ31</v>
      </c>
      <c r="O1588" s="4">
        <f t="shared" ca="1" si="80"/>
        <v>48150.3</v>
      </c>
    </row>
    <row r="1589" spans="1:15">
      <c r="A1589" s="2" t="s">
        <v>17</v>
      </c>
      <c r="B1589" t="s">
        <v>37</v>
      </c>
      <c r="C1589" t="s">
        <v>38</v>
      </c>
      <c r="D1589">
        <v>15</v>
      </c>
      <c r="E1589" t="s">
        <v>46</v>
      </c>
      <c r="F1589">
        <v>2</v>
      </c>
      <c r="G1589">
        <v>1</v>
      </c>
      <c r="H1589">
        <v>1</v>
      </c>
      <c r="I1589">
        <v>1</v>
      </c>
      <c r="J1589" s="4" t="s">
        <v>53</v>
      </c>
      <c r="K1589" t="str">
        <f t="shared" si="81"/>
        <v>1+1</v>
      </c>
      <c r="L1589">
        <f>VLOOKUP(A1589,'ZONE 1 PREMIUM'!$A$4:$N$16,14,0)</f>
        <v>8</v>
      </c>
      <c r="M1589">
        <f>VLOOKUP(D1589,DROPDOWN!B:C,2,0)</f>
        <v>7</v>
      </c>
      <c r="N1589" t="str">
        <f t="shared" si="82"/>
        <v>BR20:CJ31</v>
      </c>
      <c r="O1589" s="4">
        <f t="shared" ca="1" si="80"/>
        <v>64194.900000000009</v>
      </c>
    </row>
    <row r="1590" spans="1:15">
      <c r="A1590" s="2" t="s">
        <v>18</v>
      </c>
      <c r="B1590" t="s">
        <v>39</v>
      </c>
      <c r="C1590" t="s">
        <v>40</v>
      </c>
      <c r="D1590">
        <v>15</v>
      </c>
      <c r="E1590" t="s">
        <v>46</v>
      </c>
      <c r="F1590">
        <v>2</v>
      </c>
      <c r="G1590">
        <v>1</v>
      </c>
      <c r="H1590">
        <v>1</v>
      </c>
      <c r="I1590">
        <v>1</v>
      </c>
      <c r="J1590" s="4" t="s">
        <v>53</v>
      </c>
      <c r="K1590" t="str">
        <f t="shared" si="81"/>
        <v>1+1</v>
      </c>
      <c r="L1590">
        <f>VLOOKUP(A1590,'ZONE 1 PREMIUM'!$A$4:$N$16,14,0)</f>
        <v>9</v>
      </c>
      <c r="M1590">
        <f>VLOOKUP(D1590,DROPDOWN!B:C,2,0)</f>
        <v>7</v>
      </c>
      <c r="N1590" t="str">
        <f t="shared" si="82"/>
        <v>BR20:CJ31</v>
      </c>
      <c r="O1590" s="4">
        <f t="shared" ca="1" si="80"/>
        <v>88452.1</v>
      </c>
    </row>
    <row r="1591" spans="1:15">
      <c r="A1591" s="2" t="s">
        <v>19</v>
      </c>
      <c r="B1591" t="s">
        <v>41</v>
      </c>
      <c r="C1591" t="s">
        <v>42</v>
      </c>
      <c r="D1591">
        <v>15</v>
      </c>
      <c r="E1591" t="s">
        <v>46</v>
      </c>
      <c r="F1591">
        <v>2</v>
      </c>
      <c r="G1591">
        <v>1</v>
      </c>
      <c r="H1591">
        <v>1</v>
      </c>
      <c r="I1591">
        <v>1</v>
      </c>
      <c r="J1591" s="4" t="s">
        <v>53</v>
      </c>
      <c r="K1591" t="str">
        <f t="shared" si="81"/>
        <v>1+1</v>
      </c>
      <c r="L1591">
        <f>VLOOKUP(A1591,'ZONE 1 PREMIUM'!$A$4:$N$16,14,0)</f>
        <v>10</v>
      </c>
      <c r="M1591">
        <f>VLOOKUP(D1591,DROPDOWN!B:C,2,0)</f>
        <v>7</v>
      </c>
      <c r="N1591" t="str">
        <f t="shared" si="82"/>
        <v>BR20:CJ31</v>
      </c>
      <c r="O1591" s="4">
        <f t="shared" ca="1" si="80"/>
        <v>111815.00000000001</v>
      </c>
    </row>
    <row r="1592" spans="1:15">
      <c r="A1592" s="2" t="s">
        <v>20</v>
      </c>
      <c r="B1592" t="s">
        <v>43</v>
      </c>
      <c r="C1592" t="s">
        <v>44</v>
      </c>
      <c r="D1592">
        <v>15</v>
      </c>
      <c r="E1592" t="s">
        <v>46</v>
      </c>
      <c r="F1592">
        <v>2</v>
      </c>
      <c r="G1592">
        <v>1</v>
      </c>
      <c r="H1592">
        <v>1</v>
      </c>
      <c r="I1592">
        <v>1</v>
      </c>
      <c r="J1592" s="4" t="s">
        <v>53</v>
      </c>
      <c r="K1592" t="str">
        <f t="shared" si="81"/>
        <v>1+1</v>
      </c>
      <c r="L1592">
        <f>VLOOKUP(A1592,'ZONE 1 PREMIUM'!$A$4:$N$16,14,0)</f>
        <v>11</v>
      </c>
      <c r="M1592">
        <f>VLOOKUP(D1592,DROPDOWN!B:C,2,0)</f>
        <v>7</v>
      </c>
      <c r="N1592" t="str">
        <f t="shared" si="82"/>
        <v>BR20:CJ31</v>
      </c>
      <c r="O1592" s="4">
        <f t="shared" ca="1" si="80"/>
        <v>131810.80000000002</v>
      </c>
    </row>
    <row r="1593" spans="1:15">
      <c r="A1593" s="2" t="s">
        <v>21</v>
      </c>
      <c r="B1593" t="s">
        <v>22</v>
      </c>
      <c r="D1593">
        <v>15</v>
      </c>
      <c r="E1593" t="s">
        <v>46</v>
      </c>
      <c r="F1593">
        <v>2</v>
      </c>
      <c r="G1593">
        <v>1</v>
      </c>
      <c r="H1593">
        <v>1</v>
      </c>
      <c r="I1593">
        <v>1</v>
      </c>
      <c r="J1593" s="4" t="s">
        <v>53</v>
      </c>
      <c r="K1593" t="str">
        <f t="shared" si="81"/>
        <v>1+1</v>
      </c>
      <c r="L1593">
        <f>VLOOKUP(A1593,'ZONE 1 PREMIUM'!$A$4:$N$16,14,0)</f>
        <v>12</v>
      </c>
      <c r="M1593">
        <f>VLOOKUP(D1593,DROPDOWN!B:C,2,0)</f>
        <v>7</v>
      </c>
      <c r="N1593" t="str">
        <f t="shared" si="82"/>
        <v>BR20:CJ31</v>
      </c>
      <c r="O1593" s="4">
        <f t="shared" ca="1" si="80"/>
        <v>178678.5</v>
      </c>
    </row>
    <row r="1594" spans="1:15">
      <c r="A1594" s="2" t="s">
        <v>11</v>
      </c>
      <c r="B1594" t="s">
        <v>45</v>
      </c>
      <c r="C1594" t="s">
        <v>25</v>
      </c>
      <c r="D1594">
        <v>15</v>
      </c>
      <c r="E1594" t="s">
        <v>46</v>
      </c>
      <c r="F1594">
        <v>3</v>
      </c>
      <c r="G1594">
        <v>1</v>
      </c>
      <c r="H1594">
        <v>2</v>
      </c>
      <c r="I1594">
        <v>1</v>
      </c>
      <c r="J1594" s="4" t="s">
        <v>53</v>
      </c>
      <c r="K1594" t="str">
        <f t="shared" si="81"/>
        <v>1+2</v>
      </c>
      <c r="L1594">
        <f>VLOOKUP(A1594,'ZONE 1 PREMIUM'!$A$4:$N$16,14,0)</f>
        <v>2</v>
      </c>
      <c r="M1594">
        <f>VLOOKUP(D1594,DROPDOWN!B:C,2,0)</f>
        <v>7</v>
      </c>
      <c r="N1594" t="str">
        <f t="shared" si="82"/>
        <v>BR35:CJ46</v>
      </c>
      <c r="O1594" s="4">
        <f t="shared" ca="1" si="80"/>
        <v>25821.4</v>
      </c>
    </row>
    <row r="1595" spans="1:15">
      <c r="A1595" s="2" t="s">
        <v>12</v>
      </c>
      <c r="B1595" t="s">
        <v>27</v>
      </c>
      <c r="C1595" t="s">
        <v>28</v>
      </c>
      <c r="D1595">
        <v>15</v>
      </c>
      <c r="E1595" t="s">
        <v>46</v>
      </c>
      <c r="F1595">
        <v>3</v>
      </c>
      <c r="G1595">
        <v>1</v>
      </c>
      <c r="H1595">
        <v>2</v>
      </c>
      <c r="I1595">
        <v>1</v>
      </c>
      <c r="J1595" s="4" t="s">
        <v>53</v>
      </c>
      <c r="K1595" t="str">
        <f t="shared" si="81"/>
        <v>1+2</v>
      </c>
      <c r="L1595">
        <f>VLOOKUP(A1595,'ZONE 1 PREMIUM'!$A$4:$N$16,14,0)</f>
        <v>3</v>
      </c>
      <c r="M1595">
        <f>VLOOKUP(D1595,DROPDOWN!B:C,2,0)</f>
        <v>7</v>
      </c>
      <c r="N1595" t="str">
        <f t="shared" si="82"/>
        <v>BR35:CJ46</v>
      </c>
      <c r="O1595" s="4">
        <f t="shared" ca="1" si="80"/>
        <v>27776.100000000002</v>
      </c>
    </row>
    <row r="1596" spans="1:15">
      <c r="A1596" s="2" t="s">
        <v>13</v>
      </c>
      <c r="B1596" t="s">
        <v>29</v>
      </c>
      <c r="C1596" t="s">
        <v>30</v>
      </c>
      <c r="D1596">
        <v>15</v>
      </c>
      <c r="E1596" t="s">
        <v>46</v>
      </c>
      <c r="F1596">
        <v>3</v>
      </c>
      <c r="G1596">
        <v>1</v>
      </c>
      <c r="H1596">
        <v>2</v>
      </c>
      <c r="I1596">
        <v>1</v>
      </c>
      <c r="J1596" s="4" t="s">
        <v>53</v>
      </c>
      <c r="K1596" t="str">
        <f t="shared" si="81"/>
        <v>1+2</v>
      </c>
      <c r="L1596">
        <f>VLOOKUP(A1596,'ZONE 1 PREMIUM'!$A$4:$N$16,14,0)</f>
        <v>4</v>
      </c>
      <c r="M1596">
        <f>VLOOKUP(D1596,DROPDOWN!B:C,2,0)</f>
        <v>7</v>
      </c>
      <c r="N1596" t="str">
        <f t="shared" si="82"/>
        <v>BR35:CJ46</v>
      </c>
      <c r="O1596" s="4">
        <f t="shared" ca="1" si="80"/>
        <v>32142.000000000004</v>
      </c>
    </row>
    <row r="1597" spans="1:15">
      <c r="A1597" s="2" t="s">
        <v>14</v>
      </c>
      <c r="B1597" t="s">
        <v>31</v>
      </c>
      <c r="C1597" t="s">
        <v>32</v>
      </c>
      <c r="D1597">
        <v>15</v>
      </c>
      <c r="E1597" t="s">
        <v>46</v>
      </c>
      <c r="F1597">
        <v>3</v>
      </c>
      <c r="G1597">
        <v>1</v>
      </c>
      <c r="H1597">
        <v>2</v>
      </c>
      <c r="I1597">
        <v>1</v>
      </c>
      <c r="J1597" s="4" t="s">
        <v>53</v>
      </c>
      <c r="K1597" t="str">
        <f t="shared" si="81"/>
        <v>1+2</v>
      </c>
      <c r="L1597">
        <f>VLOOKUP(A1597,'ZONE 1 PREMIUM'!$A$4:$N$16,14,0)</f>
        <v>5</v>
      </c>
      <c r="M1597">
        <f>VLOOKUP(D1597,DROPDOWN!B:C,2,0)</f>
        <v>7</v>
      </c>
      <c r="N1597" t="str">
        <f t="shared" si="82"/>
        <v>BR35:CJ46</v>
      </c>
      <c r="O1597" s="4">
        <f t="shared" ca="1" si="80"/>
        <v>36075.600000000006</v>
      </c>
    </row>
    <row r="1598" spans="1:15">
      <c r="A1598" s="2" t="s">
        <v>15</v>
      </c>
      <c r="B1598" t="s">
        <v>33</v>
      </c>
      <c r="C1598" t="s">
        <v>34</v>
      </c>
      <c r="D1598">
        <v>15</v>
      </c>
      <c r="E1598" t="s">
        <v>46</v>
      </c>
      <c r="F1598">
        <v>3</v>
      </c>
      <c r="G1598">
        <v>1</v>
      </c>
      <c r="H1598">
        <v>2</v>
      </c>
      <c r="I1598">
        <v>1</v>
      </c>
      <c r="J1598" s="4" t="s">
        <v>53</v>
      </c>
      <c r="K1598" t="str">
        <f t="shared" si="81"/>
        <v>1+2</v>
      </c>
      <c r="L1598">
        <f>VLOOKUP(A1598,'ZONE 1 PREMIUM'!$A$4:$N$16,14,0)</f>
        <v>6</v>
      </c>
      <c r="M1598">
        <f>VLOOKUP(D1598,DROPDOWN!B:C,2,0)</f>
        <v>7</v>
      </c>
      <c r="N1598" t="str">
        <f t="shared" si="82"/>
        <v>BR35:CJ46</v>
      </c>
      <c r="O1598" s="4">
        <f t="shared" ca="1" si="80"/>
        <v>45112.100000000006</v>
      </c>
    </row>
    <row r="1599" spans="1:15">
      <c r="A1599" s="2" t="s">
        <v>16</v>
      </c>
      <c r="B1599" t="s">
        <v>35</v>
      </c>
      <c r="C1599" t="s">
        <v>36</v>
      </c>
      <c r="D1599">
        <v>15</v>
      </c>
      <c r="E1599" t="s">
        <v>46</v>
      </c>
      <c r="F1599">
        <v>3</v>
      </c>
      <c r="G1599">
        <v>1</v>
      </c>
      <c r="H1599">
        <v>2</v>
      </c>
      <c r="I1599">
        <v>1</v>
      </c>
      <c r="J1599" s="4" t="s">
        <v>53</v>
      </c>
      <c r="K1599" t="str">
        <f t="shared" si="81"/>
        <v>1+2</v>
      </c>
      <c r="L1599">
        <f>VLOOKUP(A1599,'ZONE 1 PREMIUM'!$A$4:$N$16,14,0)</f>
        <v>7</v>
      </c>
      <c r="M1599">
        <f>VLOOKUP(D1599,DROPDOWN!B:C,2,0)</f>
        <v>7</v>
      </c>
      <c r="N1599" t="str">
        <f t="shared" si="82"/>
        <v>BR35:CJ46</v>
      </c>
      <c r="O1599" s="4">
        <f t="shared" ca="1" si="80"/>
        <v>58074.500000000007</v>
      </c>
    </row>
    <row r="1600" spans="1:15">
      <c r="A1600" s="2" t="s">
        <v>17</v>
      </c>
      <c r="B1600" t="s">
        <v>37</v>
      </c>
      <c r="C1600" t="s">
        <v>38</v>
      </c>
      <c r="D1600">
        <v>15</v>
      </c>
      <c r="E1600" t="s">
        <v>46</v>
      </c>
      <c r="F1600">
        <v>3</v>
      </c>
      <c r="G1600">
        <v>1</v>
      </c>
      <c r="H1600">
        <v>2</v>
      </c>
      <c r="I1600">
        <v>1</v>
      </c>
      <c r="J1600" s="4" t="s">
        <v>53</v>
      </c>
      <c r="K1600" t="str">
        <f t="shared" si="81"/>
        <v>1+2</v>
      </c>
      <c r="L1600">
        <f>VLOOKUP(A1600,'ZONE 1 PREMIUM'!$A$4:$N$16,14,0)</f>
        <v>8</v>
      </c>
      <c r="M1600">
        <f>VLOOKUP(D1600,DROPDOWN!B:C,2,0)</f>
        <v>7</v>
      </c>
      <c r="N1600" t="str">
        <f t="shared" si="82"/>
        <v>BR35:CJ46</v>
      </c>
      <c r="O1600" s="4">
        <f t="shared" ca="1" si="80"/>
        <v>74884.700000000012</v>
      </c>
    </row>
    <row r="1601" spans="1:15">
      <c r="A1601" s="2" t="s">
        <v>18</v>
      </c>
      <c r="B1601" t="s">
        <v>39</v>
      </c>
      <c r="C1601" t="s">
        <v>40</v>
      </c>
      <c r="D1601">
        <v>15</v>
      </c>
      <c r="E1601" t="s">
        <v>46</v>
      </c>
      <c r="F1601">
        <v>3</v>
      </c>
      <c r="G1601">
        <v>1</v>
      </c>
      <c r="H1601">
        <v>2</v>
      </c>
      <c r="I1601">
        <v>1</v>
      </c>
      <c r="J1601" s="4" t="s">
        <v>53</v>
      </c>
      <c r="K1601" t="str">
        <f t="shared" si="81"/>
        <v>1+2</v>
      </c>
      <c r="L1601">
        <f>VLOOKUP(A1601,'ZONE 1 PREMIUM'!$A$4:$N$16,14,0)</f>
        <v>9</v>
      </c>
      <c r="M1601">
        <f>VLOOKUP(D1601,DROPDOWN!B:C,2,0)</f>
        <v>7</v>
      </c>
      <c r="N1601" t="str">
        <f t="shared" si="82"/>
        <v>BR35:CJ46</v>
      </c>
      <c r="O1601" s="4">
        <f t="shared" ca="1" si="80"/>
        <v>97176.200000000012</v>
      </c>
    </row>
    <row r="1602" spans="1:15">
      <c r="A1602" s="2" t="s">
        <v>19</v>
      </c>
      <c r="B1602" t="s">
        <v>41</v>
      </c>
      <c r="C1602" t="s">
        <v>42</v>
      </c>
      <c r="D1602">
        <v>15</v>
      </c>
      <c r="E1602" t="s">
        <v>46</v>
      </c>
      <c r="F1602">
        <v>3</v>
      </c>
      <c r="G1602">
        <v>1</v>
      </c>
      <c r="H1602">
        <v>2</v>
      </c>
      <c r="I1602">
        <v>1</v>
      </c>
      <c r="J1602" s="4" t="s">
        <v>53</v>
      </c>
      <c r="K1602" t="str">
        <f t="shared" si="81"/>
        <v>1+2</v>
      </c>
      <c r="L1602">
        <f>VLOOKUP(A1602,'ZONE 1 PREMIUM'!$A$4:$N$16,14,0)</f>
        <v>10</v>
      </c>
      <c r="M1602">
        <f>VLOOKUP(D1602,DROPDOWN!B:C,2,0)</f>
        <v>7</v>
      </c>
      <c r="N1602" t="str">
        <f t="shared" si="82"/>
        <v>BR35:CJ46</v>
      </c>
      <c r="O1602" s="4">
        <f t="shared" ref="O1602:O1665" ca="1" si="83">INDEX(INDIRECT(N1602),L1602,M1602)</f>
        <v>122479.50000000001</v>
      </c>
    </row>
    <row r="1603" spans="1:15">
      <c r="A1603" s="2" t="s">
        <v>20</v>
      </c>
      <c r="B1603" t="s">
        <v>43</v>
      </c>
      <c r="C1603" t="s">
        <v>44</v>
      </c>
      <c r="D1603">
        <v>15</v>
      </c>
      <c r="E1603" t="s">
        <v>46</v>
      </c>
      <c r="F1603">
        <v>3</v>
      </c>
      <c r="G1603">
        <v>1</v>
      </c>
      <c r="H1603">
        <v>2</v>
      </c>
      <c r="I1603">
        <v>1</v>
      </c>
      <c r="J1603" s="4" t="s">
        <v>53</v>
      </c>
      <c r="K1603" t="str">
        <f t="shared" si="81"/>
        <v>1+2</v>
      </c>
      <c r="L1603">
        <f>VLOOKUP(A1603,'ZONE 1 PREMIUM'!$A$4:$N$16,14,0)</f>
        <v>11</v>
      </c>
      <c r="M1603">
        <f>VLOOKUP(D1603,DROPDOWN!B:C,2,0)</f>
        <v>7</v>
      </c>
      <c r="N1603" t="str">
        <f t="shared" si="82"/>
        <v>BR35:CJ46</v>
      </c>
      <c r="O1603" s="4">
        <f t="shared" ca="1" si="83"/>
        <v>144377.20000000001</v>
      </c>
    </row>
    <row r="1604" spans="1:15">
      <c r="A1604" s="2" t="s">
        <v>21</v>
      </c>
      <c r="B1604" t="s">
        <v>22</v>
      </c>
      <c r="D1604">
        <v>15</v>
      </c>
      <c r="E1604" t="s">
        <v>46</v>
      </c>
      <c r="F1604">
        <v>3</v>
      </c>
      <c r="G1604">
        <v>1</v>
      </c>
      <c r="H1604">
        <v>2</v>
      </c>
      <c r="I1604">
        <v>1</v>
      </c>
      <c r="J1604" s="4" t="s">
        <v>53</v>
      </c>
      <c r="K1604" t="str">
        <f t="shared" ref="K1604:K1667" si="84">G1604&amp;"+"&amp;H1604</f>
        <v>1+2</v>
      </c>
      <c r="L1604">
        <f>VLOOKUP(A1604,'ZONE 1 PREMIUM'!$A$4:$N$16,14,0)</f>
        <v>12</v>
      </c>
      <c r="M1604">
        <f>VLOOKUP(D1604,DROPDOWN!B:C,2,0)</f>
        <v>7</v>
      </c>
      <c r="N1604" t="str">
        <f t="shared" si="82"/>
        <v>BR35:CJ46</v>
      </c>
      <c r="O1604" s="4">
        <f t="shared" ca="1" si="83"/>
        <v>188137.40000000002</v>
      </c>
    </row>
    <row r="1605" spans="1:15">
      <c r="A1605" s="2" t="s">
        <v>11</v>
      </c>
      <c r="B1605" t="s">
        <v>45</v>
      </c>
      <c r="C1605" t="s">
        <v>25</v>
      </c>
      <c r="D1605">
        <v>15</v>
      </c>
      <c r="E1605" t="s">
        <v>46</v>
      </c>
      <c r="F1605">
        <v>4</v>
      </c>
      <c r="G1605">
        <v>1</v>
      </c>
      <c r="H1605">
        <v>3</v>
      </c>
      <c r="I1605">
        <v>1</v>
      </c>
      <c r="J1605" s="4" t="s">
        <v>53</v>
      </c>
      <c r="K1605" t="str">
        <f t="shared" si="84"/>
        <v>1+3</v>
      </c>
      <c r="L1605">
        <f>VLOOKUP(A1605,'ZONE 1 PREMIUM'!$A$4:$N$16,14,0)</f>
        <v>2</v>
      </c>
      <c r="M1605">
        <f>VLOOKUP(D1605,DROPDOWN!B:C,2,0)</f>
        <v>7</v>
      </c>
      <c r="N1605" t="str">
        <f t="shared" si="82"/>
        <v>BR50:CJ61</v>
      </c>
      <c r="O1605" s="4">
        <f t="shared" ca="1" si="83"/>
        <v>31713.000000000004</v>
      </c>
    </row>
    <row r="1606" spans="1:15">
      <c r="A1606" s="2" t="s">
        <v>12</v>
      </c>
      <c r="B1606" t="s">
        <v>27</v>
      </c>
      <c r="C1606" t="s">
        <v>28</v>
      </c>
      <c r="D1606">
        <v>15</v>
      </c>
      <c r="E1606" t="s">
        <v>46</v>
      </c>
      <c r="F1606">
        <v>4</v>
      </c>
      <c r="G1606">
        <v>1</v>
      </c>
      <c r="H1606">
        <v>3</v>
      </c>
      <c r="I1606">
        <v>1</v>
      </c>
      <c r="J1606" s="4" t="s">
        <v>53</v>
      </c>
      <c r="K1606" t="str">
        <f t="shared" si="84"/>
        <v>1+3</v>
      </c>
      <c r="L1606">
        <f>VLOOKUP(A1606,'ZONE 1 PREMIUM'!$A$4:$N$16,14,0)</f>
        <v>3</v>
      </c>
      <c r="M1606">
        <f>VLOOKUP(D1606,DROPDOWN!B:C,2,0)</f>
        <v>7</v>
      </c>
      <c r="N1606" t="str">
        <f t="shared" si="82"/>
        <v>BR50:CJ61</v>
      </c>
      <c r="O1606" s="4">
        <f t="shared" ca="1" si="83"/>
        <v>33562.100000000006</v>
      </c>
    </row>
    <row r="1607" spans="1:15">
      <c r="A1607" s="2" t="s">
        <v>13</v>
      </c>
      <c r="B1607" t="s">
        <v>29</v>
      </c>
      <c r="C1607" t="s">
        <v>30</v>
      </c>
      <c r="D1607">
        <v>15</v>
      </c>
      <c r="E1607" t="s">
        <v>46</v>
      </c>
      <c r="F1607">
        <v>4</v>
      </c>
      <c r="G1607">
        <v>1</v>
      </c>
      <c r="H1607">
        <v>3</v>
      </c>
      <c r="I1607">
        <v>1</v>
      </c>
      <c r="J1607" s="4" t="s">
        <v>53</v>
      </c>
      <c r="K1607" t="str">
        <f t="shared" si="84"/>
        <v>1+3</v>
      </c>
      <c r="L1607">
        <f>VLOOKUP(A1607,'ZONE 1 PREMIUM'!$A$4:$N$16,14,0)</f>
        <v>4</v>
      </c>
      <c r="M1607">
        <f>VLOOKUP(D1607,DROPDOWN!B:C,2,0)</f>
        <v>7</v>
      </c>
      <c r="N1607" t="str">
        <f t="shared" si="82"/>
        <v>BR50:CJ61</v>
      </c>
      <c r="O1607" s="4">
        <f t="shared" ca="1" si="83"/>
        <v>38848.700000000004</v>
      </c>
    </row>
    <row r="1608" spans="1:15">
      <c r="A1608" s="2" t="s">
        <v>14</v>
      </c>
      <c r="B1608" t="s">
        <v>31</v>
      </c>
      <c r="C1608" t="s">
        <v>32</v>
      </c>
      <c r="D1608">
        <v>15</v>
      </c>
      <c r="E1608" t="s">
        <v>46</v>
      </c>
      <c r="F1608">
        <v>4</v>
      </c>
      <c r="G1608">
        <v>1</v>
      </c>
      <c r="H1608">
        <v>3</v>
      </c>
      <c r="I1608">
        <v>1</v>
      </c>
      <c r="J1608" s="4" t="s">
        <v>53</v>
      </c>
      <c r="K1608" t="str">
        <f t="shared" si="84"/>
        <v>1+3</v>
      </c>
      <c r="L1608">
        <f>VLOOKUP(A1608,'ZONE 1 PREMIUM'!$A$4:$N$16,14,0)</f>
        <v>5</v>
      </c>
      <c r="M1608">
        <f>VLOOKUP(D1608,DROPDOWN!B:C,2,0)</f>
        <v>7</v>
      </c>
      <c r="N1608" t="str">
        <f t="shared" si="82"/>
        <v>BR50:CJ61</v>
      </c>
      <c r="O1608" s="4">
        <f t="shared" ca="1" si="83"/>
        <v>43213.5</v>
      </c>
    </row>
    <row r="1609" spans="1:15">
      <c r="A1609" s="2" t="s">
        <v>15</v>
      </c>
      <c r="B1609" t="s">
        <v>33</v>
      </c>
      <c r="C1609" t="s">
        <v>34</v>
      </c>
      <c r="D1609">
        <v>15</v>
      </c>
      <c r="E1609" t="s">
        <v>46</v>
      </c>
      <c r="F1609">
        <v>4</v>
      </c>
      <c r="G1609">
        <v>1</v>
      </c>
      <c r="H1609">
        <v>3</v>
      </c>
      <c r="I1609">
        <v>1</v>
      </c>
      <c r="J1609" s="4" t="s">
        <v>53</v>
      </c>
      <c r="K1609" t="str">
        <f t="shared" si="84"/>
        <v>1+3</v>
      </c>
      <c r="L1609">
        <f>VLOOKUP(A1609,'ZONE 1 PREMIUM'!$A$4:$N$16,14,0)</f>
        <v>6</v>
      </c>
      <c r="M1609">
        <f>VLOOKUP(D1609,DROPDOWN!B:C,2,0)</f>
        <v>7</v>
      </c>
      <c r="N1609" t="str">
        <f t="shared" si="82"/>
        <v>BR50:CJ61</v>
      </c>
      <c r="O1609" s="4">
        <f t="shared" ca="1" si="83"/>
        <v>53119.000000000007</v>
      </c>
    </row>
    <row r="1610" spans="1:15">
      <c r="A1610" s="2" t="s">
        <v>16</v>
      </c>
      <c r="B1610" t="s">
        <v>35</v>
      </c>
      <c r="C1610" t="s">
        <v>36</v>
      </c>
      <c r="D1610">
        <v>15</v>
      </c>
      <c r="E1610" t="s">
        <v>46</v>
      </c>
      <c r="F1610">
        <v>4</v>
      </c>
      <c r="G1610">
        <v>1</v>
      </c>
      <c r="H1610">
        <v>3</v>
      </c>
      <c r="I1610">
        <v>1</v>
      </c>
      <c r="J1610" s="4" t="s">
        <v>53</v>
      </c>
      <c r="K1610" t="str">
        <f t="shared" si="84"/>
        <v>1+3</v>
      </c>
      <c r="L1610">
        <f>VLOOKUP(A1610,'ZONE 1 PREMIUM'!$A$4:$N$16,14,0)</f>
        <v>7</v>
      </c>
      <c r="M1610">
        <f>VLOOKUP(D1610,DROPDOWN!B:C,2,0)</f>
        <v>7</v>
      </c>
      <c r="N1610" t="str">
        <f t="shared" si="82"/>
        <v>BR50:CJ61</v>
      </c>
      <c r="O1610" s="4">
        <f t="shared" ca="1" si="83"/>
        <v>66977.900000000009</v>
      </c>
    </row>
    <row r="1611" spans="1:15">
      <c r="A1611" s="2" t="s">
        <v>17</v>
      </c>
      <c r="B1611" t="s">
        <v>37</v>
      </c>
      <c r="C1611" t="s">
        <v>38</v>
      </c>
      <c r="D1611">
        <v>15</v>
      </c>
      <c r="E1611" t="s">
        <v>46</v>
      </c>
      <c r="F1611">
        <v>4</v>
      </c>
      <c r="G1611">
        <v>1</v>
      </c>
      <c r="H1611">
        <v>3</v>
      </c>
      <c r="I1611">
        <v>1</v>
      </c>
      <c r="J1611" s="4" t="s">
        <v>53</v>
      </c>
      <c r="K1611" t="str">
        <f t="shared" si="84"/>
        <v>1+3</v>
      </c>
      <c r="L1611">
        <f>VLOOKUP(A1611,'ZONE 1 PREMIUM'!$A$4:$N$16,14,0)</f>
        <v>8</v>
      </c>
      <c r="M1611">
        <f>VLOOKUP(D1611,DROPDOWN!B:C,2,0)</f>
        <v>7</v>
      </c>
      <c r="N1611" t="str">
        <f t="shared" si="82"/>
        <v>BR50:CJ61</v>
      </c>
      <c r="O1611" s="4">
        <f t="shared" ca="1" si="83"/>
        <v>82793.700000000012</v>
      </c>
    </row>
    <row r="1612" spans="1:15">
      <c r="A1612" s="2" t="s">
        <v>18</v>
      </c>
      <c r="B1612" t="s">
        <v>39</v>
      </c>
      <c r="C1612" t="s">
        <v>40</v>
      </c>
      <c r="D1612">
        <v>15</v>
      </c>
      <c r="E1612" t="s">
        <v>46</v>
      </c>
      <c r="F1612">
        <v>4</v>
      </c>
      <c r="G1612">
        <v>1</v>
      </c>
      <c r="H1612">
        <v>3</v>
      </c>
      <c r="I1612">
        <v>1</v>
      </c>
      <c r="J1612" s="4" t="s">
        <v>53</v>
      </c>
      <c r="K1612" t="str">
        <f t="shared" si="84"/>
        <v>1+3</v>
      </c>
      <c r="L1612">
        <f>VLOOKUP(A1612,'ZONE 1 PREMIUM'!$A$4:$N$16,14,0)</f>
        <v>9</v>
      </c>
      <c r="M1612">
        <f>VLOOKUP(D1612,DROPDOWN!B:C,2,0)</f>
        <v>7</v>
      </c>
      <c r="N1612" t="str">
        <f t="shared" si="82"/>
        <v>BR50:CJ61</v>
      </c>
      <c r="O1612" s="4">
        <f t="shared" ca="1" si="83"/>
        <v>105897.00000000001</v>
      </c>
    </row>
    <row r="1613" spans="1:15">
      <c r="A1613" s="2" t="s">
        <v>19</v>
      </c>
      <c r="B1613" t="s">
        <v>41</v>
      </c>
      <c r="C1613" t="s">
        <v>42</v>
      </c>
      <c r="D1613">
        <v>15</v>
      </c>
      <c r="E1613" t="s">
        <v>46</v>
      </c>
      <c r="F1613">
        <v>4</v>
      </c>
      <c r="G1613">
        <v>1</v>
      </c>
      <c r="H1613">
        <v>3</v>
      </c>
      <c r="I1613">
        <v>1</v>
      </c>
      <c r="J1613" s="4" t="s">
        <v>53</v>
      </c>
      <c r="K1613" t="str">
        <f t="shared" si="84"/>
        <v>1+3</v>
      </c>
      <c r="L1613">
        <f>VLOOKUP(A1613,'ZONE 1 PREMIUM'!$A$4:$N$16,14,0)</f>
        <v>10</v>
      </c>
      <c r="M1613">
        <f>VLOOKUP(D1613,DROPDOWN!B:C,2,0)</f>
        <v>7</v>
      </c>
      <c r="N1613" t="str">
        <f t="shared" si="82"/>
        <v>BR50:CJ61</v>
      </c>
      <c r="O1613" s="4">
        <f t="shared" ca="1" si="83"/>
        <v>129563.50000000001</v>
      </c>
    </row>
    <row r="1614" spans="1:15">
      <c r="A1614" s="2" t="s">
        <v>20</v>
      </c>
      <c r="B1614" t="s">
        <v>43</v>
      </c>
      <c r="C1614" t="s">
        <v>44</v>
      </c>
      <c r="D1614">
        <v>15</v>
      </c>
      <c r="E1614" t="s">
        <v>46</v>
      </c>
      <c r="F1614">
        <v>4</v>
      </c>
      <c r="G1614">
        <v>1</v>
      </c>
      <c r="H1614">
        <v>3</v>
      </c>
      <c r="I1614">
        <v>1</v>
      </c>
      <c r="J1614" s="4" t="s">
        <v>53</v>
      </c>
      <c r="K1614" t="str">
        <f t="shared" si="84"/>
        <v>1+3</v>
      </c>
      <c r="L1614">
        <f>VLOOKUP(A1614,'ZONE 1 PREMIUM'!$A$4:$N$16,14,0)</f>
        <v>11</v>
      </c>
      <c r="M1614">
        <f>VLOOKUP(D1614,DROPDOWN!B:C,2,0)</f>
        <v>7</v>
      </c>
      <c r="N1614" t="str">
        <f t="shared" si="82"/>
        <v>BR50:CJ61</v>
      </c>
      <c r="O1614" s="4">
        <f t="shared" ca="1" si="83"/>
        <v>151123.5</v>
      </c>
    </row>
    <row r="1615" spans="1:15">
      <c r="A1615" s="2" t="s">
        <v>21</v>
      </c>
      <c r="B1615" t="s">
        <v>22</v>
      </c>
      <c r="D1615">
        <v>15</v>
      </c>
      <c r="E1615" t="s">
        <v>46</v>
      </c>
      <c r="F1615">
        <v>4</v>
      </c>
      <c r="G1615">
        <v>1</v>
      </c>
      <c r="H1615">
        <v>3</v>
      </c>
      <c r="I1615">
        <v>1</v>
      </c>
      <c r="J1615" s="4" t="s">
        <v>53</v>
      </c>
      <c r="K1615" t="str">
        <f t="shared" si="84"/>
        <v>1+3</v>
      </c>
      <c r="L1615">
        <f>VLOOKUP(A1615,'ZONE 1 PREMIUM'!$A$4:$N$16,14,0)</f>
        <v>12</v>
      </c>
      <c r="M1615">
        <f>VLOOKUP(D1615,DROPDOWN!B:C,2,0)</f>
        <v>7</v>
      </c>
      <c r="N1615" t="str">
        <f t="shared" si="82"/>
        <v>BR50:CJ61</v>
      </c>
      <c r="O1615" s="4">
        <f t="shared" ca="1" si="83"/>
        <v>195276.40000000002</v>
      </c>
    </row>
    <row r="1616" spans="1:15">
      <c r="A1616" s="2" t="s">
        <v>11</v>
      </c>
      <c r="B1616" t="s">
        <v>45</v>
      </c>
      <c r="C1616" t="s">
        <v>25</v>
      </c>
      <c r="D1616">
        <v>15</v>
      </c>
      <c r="E1616" t="s">
        <v>46</v>
      </c>
      <c r="F1616">
        <v>5</v>
      </c>
      <c r="G1616">
        <v>1</v>
      </c>
      <c r="H1616">
        <v>4</v>
      </c>
      <c r="I1616">
        <v>1</v>
      </c>
      <c r="J1616" s="4" t="s">
        <v>53</v>
      </c>
      <c r="K1616" t="str">
        <f t="shared" si="84"/>
        <v>1+4</v>
      </c>
      <c r="L1616">
        <f>VLOOKUP(A1616,'ZONE 1 PREMIUM'!$A$4:$N$16,14,0)</f>
        <v>2</v>
      </c>
      <c r="M1616">
        <f>VLOOKUP(D1616,DROPDOWN!B:C,2,0)</f>
        <v>7</v>
      </c>
      <c r="N1616" t="str">
        <f t="shared" si="82"/>
        <v>BR65:CJ76</v>
      </c>
      <c r="O1616" s="4">
        <f t="shared" ca="1" si="83"/>
        <v>37604.600000000006</v>
      </c>
    </row>
    <row r="1617" spans="1:15">
      <c r="A1617" s="2" t="s">
        <v>12</v>
      </c>
      <c r="B1617" t="s">
        <v>27</v>
      </c>
      <c r="C1617" t="s">
        <v>28</v>
      </c>
      <c r="D1617">
        <v>15</v>
      </c>
      <c r="E1617" t="s">
        <v>46</v>
      </c>
      <c r="F1617">
        <v>5</v>
      </c>
      <c r="G1617">
        <v>1</v>
      </c>
      <c r="H1617">
        <v>4</v>
      </c>
      <c r="I1617">
        <v>1</v>
      </c>
      <c r="J1617" s="4" t="s">
        <v>53</v>
      </c>
      <c r="K1617" t="str">
        <f t="shared" si="84"/>
        <v>1+4</v>
      </c>
      <c r="L1617">
        <f>VLOOKUP(A1617,'ZONE 1 PREMIUM'!$A$4:$N$16,14,0)</f>
        <v>3</v>
      </c>
      <c r="M1617">
        <f>VLOOKUP(D1617,DROPDOWN!B:C,2,0)</f>
        <v>7</v>
      </c>
      <c r="N1617" t="str">
        <f t="shared" si="82"/>
        <v>BR65:CJ76</v>
      </c>
      <c r="O1617" s="4">
        <f t="shared" ca="1" si="83"/>
        <v>39348.100000000006</v>
      </c>
    </row>
    <row r="1618" spans="1:15">
      <c r="A1618" s="2" t="s">
        <v>13</v>
      </c>
      <c r="B1618" t="s">
        <v>29</v>
      </c>
      <c r="C1618" t="s">
        <v>30</v>
      </c>
      <c r="D1618">
        <v>15</v>
      </c>
      <c r="E1618" t="s">
        <v>46</v>
      </c>
      <c r="F1618">
        <v>5</v>
      </c>
      <c r="G1618">
        <v>1</v>
      </c>
      <c r="H1618">
        <v>4</v>
      </c>
      <c r="I1618">
        <v>1</v>
      </c>
      <c r="J1618" s="4" t="s">
        <v>53</v>
      </c>
      <c r="K1618" t="str">
        <f t="shared" si="84"/>
        <v>1+4</v>
      </c>
      <c r="L1618">
        <f>VLOOKUP(A1618,'ZONE 1 PREMIUM'!$A$4:$N$16,14,0)</f>
        <v>4</v>
      </c>
      <c r="M1618">
        <f>VLOOKUP(D1618,DROPDOWN!B:C,2,0)</f>
        <v>7</v>
      </c>
      <c r="N1618" t="str">
        <f t="shared" si="82"/>
        <v>BR65:CJ76</v>
      </c>
      <c r="O1618" s="4">
        <f t="shared" ca="1" si="83"/>
        <v>45554.3</v>
      </c>
    </row>
    <row r="1619" spans="1:15">
      <c r="A1619" s="2" t="s">
        <v>14</v>
      </c>
      <c r="B1619" t="s">
        <v>31</v>
      </c>
      <c r="C1619" t="s">
        <v>32</v>
      </c>
      <c r="D1619">
        <v>15</v>
      </c>
      <c r="E1619" t="s">
        <v>46</v>
      </c>
      <c r="F1619">
        <v>5</v>
      </c>
      <c r="G1619">
        <v>1</v>
      </c>
      <c r="H1619">
        <v>4</v>
      </c>
      <c r="I1619">
        <v>1</v>
      </c>
      <c r="J1619" s="4" t="s">
        <v>53</v>
      </c>
      <c r="K1619" t="str">
        <f t="shared" si="84"/>
        <v>1+4</v>
      </c>
      <c r="L1619">
        <f>VLOOKUP(A1619,'ZONE 1 PREMIUM'!$A$4:$N$16,14,0)</f>
        <v>5</v>
      </c>
      <c r="M1619">
        <f>VLOOKUP(D1619,DROPDOWN!B:C,2,0)</f>
        <v>7</v>
      </c>
      <c r="N1619" t="str">
        <f t="shared" si="82"/>
        <v>BR65:CJ76</v>
      </c>
      <c r="O1619" s="4">
        <f t="shared" ca="1" si="83"/>
        <v>50351.4</v>
      </c>
    </row>
    <row r="1620" spans="1:15">
      <c r="A1620" s="2" t="s">
        <v>15</v>
      </c>
      <c r="B1620" t="s">
        <v>33</v>
      </c>
      <c r="C1620" t="s">
        <v>34</v>
      </c>
      <c r="D1620">
        <v>15</v>
      </c>
      <c r="E1620" t="s">
        <v>46</v>
      </c>
      <c r="F1620">
        <v>5</v>
      </c>
      <c r="G1620">
        <v>1</v>
      </c>
      <c r="H1620">
        <v>4</v>
      </c>
      <c r="I1620">
        <v>1</v>
      </c>
      <c r="J1620" s="4" t="s">
        <v>53</v>
      </c>
      <c r="K1620" t="str">
        <f t="shared" si="84"/>
        <v>1+4</v>
      </c>
      <c r="L1620">
        <f>VLOOKUP(A1620,'ZONE 1 PREMIUM'!$A$4:$N$16,14,0)</f>
        <v>6</v>
      </c>
      <c r="M1620">
        <f>VLOOKUP(D1620,DROPDOWN!B:C,2,0)</f>
        <v>7</v>
      </c>
      <c r="N1620" t="str">
        <f t="shared" si="82"/>
        <v>BR65:CJ76</v>
      </c>
      <c r="O1620" s="4">
        <f t="shared" ca="1" si="83"/>
        <v>61125.9</v>
      </c>
    </row>
    <row r="1621" spans="1:15">
      <c r="A1621" s="2" t="s">
        <v>16</v>
      </c>
      <c r="B1621" t="s">
        <v>35</v>
      </c>
      <c r="C1621" t="s">
        <v>36</v>
      </c>
      <c r="D1621">
        <v>15</v>
      </c>
      <c r="E1621" t="s">
        <v>46</v>
      </c>
      <c r="F1621">
        <v>5</v>
      </c>
      <c r="G1621">
        <v>1</v>
      </c>
      <c r="H1621">
        <v>4</v>
      </c>
      <c r="I1621">
        <v>1</v>
      </c>
      <c r="J1621" s="4" t="s">
        <v>53</v>
      </c>
      <c r="K1621" t="str">
        <f t="shared" si="84"/>
        <v>1+4</v>
      </c>
      <c r="L1621">
        <f>VLOOKUP(A1621,'ZONE 1 PREMIUM'!$A$4:$N$16,14,0)</f>
        <v>7</v>
      </c>
      <c r="M1621">
        <f>VLOOKUP(D1621,DROPDOWN!B:C,2,0)</f>
        <v>7</v>
      </c>
      <c r="N1621" t="str">
        <f t="shared" si="82"/>
        <v>BR65:CJ76</v>
      </c>
      <c r="O1621" s="4">
        <f t="shared" ca="1" si="83"/>
        <v>74415</v>
      </c>
    </row>
    <row r="1622" spans="1:15">
      <c r="A1622" s="2" t="s">
        <v>17</v>
      </c>
      <c r="B1622" t="s">
        <v>37</v>
      </c>
      <c r="C1622" t="s">
        <v>38</v>
      </c>
      <c r="D1622">
        <v>15</v>
      </c>
      <c r="E1622" t="s">
        <v>46</v>
      </c>
      <c r="F1622">
        <v>5</v>
      </c>
      <c r="G1622">
        <v>1</v>
      </c>
      <c r="H1622">
        <v>4</v>
      </c>
      <c r="I1622">
        <v>1</v>
      </c>
      <c r="J1622" s="4" t="s">
        <v>53</v>
      </c>
      <c r="K1622" t="str">
        <f t="shared" si="84"/>
        <v>1+4</v>
      </c>
      <c r="L1622">
        <f>VLOOKUP(A1622,'ZONE 1 PREMIUM'!$A$4:$N$16,14,0)</f>
        <v>8</v>
      </c>
      <c r="M1622">
        <f>VLOOKUP(D1622,DROPDOWN!B:C,2,0)</f>
        <v>7</v>
      </c>
      <c r="N1622" t="str">
        <f t="shared" si="82"/>
        <v>BR65:CJ76</v>
      </c>
      <c r="O1622" s="4">
        <f t="shared" ca="1" si="83"/>
        <v>90008.6</v>
      </c>
    </row>
    <row r="1623" spans="1:15">
      <c r="A1623" s="2" t="s">
        <v>18</v>
      </c>
      <c r="B1623" t="s">
        <v>39</v>
      </c>
      <c r="C1623" t="s">
        <v>40</v>
      </c>
      <c r="D1623">
        <v>15</v>
      </c>
      <c r="E1623" t="s">
        <v>46</v>
      </c>
      <c r="F1623">
        <v>5</v>
      </c>
      <c r="G1623">
        <v>1</v>
      </c>
      <c r="H1623">
        <v>4</v>
      </c>
      <c r="I1623">
        <v>1</v>
      </c>
      <c r="J1623" s="4" t="s">
        <v>53</v>
      </c>
      <c r="K1623" t="str">
        <f t="shared" si="84"/>
        <v>1+4</v>
      </c>
      <c r="L1623">
        <f>VLOOKUP(A1623,'ZONE 1 PREMIUM'!$A$4:$N$16,14,0)</f>
        <v>9</v>
      </c>
      <c r="M1623">
        <f>VLOOKUP(D1623,DROPDOWN!B:C,2,0)</f>
        <v>7</v>
      </c>
      <c r="N1623" t="str">
        <f t="shared" si="82"/>
        <v>BR65:CJ76</v>
      </c>
      <c r="O1623" s="4">
        <f t="shared" ca="1" si="83"/>
        <v>113290.1</v>
      </c>
    </row>
    <row r="1624" spans="1:15">
      <c r="A1624" s="2" t="s">
        <v>19</v>
      </c>
      <c r="B1624" t="s">
        <v>41</v>
      </c>
      <c r="C1624" t="s">
        <v>42</v>
      </c>
      <c r="D1624">
        <v>15</v>
      </c>
      <c r="E1624" t="s">
        <v>46</v>
      </c>
      <c r="F1624">
        <v>5</v>
      </c>
      <c r="G1624">
        <v>1</v>
      </c>
      <c r="H1624">
        <v>4</v>
      </c>
      <c r="I1624">
        <v>1</v>
      </c>
      <c r="J1624" s="4" t="s">
        <v>53</v>
      </c>
      <c r="K1624" t="str">
        <f t="shared" si="84"/>
        <v>1+4</v>
      </c>
      <c r="L1624">
        <f>VLOOKUP(A1624,'ZONE 1 PREMIUM'!$A$4:$N$16,14,0)</f>
        <v>10</v>
      </c>
      <c r="M1624">
        <f>VLOOKUP(D1624,DROPDOWN!B:C,2,0)</f>
        <v>7</v>
      </c>
      <c r="N1624" t="str">
        <f t="shared" si="82"/>
        <v>BR65:CJ76</v>
      </c>
      <c r="O1624" s="4">
        <f t="shared" ca="1" si="83"/>
        <v>136849.90000000002</v>
      </c>
    </row>
    <row r="1625" spans="1:15">
      <c r="A1625" s="2" t="s">
        <v>20</v>
      </c>
      <c r="B1625" t="s">
        <v>43</v>
      </c>
      <c r="C1625" t="s">
        <v>44</v>
      </c>
      <c r="D1625">
        <v>15</v>
      </c>
      <c r="E1625" t="s">
        <v>46</v>
      </c>
      <c r="F1625">
        <v>5</v>
      </c>
      <c r="G1625">
        <v>1</v>
      </c>
      <c r="H1625">
        <v>4</v>
      </c>
      <c r="I1625">
        <v>1</v>
      </c>
      <c r="J1625" s="4" t="s">
        <v>53</v>
      </c>
      <c r="K1625" t="str">
        <f t="shared" si="84"/>
        <v>1+4</v>
      </c>
      <c r="L1625">
        <f>VLOOKUP(A1625,'ZONE 1 PREMIUM'!$A$4:$N$16,14,0)</f>
        <v>11</v>
      </c>
      <c r="M1625">
        <f>VLOOKUP(D1625,DROPDOWN!B:C,2,0)</f>
        <v>7</v>
      </c>
      <c r="N1625" t="str">
        <f t="shared" si="82"/>
        <v>BR65:CJ76</v>
      </c>
      <c r="O1625" s="4">
        <f t="shared" ca="1" si="83"/>
        <v>158447.30000000002</v>
      </c>
    </row>
    <row r="1626" spans="1:15">
      <c r="A1626" s="2" t="s">
        <v>21</v>
      </c>
      <c r="B1626" t="s">
        <v>22</v>
      </c>
      <c r="D1626">
        <v>15</v>
      </c>
      <c r="E1626" t="s">
        <v>46</v>
      </c>
      <c r="F1626">
        <v>5</v>
      </c>
      <c r="G1626">
        <v>1</v>
      </c>
      <c r="H1626">
        <v>4</v>
      </c>
      <c r="I1626">
        <v>1</v>
      </c>
      <c r="J1626" s="4" t="s">
        <v>53</v>
      </c>
      <c r="K1626" t="str">
        <f t="shared" si="84"/>
        <v>1+4</v>
      </c>
      <c r="L1626">
        <f>VLOOKUP(A1626,'ZONE 1 PREMIUM'!$A$4:$N$16,14,0)</f>
        <v>12</v>
      </c>
      <c r="M1626">
        <f>VLOOKUP(D1626,DROPDOWN!B:C,2,0)</f>
        <v>7</v>
      </c>
      <c r="N1626" t="str">
        <f t="shared" si="82"/>
        <v>BR65:CJ76</v>
      </c>
      <c r="O1626" s="4">
        <f t="shared" ca="1" si="83"/>
        <v>202846.6</v>
      </c>
    </row>
    <row r="1627" spans="1:15">
      <c r="A1627" s="2" t="s">
        <v>11</v>
      </c>
      <c r="B1627" t="s">
        <v>45</v>
      </c>
      <c r="C1627" t="s">
        <v>25</v>
      </c>
      <c r="D1627">
        <v>15</v>
      </c>
      <c r="E1627" t="s">
        <v>46</v>
      </c>
      <c r="F1627">
        <v>2</v>
      </c>
      <c r="G1627">
        <v>2</v>
      </c>
      <c r="H1627">
        <v>0</v>
      </c>
      <c r="I1627">
        <v>1</v>
      </c>
      <c r="J1627" s="4" t="s">
        <v>53</v>
      </c>
      <c r="K1627" t="str">
        <f t="shared" si="84"/>
        <v>2+0</v>
      </c>
      <c r="L1627">
        <f>VLOOKUP(A1627,'ZONE 1 PREMIUM'!$A$4:$N$16,14,0)</f>
        <v>2</v>
      </c>
      <c r="M1627">
        <f>VLOOKUP(D1627,DROPDOWN!B:C,2,0)</f>
        <v>7</v>
      </c>
      <c r="N1627" t="str">
        <f t="shared" si="82"/>
        <v>BR81:CJ92</v>
      </c>
      <c r="O1627" s="4">
        <f t="shared" ca="1" si="83"/>
        <v>27771.7</v>
      </c>
    </row>
    <row r="1628" spans="1:15">
      <c r="A1628" s="2" t="s">
        <v>12</v>
      </c>
      <c r="B1628" t="s">
        <v>27</v>
      </c>
      <c r="C1628" t="s">
        <v>28</v>
      </c>
      <c r="D1628">
        <v>15</v>
      </c>
      <c r="E1628" t="s">
        <v>46</v>
      </c>
      <c r="F1628">
        <v>2</v>
      </c>
      <c r="G1628">
        <v>2</v>
      </c>
      <c r="H1628">
        <v>0</v>
      </c>
      <c r="I1628">
        <v>1</v>
      </c>
      <c r="J1628" s="4" t="s">
        <v>53</v>
      </c>
      <c r="K1628" t="str">
        <f t="shared" si="84"/>
        <v>2+0</v>
      </c>
      <c r="L1628">
        <f>VLOOKUP(A1628,'ZONE 1 PREMIUM'!$A$4:$N$16,14,0)</f>
        <v>3</v>
      </c>
      <c r="M1628">
        <f>VLOOKUP(D1628,DROPDOWN!B:C,2,0)</f>
        <v>7</v>
      </c>
      <c r="N1628" t="str">
        <f t="shared" si="82"/>
        <v>BR81:CJ92</v>
      </c>
      <c r="O1628" s="4">
        <f t="shared" ca="1" si="83"/>
        <v>31777.9</v>
      </c>
    </row>
    <row r="1629" spans="1:15">
      <c r="A1629" s="2" t="s">
        <v>13</v>
      </c>
      <c r="B1629" t="s">
        <v>29</v>
      </c>
      <c r="C1629" t="s">
        <v>30</v>
      </c>
      <c r="D1629">
        <v>15</v>
      </c>
      <c r="E1629" t="s">
        <v>46</v>
      </c>
      <c r="F1629">
        <v>2</v>
      </c>
      <c r="G1629">
        <v>2</v>
      </c>
      <c r="H1629">
        <v>0</v>
      </c>
      <c r="I1629">
        <v>1</v>
      </c>
      <c r="J1629" s="4" t="s">
        <v>53</v>
      </c>
      <c r="K1629" t="str">
        <f t="shared" si="84"/>
        <v>2+0</v>
      </c>
      <c r="L1629">
        <f>VLOOKUP(A1629,'ZONE 1 PREMIUM'!$A$4:$N$16,14,0)</f>
        <v>4</v>
      </c>
      <c r="M1629">
        <f>VLOOKUP(D1629,DROPDOWN!B:C,2,0)</f>
        <v>7</v>
      </c>
      <c r="N1629" t="str">
        <f t="shared" si="82"/>
        <v>BR81:CJ92</v>
      </c>
      <c r="O1629" s="4">
        <f t="shared" ca="1" si="83"/>
        <v>35296.800000000003</v>
      </c>
    </row>
    <row r="1630" spans="1:15">
      <c r="A1630" s="2" t="s">
        <v>14</v>
      </c>
      <c r="B1630" t="s">
        <v>31</v>
      </c>
      <c r="C1630" t="s">
        <v>32</v>
      </c>
      <c r="D1630">
        <v>15</v>
      </c>
      <c r="E1630" t="s">
        <v>46</v>
      </c>
      <c r="F1630">
        <v>2</v>
      </c>
      <c r="G1630">
        <v>2</v>
      </c>
      <c r="H1630">
        <v>0</v>
      </c>
      <c r="I1630">
        <v>1</v>
      </c>
      <c r="J1630" s="4" t="s">
        <v>53</v>
      </c>
      <c r="K1630" t="str">
        <f t="shared" si="84"/>
        <v>2+0</v>
      </c>
      <c r="L1630">
        <f>VLOOKUP(A1630,'ZONE 1 PREMIUM'!$A$4:$N$16,14,0)</f>
        <v>5</v>
      </c>
      <c r="M1630">
        <f>VLOOKUP(D1630,DROPDOWN!B:C,2,0)</f>
        <v>7</v>
      </c>
      <c r="N1630" t="str">
        <f t="shared" si="82"/>
        <v>BR81:CJ92</v>
      </c>
      <c r="O1630" s="4">
        <f t="shared" ca="1" si="83"/>
        <v>40944.200000000004</v>
      </c>
    </row>
    <row r="1631" spans="1:15">
      <c r="A1631" s="2" t="s">
        <v>15</v>
      </c>
      <c r="B1631" t="s">
        <v>33</v>
      </c>
      <c r="C1631" t="s">
        <v>34</v>
      </c>
      <c r="D1631">
        <v>15</v>
      </c>
      <c r="E1631" t="s">
        <v>46</v>
      </c>
      <c r="F1631">
        <v>2</v>
      </c>
      <c r="G1631">
        <v>2</v>
      </c>
      <c r="H1631">
        <v>0</v>
      </c>
      <c r="I1631">
        <v>1</v>
      </c>
      <c r="J1631" s="4" t="s">
        <v>53</v>
      </c>
      <c r="K1631" t="str">
        <f t="shared" si="84"/>
        <v>2+0</v>
      </c>
      <c r="L1631">
        <f>VLOOKUP(A1631,'ZONE 1 PREMIUM'!$A$4:$N$16,14,0)</f>
        <v>6</v>
      </c>
      <c r="M1631">
        <f>VLOOKUP(D1631,DROPDOWN!B:C,2,0)</f>
        <v>7</v>
      </c>
      <c r="N1631" t="str">
        <f t="shared" si="82"/>
        <v>BR81:CJ92</v>
      </c>
      <c r="O1631" s="4">
        <f t="shared" ca="1" si="83"/>
        <v>52470.000000000007</v>
      </c>
    </row>
    <row r="1632" spans="1:15">
      <c r="A1632" s="2" t="s">
        <v>16</v>
      </c>
      <c r="B1632" t="s">
        <v>35</v>
      </c>
      <c r="C1632" t="s">
        <v>36</v>
      </c>
      <c r="D1632">
        <v>15</v>
      </c>
      <c r="E1632" t="s">
        <v>46</v>
      </c>
      <c r="F1632">
        <v>2</v>
      </c>
      <c r="G1632">
        <v>2</v>
      </c>
      <c r="H1632">
        <v>0</v>
      </c>
      <c r="I1632">
        <v>1</v>
      </c>
      <c r="J1632" s="4" t="s">
        <v>53</v>
      </c>
      <c r="K1632" t="str">
        <f t="shared" si="84"/>
        <v>2+0</v>
      </c>
      <c r="L1632">
        <f>VLOOKUP(A1632,'ZONE 1 PREMIUM'!$A$4:$N$16,14,0)</f>
        <v>7</v>
      </c>
      <c r="M1632">
        <f>VLOOKUP(D1632,DROPDOWN!B:C,2,0)</f>
        <v>7</v>
      </c>
      <c r="N1632" t="str">
        <f t="shared" si="82"/>
        <v>BR81:CJ92</v>
      </c>
      <c r="O1632" s="4">
        <f t="shared" ca="1" si="83"/>
        <v>69275.8</v>
      </c>
    </row>
    <row r="1633" spans="1:15">
      <c r="A1633" s="2" t="s">
        <v>17</v>
      </c>
      <c r="B1633" t="s">
        <v>37</v>
      </c>
      <c r="C1633" t="s">
        <v>38</v>
      </c>
      <c r="D1633">
        <v>15</v>
      </c>
      <c r="E1633" t="s">
        <v>46</v>
      </c>
      <c r="F1633">
        <v>2</v>
      </c>
      <c r="G1633">
        <v>2</v>
      </c>
      <c r="H1633">
        <v>0</v>
      </c>
      <c r="I1633">
        <v>1</v>
      </c>
      <c r="J1633" s="4" t="s">
        <v>53</v>
      </c>
      <c r="K1633" t="str">
        <f t="shared" si="84"/>
        <v>2+0</v>
      </c>
      <c r="L1633">
        <f>VLOOKUP(A1633,'ZONE 1 PREMIUM'!$A$4:$N$16,14,0)</f>
        <v>8</v>
      </c>
      <c r="M1633">
        <f>VLOOKUP(D1633,DROPDOWN!B:C,2,0)</f>
        <v>7</v>
      </c>
      <c r="N1633" t="str">
        <f t="shared" si="82"/>
        <v>BR81:CJ92</v>
      </c>
      <c r="O1633" s="4">
        <f t="shared" ca="1" si="83"/>
        <v>95405.200000000012</v>
      </c>
    </row>
    <row r="1634" spans="1:15">
      <c r="A1634" s="2" t="s">
        <v>18</v>
      </c>
      <c r="B1634" t="s">
        <v>39</v>
      </c>
      <c r="C1634" t="s">
        <v>40</v>
      </c>
      <c r="D1634">
        <v>15</v>
      </c>
      <c r="E1634" t="s">
        <v>46</v>
      </c>
      <c r="F1634">
        <v>2</v>
      </c>
      <c r="G1634">
        <v>2</v>
      </c>
      <c r="H1634">
        <v>0</v>
      </c>
      <c r="I1634">
        <v>1</v>
      </c>
      <c r="J1634" s="4" t="s">
        <v>53</v>
      </c>
      <c r="K1634" t="str">
        <f t="shared" si="84"/>
        <v>2+0</v>
      </c>
      <c r="L1634">
        <f>VLOOKUP(A1634,'ZONE 1 PREMIUM'!$A$4:$N$16,14,0)</f>
        <v>9</v>
      </c>
      <c r="M1634">
        <f>VLOOKUP(D1634,DROPDOWN!B:C,2,0)</f>
        <v>7</v>
      </c>
      <c r="N1634" t="str">
        <f t="shared" ref="N1634:N1681" si="85">VLOOKUP(K1634,$CK$3:$CL$12,2,0)</f>
        <v>BR81:CJ92</v>
      </c>
      <c r="O1634" s="4">
        <f t="shared" ca="1" si="83"/>
        <v>134539.90000000002</v>
      </c>
    </row>
    <row r="1635" spans="1:15">
      <c r="A1635" s="2" t="s">
        <v>19</v>
      </c>
      <c r="B1635" t="s">
        <v>41</v>
      </c>
      <c r="C1635" t="s">
        <v>42</v>
      </c>
      <c r="D1635">
        <v>15</v>
      </c>
      <c r="E1635" t="s">
        <v>46</v>
      </c>
      <c r="F1635">
        <v>2</v>
      </c>
      <c r="G1635">
        <v>2</v>
      </c>
      <c r="H1635">
        <v>0</v>
      </c>
      <c r="I1635">
        <v>1</v>
      </c>
      <c r="J1635" s="4" t="s">
        <v>53</v>
      </c>
      <c r="K1635" t="str">
        <f t="shared" si="84"/>
        <v>2+0</v>
      </c>
      <c r="L1635">
        <f>VLOOKUP(A1635,'ZONE 1 PREMIUM'!$A$4:$N$16,14,0)</f>
        <v>10</v>
      </c>
      <c r="M1635">
        <f>VLOOKUP(D1635,DROPDOWN!B:C,2,0)</f>
        <v>7</v>
      </c>
      <c r="N1635" t="str">
        <f t="shared" si="85"/>
        <v>BR81:CJ92</v>
      </c>
      <c r="O1635" s="4">
        <f t="shared" ca="1" si="83"/>
        <v>186400.50000000003</v>
      </c>
    </row>
    <row r="1636" spans="1:15">
      <c r="A1636" s="2" t="s">
        <v>20</v>
      </c>
      <c r="B1636" t="s">
        <v>43</v>
      </c>
      <c r="C1636" t="s">
        <v>44</v>
      </c>
      <c r="D1636">
        <v>15</v>
      </c>
      <c r="E1636" t="s">
        <v>46</v>
      </c>
      <c r="F1636">
        <v>2</v>
      </c>
      <c r="G1636">
        <v>2</v>
      </c>
      <c r="H1636">
        <v>0</v>
      </c>
      <c r="I1636">
        <v>1</v>
      </c>
      <c r="J1636" s="4" t="s">
        <v>53</v>
      </c>
      <c r="K1636" t="str">
        <f t="shared" si="84"/>
        <v>2+0</v>
      </c>
      <c r="L1636">
        <f>VLOOKUP(A1636,'ZONE 1 PREMIUM'!$A$4:$N$16,14,0)</f>
        <v>11</v>
      </c>
      <c r="M1636">
        <f>VLOOKUP(D1636,DROPDOWN!B:C,2,0)</f>
        <v>7</v>
      </c>
      <c r="N1636" t="str">
        <f t="shared" si="85"/>
        <v>BR81:CJ92</v>
      </c>
      <c r="O1636" s="4">
        <f t="shared" ca="1" si="83"/>
        <v>230291.6</v>
      </c>
    </row>
    <row r="1637" spans="1:15">
      <c r="A1637" s="2" t="s">
        <v>21</v>
      </c>
      <c r="B1637" t="s">
        <v>22</v>
      </c>
      <c r="D1637">
        <v>15</v>
      </c>
      <c r="E1637" t="s">
        <v>46</v>
      </c>
      <c r="F1637">
        <v>2</v>
      </c>
      <c r="G1637">
        <v>2</v>
      </c>
      <c r="H1637">
        <v>0</v>
      </c>
      <c r="I1637">
        <v>1</v>
      </c>
      <c r="J1637" s="4" t="s">
        <v>53</v>
      </c>
      <c r="K1637" t="str">
        <f t="shared" si="84"/>
        <v>2+0</v>
      </c>
      <c r="L1637">
        <f>VLOOKUP(A1637,'ZONE 1 PREMIUM'!$A$4:$N$16,14,0)</f>
        <v>12</v>
      </c>
      <c r="M1637">
        <f>VLOOKUP(D1637,DROPDOWN!B:C,2,0)</f>
        <v>7</v>
      </c>
      <c r="N1637" t="str">
        <f t="shared" si="85"/>
        <v>BR81:CJ92</v>
      </c>
      <c r="O1637" s="4">
        <f t="shared" ca="1" si="83"/>
        <v>294583.30000000005</v>
      </c>
    </row>
    <row r="1638" spans="1:15">
      <c r="A1638" s="2" t="s">
        <v>11</v>
      </c>
      <c r="B1638" t="s">
        <v>45</v>
      </c>
      <c r="C1638" t="s">
        <v>25</v>
      </c>
      <c r="D1638">
        <v>15</v>
      </c>
      <c r="E1638" t="s">
        <v>46</v>
      </c>
      <c r="F1638">
        <v>3</v>
      </c>
      <c r="G1638">
        <v>2</v>
      </c>
      <c r="H1638">
        <v>1</v>
      </c>
      <c r="I1638">
        <v>1</v>
      </c>
      <c r="J1638" s="4" t="s">
        <v>53</v>
      </c>
      <c r="K1638" t="str">
        <f t="shared" si="84"/>
        <v>2+1</v>
      </c>
      <c r="L1638">
        <f>VLOOKUP(A1638,'ZONE 1 PREMIUM'!$A$4:$N$16,14,0)</f>
        <v>2</v>
      </c>
      <c r="M1638">
        <f>VLOOKUP(D1638,DROPDOWN!B:C,2,0)</f>
        <v>7</v>
      </c>
      <c r="N1638" t="str">
        <f t="shared" si="85"/>
        <v>BR98:CJ109</v>
      </c>
      <c r="O1638" s="4">
        <f t="shared" ca="1" si="83"/>
        <v>33815.100000000006</v>
      </c>
    </row>
    <row r="1639" spans="1:15">
      <c r="A1639" s="2" t="s">
        <v>12</v>
      </c>
      <c r="B1639" t="s">
        <v>27</v>
      </c>
      <c r="C1639" t="s">
        <v>28</v>
      </c>
      <c r="D1639">
        <v>15</v>
      </c>
      <c r="E1639" t="s">
        <v>46</v>
      </c>
      <c r="F1639">
        <v>3</v>
      </c>
      <c r="G1639">
        <v>2</v>
      </c>
      <c r="H1639">
        <v>1</v>
      </c>
      <c r="I1639">
        <v>1</v>
      </c>
      <c r="J1639" s="4" t="s">
        <v>53</v>
      </c>
      <c r="K1639" t="str">
        <f t="shared" si="84"/>
        <v>2+1</v>
      </c>
      <c r="L1639">
        <f>VLOOKUP(A1639,'ZONE 1 PREMIUM'!$A$4:$N$16,14,0)</f>
        <v>3</v>
      </c>
      <c r="M1639">
        <f>VLOOKUP(D1639,DROPDOWN!B:C,2,0)</f>
        <v>7</v>
      </c>
      <c r="N1639" t="str">
        <f t="shared" si="85"/>
        <v>BR98:CJ109</v>
      </c>
      <c r="O1639" s="4">
        <f t="shared" ca="1" si="83"/>
        <v>37716.800000000003</v>
      </c>
    </row>
    <row r="1640" spans="1:15">
      <c r="A1640" s="2" t="s">
        <v>13</v>
      </c>
      <c r="B1640" t="s">
        <v>29</v>
      </c>
      <c r="C1640" t="s">
        <v>30</v>
      </c>
      <c r="D1640">
        <v>15</v>
      </c>
      <c r="E1640" t="s">
        <v>46</v>
      </c>
      <c r="F1640">
        <v>3</v>
      </c>
      <c r="G1640">
        <v>2</v>
      </c>
      <c r="H1640">
        <v>1</v>
      </c>
      <c r="I1640">
        <v>1</v>
      </c>
      <c r="J1640" s="4" t="s">
        <v>53</v>
      </c>
      <c r="K1640" t="str">
        <f t="shared" si="84"/>
        <v>2+1</v>
      </c>
      <c r="L1640">
        <f>VLOOKUP(A1640,'ZONE 1 PREMIUM'!$A$4:$N$16,14,0)</f>
        <v>4</v>
      </c>
      <c r="M1640">
        <f>VLOOKUP(D1640,DROPDOWN!B:C,2,0)</f>
        <v>7</v>
      </c>
      <c r="N1640" t="str">
        <f t="shared" si="85"/>
        <v>BR98:CJ109</v>
      </c>
      <c r="O1640" s="4">
        <f t="shared" ca="1" si="83"/>
        <v>42224.600000000006</v>
      </c>
    </row>
    <row r="1641" spans="1:15">
      <c r="A1641" s="2" t="s">
        <v>14</v>
      </c>
      <c r="B1641" t="s">
        <v>31</v>
      </c>
      <c r="C1641" t="s">
        <v>32</v>
      </c>
      <c r="D1641">
        <v>15</v>
      </c>
      <c r="E1641" t="s">
        <v>46</v>
      </c>
      <c r="F1641">
        <v>3</v>
      </c>
      <c r="G1641">
        <v>2</v>
      </c>
      <c r="H1641">
        <v>1</v>
      </c>
      <c r="I1641">
        <v>1</v>
      </c>
      <c r="J1641" s="4" t="s">
        <v>53</v>
      </c>
      <c r="K1641" t="str">
        <f t="shared" si="84"/>
        <v>2+1</v>
      </c>
      <c r="L1641">
        <f>VLOOKUP(A1641,'ZONE 1 PREMIUM'!$A$4:$N$16,14,0)</f>
        <v>5</v>
      </c>
      <c r="M1641">
        <f>VLOOKUP(D1641,DROPDOWN!B:C,2,0)</f>
        <v>7</v>
      </c>
      <c r="N1641" t="str">
        <f t="shared" si="85"/>
        <v>BR98:CJ109</v>
      </c>
      <c r="O1641" s="4">
        <f t="shared" ca="1" si="83"/>
        <v>48352.700000000004</v>
      </c>
    </row>
    <row r="1642" spans="1:15">
      <c r="A1642" s="2" t="s">
        <v>15</v>
      </c>
      <c r="B1642" t="s">
        <v>33</v>
      </c>
      <c r="C1642" t="s">
        <v>34</v>
      </c>
      <c r="D1642">
        <v>15</v>
      </c>
      <c r="E1642" t="s">
        <v>46</v>
      </c>
      <c r="F1642">
        <v>3</v>
      </c>
      <c r="G1642">
        <v>2</v>
      </c>
      <c r="H1642">
        <v>1</v>
      </c>
      <c r="I1642">
        <v>1</v>
      </c>
      <c r="J1642" s="4" t="s">
        <v>53</v>
      </c>
      <c r="K1642" t="str">
        <f t="shared" si="84"/>
        <v>2+1</v>
      </c>
      <c r="L1642">
        <f>VLOOKUP(A1642,'ZONE 1 PREMIUM'!$A$4:$N$16,14,0)</f>
        <v>6</v>
      </c>
      <c r="M1642">
        <f>VLOOKUP(D1642,DROPDOWN!B:C,2,0)</f>
        <v>7</v>
      </c>
      <c r="N1642" t="str">
        <f t="shared" si="85"/>
        <v>BR98:CJ109</v>
      </c>
      <c r="O1642" s="4">
        <f t="shared" ca="1" si="83"/>
        <v>60806.9</v>
      </c>
    </row>
    <row r="1643" spans="1:15">
      <c r="A1643" s="2" t="s">
        <v>16</v>
      </c>
      <c r="B1643" t="s">
        <v>35</v>
      </c>
      <c r="C1643" t="s">
        <v>36</v>
      </c>
      <c r="D1643">
        <v>15</v>
      </c>
      <c r="E1643" t="s">
        <v>46</v>
      </c>
      <c r="F1643">
        <v>3</v>
      </c>
      <c r="G1643">
        <v>2</v>
      </c>
      <c r="H1643">
        <v>1</v>
      </c>
      <c r="I1643">
        <v>1</v>
      </c>
      <c r="J1643" s="4" t="s">
        <v>53</v>
      </c>
      <c r="K1643" t="str">
        <f t="shared" si="84"/>
        <v>2+1</v>
      </c>
      <c r="L1643">
        <f>VLOOKUP(A1643,'ZONE 1 PREMIUM'!$A$4:$N$16,14,0)</f>
        <v>7</v>
      </c>
      <c r="M1643">
        <f>VLOOKUP(D1643,DROPDOWN!B:C,2,0)</f>
        <v>7</v>
      </c>
      <c r="N1643" t="str">
        <f t="shared" si="85"/>
        <v>BR98:CJ109</v>
      </c>
      <c r="O1643" s="4">
        <f t="shared" ca="1" si="83"/>
        <v>79627.900000000009</v>
      </c>
    </row>
    <row r="1644" spans="1:15">
      <c r="A1644" s="2" t="s">
        <v>17</v>
      </c>
      <c r="B1644" t="s">
        <v>37</v>
      </c>
      <c r="C1644" t="s">
        <v>38</v>
      </c>
      <c r="D1644">
        <v>15</v>
      </c>
      <c r="E1644" t="s">
        <v>46</v>
      </c>
      <c r="F1644">
        <v>3</v>
      </c>
      <c r="G1644">
        <v>2</v>
      </c>
      <c r="H1644">
        <v>1</v>
      </c>
      <c r="I1644">
        <v>1</v>
      </c>
      <c r="J1644" s="4" t="s">
        <v>53</v>
      </c>
      <c r="K1644" t="str">
        <f t="shared" si="84"/>
        <v>2+1</v>
      </c>
      <c r="L1644">
        <f>VLOOKUP(A1644,'ZONE 1 PREMIUM'!$A$4:$N$16,14,0)</f>
        <v>8</v>
      </c>
      <c r="M1644">
        <f>VLOOKUP(D1644,DROPDOWN!B:C,2,0)</f>
        <v>7</v>
      </c>
      <c r="N1644" t="str">
        <f t="shared" si="85"/>
        <v>BR98:CJ109</v>
      </c>
      <c r="O1644" s="4">
        <f t="shared" ca="1" si="83"/>
        <v>106564.70000000001</v>
      </c>
    </row>
    <row r="1645" spans="1:15">
      <c r="A1645" s="2" t="s">
        <v>18</v>
      </c>
      <c r="B1645" t="s">
        <v>39</v>
      </c>
      <c r="C1645" t="s">
        <v>40</v>
      </c>
      <c r="D1645">
        <v>15</v>
      </c>
      <c r="E1645" t="s">
        <v>46</v>
      </c>
      <c r="F1645">
        <v>3</v>
      </c>
      <c r="G1645">
        <v>2</v>
      </c>
      <c r="H1645">
        <v>1</v>
      </c>
      <c r="I1645">
        <v>1</v>
      </c>
      <c r="J1645" s="4" t="s">
        <v>53</v>
      </c>
      <c r="K1645" t="str">
        <f t="shared" si="84"/>
        <v>2+1</v>
      </c>
      <c r="L1645">
        <f>VLOOKUP(A1645,'ZONE 1 PREMIUM'!$A$4:$N$16,14,0)</f>
        <v>9</v>
      </c>
      <c r="M1645">
        <f>VLOOKUP(D1645,DROPDOWN!B:C,2,0)</f>
        <v>7</v>
      </c>
      <c r="N1645" t="str">
        <f t="shared" si="85"/>
        <v>BR98:CJ109</v>
      </c>
      <c r="O1645" s="4">
        <f t="shared" ca="1" si="83"/>
        <v>145900.70000000001</v>
      </c>
    </row>
    <row r="1646" spans="1:15">
      <c r="A1646" s="2" t="s">
        <v>19</v>
      </c>
      <c r="B1646" t="s">
        <v>41</v>
      </c>
      <c r="C1646" t="s">
        <v>42</v>
      </c>
      <c r="D1646">
        <v>15</v>
      </c>
      <c r="E1646" t="s">
        <v>46</v>
      </c>
      <c r="F1646">
        <v>3</v>
      </c>
      <c r="G1646">
        <v>2</v>
      </c>
      <c r="H1646">
        <v>1</v>
      </c>
      <c r="I1646">
        <v>1</v>
      </c>
      <c r="J1646" s="4" t="s">
        <v>53</v>
      </c>
      <c r="K1646" t="str">
        <f t="shared" si="84"/>
        <v>2+1</v>
      </c>
      <c r="L1646">
        <f>VLOOKUP(A1646,'ZONE 1 PREMIUM'!$A$4:$N$16,14,0)</f>
        <v>10</v>
      </c>
      <c r="M1646">
        <f>VLOOKUP(D1646,DROPDOWN!B:C,2,0)</f>
        <v>7</v>
      </c>
      <c r="N1646" t="str">
        <f t="shared" si="85"/>
        <v>BR98:CJ109</v>
      </c>
      <c r="O1646" s="4">
        <f t="shared" ca="1" si="83"/>
        <v>193602.2</v>
      </c>
    </row>
    <row r="1647" spans="1:15">
      <c r="A1647" s="2" t="s">
        <v>20</v>
      </c>
      <c r="B1647" t="s">
        <v>43</v>
      </c>
      <c r="C1647" t="s">
        <v>44</v>
      </c>
      <c r="D1647">
        <v>15</v>
      </c>
      <c r="E1647" t="s">
        <v>46</v>
      </c>
      <c r="F1647">
        <v>3</v>
      </c>
      <c r="G1647">
        <v>2</v>
      </c>
      <c r="H1647">
        <v>1</v>
      </c>
      <c r="I1647">
        <v>1</v>
      </c>
      <c r="J1647" s="4" t="s">
        <v>53</v>
      </c>
      <c r="K1647" t="str">
        <f t="shared" si="84"/>
        <v>2+1</v>
      </c>
      <c r="L1647">
        <f>VLOOKUP(A1647,'ZONE 1 PREMIUM'!$A$4:$N$16,14,0)</f>
        <v>11</v>
      </c>
      <c r="M1647">
        <f>VLOOKUP(D1647,DROPDOWN!B:C,2,0)</f>
        <v>7</v>
      </c>
      <c r="N1647" t="str">
        <f t="shared" si="85"/>
        <v>BR98:CJ109</v>
      </c>
      <c r="O1647" s="4">
        <f t="shared" ca="1" si="83"/>
        <v>235986.30000000002</v>
      </c>
    </row>
    <row r="1648" spans="1:15">
      <c r="A1648" s="2" t="s">
        <v>21</v>
      </c>
      <c r="B1648" t="s">
        <v>22</v>
      </c>
      <c r="D1648">
        <v>15</v>
      </c>
      <c r="E1648" t="s">
        <v>46</v>
      </c>
      <c r="F1648">
        <v>3</v>
      </c>
      <c r="G1648">
        <v>2</v>
      </c>
      <c r="H1648">
        <v>1</v>
      </c>
      <c r="I1648">
        <v>1</v>
      </c>
      <c r="J1648" s="4" t="s">
        <v>53</v>
      </c>
      <c r="K1648" t="str">
        <f t="shared" si="84"/>
        <v>2+1</v>
      </c>
      <c r="L1648">
        <f>VLOOKUP(A1648,'ZONE 1 PREMIUM'!$A$4:$N$16,14,0)</f>
        <v>12</v>
      </c>
      <c r="M1648">
        <f>VLOOKUP(D1648,DROPDOWN!B:C,2,0)</f>
        <v>7</v>
      </c>
      <c r="N1648" t="str">
        <f t="shared" si="85"/>
        <v>BR98:CJ109</v>
      </c>
      <c r="O1648" s="4">
        <f t="shared" ca="1" si="83"/>
        <v>300044.80000000005</v>
      </c>
    </row>
    <row r="1649" spans="1:15">
      <c r="A1649" s="2" t="s">
        <v>11</v>
      </c>
      <c r="B1649" t="s">
        <v>45</v>
      </c>
      <c r="C1649" t="s">
        <v>25</v>
      </c>
      <c r="D1649">
        <v>15</v>
      </c>
      <c r="E1649" t="s">
        <v>46</v>
      </c>
      <c r="F1649">
        <v>4</v>
      </c>
      <c r="G1649">
        <v>2</v>
      </c>
      <c r="H1649">
        <v>2</v>
      </c>
      <c r="I1649">
        <v>1</v>
      </c>
      <c r="J1649" s="4" t="s">
        <v>53</v>
      </c>
      <c r="K1649" t="str">
        <f t="shared" si="84"/>
        <v>2+2</v>
      </c>
      <c r="L1649">
        <f>VLOOKUP(A1649,'ZONE 1 PREMIUM'!$A$4:$N$16,14,0)</f>
        <v>2</v>
      </c>
      <c r="M1649">
        <f>VLOOKUP(D1649,DROPDOWN!B:C,2,0)</f>
        <v>7</v>
      </c>
      <c r="N1649" t="str">
        <f t="shared" si="85"/>
        <v>BR113:CJ124</v>
      </c>
      <c r="O1649" s="4">
        <f t="shared" ca="1" si="83"/>
        <v>39706.700000000004</v>
      </c>
    </row>
    <row r="1650" spans="1:15">
      <c r="A1650" s="2" t="s">
        <v>12</v>
      </c>
      <c r="B1650" t="s">
        <v>27</v>
      </c>
      <c r="C1650" t="s">
        <v>28</v>
      </c>
      <c r="D1650">
        <v>15</v>
      </c>
      <c r="E1650" t="s">
        <v>46</v>
      </c>
      <c r="F1650">
        <v>4</v>
      </c>
      <c r="G1650">
        <v>2</v>
      </c>
      <c r="H1650">
        <v>2</v>
      </c>
      <c r="I1650">
        <v>1</v>
      </c>
      <c r="J1650" s="4" t="s">
        <v>53</v>
      </c>
      <c r="K1650" t="str">
        <f t="shared" si="84"/>
        <v>2+2</v>
      </c>
      <c r="L1650">
        <f>VLOOKUP(A1650,'ZONE 1 PREMIUM'!$A$4:$N$16,14,0)</f>
        <v>3</v>
      </c>
      <c r="M1650">
        <f>VLOOKUP(D1650,DROPDOWN!B:C,2,0)</f>
        <v>7</v>
      </c>
      <c r="N1650" t="str">
        <f t="shared" si="85"/>
        <v>BR113:CJ124</v>
      </c>
      <c r="O1650" s="4">
        <f t="shared" ca="1" si="83"/>
        <v>43502.8</v>
      </c>
    </row>
    <row r="1651" spans="1:15">
      <c r="A1651" s="2" t="s">
        <v>13</v>
      </c>
      <c r="B1651" t="s">
        <v>29</v>
      </c>
      <c r="C1651" t="s">
        <v>30</v>
      </c>
      <c r="D1651">
        <v>15</v>
      </c>
      <c r="E1651" t="s">
        <v>46</v>
      </c>
      <c r="F1651">
        <v>4</v>
      </c>
      <c r="G1651">
        <v>2</v>
      </c>
      <c r="H1651">
        <v>2</v>
      </c>
      <c r="I1651">
        <v>1</v>
      </c>
      <c r="J1651" s="4" t="s">
        <v>53</v>
      </c>
      <c r="K1651" t="str">
        <f t="shared" si="84"/>
        <v>2+2</v>
      </c>
      <c r="L1651">
        <f>VLOOKUP(A1651,'ZONE 1 PREMIUM'!$A$4:$N$16,14,0)</f>
        <v>4</v>
      </c>
      <c r="M1651">
        <f>VLOOKUP(D1651,DROPDOWN!B:C,2,0)</f>
        <v>7</v>
      </c>
      <c r="N1651" t="str">
        <f t="shared" si="85"/>
        <v>BR113:CJ124</v>
      </c>
      <c r="O1651" s="4">
        <f t="shared" ca="1" si="83"/>
        <v>48930.200000000004</v>
      </c>
    </row>
    <row r="1652" spans="1:15">
      <c r="A1652" s="2" t="s">
        <v>14</v>
      </c>
      <c r="B1652" t="s">
        <v>31</v>
      </c>
      <c r="C1652" t="s">
        <v>32</v>
      </c>
      <c r="D1652">
        <v>15</v>
      </c>
      <c r="E1652" t="s">
        <v>46</v>
      </c>
      <c r="F1652">
        <v>4</v>
      </c>
      <c r="G1652">
        <v>2</v>
      </c>
      <c r="H1652">
        <v>2</v>
      </c>
      <c r="I1652">
        <v>1</v>
      </c>
      <c r="J1652" s="4" t="s">
        <v>53</v>
      </c>
      <c r="K1652" t="str">
        <f t="shared" si="84"/>
        <v>2+2</v>
      </c>
      <c r="L1652">
        <f>VLOOKUP(A1652,'ZONE 1 PREMIUM'!$A$4:$N$16,14,0)</f>
        <v>5</v>
      </c>
      <c r="M1652">
        <f>VLOOKUP(D1652,DROPDOWN!B:C,2,0)</f>
        <v>7</v>
      </c>
      <c r="N1652" t="str">
        <f t="shared" si="85"/>
        <v>BR113:CJ124</v>
      </c>
      <c r="O1652" s="4">
        <f t="shared" ca="1" si="83"/>
        <v>55490.600000000006</v>
      </c>
    </row>
    <row r="1653" spans="1:15">
      <c r="A1653" s="2" t="s">
        <v>15</v>
      </c>
      <c r="B1653" t="s">
        <v>33</v>
      </c>
      <c r="C1653" t="s">
        <v>34</v>
      </c>
      <c r="D1653">
        <v>15</v>
      </c>
      <c r="E1653" t="s">
        <v>46</v>
      </c>
      <c r="F1653">
        <v>4</v>
      </c>
      <c r="G1653">
        <v>2</v>
      </c>
      <c r="H1653">
        <v>2</v>
      </c>
      <c r="I1653">
        <v>1</v>
      </c>
      <c r="J1653" s="4" t="s">
        <v>53</v>
      </c>
      <c r="K1653" t="str">
        <f t="shared" si="84"/>
        <v>2+2</v>
      </c>
      <c r="L1653">
        <f>VLOOKUP(A1653,'ZONE 1 PREMIUM'!$A$4:$N$16,14,0)</f>
        <v>6</v>
      </c>
      <c r="M1653">
        <f>VLOOKUP(D1653,DROPDOWN!B:C,2,0)</f>
        <v>7</v>
      </c>
      <c r="N1653" t="str">
        <f t="shared" si="85"/>
        <v>BR113:CJ124</v>
      </c>
      <c r="O1653" s="4">
        <f t="shared" ca="1" si="83"/>
        <v>68812.700000000012</v>
      </c>
    </row>
    <row r="1654" spans="1:15">
      <c r="A1654" s="2" t="s">
        <v>16</v>
      </c>
      <c r="B1654" t="s">
        <v>35</v>
      </c>
      <c r="C1654" t="s">
        <v>36</v>
      </c>
      <c r="D1654">
        <v>15</v>
      </c>
      <c r="E1654" t="s">
        <v>46</v>
      </c>
      <c r="F1654">
        <v>4</v>
      </c>
      <c r="G1654">
        <v>2</v>
      </c>
      <c r="H1654">
        <v>2</v>
      </c>
      <c r="I1654">
        <v>1</v>
      </c>
      <c r="J1654" s="4" t="s">
        <v>53</v>
      </c>
      <c r="K1654" t="str">
        <f t="shared" si="84"/>
        <v>2+2</v>
      </c>
      <c r="L1654">
        <f>VLOOKUP(A1654,'ZONE 1 PREMIUM'!$A$4:$N$16,14,0)</f>
        <v>7</v>
      </c>
      <c r="M1654">
        <f>VLOOKUP(D1654,DROPDOWN!B:C,2,0)</f>
        <v>7</v>
      </c>
      <c r="N1654" t="str">
        <f t="shared" si="85"/>
        <v>BR113:CJ124</v>
      </c>
      <c r="O1654" s="4">
        <f t="shared" ca="1" si="83"/>
        <v>89551</v>
      </c>
    </row>
    <row r="1655" spans="1:15">
      <c r="A1655" s="2" t="s">
        <v>17</v>
      </c>
      <c r="B1655" t="s">
        <v>37</v>
      </c>
      <c r="C1655" t="s">
        <v>38</v>
      </c>
      <c r="D1655">
        <v>15</v>
      </c>
      <c r="E1655" t="s">
        <v>46</v>
      </c>
      <c r="F1655">
        <v>4</v>
      </c>
      <c r="G1655">
        <v>2</v>
      </c>
      <c r="H1655">
        <v>2</v>
      </c>
      <c r="I1655">
        <v>1</v>
      </c>
      <c r="J1655" s="4" t="s">
        <v>53</v>
      </c>
      <c r="K1655" t="str">
        <f t="shared" si="84"/>
        <v>2+2</v>
      </c>
      <c r="L1655">
        <f>VLOOKUP(A1655,'ZONE 1 PREMIUM'!$A$4:$N$16,14,0)</f>
        <v>8</v>
      </c>
      <c r="M1655">
        <f>VLOOKUP(D1655,DROPDOWN!B:C,2,0)</f>
        <v>7</v>
      </c>
      <c r="N1655" t="str">
        <f t="shared" si="85"/>
        <v>BR113:CJ124</v>
      </c>
      <c r="O1655" s="4">
        <f t="shared" ca="1" si="83"/>
        <v>115905.90000000001</v>
      </c>
    </row>
    <row r="1656" spans="1:15">
      <c r="A1656" s="2" t="s">
        <v>18</v>
      </c>
      <c r="B1656" t="s">
        <v>39</v>
      </c>
      <c r="C1656" t="s">
        <v>40</v>
      </c>
      <c r="D1656">
        <v>15</v>
      </c>
      <c r="E1656" t="s">
        <v>46</v>
      </c>
      <c r="F1656">
        <v>4</v>
      </c>
      <c r="G1656">
        <v>2</v>
      </c>
      <c r="H1656">
        <v>2</v>
      </c>
      <c r="I1656">
        <v>1</v>
      </c>
      <c r="J1656" s="4" t="s">
        <v>53</v>
      </c>
      <c r="K1656" t="str">
        <f t="shared" si="84"/>
        <v>2+2</v>
      </c>
      <c r="L1656">
        <f>VLOOKUP(A1656,'ZONE 1 PREMIUM'!$A$4:$N$16,14,0)</f>
        <v>9</v>
      </c>
      <c r="M1656">
        <f>VLOOKUP(D1656,DROPDOWN!B:C,2,0)</f>
        <v>7</v>
      </c>
      <c r="N1656" t="str">
        <f t="shared" si="85"/>
        <v>BR113:CJ124</v>
      </c>
      <c r="O1656" s="4">
        <f t="shared" ca="1" si="83"/>
        <v>153411.5</v>
      </c>
    </row>
    <row r="1657" spans="1:15">
      <c r="A1657" s="2" t="s">
        <v>19</v>
      </c>
      <c r="B1657" t="s">
        <v>41</v>
      </c>
      <c r="C1657" t="s">
        <v>42</v>
      </c>
      <c r="D1657">
        <v>15</v>
      </c>
      <c r="E1657" t="s">
        <v>46</v>
      </c>
      <c r="F1657">
        <v>4</v>
      </c>
      <c r="G1657">
        <v>2</v>
      </c>
      <c r="H1657">
        <v>2</v>
      </c>
      <c r="I1657">
        <v>1</v>
      </c>
      <c r="J1657" s="4" t="s">
        <v>53</v>
      </c>
      <c r="K1657" t="str">
        <f t="shared" si="84"/>
        <v>2+2</v>
      </c>
      <c r="L1657">
        <f>VLOOKUP(A1657,'ZONE 1 PREMIUM'!$A$4:$N$16,14,0)</f>
        <v>10</v>
      </c>
      <c r="M1657">
        <f>VLOOKUP(D1657,DROPDOWN!B:C,2,0)</f>
        <v>7</v>
      </c>
      <c r="N1657" t="str">
        <f t="shared" si="85"/>
        <v>BR113:CJ124</v>
      </c>
      <c r="O1657" s="4">
        <f t="shared" ca="1" si="83"/>
        <v>197077.1</v>
      </c>
    </row>
    <row r="1658" spans="1:15">
      <c r="A1658" s="2" t="s">
        <v>20</v>
      </c>
      <c r="B1658" t="s">
        <v>43</v>
      </c>
      <c r="C1658" t="s">
        <v>44</v>
      </c>
      <c r="D1658">
        <v>15</v>
      </c>
      <c r="E1658" t="s">
        <v>46</v>
      </c>
      <c r="F1658">
        <v>4</v>
      </c>
      <c r="G1658">
        <v>2</v>
      </c>
      <c r="H1658">
        <v>2</v>
      </c>
      <c r="I1658">
        <v>1</v>
      </c>
      <c r="J1658" s="4" t="s">
        <v>53</v>
      </c>
      <c r="K1658" t="str">
        <f t="shared" si="84"/>
        <v>2+2</v>
      </c>
      <c r="L1658">
        <f>VLOOKUP(A1658,'ZONE 1 PREMIUM'!$A$4:$N$16,14,0)</f>
        <v>11</v>
      </c>
      <c r="M1658">
        <f>VLOOKUP(D1658,DROPDOWN!B:C,2,0)</f>
        <v>7</v>
      </c>
      <c r="N1658" t="str">
        <f t="shared" si="85"/>
        <v>BR113:CJ124</v>
      </c>
      <c r="O1658" s="4">
        <f t="shared" ca="1" si="83"/>
        <v>239866.00000000003</v>
      </c>
    </row>
    <row r="1659" spans="1:15">
      <c r="A1659" s="2" t="s">
        <v>21</v>
      </c>
      <c r="B1659" t="s">
        <v>22</v>
      </c>
      <c r="D1659">
        <v>15</v>
      </c>
      <c r="E1659" t="s">
        <v>46</v>
      </c>
      <c r="F1659">
        <v>4</v>
      </c>
      <c r="G1659">
        <v>2</v>
      </c>
      <c r="H1659">
        <v>2</v>
      </c>
      <c r="I1659">
        <v>1</v>
      </c>
      <c r="J1659" s="4" t="s">
        <v>53</v>
      </c>
      <c r="K1659" t="str">
        <f t="shared" si="84"/>
        <v>2+2</v>
      </c>
      <c r="L1659">
        <f>VLOOKUP(A1659,'ZONE 1 PREMIUM'!$A$4:$N$16,14,0)</f>
        <v>12</v>
      </c>
      <c r="M1659">
        <f>VLOOKUP(D1659,DROPDOWN!B:C,2,0)</f>
        <v>7</v>
      </c>
      <c r="N1659" t="str">
        <f t="shared" si="85"/>
        <v>BR113:CJ124</v>
      </c>
      <c r="O1659" s="4">
        <f t="shared" ca="1" si="83"/>
        <v>304126.90000000002</v>
      </c>
    </row>
    <row r="1660" spans="1:15">
      <c r="A1660" s="2" t="s">
        <v>11</v>
      </c>
      <c r="B1660" t="s">
        <v>45</v>
      </c>
      <c r="C1660" t="s">
        <v>25</v>
      </c>
      <c r="D1660">
        <v>15</v>
      </c>
      <c r="E1660" t="s">
        <v>46</v>
      </c>
      <c r="F1660">
        <v>5</v>
      </c>
      <c r="G1660">
        <v>2</v>
      </c>
      <c r="H1660">
        <v>3</v>
      </c>
      <c r="I1660">
        <v>1</v>
      </c>
      <c r="J1660" s="4" t="s">
        <v>53</v>
      </c>
      <c r="K1660" t="str">
        <f t="shared" si="84"/>
        <v>2+3</v>
      </c>
      <c r="L1660">
        <f>VLOOKUP(A1660,'ZONE 1 PREMIUM'!$A$4:$N$16,14,0)</f>
        <v>2</v>
      </c>
      <c r="M1660">
        <f>VLOOKUP(D1660,DROPDOWN!B:C,2,0)</f>
        <v>7</v>
      </c>
      <c r="N1660" t="str">
        <f t="shared" si="85"/>
        <v>BR128:CJ139</v>
      </c>
      <c r="O1660" s="4">
        <f t="shared" ca="1" si="83"/>
        <v>45598.3</v>
      </c>
    </row>
    <row r="1661" spans="1:15">
      <c r="A1661" s="2" t="s">
        <v>12</v>
      </c>
      <c r="B1661" t="s">
        <v>27</v>
      </c>
      <c r="C1661" t="s">
        <v>28</v>
      </c>
      <c r="D1661">
        <v>15</v>
      </c>
      <c r="E1661" t="s">
        <v>46</v>
      </c>
      <c r="F1661">
        <v>5</v>
      </c>
      <c r="G1661">
        <v>2</v>
      </c>
      <c r="H1661">
        <v>3</v>
      </c>
      <c r="I1661">
        <v>1</v>
      </c>
      <c r="J1661" s="4" t="s">
        <v>53</v>
      </c>
      <c r="K1661" t="str">
        <f t="shared" si="84"/>
        <v>2+3</v>
      </c>
      <c r="L1661">
        <f>VLOOKUP(A1661,'ZONE 1 PREMIUM'!$A$4:$N$16,14,0)</f>
        <v>3</v>
      </c>
      <c r="M1661">
        <f>VLOOKUP(D1661,DROPDOWN!B:C,2,0)</f>
        <v>7</v>
      </c>
      <c r="N1661" t="str">
        <f t="shared" si="85"/>
        <v>BR128:CJ139</v>
      </c>
      <c r="O1661" s="4">
        <f t="shared" ca="1" si="83"/>
        <v>49288.800000000003</v>
      </c>
    </row>
    <row r="1662" spans="1:15">
      <c r="A1662" s="2" t="s">
        <v>13</v>
      </c>
      <c r="B1662" t="s">
        <v>29</v>
      </c>
      <c r="C1662" t="s">
        <v>30</v>
      </c>
      <c r="D1662">
        <v>15</v>
      </c>
      <c r="E1662" t="s">
        <v>46</v>
      </c>
      <c r="F1662">
        <v>5</v>
      </c>
      <c r="G1662">
        <v>2</v>
      </c>
      <c r="H1662">
        <v>3</v>
      </c>
      <c r="I1662">
        <v>1</v>
      </c>
      <c r="J1662" s="4" t="s">
        <v>53</v>
      </c>
      <c r="K1662" t="str">
        <f t="shared" si="84"/>
        <v>2+3</v>
      </c>
      <c r="L1662">
        <f>VLOOKUP(A1662,'ZONE 1 PREMIUM'!$A$4:$N$16,14,0)</f>
        <v>4</v>
      </c>
      <c r="M1662">
        <f>VLOOKUP(D1662,DROPDOWN!B:C,2,0)</f>
        <v>7</v>
      </c>
      <c r="N1662" t="str">
        <f t="shared" si="85"/>
        <v>BR128:CJ139</v>
      </c>
      <c r="O1662" s="4">
        <f t="shared" ca="1" si="83"/>
        <v>55636.9</v>
      </c>
    </row>
    <row r="1663" spans="1:15">
      <c r="A1663" s="2" t="s">
        <v>14</v>
      </c>
      <c r="B1663" t="s">
        <v>31</v>
      </c>
      <c r="C1663" t="s">
        <v>32</v>
      </c>
      <c r="D1663">
        <v>15</v>
      </c>
      <c r="E1663" t="s">
        <v>46</v>
      </c>
      <c r="F1663">
        <v>5</v>
      </c>
      <c r="G1663">
        <v>2</v>
      </c>
      <c r="H1663">
        <v>3</v>
      </c>
      <c r="I1663">
        <v>1</v>
      </c>
      <c r="J1663" s="4" t="s">
        <v>53</v>
      </c>
      <c r="K1663" t="str">
        <f t="shared" si="84"/>
        <v>2+3</v>
      </c>
      <c r="L1663">
        <f>VLOOKUP(A1663,'ZONE 1 PREMIUM'!$A$4:$N$16,14,0)</f>
        <v>5</v>
      </c>
      <c r="M1663">
        <f>VLOOKUP(D1663,DROPDOWN!B:C,2,0)</f>
        <v>7</v>
      </c>
      <c r="N1663" t="str">
        <f t="shared" si="85"/>
        <v>BR128:CJ139</v>
      </c>
      <c r="O1663" s="4">
        <f t="shared" ca="1" si="83"/>
        <v>62628.500000000007</v>
      </c>
    </row>
    <row r="1664" spans="1:15">
      <c r="A1664" s="2" t="s">
        <v>15</v>
      </c>
      <c r="B1664" t="s">
        <v>33</v>
      </c>
      <c r="C1664" t="s">
        <v>34</v>
      </c>
      <c r="D1664">
        <v>15</v>
      </c>
      <c r="E1664" t="s">
        <v>46</v>
      </c>
      <c r="F1664">
        <v>5</v>
      </c>
      <c r="G1664">
        <v>2</v>
      </c>
      <c r="H1664">
        <v>3</v>
      </c>
      <c r="I1664">
        <v>1</v>
      </c>
      <c r="J1664" s="4" t="s">
        <v>53</v>
      </c>
      <c r="K1664" t="str">
        <f t="shared" si="84"/>
        <v>2+3</v>
      </c>
      <c r="L1664">
        <f>VLOOKUP(A1664,'ZONE 1 PREMIUM'!$A$4:$N$16,14,0)</f>
        <v>6</v>
      </c>
      <c r="M1664">
        <f>VLOOKUP(D1664,DROPDOWN!B:C,2,0)</f>
        <v>7</v>
      </c>
      <c r="N1664" t="str">
        <f t="shared" si="85"/>
        <v>BR128:CJ139</v>
      </c>
      <c r="O1664" s="4">
        <f t="shared" ca="1" si="83"/>
        <v>76819.600000000006</v>
      </c>
    </row>
    <row r="1665" spans="1:15">
      <c r="A1665" s="2" t="s">
        <v>16</v>
      </c>
      <c r="B1665" t="s">
        <v>35</v>
      </c>
      <c r="C1665" t="s">
        <v>36</v>
      </c>
      <c r="D1665">
        <v>15</v>
      </c>
      <c r="E1665" t="s">
        <v>46</v>
      </c>
      <c r="F1665">
        <v>5</v>
      </c>
      <c r="G1665">
        <v>2</v>
      </c>
      <c r="H1665">
        <v>3</v>
      </c>
      <c r="I1665">
        <v>1</v>
      </c>
      <c r="J1665" s="4" t="s">
        <v>53</v>
      </c>
      <c r="K1665" t="str">
        <f t="shared" si="84"/>
        <v>2+3</v>
      </c>
      <c r="L1665">
        <f>VLOOKUP(A1665,'ZONE 1 PREMIUM'!$A$4:$N$16,14,0)</f>
        <v>7</v>
      </c>
      <c r="M1665">
        <f>VLOOKUP(D1665,DROPDOWN!B:C,2,0)</f>
        <v>7</v>
      </c>
      <c r="N1665" t="str">
        <f t="shared" si="85"/>
        <v>BR128:CJ139</v>
      </c>
      <c r="O1665" s="4">
        <f t="shared" ca="1" si="83"/>
        <v>97684.400000000009</v>
      </c>
    </row>
    <row r="1666" spans="1:15">
      <c r="A1666" s="2" t="s">
        <v>17</v>
      </c>
      <c r="B1666" t="s">
        <v>37</v>
      </c>
      <c r="C1666" t="s">
        <v>38</v>
      </c>
      <c r="D1666">
        <v>15</v>
      </c>
      <c r="E1666" t="s">
        <v>46</v>
      </c>
      <c r="F1666">
        <v>5</v>
      </c>
      <c r="G1666">
        <v>2</v>
      </c>
      <c r="H1666">
        <v>3</v>
      </c>
      <c r="I1666">
        <v>1</v>
      </c>
      <c r="J1666" s="4" t="s">
        <v>53</v>
      </c>
      <c r="K1666" t="str">
        <f t="shared" si="84"/>
        <v>2+3</v>
      </c>
      <c r="L1666">
        <f>VLOOKUP(A1666,'ZONE 1 PREMIUM'!$A$4:$N$16,14,0)</f>
        <v>8</v>
      </c>
      <c r="M1666">
        <f>VLOOKUP(D1666,DROPDOWN!B:C,2,0)</f>
        <v>7</v>
      </c>
      <c r="N1666" t="str">
        <f t="shared" si="85"/>
        <v>BR128:CJ139</v>
      </c>
      <c r="O1666" s="4">
        <f t="shared" ref="O1666:O1729" ca="1" si="86">INDEX(INDIRECT(N1666),L1666,M1666)</f>
        <v>123338.6</v>
      </c>
    </row>
    <row r="1667" spans="1:15">
      <c r="A1667" s="2" t="s">
        <v>18</v>
      </c>
      <c r="B1667" t="s">
        <v>39</v>
      </c>
      <c r="C1667" t="s">
        <v>40</v>
      </c>
      <c r="D1667">
        <v>15</v>
      </c>
      <c r="E1667" t="s">
        <v>46</v>
      </c>
      <c r="F1667">
        <v>5</v>
      </c>
      <c r="G1667">
        <v>2</v>
      </c>
      <c r="H1667">
        <v>3</v>
      </c>
      <c r="I1667">
        <v>1</v>
      </c>
      <c r="J1667" s="4" t="s">
        <v>53</v>
      </c>
      <c r="K1667" t="str">
        <f t="shared" si="84"/>
        <v>2+3</v>
      </c>
      <c r="L1667">
        <f>VLOOKUP(A1667,'ZONE 1 PREMIUM'!$A$4:$N$16,14,0)</f>
        <v>9</v>
      </c>
      <c r="M1667">
        <f>VLOOKUP(D1667,DROPDOWN!B:C,2,0)</f>
        <v>7</v>
      </c>
      <c r="N1667" t="str">
        <f t="shared" si="85"/>
        <v>BR128:CJ139</v>
      </c>
      <c r="O1667" s="4">
        <f t="shared" ca="1" si="86"/>
        <v>160790.30000000002</v>
      </c>
    </row>
    <row r="1668" spans="1:15">
      <c r="A1668" s="2" t="s">
        <v>19</v>
      </c>
      <c r="B1668" t="s">
        <v>41</v>
      </c>
      <c r="C1668" t="s">
        <v>42</v>
      </c>
      <c r="D1668">
        <v>15</v>
      </c>
      <c r="E1668" t="s">
        <v>46</v>
      </c>
      <c r="F1668">
        <v>5</v>
      </c>
      <c r="G1668">
        <v>2</v>
      </c>
      <c r="H1668">
        <v>3</v>
      </c>
      <c r="I1668">
        <v>1</v>
      </c>
      <c r="J1668" s="4" t="s">
        <v>53</v>
      </c>
      <c r="K1668" t="str">
        <f t="shared" ref="K1668:K1731" si="87">G1668&amp;"+"&amp;H1668</f>
        <v>2+3</v>
      </c>
      <c r="L1668">
        <f>VLOOKUP(A1668,'ZONE 1 PREMIUM'!$A$4:$N$16,14,0)</f>
        <v>10</v>
      </c>
      <c r="M1668">
        <f>VLOOKUP(D1668,DROPDOWN!B:C,2,0)</f>
        <v>7</v>
      </c>
      <c r="N1668" t="str">
        <f t="shared" si="85"/>
        <v>BR128:CJ139</v>
      </c>
      <c r="O1668" s="4">
        <f t="shared" ca="1" si="86"/>
        <v>204114.90000000002</v>
      </c>
    </row>
    <row r="1669" spans="1:15">
      <c r="A1669" s="2" t="s">
        <v>20</v>
      </c>
      <c r="B1669" t="s">
        <v>43</v>
      </c>
      <c r="C1669" t="s">
        <v>44</v>
      </c>
      <c r="D1669">
        <v>15</v>
      </c>
      <c r="E1669" t="s">
        <v>46</v>
      </c>
      <c r="F1669">
        <v>5</v>
      </c>
      <c r="G1669">
        <v>2</v>
      </c>
      <c r="H1669">
        <v>3</v>
      </c>
      <c r="I1669">
        <v>1</v>
      </c>
      <c r="J1669" s="4" t="s">
        <v>53</v>
      </c>
      <c r="K1669" t="str">
        <f t="shared" si="87"/>
        <v>2+3</v>
      </c>
      <c r="L1669">
        <f>VLOOKUP(A1669,'ZONE 1 PREMIUM'!$A$4:$N$16,14,0)</f>
        <v>11</v>
      </c>
      <c r="M1669">
        <f>VLOOKUP(D1669,DROPDOWN!B:C,2,0)</f>
        <v>7</v>
      </c>
      <c r="N1669" t="str">
        <f t="shared" si="85"/>
        <v>BR128:CJ139</v>
      </c>
      <c r="O1669" s="4">
        <f t="shared" ca="1" si="86"/>
        <v>247695.80000000002</v>
      </c>
    </row>
    <row r="1670" spans="1:15">
      <c r="A1670" s="2" t="s">
        <v>21</v>
      </c>
      <c r="B1670" t="s">
        <v>22</v>
      </c>
      <c r="D1670">
        <v>15</v>
      </c>
      <c r="E1670" t="s">
        <v>46</v>
      </c>
      <c r="F1670">
        <v>5</v>
      </c>
      <c r="G1670">
        <v>2</v>
      </c>
      <c r="H1670">
        <v>3</v>
      </c>
      <c r="I1670">
        <v>1</v>
      </c>
      <c r="J1670" s="4" t="s">
        <v>53</v>
      </c>
      <c r="K1670" t="str">
        <f t="shared" si="87"/>
        <v>2+3</v>
      </c>
      <c r="L1670">
        <f>VLOOKUP(A1670,'ZONE 1 PREMIUM'!$A$4:$N$16,14,0)</f>
        <v>12</v>
      </c>
      <c r="M1670">
        <f>VLOOKUP(D1670,DROPDOWN!B:C,2,0)</f>
        <v>7</v>
      </c>
      <c r="N1670" t="str">
        <f t="shared" si="85"/>
        <v>BR128:CJ139</v>
      </c>
      <c r="O1670" s="4">
        <f t="shared" ca="1" si="86"/>
        <v>312447.30000000005</v>
      </c>
    </row>
    <row r="1671" spans="1:15">
      <c r="A1671" s="2" t="s">
        <v>11</v>
      </c>
      <c r="B1671" t="s">
        <v>45</v>
      </c>
      <c r="C1671" t="s">
        <v>25</v>
      </c>
      <c r="D1671">
        <v>15</v>
      </c>
      <c r="E1671" t="s">
        <v>46</v>
      </c>
      <c r="F1671">
        <v>6</v>
      </c>
      <c r="G1671">
        <v>2</v>
      </c>
      <c r="H1671">
        <v>4</v>
      </c>
      <c r="I1671">
        <v>1</v>
      </c>
      <c r="J1671" s="4" t="s">
        <v>53</v>
      </c>
      <c r="K1671" t="str">
        <f t="shared" si="87"/>
        <v>2+4</v>
      </c>
      <c r="L1671">
        <f>VLOOKUP(A1671,'ZONE 1 PREMIUM'!$A$4:$N$16,14,0)</f>
        <v>2</v>
      </c>
      <c r="M1671">
        <f>VLOOKUP(D1671,DROPDOWN!B:C,2,0)</f>
        <v>7</v>
      </c>
      <c r="N1671" t="str">
        <f t="shared" si="85"/>
        <v>BR143:CJ154</v>
      </c>
      <c r="O1671" s="4">
        <f t="shared" ca="1" si="86"/>
        <v>51489.9</v>
      </c>
    </row>
    <row r="1672" spans="1:15">
      <c r="A1672" s="2" t="s">
        <v>12</v>
      </c>
      <c r="B1672" t="s">
        <v>27</v>
      </c>
      <c r="C1672" t="s">
        <v>28</v>
      </c>
      <c r="D1672">
        <v>15</v>
      </c>
      <c r="E1672" t="s">
        <v>46</v>
      </c>
      <c r="F1672">
        <v>6</v>
      </c>
      <c r="G1672">
        <v>2</v>
      </c>
      <c r="H1672">
        <v>4</v>
      </c>
      <c r="I1672">
        <v>1</v>
      </c>
      <c r="J1672" s="4" t="s">
        <v>53</v>
      </c>
      <c r="K1672" t="str">
        <f t="shared" si="87"/>
        <v>2+4</v>
      </c>
      <c r="L1672">
        <f>VLOOKUP(A1672,'ZONE 1 PREMIUM'!$A$4:$N$16,14,0)</f>
        <v>3</v>
      </c>
      <c r="M1672">
        <f>VLOOKUP(D1672,DROPDOWN!B:C,2,0)</f>
        <v>7</v>
      </c>
      <c r="N1672" t="str">
        <f t="shared" si="85"/>
        <v>BR143:CJ154</v>
      </c>
      <c r="O1672" s="4">
        <f t="shared" ca="1" si="86"/>
        <v>55074.8</v>
      </c>
    </row>
    <row r="1673" spans="1:15">
      <c r="A1673" s="2" t="s">
        <v>13</v>
      </c>
      <c r="B1673" t="s">
        <v>29</v>
      </c>
      <c r="C1673" t="s">
        <v>30</v>
      </c>
      <c r="D1673">
        <v>15</v>
      </c>
      <c r="E1673" t="s">
        <v>46</v>
      </c>
      <c r="F1673">
        <v>6</v>
      </c>
      <c r="G1673">
        <v>2</v>
      </c>
      <c r="H1673">
        <v>4</v>
      </c>
      <c r="I1673">
        <v>1</v>
      </c>
      <c r="J1673" s="4" t="s">
        <v>53</v>
      </c>
      <c r="K1673" t="str">
        <f t="shared" si="87"/>
        <v>2+4</v>
      </c>
      <c r="L1673">
        <f>VLOOKUP(A1673,'ZONE 1 PREMIUM'!$A$4:$N$16,14,0)</f>
        <v>4</v>
      </c>
      <c r="M1673">
        <f>VLOOKUP(D1673,DROPDOWN!B:C,2,0)</f>
        <v>7</v>
      </c>
      <c r="N1673" t="str">
        <f t="shared" si="85"/>
        <v>BR143:CJ154</v>
      </c>
      <c r="O1673" s="4">
        <f t="shared" ca="1" si="86"/>
        <v>62343.600000000006</v>
      </c>
    </row>
    <row r="1674" spans="1:15">
      <c r="A1674" s="2" t="s">
        <v>14</v>
      </c>
      <c r="B1674" t="s">
        <v>31</v>
      </c>
      <c r="C1674" t="s">
        <v>32</v>
      </c>
      <c r="D1674">
        <v>15</v>
      </c>
      <c r="E1674" t="s">
        <v>46</v>
      </c>
      <c r="F1674">
        <v>6</v>
      </c>
      <c r="G1674">
        <v>2</v>
      </c>
      <c r="H1674">
        <v>4</v>
      </c>
      <c r="I1674">
        <v>1</v>
      </c>
      <c r="J1674" s="4" t="s">
        <v>53</v>
      </c>
      <c r="K1674" t="str">
        <f t="shared" si="87"/>
        <v>2+4</v>
      </c>
      <c r="L1674">
        <f>VLOOKUP(A1674,'ZONE 1 PREMIUM'!$A$4:$N$16,14,0)</f>
        <v>5</v>
      </c>
      <c r="M1674">
        <f>VLOOKUP(D1674,DROPDOWN!B:C,2,0)</f>
        <v>7</v>
      </c>
      <c r="N1674" t="str">
        <f t="shared" si="85"/>
        <v>BR143:CJ154</v>
      </c>
      <c r="O1674" s="4">
        <f t="shared" ca="1" si="86"/>
        <v>69766.400000000009</v>
      </c>
    </row>
    <row r="1675" spans="1:15">
      <c r="A1675" s="2" t="s">
        <v>15</v>
      </c>
      <c r="B1675" t="s">
        <v>33</v>
      </c>
      <c r="C1675" t="s">
        <v>34</v>
      </c>
      <c r="D1675">
        <v>15</v>
      </c>
      <c r="E1675" t="s">
        <v>46</v>
      </c>
      <c r="F1675">
        <v>6</v>
      </c>
      <c r="G1675">
        <v>2</v>
      </c>
      <c r="H1675">
        <v>4</v>
      </c>
      <c r="I1675">
        <v>1</v>
      </c>
      <c r="J1675" s="4" t="s">
        <v>53</v>
      </c>
      <c r="K1675" t="str">
        <f t="shared" si="87"/>
        <v>2+4</v>
      </c>
      <c r="L1675">
        <f>VLOOKUP(A1675,'ZONE 1 PREMIUM'!$A$4:$N$16,14,0)</f>
        <v>6</v>
      </c>
      <c r="M1675">
        <f>VLOOKUP(D1675,DROPDOWN!B:C,2,0)</f>
        <v>7</v>
      </c>
      <c r="N1675" t="str">
        <f t="shared" si="85"/>
        <v>BR143:CJ154</v>
      </c>
      <c r="O1675" s="4">
        <f t="shared" ca="1" si="86"/>
        <v>84826.5</v>
      </c>
    </row>
    <row r="1676" spans="1:15">
      <c r="A1676" s="2" t="s">
        <v>16</v>
      </c>
      <c r="B1676" t="s">
        <v>35</v>
      </c>
      <c r="C1676" t="s">
        <v>36</v>
      </c>
      <c r="D1676">
        <v>15</v>
      </c>
      <c r="E1676" t="s">
        <v>46</v>
      </c>
      <c r="F1676">
        <v>6</v>
      </c>
      <c r="G1676">
        <v>2</v>
      </c>
      <c r="H1676">
        <v>4</v>
      </c>
      <c r="I1676">
        <v>1</v>
      </c>
      <c r="J1676" s="4" t="s">
        <v>53</v>
      </c>
      <c r="K1676" t="str">
        <f t="shared" si="87"/>
        <v>2+4</v>
      </c>
      <c r="L1676">
        <f>VLOOKUP(A1676,'ZONE 1 PREMIUM'!$A$4:$N$16,14,0)</f>
        <v>7</v>
      </c>
      <c r="M1676">
        <f>VLOOKUP(D1676,DROPDOWN!B:C,2,0)</f>
        <v>7</v>
      </c>
      <c r="N1676" t="str">
        <f t="shared" si="85"/>
        <v>BR143:CJ154</v>
      </c>
      <c r="O1676" s="4">
        <f t="shared" ca="1" si="86"/>
        <v>105022.50000000001</v>
      </c>
    </row>
    <row r="1677" spans="1:15">
      <c r="A1677" s="2" t="s">
        <v>17</v>
      </c>
      <c r="B1677" t="s">
        <v>37</v>
      </c>
      <c r="C1677" t="s">
        <v>38</v>
      </c>
      <c r="D1677">
        <v>15</v>
      </c>
      <c r="E1677" t="s">
        <v>46</v>
      </c>
      <c r="F1677">
        <v>6</v>
      </c>
      <c r="G1677">
        <v>2</v>
      </c>
      <c r="H1677">
        <v>4</v>
      </c>
      <c r="I1677">
        <v>1</v>
      </c>
      <c r="J1677" s="4" t="s">
        <v>53</v>
      </c>
      <c r="K1677" t="str">
        <f t="shared" si="87"/>
        <v>2+4</v>
      </c>
      <c r="L1677">
        <f>VLOOKUP(A1677,'ZONE 1 PREMIUM'!$A$4:$N$16,14,0)</f>
        <v>8</v>
      </c>
      <c r="M1677">
        <f>VLOOKUP(D1677,DROPDOWN!B:C,2,0)</f>
        <v>7</v>
      </c>
      <c r="N1677" t="str">
        <f t="shared" si="85"/>
        <v>BR143:CJ154</v>
      </c>
      <c r="O1677" s="4">
        <f t="shared" ca="1" si="86"/>
        <v>130663.50000000001</v>
      </c>
    </row>
    <row r="1678" spans="1:15">
      <c r="A1678" s="2" t="s">
        <v>18</v>
      </c>
      <c r="B1678" t="s">
        <v>39</v>
      </c>
      <c r="C1678" t="s">
        <v>40</v>
      </c>
      <c r="D1678">
        <v>15</v>
      </c>
      <c r="E1678" t="s">
        <v>46</v>
      </c>
      <c r="F1678">
        <v>6</v>
      </c>
      <c r="G1678">
        <v>2</v>
      </c>
      <c r="H1678">
        <v>4</v>
      </c>
      <c r="I1678">
        <v>1</v>
      </c>
      <c r="J1678" s="4" t="s">
        <v>53</v>
      </c>
      <c r="K1678" t="str">
        <f t="shared" si="87"/>
        <v>2+4</v>
      </c>
      <c r="L1678">
        <f>VLOOKUP(A1678,'ZONE 1 PREMIUM'!$A$4:$N$16,14,0)</f>
        <v>9</v>
      </c>
      <c r="M1678">
        <f>VLOOKUP(D1678,DROPDOWN!B:C,2,0)</f>
        <v>7</v>
      </c>
      <c r="N1678" t="str">
        <f t="shared" si="85"/>
        <v>BR143:CJ154</v>
      </c>
      <c r="O1678" s="4">
        <f t="shared" ca="1" si="86"/>
        <v>167833.60000000001</v>
      </c>
    </row>
    <row r="1679" spans="1:15">
      <c r="A1679" s="2" t="s">
        <v>19</v>
      </c>
      <c r="B1679" t="s">
        <v>41</v>
      </c>
      <c r="C1679" t="s">
        <v>42</v>
      </c>
      <c r="D1679">
        <v>15</v>
      </c>
      <c r="E1679" t="s">
        <v>46</v>
      </c>
      <c r="F1679">
        <v>6</v>
      </c>
      <c r="G1679">
        <v>2</v>
      </c>
      <c r="H1679">
        <v>4</v>
      </c>
      <c r="I1679">
        <v>1</v>
      </c>
      <c r="J1679" s="4" t="s">
        <v>53</v>
      </c>
      <c r="K1679" t="str">
        <f t="shared" si="87"/>
        <v>2+4</v>
      </c>
      <c r="L1679">
        <f>VLOOKUP(A1679,'ZONE 1 PREMIUM'!$A$4:$N$16,14,0)</f>
        <v>10</v>
      </c>
      <c r="M1679">
        <f>VLOOKUP(D1679,DROPDOWN!B:C,2,0)</f>
        <v>7</v>
      </c>
      <c r="N1679" t="str">
        <f t="shared" si="85"/>
        <v>BR143:CJ154</v>
      </c>
      <c r="O1679" s="4">
        <f t="shared" ca="1" si="86"/>
        <v>211912.80000000002</v>
      </c>
    </row>
    <row r="1680" spans="1:15">
      <c r="A1680" s="2" t="s">
        <v>20</v>
      </c>
      <c r="B1680" t="s">
        <v>43</v>
      </c>
      <c r="C1680" t="s">
        <v>44</v>
      </c>
      <c r="D1680">
        <v>15</v>
      </c>
      <c r="E1680" t="s">
        <v>46</v>
      </c>
      <c r="F1680">
        <v>6</v>
      </c>
      <c r="G1680">
        <v>2</v>
      </c>
      <c r="H1680">
        <v>4</v>
      </c>
      <c r="I1680">
        <v>1</v>
      </c>
      <c r="J1680" s="4" t="s">
        <v>53</v>
      </c>
      <c r="K1680" t="str">
        <f t="shared" si="87"/>
        <v>2+4</v>
      </c>
      <c r="L1680">
        <f>VLOOKUP(A1680,'ZONE 1 PREMIUM'!$A$4:$N$16,14,0)</f>
        <v>11</v>
      </c>
      <c r="M1680">
        <f>VLOOKUP(D1680,DROPDOWN!B:C,2,0)</f>
        <v>7</v>
      </c>
      <c r="N1680" t="str">
        <f t="shared" si="85"/>
        <v>BR143:CJ154</v>
      </c>
      <c r="O1680" s="4">
        <f t="shared" ca="1" si="86"/>
        <v>254951.40000000002</v>
      </c>
    </row>
    <row r="1681" spans="1:15">
      <c r="A1681" s="2" t="s">
        <v>21</v>
      </c>
      <c r="B1681" t="s">
        <v>22</v>
      </c>
      <c r="D1681">
        <v>15</v>
      </c>
      <c r="E1681" t="s">
        <v>46</v>
      </c>
      <c r="F1681">
        <v>6</v>
      </c>
      <c r="G1681">
        <v>2</v>
      </c>
      <c r="H1681">
        <v>4</v>
      </c>
      <c r="I1681">
        <v>1</v>
      </c>
      <c r="J1681" s="4" t="s">
        <v>53</v>
      </c>
      <c r="K1681" t="str">
        <f t="shared" si="87"/>
        <v>2+4</v>
      </c>
      <c r="L1681">
        <f>VLOOKUP(A1681,'ZONE 1 PREMIUM'!$A$4:$N$16,14,0)</f>
        <v>12</v>
      </c>
      <c r="M1681">
        <f>VLOOKUP(D1681,DROPDOWN!B:C,2,0)</f>
        <v>7</v>
      </c>
      <c r="N1681" t="str">
        <f t="shared" si="85"/>
        <v>BR143:CJ154</v>
      </c>
      <c r="O1681" s="4">
        <f t="shared" ca="1" si="86"/>
        <v>318498.40000000002</v>
      </c>
    </row>
    <row r="1682" spans="1:15">
      <c r="A1682" s="2" t="s">
        <v>9</v>
      </c>
      <c r="B1682" t="s">
        <v>47</v>
      </c>
      <c r="C1682" t="s">
        <v>48</v>
      </c>
      <c r="D1682">
        <v>15</v>
      </c>
      <c r="E1682" t="s">
        <v>26</v>
      </c>
      <c r="F1682">
        <v>1</v>
      </c>
      <c r="H1682">
        <v>1</v>
      </c>
      <c r="I1682">
        <v>1</v>
      </c>
      <c r="J1682" s="4" t="s">
        <v>54</v>
      </c>
      <c r="K1682" t="str">
        <f t="shared" si="87"/>
        <v>+1</v>
      </c>
      <c r="N1682" t="e">
        <f t="shared" ref="N1682:N1745" si="88">VLOOKUP(K1682,$DH$4:$DI$13,2,0)</f>
        <v>#N/A</v>
      </c>
      <c r="O1682" s="13">
        <v>3773.8843130888358</v>
      </c>
    </row>
    <row r="1683" spans="1:15">
      <c r="A1683" s="2" t="s">
        <v>10</v>
      </c>
      <c r="B1683" t="s">
        <v>49</v>
      </c>
      <c r="C1683" t="s">
        <v>50</v>
      </c>
      <c r="D1683">
        <v>15</v>
      </c>
      <c r="E1683" t="s">
        <v>26</v>
      </c>
      <c r="F1683">
        <v>1</v>
      </c>
      <c r="G1683">
        <v>1</v>
      </c>
      <c r="H1683">
        <v>0</v>
      </c>
      <c r="I1683">
        <v>1</v>
      </c>
      <c r="J1683" s="4" t="s">
        <v>54</v>
      </c>
      <c r="K1683" t="str">
        <f t="shared" si="87"/>
        <v>1+0</v>
      </c>
      <c r="L1683">
        <f>VLOOKUP(A1683,'ZONE 1 PREMIUM'!$A$3:$M$16,13,0)</f>
        <v>3</v>
      </c>
      <c r="M1683">
        <f>VLOOKUP(D1683,DROPDOWN!B:C,2,0)</f>
        <v>7</v>
      </c>
      <c r="N1683" t="str">
        <f t="shared" si="88"/>
        <v>CO3:DG16</v>
      </c>
      <c r="O1683" s="4">
        <f t="shared" ca="1" si="86"/>
        <v>6008.0800000000008</v>
      </c>
    </row>
    <row r="1684" spans="1:15">
      <c r="A1684" s="2" t="s">
        <v>11</v>
      </c>
      <c r="B1684" t="s">
        <v>45</v>
      </c>
      <c r="C1684" t="s">
        <v>25</v>
      </c>
      <c r="D1684">
        <v>15</v>
      </c>
      <c r="E1684" t="s">
        <v>26</v>
      </c>
      <c r="F1684">
        <v>1</v>
      </c>
      <c r="G1684">
        <v>1</v>
      </c>
      <c r="H1684">
        <v>0</v>
      </c>
      <c r="I1684">
        <v>1</v>
      </c>
      <c r="J1684" s="4" t="s">
        <v>54</v>
      </c>
      <c r="K1684" t="str">
        <f t="shared" si="87"/>
        <v>1+0</v>
      </c>
      <c r="L1684">
        <f>VLOOKUP(A1684,'ZONE 1 PREMIUM'!$A$3:$M$16,13,0)</f>
        <v>4</v>
      </c>
      <c r="M1684">
        <f>VLOOKUP(D1684,DROPDOWN!B:C,2,0)</f>
        <v>7</v>
      </c>
      <c r="N1684" t="str">
        <f t="shared" si="88"/>
        <v>CO3:DG16</v>
      </c>
      <c r="O1684" s="4">
        <f t="shared" ca="1" si="86"/>
        <v>16252.990000000002</v>
      </c>
    </row>
    <row r="1685" spans="1:15">
      <c r="A1685" s="2" t="s">
        <v>12</v>
      </c>
      <c r="B1685" t="s">
        <v>27</v>
      </c>
      <c r="C1685" t="s">
        <v>28</v>
      </c>
      <c r="D1685">
        <v>15</v>
      </c>
      <c r="E1685" t="s">
        <v>26</v>
      </c>
      <c r="F1685">
        <v>1</v>
      </c>
      <c r="G1685">
        <v>1</v>
      </c>
      <c r="H1685">
        <v>0</v>
      </c>
      <c r="I1685">
        <v>1</v>
      </c>
      <c r="J1685" s="4" t="s">
        <v>54</v>
      </c>
      <c r="K1685" t="str">
        <f t="shared" si="87"/>
        <v>1+0</v>
      </c>
      <c r="L1685">
        <f>VLOOKUP(A1685,'ZONE 1 PREMIUM'!$A$3:$M$16,13,0)</f>
        <v>5</v>
      </c>
      <c r="M1685">
        <f>VLOOKUP(D1685,DROPDOWN!B:C,2,0)</f>
        <v>7</v>
      </c>
      <c r="N1685" t="str">
        <f t="shared" si="88"/>
        <v>CO3:DG16</v>
      </c>
      <c r="O1685" s="4">
        <f t="shared" ca="1" si="86"/>
        <v>18758.900000000001</v>
      </c>
    </row>
    <row r="1686" spans="1:15">
      <c r="A1686" s="2" t="s">
        <v>13</v>
      </c>
      <c r="B1686" t="s">
        <v>29</v>
      </c>
      <c r="C1686" t="s">
        <v>30</v>
      </c>
      <c r="D1686">
        <v>15</v>
      </c>
      <c r="E1686" t="s">
        <v>26</v>
      </c>
      <c r="F1686">
        <v>1</v>
      </c>
      <c r="G1686">
        <v>1</v>
      </c>
      <c r="H1686">
        <v>0</v>
      </c>
      <c r="I1686">
        <v>1</v>
      </c>
      <c r="J1686" s="4" t="s">
        <v>54</v>
      </c>
      <c r="K1686" t="str">
        <f t="shared" si="87"/>
        <v>1+0</v>
      </c>
      <c r="L1686">
        <f>VLOOKUP(A1686,'ZONE 1 PREMIUM'!$A$3:$M$16,13,0)</f>
        <v>6</v>
      </c>
      <c r="M1686">
        <f>VLOOKUP(D1686,DROPDOWN!B:C,2,0)</f>
        <v>7</v>
      </c>
      <c r="N1686" t="str">
        <f t="shared" si="88"/>
        <v>CO3:DG16</v>
      </c>
      <c r="O1686" s="4">
        <f t="shared" ca="1" si="86"/>
        <v>21655.030000000002</v>
      </c>
    </row>
    <row r="1687" spans="1:15">
      <c r="A1687" s="2" t="s">
        <v>14</v>
      </c>
      <c r="B1687" t="s">
        <v>31</v>
      </c>
      <c r="C1687" t="s">
        <v>32</v>
      </c>
      <c r="D1687">
        <v>15</v>
      </c>
      <c r="E1687" t="s">
        <v>26</v>
      </c>
      <c r="F1687">
        <v>1</v>
      </c>
      <c r="G1687">
        <v>1</v>
      </c>
      <c r="H1687">
        <v>0</v>
      </c>
      <c r="I1687">
        <v>1</v>
      </c>
      <c r="J1687" s="4" t="s">
        <v>54</v>
      </c>
      <c r="K1687" t="str">
        <f t="shared" si="87"/>
        <v>1+0</v>
      </c>
      <c r="L1687">
        <f>VLOOKUP(A1687,'ZONE 1 PREMIUM'!$A$3:$M$16,13,0)</f>
        <v>7</v>
      </c>
      <c r="M1687">
        <f>VLOOKUP(D1687,DROPDOWN!B:C,2,0)</f>
        <v>7</v>
      </c>
      <c r="N1687" t="str">
        <f t="shared" si="88"/>
        <v>CO3:DG16</v>
      </c>
      <c r="O1687" s="4">
        <f t="shared" ca="1" si="86"/>
        <v>25217.15</v>
      </c>
    </row>
    <row r="1688" spans="1:15">
      <c r="A1688" s="2" t="s">
        <v>15</v>
      </c>
      <c r="B1688" t="s">
        <v>33</v>
      </c>
      <c r="C1688" t="s">
        <v>34</v>
      </c>
      <c r="D1688">
        <v>15</v>
      </c>
      <c r="E1688" t="s">
        <v>26</v>
      </c>
      <c r="F1688">
        <v>1</v>
      </c>
      <c r="G1688">
        <v>1</v>
      </c>
      <c r="H1688">
        <v>0</v>
      </c>
      <c r="I1688">
        <v>1</v>
      </c>
      <c r="J1688" s="4" t="s">
        <v>54</v>
      </c>
      <c r="K1688" t="str">
        <f t="shared" si="87"/>
        <v>1+0</v>
      </c>
      <c r="L1688">
        <f>VLOOKUP(A1688,'ZONE 1 PREMIUM'!$A$3:$M$16,13,0)</f>
        <v>8</v>
      </c>
      <c r="M1688">
        <f>VLOOKUP(D1688,DROPDOWN!B:C,2,0)</f>
        <v>7</v>
      </c>
      <c r="N1688" t="str">
        <f t="shared" si="88"/>
        <v>CO3:DG16</v>
      </c>
      <c r="O1688" s="4">
        <f t="shared" ca="1" si="86"/>
        <v>31364.750000000004</v>
      </c>
    </row>
    <row r="1689" spans="1:15">
      <c r="A1689" s="2" t="s">
        <v>16</v>
      </c>
      <c r="B1689" t="s">
        <v>35</v>
      </c>
      <c r="C1689" t="s">
        <v>36</v>
      </c>
      <c r="D1689">
        <v>15</v>
      </c>
      <c r="E1689" t="s">
        <v>26</v>
      </c>
      <c r="F1689">
        <v>1</v>
      </c>
      <c r="G1689">
        <v>1</v>
      </c>
      <c r="H1689">
        <v>0</v>
      </c>
      <c r="I1689">
        <v>1</v>
      </c>
      <c r="J1689" s="4" t="s">
        <v>54</v>
      </c>
      <c r="K1689" t="str">
        <f t="shared" si="87"/>
        <v>1+0</v>
      </c>
      <c r="L1689">
        <f>VLOOKUP(A1689,'ZONE 1 PREMIUM'!$A$3:$M$16,13,0)</f>
        <v>9</v>
      </c>
      <c r="M1689">
        <f>VLOOKUP(D1689,DROPDOWN!B:C,2,0)</f>
        <v>7</v>
      </c>
      <c r="N1689" t="str">
        <f t="shared" si="88"/>
        <v>CO3:DG16</v>
      </c>
      <c r="O1689" s="4">
        <f t="shared" ca="1" si="86"/>
        <v>41248.870000000003</v>
      </c>
    </row>
    <row r="1690" spans="1:15">
      <c r="A1690" s="2" t="s">
        <v>17</v>
      </c>
      <c r="B1690" t="s">
        <v>37</v>
      </c>
      <c r="C1690" t="s">
        <v>38</v>
      </c>
      <c r="D1690">
        <v>15</v>
      </c>
      <c r="E1690" t="s">
        <v>26</v>
      </c>
      <c r="F1690">
        <v>1</v>
      </c>
      <c r="G1690">
        <v>1</v>
      </c>
      <c r="H1690">
        <v>0</v>
      </c>
      <c r="I1690">
        <v>1</v>
      </c>
      <c r="J1690" s="4" t="s">
        <v>54</v>
      </c>
      <c r="K1690" t="str">
        <f t="shared" si="87"/>
        <v>1+0</v>
      </c>
      <c r="L1690">
        <f>VLOOKUP(A1690,'ZONE 1 PREMIUM'!$A$3:$M$16,13,0)</f>
        <v>10</v>
      </c>
      <c r="M1690">
        <f>VLOOKUP(D1690,DROPDOWN!B:C,2,0)</f>
        <v>7</v>
      </c>
      <c r="N1690" t="str">
        <f t="shared" si="88"/>
        <v>CO3:DG16</v>
      </c>
      <c r="O1690" s="4">
        <f t="shared" ca="1" si="86"/>
        <v>55935.530000000006</v>
      </c>
    </row>
    <row r="1691" spans="1:15">
      <c r="A1691" s="2" t="s">
        <v>18</v>
      </c>
      <c r="B1691" t="s">
        <v>39</v>
      </c>
      <c r="C1691" t="s">
        <v>40</v>
      </c>
      <c r="D1691">
        <v>15</v>
      </c>
      <c r="E1691" t="s">
        <v>26</v>
      </c>
      <c r="F1691">
        <v>1</v>
      </c>
      <c r="G1691">
        <v>1</v>
      </c>
      <c r="H1691">
        <v>0</v>
      </c>
      <c r="I1691">
        <v>1</v>
      </c>
      <c r="J1691" s="4" t="s">
        <v>54</v>
      </c>
      <c r="K1691" t="str">
        <f t="shared" si="87"/>
        <v>1+0</v>
      </c>
      <c r="L1691">
        <f>VLOOKUP(A1691,'ZONE 1 PREMIUM'!$A$3:$M$16,13,0)</f>
        <v>11</v>
      </c>
      <c r="M1691">
        <f>VLOOKUP(D1691,DROPDOWN!B:C,2,0)</f>
        <v>7</v>
      </c>
      <c r="N1691" t="str">
        <f t="shared" si="88"/>
        <v>CO3:DG16</v>
      </c>
      <c r="O1691" s="4">
        <f t="shared" ca="1" si="86"/>
        <v>77331.14</v>
      </c>
    </row>
    <row r="1692" spans="1:15">
      <c r="A1692" s="2" t="s">
        <v>19</v>
      </c>
      <c r="B1692" t="s">
        <v>41</v>
      </c>
      <c r="C1692" t="s">
        <v>42</v>
      </c>
      <c r="D1692">
        <v>15</v>
      </c>
      <c r="E1692" t="s">
        <v>26</v>
      </c>
      <c r="F1692">
        <v>1</v>
      </c>
      <c r="G1692">
        <v>1</v>
      </c>
      <c r="H1692">
        <v>0</v>
      </c>
      <c r="I1692">
        <v>1</v>
      </c>
      <c r="J1692" s="4" t="s">
        <v>54</v>
      </c>
      <c r="K1692" t="str">
        <f t="shared" si="87"/>
        <v>1+0</v>
      </c>
      <c r="L1692">
        <f>VLOOKUP(A1692,'ZONE 1 PREMIUM'!$A$3:$M$16,13,0)</f>
        <v>12</v>
      </c>
      <c r="M1692">
        <f>VLOOKUP(D1692,DROPDOWN!B:C,2,0)</f>
        <v>7</v>
      </c>
      <c r="N1692" t="str">
        <f t="shared" si="88"/>
        <v>CO3:DG16</v>
      </c>
      <c r="O1692" s="4">
        <f t="shared" ca="1" si="86"/>
        <v>98770.35</v>
      </c>
    </row>
    <row r="1693" spans="1:15">
      <c r="A1693" s="2" t="s">
        <v>20</v>
      </c>
      <c r="B1693" t="s">
        <v>43</v>
      </c>
      <c r="C1693" t="s">
        <v>44</v>
      </c>
      <c r="D1693">
        <v>15</v>
      </c>
      <c r="E1693" t="s">
        <v>26</v>
      </c>
      <c r="F1693">
        <v>1</v>
      </c>
      <c r="G1693">
        <v>1</v>
      </c>
      <c r="H1693">
        <v>0</v>
      </c>
      <c r="I1693">
        <v>1</v>
      </c>
      <c r="J1693" s="4" t="s">
        <v>54</v>
      </c>
      <c r="K1693" t="str">
        <f t="shared" si="87"/>
        <v>1+0</v>
      </c>
      <c r="L1693">
        <f>VLOOKUP(A1693,'ZONE 1 PREMIUM'!$A$3:$M$16,13,0)</f>
        <v>13</v>
      </c>
      <c r="M1693">
        <f>VLOOKUP(D1693,DROPDOWN!B:C,2,0)</f>
        <v>7</v>
      </c>
      <c r="N1693" t="str">
        <f t="shared" si="88"/>
        <v>CO3:DG16</v>
      </c>
      <c r="O1693" s="4">
        <f t="shared" ca="1" si="86"/>
        <v>118658.49</v>
      </c>
    </row>
    <row r="1694" spans="1:15">
      <c r="A1694" s="2" t="s">
        <v>21</v>
      </c>
      <c r="B1694" t="s">
        <v>22</v>
      </c>
      <c r="D1694">
        <v>15</v>
      </c>
      <c r="E1694" t="s">
        <v>26</v>
      </c>
      <c r="F1694">
        <v>1</v>
      </c>
      <c r="G1694">
        <v>1</v>
      </c>
      <c r="H1694">
        <v>0</v>
      </c>
      <c r="I1694">
        <v>1</v>
      </c>
      <c r="J1694" s="4" t="s">
        <v>54</v>
      </c>
      <c r="K1694" t="str">
        <f t="shared" si="87"/>
        <v>1+0</v>
      </c>
      <c r="L1694">
        <f>VLOOKUP(A1694,'ZONE 1 PREMIUM'!$A$3:$M$16,13,0)</f>
        <v>14</v>
      </c>
      <c r="M1694">
        <f>VLOOKUP(D1694,DROPDOWN!B:C,2,0)</f>
        <v>7</v>
      </c>
      <c r="N1694" t="str">
        <f t="shared" si="88"/>
        <v>CO3:DG16</v>
      </c>
      <c r="O1694" s="4">
        <f t="shared" ca="1" si="86"/>
        <v>159308.95000000001</v>
      </c>
    </row>
    <row r="1695" spans="1:15">
      <c r="A1695" s="2" t="s">
        <v>11</v>
      </c>
      <c r="B1695" t="s">
        <v>45</v>
      </c>
      <c r="C1695" t="s">
        <v>25</v>
      </c>
      <c r="D1695">
        <v>15</v>
      </c>
      <c r="E1695" t="s">
        <v>46</v>
      </c>
      <c r="F1695">
        <v>2</v>
      </c>
      <c r="G1695">
        <v>1</v>
      </c>
      <c r="H1695">
        <v>1</v>
      </c>
      <c r="I1695">
        <v>1</v>
      </c>
      <c r="J1695" s="4" t="s">
        <v>54</v>
      </c>
      <c r="K1695" t="str">
        <f t="shared" si="87"/>
        <v>1+1</v>
      </c>
      <c r="L1695">
        <f>VLOOKUP(A1695,'ZONE 1 PREMIUM'!$A$4:$N$16,14,0)</f>
        <v>2</v>
      </c>
      <c r="M1695">
        <f>VLOOKUP(D1695,DROPDOWN!B:C,2,0)</f>
        <v>7</v>
      </c>
      <c r="N1695" t="str">
        <f t="shared" si="88"/>
        <v>CO20:DG31</v>
      </c>
      <c r="O1695" s="4">
        <f t="shared" ca="1" si="86"/>
        <v>18357.780000000002</v>
      </c>
    </row>
    <row r="1696" spans="1:15">
      <c r="A1696" s="2" t="s">
        <v>12</v>
      </c>
      <c r="B1696" t="s">
        <v>27</v>
      </c>
      <c r="C1696" t="s">
        <v>28</v>
      </c>
      <c r="D1696">
        <v>15</v>
      </c>
      <c r="E1696" t="s">
        <v>46</v>
      </c>
      <c r="F1696">
        <v>2</v>
      </c>
      <c r="G1696">
        <v>1</v>
      </c>
      <c r="H1696">
        <v>1</v>
      </c>
      <c r="I1696">
        <v>1</v>
      </c>
      <c r="J1696" s="4" t="s">
        <v>54</v>
      </c>
      <c r="K1696" t="str">
        <f t="shared" si="87"/>
        <v>1+1</v>
      </c>
      <c r="L1696">
        <f>VLOOKUP(A1696,'ZONE 1 PREMIUM'!$A$4:$N$16,14,0)</f>
        <v>3</v>
      </c>
      <c r="M1696">
        <f>VLOOKUP(D1696,DROPDOWN!B:C,2,0)</f>
        <v>7</v>
      </c>
      <c r="N1696" t="str">
        <f t="shared" si="88"/>
        <v>CO20:DG31</v>
      </c>
      <c r="O1696" s="4">
        <f t="shared" ca="1" si="86"/>
        <v>20363.38</v>
      </c>
    </row>
    <row r="1697" spans="1:15">
      <c r="A1697" s="2" t="s">
        <v>13</v>
      </c>
      <c r="B1697" t="s">
        <v>29</v>
      </c>
      <c r="C1697" t="s">
        <v>30</v>
      </c>
      <c r="D1697">
        <v>15</v>
      </c>
      <c r="E1697" t="s">
        <v>46</v>
      </c>
      <c r="F1697">
        <v>2</v>
      </c>
      <c r="G1697">
        <v>1</v>
      </c>
      <c r="H1697">
        <v>1</v>
      </c>
      <c r="I1697">
        <v>1</v>
      </c>
      <c r="J1697" s="4" t="s">
        <v>54</v>
      </c>
      <c r="K1697" t="str">
        <f t="shared" si="87"/>
        <v>1+1</v>
      </c>
      <c r="L1697">
        <f>VLOOKUP(A1697,'ZONE 1 PREMIUM'!$A$4:$N$16,14,0)</f>
        <v>4</v>
      </c>
      <c r="M1697">
        <f>VLOOKUP(D1697,DROPDOWN!B:C,2,0)</f>
        <v>7</v>
      </c>
      <c r="N1697" t="str">
        <f t="shared" si="88"/>
        <v>CO20:DG31</v>
      </c>
      <c r="O1697" s="4">
        <f t="shared" ca="1" si="86"/>
        <v>23551.63</v>
      </c>
    </row>
    <row r="1698" spans="1:15">
      <c r="A1698" s="2" t="s">
        <v>14</v>
      </c>
      <c r="B1698" t="s">
        <v>31</v>
      </c>
      <c r="C1698" t="s">
        <v>32</v>
      </c>
      <c r="D1698">
        <v>15</v>
      </c>
      <c r="E1698" t="s">
        <v>46</v>
      </c>
      <c r="F1698">
        <v>2</v>
      </c>
      <c r="G1698">
        <v>1</v>
      </c>
      <c r="H1698">
        <v>1</v>
      </c>
      <c r="I1698">
        <v>1</v>
      </c>
      <c r="J1698" s="4" t="s">
        <v>54</v>
      </c>
      <c r="K1698" t="str">
        <f t="shared" si="87"/>
        <v>1+1</v>
      </c>
      <c r="L1698">
        <f>VLOOKUP(A1698,'ZONE 1 PREMIUM'!$A$4:$N$16,14,0)</f>
        <v>5</v>
      </c>
      <c r="M1698">
        <f>VLOOKUP(D1698,DROPDOWN!B:C,2,0)</f>
        <v>7</v>
      </c>
      <c r="N1698" t="str">
        <f t="shared" si="88"/>
        <v>CO20:DG31</v>
      </c>
      <c r="O1698" s="4">
        <f t="shared" ca="1" si="86"/>
        <v>27723.06</v>
      </c>
    </row>
    <row r="1699" spans="1:15">
      <c r="A1699" s="2" t="s">
        <v>15</v>
      </c>
      <c r="B1699" t="s">
        <v>33</v>
      </c>
      <c r="C1699" t="s">
        <v>34</v>
      </c>
      <c r="D1699">
        <v>15</v>
      </c>
      <c r="E1699" t="s">
        <v>46</v>
      </c>
      <c r="F1699">
        <v>2</v>
      </c>
      <c r="G1699">
        <v>1</v>
      </c>
      <c r="H1699">
        <v>1</v>
      </c>
      <c r="I1699">
        <v>1</v>
      </c>
      <c r="J1699" s="4" t="s">
        <v>54</v>
      </c>
      <c r="K1699" t="str">
        <f t="shared" si="87"/>
        <v>1+1</v>
      </c>
      <c r="L1699">
        <f>VLOOKUP(A1699,'ZONE 1 PREMIUM'!$A$4:$N$16,14,0)</f>
        <v>6</v>
      </c>
      <c r="M1699">
        <f>VLOOKUP(D1699,DROPDOWN!B:C,2,0)</f>
        <v>7</v>
      </c>
      <c r="N1699" t="str">
        <f t="shared" si="88"/>
        <v>CO20:DG31</v>
      </c>
      <c r="O1699" s="4">
        <f t="shared" ca="1" si="86"/>
        <v>34179.130000000005</v>
      </c>
    </row>
    <row r="1700" spans="1:15">
      <c r="A1700" s="2" t="s">
        <v>16</v>
      </c>
      <c r="B1700" t="s">
        <v>35</v>
      </c>
      <c r="C1700" t="s">
        <v>36</v>
      </c>
      <c r="D1700">
        <v>15</v>
      </c>
      <c r="E1700" t="s">
        <v>46</v>
      </c>
      <c r="F1700">
        <v>2</v>
      </c>
      <c r="G1700">
        <v>1</v>
      </c>
      <c r="H1700">
        <v>1</v>
      </c>
      <c r="I1700">
        <v>1</v>
      </c>
      <c r="J1700" s="4" t="s">
        <v>54</v>
      </c>
      <c r="K1700" t="str">
        <f t="shared" si="87"/>
        <v>1+1</v>
      </c>
      <c r="L1700">
        <f>VLOOKUP(A1700,'ZONE 1 PREMIUM'!$A$4:$N$16,14,0)</f>
        <v>7</v>
      </c>
      <c r="M1700">
        <f>VLOOKUP(D1700,DROPDOWN!B:C,2,0)</f>
        <v>7</v>
      </c>
      <c r="N1700" t="str">
        <f t="shared" si="88"/>
        <v>CO20:DG31</v>
      </c>
      <c r="O1700" s="4">
        <f t="shared" ca="1" si="86"/>
        <v>44341.200000000004</v>
      </c>
    </row>
    <row r="1701" spans="1:15">
      <c r="A1701" s="2" t="s">
        <v>17</v>
      </c>
      <c r="B1701" t="s">
        <v>37</v>
      </c>
      <c r="C1701" t="s">
        <v>38</v>
      </c>
      <c r="D1701">
        <v>15</v>
      </c>
      <c r="E1701" t="s">
        <v>46</v>
      </c>
      <c r="F1701">
        <v>2</v>
      </c>
      <c r="G1701">
        <v>1</v>
      </c>
      <c r="H1701">
        <v>1</v>
      </c>
      <c r="I1701">
        <v>1</v>
      </c>
      <c r="J1701" s="4" t="s">
        <v>54</v>
      </c>
      <c r="K1701" t="str">
        <f t="shared" si="87"/>
        <v>1+1</v>
      </c>
      <c r="L1701">
        <f>VLOOKUP(A1701,'ZONE 1 PREMIUM'!$A$4:$N$16,14,0)</f>
        <v>8</v>
      </c>
      <c r="M1701">
        <f>VLOOKUP(D1701,DROPDOWN!B:C,2,0)</f>
        <v>7</v>
      </c>
      <c r="N1701" t="str">
        <f t="shared" si="88"/>
        <v>CO20:DG31</v>
      </c>
      <c r="O1701" s="4">
        <f t="shared" ca="1" si="86"/>
        <v>59110.700000000004</v>
      </c>
    </row>
    <row r="1702" spans="1:15">
      <c r="A1702" s="2" t="s">
        <v>18</v>
      </c>
      <c r="B1702" t="s">
        <v>39</v>
      </c>
      <c r="C1702" t="s">
        <v>40</v>
      </c>
      <c r="D1702">
        <v>15</v>
      </c>
      <c r="E1702" t="s">
        <v>46</v>
      </c>
      <c r="F1702">
        <v>2</v>
      </c>
      <c r="G1702">
        <v>1</v>
      </c>
      <c r="H1702">
        <v>1</v>
      </c>
      <c r="I1702">
        <v>1</v>
      </c>
      <c r="J1702" s="4" t="s">
        <v>54</v>
      </c>
      <c r="K1702" t="str">
        <f t="shared" si="87"/>
        <v>1+1</v>
      </c>
      <c r="L1702">
        <f>VLOOKUP(A1702,'ZONE 1 PREMIUM'!$A$4:$N$16,14,0)</f>
        <v>9</v>
      </c>
      <c r="M1702">
        <f>VLOOKUP(D1702,DROPDOWN!B:C,2,0)</f>
        <v>7</v>
      </c>
      <c r="N1702" t="str">
        <f t="shared" si="88"/>
        <v>CO20:DG31</v>
      </c>
      <c r="O1702" s="4">
        <f t="shared" ca="1" si="86"/>
        <v>81418.64</v>
      </c>
    </row>
    <row r="1703" spans="1:15">
      <c r="A1703" s="2" t="s">
        <v>19</v>
      </c>
      <c r="B1703" t="s">
        <v>41</v>
      </c>
      <c r="C1703" t="s">
        <v>42</v>
      </c>
      <c r="D1703">
        <v>15</v>
      </c>
      <c r="E1703" t="s">
        <v>46</v>
      </c>
      <c r="F1703">
        <v>2</v>
      </c>
      <c r="G1703">
        <v>1</v>
      </c>
      <c r="H1703">
        <v>1</v>
      </c>
      <c r="I1703">
        <v>1</v>
      </c>
      <c r="J1703" s="4" t="s">
        <v>54</v>
      </c>
      <c r="K1703" t="str">
        <f t="shared" si="87"/>
        <v>1+1</v>
      </c>
      <c r="L1703">
        <f>VLOOKUP(A1703,'ZONE 1 PREMIUM'!$A$4:$N$16,14,0)</f>
        <v>10</v>
      </c>
      <c r="M1703">
        <f>VLOOKUP(D1703,DROPDOWN!B:C,2,0)</f>
        <v>7</v>
      </c>
      <c r="N1703" t="str">
        <f t="shared" si="88"/>
        <v>CO20:DG31</v>
      </c>
      <c r="O1703" s="4">
        <f t="shared" ca="1" si="86"/>
        <v>102900.36</v>
      </c>
    </row>
    <row r="1704" spans="1:15">
      <c r="A1704" s="2" t="s">
        <v>20</v>
      </c>
      <c r="B1704" t="s">
        <v>43</v>
      </c>
      <c r="C1704" t="s">
        <v>44</v>
      </c>
      <c r="D1704">
        <v>15</v>
      </c>
      <c r="E1704" t="s">
        <v>46</v>
      </c>
      <c r="F1704">
        <v>2</v>
      </c>
      <c r="G1704">
        <v>1</v>
      </c>
      <c r="H1704">
        <v>1</v>
      </c>
      <c r="I1704">
        <v>1</v>
      </c>
      <c r="J1704" s="4" t="s">
        <v>54</v>
      </c>
      <c r="K1704" t="str">
        <f t="shared" si="87"/>
        <v>1+1</v>
      </c>
      <c r="L1704">
        <f>VLOOKUP(A1704,'ZONE 1 PREMIUM'!$A$4:$N$16,14,0)</f>
        <v>11</v>
      </c>
      <c r="M1704">
        <f>VLOOKUP(D1704,DROPDOWN!B:C,2,0)</f>
        <v>7</v>
      </c>
      <c r="N1704" t="str">
        <f t="shared" si="88"/>
        <v>CO20:DG31</v>
      </c>
      <c r="O1704" s="4">
        <f t="shared" ca="1" si="86"/>
        <v>121286.48000000001</v>
      </c>
    </row>
    <row r="1705" spans="1:15">
      <c r="A1705" s="2" t="s">
        <v>21</v>
      </c>
      <c r="B1705" t="s">
        <v>22</v>
      </c>
      <c r="D1705">
        <v>15</v>
      </c>
      <c r="E1705" t="s">
        <v>46</v>
      </c>
      <c r="F1705">
        <v>2</v>
      </c>
      <c r="G1705">
        <v>1</v>
      </c>
      <c r="H1705">
        <v>1</v>
      </c>
      <c r="I1705">
        <v>1</v>
      </c>
      <c r="J1705" s="4" t="s">
        <v>54</v>
      </c>
      <c r="K1705" t="str">
        <f t="shared" si="87"/>
        <v>1+1</v>
      </c>
      <c r="L1705">
        <f>VLOOKUP(A1705,'ZONE 1 PREMIUM'!$A$4:$N$16,14,0)</f>
        <v>12</v>
      </c>
      <c r="M1705">
        <f>VLOOKUP(D1705,DROPDOWN!B:C,2,0)</f>
        <v>7</v>
      </c>
      <c r="N1705" t="str">
        <f t="shared" si="88"/>
        <v>CO20:DG31</v>
      </c>
      <c r="O1705" s="4">
        <f t="shared" ca="1" si="86"/>
        <v>164386.17000000001</v>
      </c>
    </row>
    <row r="1706" spans="1:15">
      <c r="A1706" s="2" t="s">
        <v>11</v>
      </c>
      <c r="B1706" t="s">
        <v>45</v>
      </c>
      <c r="C1706" t="s">
        <v>25</v>
      </c>
      <c r="D1706">
        <v>15</v>
      </c>
      <c r="E1706" t="s">
        <v>46</v>
      </c>
      <c r="F1706">
        <v>3</v>
      </c>
      <c r="G1706">
        <v>1</v>
      </c>
      <c r="H1706">
        <v>2</v>
      </c>
      <c r="I1706">
        <v>1</v>
      </c>
      <c r="J1706" s="4" t="s">
        <v>54</v>
      </c>
      <c r="K1706" t="str">
        <f t="shared" si="87"/>
        <v>1+2</v>
      </c>
      <c r="L1706">
        <f>VLOOKUP(A1706,'ZONE 1 PREMIUM'!$A$4:$N$16,14,0)</f>
        <v>2</v>
      </c>
      <c r="M1706">
        <f>VLOOKUP(D1706,DROPDOWN!B:C,2,0)</f>
        <v>7</v>
      </c>
      <c r="N1706" t="str">
        <f t="shared" si="88"/>
        <v>CO35:DG46</v>
      </c>
      <c r="O1706" s="4">
        <f t="shared" ca="1" si="86"/>
        <v>23775.08</v>
      </c>
    </row>
    <row r="1707" spans="1:15">
      <c r="A1707" s="2" t="s">
        <v>12</v>
      </c>
      <c r="B1707" t="s">
        <v>27</v>
      </c>
      <c r="C1707" t="s">
        <v>28</v>
      </c>
      <c r="D1707">
        <v>15</v>
      </c>
      <c r="E1707" t="s">
        <v>46</v>
      </c>
      <c r="F1707">
        <v>3</v>
      </c>
      <c r="G1707">
        <v>1</v>
      </c>
      <c r="H1707">
        <v>2</v>
      </c>
      <c r="I1707">
        <v>1</v>
      </c>
      <c r="J1707" s="4" t="s">
        <v>54</v>
      </c>
      <c r="K1707" t="str">
        <f t="shared" si="87"/>
        <v>1+2</v>
      </c>
      <c r="L1707">
        <f>VLOOKUP(A1707,'ZONE 1 PREMIUM'!$A$4:$N$16,14,0)</f>
        <v>3</v>
      </c>
      <c r="M1707">
        <f>VLOOKUP(D1707,DROPDOWN!B:C,2,0)</f>
        <v>7</v>
      </c>
      <c r="N1707" t="str">
        <f t="shared" si="88"/>
        <v>CO35:DG46</v>
      </c>
      <c r="O1707" s="4">
        <f t="shared" ca="1" si="86"/>
        <v>25582.300000000003</v>
      </c>
    </row>
    <row r="1708" spans="1:15">
      <c r="A1708" s="2" t="s">
        <v>13</v>
      </c>
      <c r="B1708" t="s">
        <v>29</v>
      </c>
      <c r="C1708" t="s">
        <v>30</v>
      </c>
      <c r="D1708">
        <v>15</v>
      </c>
      <c r="E1708" t="s">
        <v>46</v>
      </c>
      <c r="F1708">
        <v>3</v>
      </c>
      <c r="G1708">
        <v>1</v>
      </c>
      <c r="H1708">
        <v>2</v>
      </c>
      <c r="I1708">
        <v>1</v>
      </c>
      <c r="J1708" s="4" t="s">
        <v>54</v>
      </c>
      <c r="K1708" t="str">
        <f t="shared" si="87"/>
        <v>1+2</v>
      </c>
      <c r="L1708">
        <f>VLOOKUP(A1708,'ZONE 1 PREMIUM'!$A$4:$N$16,14,0)</f>
        <v>4</v>
      </c>
      <c r="M1708">
        <f>VLOOKUP(D1708,DROPDOWN!B:C,2,0)</f>
        <v>7</v>
      </c>
      <c r="N1708" t="str">
        <f t="shared" si="88"/>
        <v>CO35:DG46</v>
      </c>
      <c r="O1708" s="4">
        <f t="shared" ca="1" si="86"/>
        <v>29601.13</v>
      </c>
    </row>
    <row r="1709" spans="1:15">
      <c r="A1709" s="2" t="s">
        <v>14</v>
      </c>
      <c r="B1709" t="s">
        <v>31</v>
      </c>
      <c r="C1709" t="s">
        <v>32</v>
      </c>
      <c r="D1709">
        <v>15</v>
      </c>
      <c r="E1709" t="s">
        <v>46</v>
      </c>
      <c r="F1709">
        <v>3</v>
      </c>
      <c r="G1709">
        <v>1</v>
      </c>
      <c r="H1709">
        <v>2</v>
      </c>
      <c r="I1709">
        <v>1</v>
      </c>
      <c r="J1709" s="4" t="s">
        <v>54</v>
      </c>
      <c r="K1709" t="str">
        <f t="shared" si="87"/>
        <v>1+2</v>
      </c>
      <c r="L1709">
        <f>VLOOKUP(A1709,'ZONE 1 PREMIUM'!$A$4:$N$16,14,0)</f>
        <v>5</v>
      </c>
      <c r="M1709">
        <f>VLOOKUP(D1709,DROPDOWN!B:C,2,0)</f>
        <v>7</v>
      </c>
      <c r="N1709" t="str">
        <f t="shared" si="88"/>
        <v>CO35:DG46</v>
      </c>
      <c r="O1709" s="4">
        <f t="shared" ca="1" si="86"/>
        <v>33219.93</v>
      </c>
    </row>
    <row r="1710" spans="1:15">
      <c r="A1710" s="2" t="s">
        <v>15</v>
      </c>
      <c r="B1710" t="s">
        <v>33</v>
      </c>
      <c r="C1710" t="s">
        <v>34</v>
      </c>
      <c r="D1710">
        <v>15</v>
      </c>
      <c r="E1710" t="s">
        <v>46</v>
      </c>
      <c r="F1710">
        <v>3</v>
      </c>
      <c r="G1710">
        <v>1</v>
      </c>
      <c r="H1710">
        <v>2</v>
      </c>
      <c r="I1710">
        <v>1</v>
      </c>
      <c r="J1710" s="4" t="s">
        <v>54</v>
      </c>
      <c r="K1710" t="str">
        <f t="shared" si="87"/>
        <v>1+2</v>
      </c>
      <c r="L1710">
        <f>VLOOKUP(A1710,'ZONE 1 PREMIUM'!$A$4:$N$16,14,0)</f>
        <v>6</v>
      </c>
      <c r="M1710">
        <f>VLOOKUP(D1710,DROPDOWN!B:C,2,0)</f>
        <v>7</v>
      </c>
      <c r="N1710" t="str">
        <f t="shared" si="88"/>
        <v>CO35:DG46</v>
      </c>
      <c r="O1710" s="4">
        <f t="shared" ca="1" si="86"/>
        <v>41542.080000000002</v>
      </c>
    </row>
    <row r="1711" spans="1:15">
      <c r="A1711" s="2" t="s">
        <v>16</v>
      </c>
      <c r="B1711" t="s">
        <v>35</v>
      </c>
      <c r="C1711" t="s">
        <v>36</v>
      </c>
      <c r="D1711">
        <v>15</v>
      </c>
      <c r="E1711" t="s">
        <v>46</v>
      </c>
      <c r="F1711">
        <v>3</v>
      </c>
      <c r="G1711">
        <v>1</v>
      </c>
      <c r="H1711">
        <v>2</v>
      </c>
      <c r="I1711">
        <v>1</v>
      </c>
      <c r="J1711" s="4" t="s">
        <v>54</v>
      </c>
      <c r="K1711" t="str">
        <f t="shared" si="87"/>
        <v>1+2</v>
      </c>
      <c r="L1711">
        <f>VLOOKUP(A1711,'ZONE 1 PREMIUM'!$A$4:$N$16,14,0)</f>
        <v>7</v>
      </c>
      <c r="M1711">
        <f>VLOOKUP(D1711,DROPDOWN!B:C,2,0)</f>
        <v>7</v>
      </c>
      <c r="N1711" t="str">
        <f t="shared" si="88"/>
        <v>CO35:DG46</v>
      </c>
      <c r="O1711" s="4">
        <f t="shared" ca="1" si="86"/>
        <v>53465.590000000004</v>
      </c>
    </row>
    <row r="1712" spans="1:15">
      <c r="A1712" s="2" t="s">
        <v>17</v>
      </c>
      <c r="B1712" t="s">
        <v>37</v>
      </c>
      <c r="C1712" t="s">
        <v>38</v>
      </c>
      <c r="D1712">
        <v>15</v>
      </c>
      <c r="E1712" t="s">
        <v>46</v>
      </c>
      <c r="F1712">
        <v>3</v>
      </c>
      <c r="G1712">
        <v>1</v>
      </c>
      <c r="H1712">
        <v>2</v>
      </c>
      <c r="I1712">
        <v>1</v>
      </c>
      <c r="J1712" s="4" t="s">
        <v>54</v>
      </c>
      <c r="K1712" t="str">
        <f t="shared" si="87"/>
        <v>1+2</v>
      </c>
      <c r="L1712">
        <f>VLOOKUP(A1712,'ZONE 1 PREMIUM'!$A$4:$N$16,14,0)</f>
        <v>8</v>
      </c>
      <c r="M1712">
        <f>VLOOKUP(D1712,DROPDOWN!B:C,2,0)</f>
        <v>7</v>
      </c>
      <c r="N1712" t="str">
        <f t="shared" si="88"/>
        <v>CO35:DG46</v>
      </c>
      <c r="O1712" s="4">
        <f t="shared" ca="1" si="86"/>
        <v>68940.320000000007</v>
      </c>
    </row>
    <row r="1713" spans="1:15">
      <c r="A1713" s="2" t="s">
        <v>18</v>
      </c>
      <c r="B1713" t="s">
        <v>39</v>
      </c>
      <c r="C1713" t="s">
        <v>40</v>
      </c>
      <c r="D1713">
        <v>15</v>
      </c>
      <c r="E1713" t="s">
        <v>46</v>
      </c>
      <c r="F1713">
        <v>3</v>
      </c>
      <c r="G1713">
        <v>1</v>
      </c>
      <c r="H1713">
        <v>2</v>
      </c>
      <c r="I1713">
        <v>1</v>
      </c>
      <c r="J1713" s="4" t="s">
        <v>54</v>
      </c>
      <c r="K1713" t="str">
        <f t="shared" si="87"/>
        <v>1+2</v>
      </c>
      <c r="L1713">
        <f>VLOOKUP(A1713,'ZONE 1 PREMIUM'!$A$4:$N$16,14,0)</f>
        <v>9</v>
      </c>
      <c r="M1713">
        <f>VLOOKUP(D1713,DROPDOWN!B:C,2,0)</f>
        <v>7</v>
      </c>
      <c r="N1713" t="str">
        <f t="shared" si="88"/>
        <v>CO35:DG46</v>
      </c>
      <c r="O1713" s="4">
        <f t="shared" ca="1" si="86"/>
        <v>89438.86</v>
      </c>
    </row>
    <row r="1714" spans="1:15">
      <c r="A1714" s="2" t="s">
        <v>19</v>
      </c>
      <c r="B1714" t="s">
        <v>41</v>
      </c>
      <c r="C1714" t="s">
        <v>42</v>
      </c>
      <c r="D1714">
        <v>15</v>
      </c>
      <c r="E1714" t="s">
        <v>46</v>
      </c>
      <c r="F1714">
        <v>3</v>
      </c>
      <c r="G1714">
        <v>1</v>
      </c>
      <c r="H1714">
        <v>2</v>
      </c>
      <c r="I1714">
        <v>1</v>
      </c>
      <c r="J1714" s="4" t="s">
        <v>54</v>
      </c>
      <c r="K1714" t="str">
        <f t="shared" si="87"/>
        <v>1+2</v>
      </c>
      <c r="L1714">
        <f>VLOOKUP(A1714,'ZONE 1 PREMIUM'!$A$4:$N$16,14,0)</f>
        <v>10</v>
      </c>
      <c r="M1714">
        <f>VLOOKUP(D1714,DROPDOWN!B:C,2,0)</f>
        <v>7</v>
      </c>
      <c r="N1714" t="str">
        <f t="shared" si="88"/>
        <v>CO35:DG46</v>
      </c>
      <c r="O1714" s="4">
        <f t="shared" ca="1" si="86"/>
        <v>112706.00000000001</v>
      </c>
    </row>
    <row r="1715" spans="1:15">
      <c r="A1715" s="2" t="s">
        <v>20</v>
      </c>
      <c r="B1715" t="s">
        <v>43</v>
      </c>
      <c r="C1715" t="s">
        <v>44</v>
      </c>
      <c r="D1715">
        <v>15</v>
      </c>
      <c r="E1715" t="s">
        <v>46</v>
      </c>
      <c r="F1715">
        <v>3</v>
      </c>
      <c r="G1715">
        <v>1</v>
      </c>
      <c r="H1715">
        <v>2</v>
      </c>
      <c r="I1715">
        <v>1</v>
      </c>
      <c r="J1715" s="4" t="s">
        <v>54</v>
      </c>
      <c r="K1715" t="str">
        <f t="shared" si="87"/>
        <v>1+2</v>
      </c>
      <c r="L1715">
        <f>VLOOKUP(A1715,'ZONE 1 PREMIUM'!$A$4:$N$16,14,0)</f>
        <v>11</v>
      </c>
      <c r="M1715">
        <f>VLOOKUP(D1715,DROPDOWN!B:C,2,0)</f>
        <v>7</v>
      </c>
      <c r="N1715" t="str">
        <f t="shared" si="88"/>
        <v>CO35:DG46</v>
      </c>
      <c r="O1715" s="4">
        <f t="shared" ca="1" si="86"/>
        <v>132841.57</v>
      </c>
    </row>
    <row r="1716" spans="1:15">
      <c r="A1716" s="2" t="s">
        <v>21</v>
      </c>
      <c r="B1716" t="s">
        <v>22</v>
      </c>
      <c r="D1716">
        <v>15</v>
      </c>
      <c r="E1716" t="s">
        <v>46</v>
      </c>
      <c r="F1716">
        <v>3</v>
      </c>
      <c r="G1716">
        <v>1</v>
      </c>
      <c r="H1716">
        <v>2</v>
      </c>
      <c r="I1716">
        <v>1</v>
      </c>
      <c r="J1716" s="4" t="s">
        <v>54</v>
      </c>
      <c r="K1716" t="str">
        <f t="shared" si="87"/>
        <v>1+2</v>
      </c>
      <c r="L1716">
        <f>VLOOKUP(A1716,'ZONE 1 PREMIUM'!$A$4:$N$16,14,0)</f>
        <v>12</v>
      </c>
      <c r="M1716">
        <f>VLOOKUP(D1716,DROPDOWN!B:C,2,0)</f>
        <v>7</v>
      </c>
      <c r="N1716" t="str">
        <f t="shared" si="88"/>
        <v>CO35:DG46</v>
      </c>
      <c r="O1716" s="4">
        <f t="shared" ca="1" si="86"/>
        <v>173082.19</v>
      </c>
    </row>
    <row r="1717" spans="1:15">
      <c r="A1717" s="2" t="s">
        <v>11</v>
      </c>
      <c r="B1717" t="s">
        <v>45</v>
      </c>
      <c r="C1717" t="s">
        <v>25</v>
      </c>
      <c r="D1717">
        <v>15</v>
      </c>
      <c r="E1717" t="s">
        <v>46</v>
      </c>
      <c r="F1717">
        <v>4</v>
      </c>
      <c r="G1717">
        <v>1</v>
      </c>
      <c r="H1717">
        <v>3</v>
      </c>
      <c r="I1717">
        <v>1</v>
      </c>
      <c r="J1717" s="4" t="s">
        <v>54</v>
      </c>
      <c r="K1717" t="str">
        <f t="shared" si="87"/>
        <v>1+3</v>
      </c>
      <c r="L1717">
        <f>VLOOKUP(A1717,'ZONE 1 PREMIUM'!$A$4:$N$16,14,0)</f>
        <v>2</v>
      </c>
      <c r="M1717">
        <f>VLOOKUP(D1717,DROPDOWN!B:C,2,0)</f>
        <v>7</v>
      </c>
      <c r="N1717" t="str">
        <f t="shared" si="88"/>
        <v>CO50:DG61</v>
      </c>
      <c r="O1717" s="4">
        <f t="shared" ca="1" si="86"/>
        <v>29192.38</v>
      </c>
    </row>
    <row r="1718" spans="1:15">
      <c r="A1718" s="2" t="s">
        <v>12</v>
      </c>
      <c r="B1718" t="s">
        <v>27</v>
      </c>
      <c r="C1718" t="s">
        <v>28</v>
      </c>
      <c r="D1718">
        <v>15</v>
      </c>
      <c r="E1718" t="s">
        <v>46</v>
      </c>
      <c r="F1718">
        <v>4</v>
      </c>
      <c r="G1718">
        <v>1</v>
      </c>
      <c r="H1718">
        <v>3</v>
      </c>
      <c r="I1718">
        <v>1</v>
      </c>
      <c r="J1718" s="4" t="s">
        <v>54</v>
      </c>
      <c r="K1718" t="str">
        <f t="shared" si="87"/>
        <v>1+3</v>
      </c>
      <c r="L1718">
        <f>VLOOKUP(A1718,'ZONE 1 PREMIUM'!$A$4:$N$16,14,0)</f>
        <v>3</v>
      </c>
      <c r="M1718">
        <f>VLOOKUP(D1718,DROPDOWN!B:C,2,0)</f>
        <v>7</v>
      </c>
      <c r="N1718" t="str">
        <f t="shared" si="88"/>
        <v>CO50:DG61</v>
      </c>
      <c r="O1718" s="4">
        <f t="shared" ca="1" si="86"/>
        <v>30903.680000000004</v>
      </c>
    </row>
    <row r="1719" spans="1:15">
      <c r="A1719" s="2" t="s">
        <v>13</v>
      </c>
      <c r="B1719" t="s">
        <v>29</v>
      </c>
      <c r="C1719" t="s">
        <v>30</v>
      </c>
      <c r="D1719">
        <v>15</v>
      </c>
      <c r="E1719" t="s">
        <v>46</v>
      </c>
      <c r="F1719">
        <v>4</v>
      </c>
      <c r="G1719">
        <v>1</v>
      </c>
      <c r="H1719">
        <v>3</v>
      </c>
      <c r="I1719">
        <v>1</v>
      </c>
      <c r="J1719" s="4" t="s">
        <v>54</v>
      </c>
      <c r="K1719" t="str">
        <f t="shared" si="87"/>
        <v>1+3</v>
      </c>
      <c r="L1719">
        <f>VLOOKUP(A1719,'ZONE 1 PREMIUM'!$A$4:$N$16,14,0)</f>
        <v>4</v>
      </c>
      <c r="M1719">
        <f>VLOOKUP(D1719,DROPDOWN!B:C,2,0)</f>
        <v>7</v>
      </c>
      <c r="N1719" t="str">
        <f t="shared" si="88"/>
        <v>CO50:DG61</v>
      </c>
      <c r="O1719" s="4">
        <f t="shared" ca="1" si="86"/>
        <v>35767.26</v>
      </c>
    </row>
    <row r="1720" spans="1:15">
      <c r="A1720" s="2" t="s">
        <v>14</v>
      </c>
      <c r="B1720" t="s">
        <v>31</v>
      </c>
      <c r="C1720" t="s">
        <v>32</v>
      </c>
      <c r="D1720">
        <v>15</v>
      </c>
      <c r="E1720" t="s">
        <v>46</v>
      </c>
      <c r="F1720">
        <v>4</v>
      </c>
      <c r="G1720">
        <v>1</v>
      </c>
      <c r="H1720">
        <v>3</v>
      </c>
      <c r="I1720">
        <v>1</v>
      </c>
      <c r="J1720" s="4" t="s">
        <v>54</v>
      </c>
      <c r="K1720" t="str">
        <f t="shared" si="87"/>
        <v>1+3</v>
      </c>
      <c r="L1720">
        <f>VLOOKUP(A1720,'ZONE 1 PREMIUM'!$A$4:$N$16,14,0)</f>
        <v>5</v>
      </c>
      <c r="M1720">
        <f>VLOOKUP(D1720,DROPDOWN!B:C,2,0)</f>
        <v>7</v>
      </c>
      <c r="N1720" t="str">
        <f t="shared" si="88"/>
        <v>CO50:DG61</v>
      </c>
      <c r="O1720" s="4">
        <f t="shared" ca="1" si="86"/>
        <v>39783.910000000003</v>
      </c>
    </row>
    <row r="1721" spans="1:15">
      <c r="A1721" s="2" t="s">
        <v>15</v>
      </c>
      <c r="B1721" t="s">
        <v>33</v>
      </c>
      <c r="C1721" t="s">
        <v>34</v>
      </c>
      <c r="D1721">
        <v>15</v>
      </c>
      <c r="E1721" t="s">
        <v>46</v>
      </c>
      <c r="F1721">
        <v>4</v>
      </c>
      <c r="G1721">
        <v>1</v>
      </c>
      <c r="H1721">
        <v>3</v>
      </c>
      <c r="I1721">
        <v>1</v>
      </c>
      <c r="J1721" s="4" t="s">
        <v>54</v>
      </c>
      <c r="K1721" t="str">
        <f t="shared" si="87"/>
        <v>1+3</v>
      </c>
      <c r="L1721">
        <f>VLOOKUP(A1721,'ZONE 1 PREMIUM'!$A$4:$N$16,14,0)</f>
        <v>6</v>
      </c>
      <c r="M1721">
        <f>VLOOKUP(D1721,DROPDOWN!B:C,2,0)</f>
        <v>7</v>
      </c>
      <c r="N1721" t="str">
        <f t="shared" si="88"/>
        <v>CO50:DG61</v>
      </c>
      <c r="O1721" s="4">
        <f t="shared" ca="1" si="86"/>
        <v>48905.030000000006</v>
      </c>
    </row>
    <row r="1722" spans="1:15">
      <c r="A1722" s="2" t="s">
        <v>16</v>
      </c>
      <c r="B1722" t="s">
        <v>35</v>
      </c>
      <c r="C1722" t="s">
        <v>36</v>
      </c>
      <c r="D1722">
        <v>15</v>
      </c>
      <c r="E1722" t="s">
        <v>46</v>
      </c>
      <c r="F1722">
        <v>4</v>
      </c>
      <c r="G1722">
        <v>1</v>
      </c>
      <c r="H1722">
        <v>3</v>
      </c>
      <c r="I1722">
        <v>1</v>
      </c>
      <c r="J1722" s="4" t="s">
        <v>54</v>
      </c>
      <c r="K1722" t="str">
        <f t="shared" si="87"/>
        <v>1+3</v>
      </c>
      <c r="L1722">
        <f>VLOOKUP(A1722,'ZONE 1 PREMIUM'!$A$4:$N$16,14,0)</f>
        <v>7</v>
      </c>
      <c r="M1722">
        <f>VLOOKUP(D1722,DROPDOWN!B:C,2,0)</f>
        <v>7</v>
      </c>
      <c r="N1722" t="str">
        <f t="shared" si="88"/>
        <v>CO50:DG61</v>
      </c>
      <c r="O1722" s="4">
        <f t="shared" ca="1" si="86"/>
        <v>61651.490000000005</v>
      </c>
    </row>
    <row r="1723" spans="1:15">
      <c r="A1723" s="2" t="s">
        <v>17</v>
      </c>
      <c r="B1723" t="s">
        <v>37</v>
      </c>
      <c r="C1723" t="s">
        <v>38</v>
      </c>
      <c r="D1723">
        <v>15</v>
      </c>
      <c r="E1723" t="s">
        <v>46</v>
      </c>
      <c r="F1723">
        <v>4</v>
      </c>
      <c r="G1723">
        <v>1</v>
      </c>
      <c r="H1723">
        <v>3</v>
      </c>
      <c r="I1723">
        <v>1</v>
      </c>
      <c r="J1723" s="4" t="s">
        <v>54</v>
      </c>
      <c r="K1723" t="str">
        <f t="shared" si="87"/>
        <v>1+3</v>
      </c>
      <c r="L1723">
        <f>VLOOKUP(A1723,'ZONE 1 PREMIUM'!$A$4:$N$16,14,0)</f>
        <v>8</v>
      </c>
      <c r="M1723">
        <f>VLOOKUP(D1723,DROPDOWN!B:C,2,0)</f>
        <v>7</v>
      </c>
      <c r="N1723" t="str">
        <f t="shared" si="88"/>
        <v>CO50:DG61</v>
      </c>
      <c r="O1723" s="4">
        <f t="shared" ca="1" si="86"/>
        <v>76210.62000000001</v>
      </c>
    </row>
    <row r="1724" spans="1:15">
      <c r="A1724" s="2" t="s">
        <v>18</v>
      </c>
      <c r="B1724" t="s">
        <v>39</v>
      </c>
      <c r="C1724" t="s">
        <v>40</v>
      </c>
      <c r="D1724">
        <v>15</v>
      </c>
      <c r="E1724" t="s">
        <v>46</v>
      </c>
      <c r="F1724">
        <v>4</v>
      </c>
      <c r="G1724">
        <v>1</v>
      </c>
      <c r="H1724">
        <v>3</v>
      </c>
      <c r="I1724">
        <v>1</v>
      </c>
      <c r="J1724" s="4" t="s">
        <v>54</v>
      </c>
      <c r="K1724" t="str">
        <f t="shared" si="87"/>
        <v>1+3</v>
      </c>
      <c r="L1724">
        <f>VLOOKUP(A1724,'ZONE 1 PREMIUM'!$A$4:$N$16,14,0)</f>
        <v>9</v>
      </c>
      <c r="M1724">
        <f>VLOOKUP(D1724,DROPDOWN!B:C,2,0)</f>
        <v>7</v>
      </c>
      <c r="N1724" t="str">
        <f t="shared" si="88"/>
        <v>CO50:DG61</v>
      </c>
      <c r="O1724" s="4">
        <f t="shared" ca="1" si="86"/>
        <v>97455.810000000012</v>
      </c>
    </row>
    <row r="1725" spans="1:15">
      <c r="A1725" s="2" t="s">
        <v>19</v>
      </c>
      <c r="B1725" t="s">
        <v>41</v>
      </c>
      <c r="C1725" t="s">
        <v>42</v>
      </c>
      <c r="D1725">
        <v>15</v>
      </c>
      <c r="E1725" t="s">
        <v>46</v>
      </c>
      <c r="F1725">
        <v>4</v>
      </c>
      <c r="G1725">
        <v>1</v>
      </c>
      <c r="H1725">
        <v>3</v>
      </c>
      <c r="I1725">
        <v>1</v>
      </c>
      <c r="J1725" s="4" t="s">
        <v>54</v>
      </c>
      <c r="K1725" t="str">
        <f t="shared" si="87"/>
        <v>1+3</v>
      </c>
      <c r="L1725">
        <f>VLOOKUP(A1725,'ZONE 1 PREMIUM'!$A$4:$N$16,14,0)</f>
        <v>10</v>
      </c>
      <c r="M1725">
        <f>VLOOKUP(D1725,DROPDOWN!B:C,2,0)</f>
        <v>7</v>
      </c>
      <c r="N1725" t="str">
        <f t="shared" si="88"/>
        <v>CO50:DG61</v>
      </c>
      <c r="O1725" s="4">
        <f t="shared" ca="1" si="86"/>
        <v>119216.57</v>
      </c>
    </row>
    <row r="1726" spans="1:15">
      <c r="A1726" s="2" t="s">
        <v>20</v>
      </c>
      <c r="B1726" t="s">
        <v>43</v>
      </c>
      <c r="C1726" t="s">
        <v>44</v>
      </c>
      <c r="D1726">
        <v>15</v>
      </c>
      <c r="E1726" t="s">
        <v>46</v>
      </c>
      <c r="F1726">
        <v>4</v>
      </c>
      <c r="G1726">
        <v>1</v>
      </c>
      <c r="H1726">
        <v>3</v>
      </c>
      <c r="I1726">
        <v>1</v>
      </c>
      <c r="J1726" s="4" t="s">
        <v>54</v>
      </c>
      <c r="K1726" t="str">
        <f t="shared" si="87"/>
        <v>1+3</v>
      </c>
      <c r="L1726">
        <f>VLOOKUP(A1726,'ZONE 1 PREMIUM'!$A$4:$N$16,14,0)</f>
        <v>11</v>
      </c>
      <c r="M1726">
        <f>VLOOKUP(D1726,DROPDOWN!B:C,2,0)</f>
        <v>7</v>
      </c>
      <c r="N1726" t="str">
        <f t="shared" si="88"/>
        <v>CO50:DG61</v>
      </c>
      <c r="O1726" s="4">
        <f t="shared" ca="1" si="86"/>
        <v>139042.58000000002</v>
      </c>
    </row>
    <row r="1727" spans="1:15">
      <c r="A1727" s="2" t="s">
        <v>21</v>
      </c>
      <c r="B1727" t="s">
        <v>22</v>
      </c>
      <c r="D1727">
        <v>15</v>
      </c>
      <c r="E1727" t="s">
        <v>46</v>
      </c>
      <c r="F1727">
        <v>4</v>
      </c>
      <c r="G1727">
        <v>1</v>
      </c>
      <c r="H1727">
        <v>3</v>
      </c>
      <c r="I1727">
        <v>1</v>
      </c>
      <c r="J1727" s="4" t="s">
        <v>54</v>
      </c>
      <c r="K1727" t="str">
        <f t="shared" si="87"/>
        <v>1+3</v>
      </c>
      <c r="L1727">
        <f>VLOOKUP(A1727,'ZONE 1 PREMIUM'!$A$4:$N$16,14,0)</f>
        <v>12</v>
      </c>
      <c r="M1727">
        <f>VLOOKUP(D1727,DROPDOWN!B:C,2,0)</f>
        <v>7</v>
      </c>
      <c r="N1727" t="str">
        <f t="shared" si="88"/>
        <v>CO50:DG61</v>
      </c>
      <c r="O1727" s="4">
        <f t="shared" ca="1" si="86"/>
        <v>179645.08000000002</v>
      </c>
    </row>
    <row r="1728" spans="1:15">
      <c r="A1728" s="2" t="s">
        <v>11</v>
      </c>
      <c r="B1728" t="s">
        <v>45</v>
      </c>
      <c r="C1728" t="s">
        <v>25</v>
      </c>
      <c r="D1728">
        <v>15</v>
      </c>
      <c r="E1728" t="s">
        <v>46</v>
      </c>
      <c r="F1728">
        <v>5</v>
      </c>
      <c r="G1728">
        <v>1</v>
      </c>
      <c r="H1728">
        <v>4</v>
      </c>
      <c r="I1728">
        <v>1</v>
      </c>
      <c r="J1728" s="4" t="s">
        <v>54</v>
      </c>
      <c r="K1728" t="str">
        <f t="shared" si="87"/>
        <v>1+4</v>
      </c>
      <c r="L1728">
        <f>VLOOKUP(A1728,'ZONE 1 PREMIUM'!$A$4:$N$16,14,0)</f>
        <v>2</v>
      </c>
      <c r="M1728">
        <f>VLOOKUP(D1728,DROPDOWN!B:C,2,0)</f>
        <v>7</v>
      </c>
      <c r="N1728" t="str">
        <f t="shared" si="88"/>
        <v>CO65:DG76</v>
      </c>
      <c r="O1728" s="4">
        <f t="shared" ca="1" si="86"/>
        <v>34609.68</v>
      </c>
    </row>
    <row r="1729" spans="1:15">
      <c r="A1729" s="2" t="s">
        <v>12</v>
      </c>
      <c r="B1729" t="s">
        <v>27</v>
      </c>
      <c r="C1729" t="s">
        <v>28</v>
      </c>
      <c r="D1729">
        <v>15</v>
      </c>
      <c r="E1729" t="s">
        <v>46</v>
      </c>
      <c r="F1729">
        <v>5</v>
      </c>
      <c r="G1729">
        <v>1</v>
      </c>
      <c r="H1729">
        <v>4</v>
      </c>
      <c r="I1729">
        <v>1</v>
      </c>
      <c r="J1729" s="4" t="s">
        <v>54</v>
      </c>
      <c r="K1729" t="str">
        <f t="shared" si="87"/>
        <v>1+4</v>
      </c>
      <c r="L1729">
        <f>VLOOKUP(A1729,'ZONE 1 PREMIUM'!$A$4:$N$16,14,0)</f>
        <v>3</v>
      </c>
      <c r="M1729">
        <f>VLOOKUP(D1729,DROPDOWN!B:C,2,0)</f>
        <v>7</v>
      </c>
      <c r="N1729" t="str">
        <f t="shared" si="88"/>
        <v>CO65:DG76</v>
      </c>
      <c r="O1729" s="4">
        <f t="shared" ca="1" si="86"/>
        <v>36223.97</v>
      </c>
    </row>
    <row r="1730" spans="1:15">
      <c r="A1730" s="2" t="s">
        <v>13</v>
      </c>
      <c r="B1730" t="s">
        <v>29</v>
      </c>
      <c r="C1730" t="s">
        <v>30</v>
      </c>
      <c r="D1730">
        <v>15</v>
      </c>
      <c r="E1730" t="s">
        <v>46</v>
      </c>
      <c r="F1730">
        <v>5</v>
      </c>
      <c r="G1730">
        <v>1</v>
      </c>
      <c r="H1730">
        <v>4</v>
      </c>
      <c r="I1730">
        <v>1</v>
      </c>
      <c r="J1730" s="4" t="s">
        <v>54</v>
      </c>
      <c r="K1730" t="str">
        <f t="shared" si="87"/>
        <v>1+4</v>
      </c>
      <c r="L1730">
        <f>VLOOKUP(A1730,'ZONE 1 PREMIUM'!$A$4:$N$16,14,0)</f>
        <v>4</v>
      </c>
      <c r="M1730">
        <f>VLOOKUP(D1730,DROPDOWN!B:C,2,0)</f>
        <v>7</v>
      </c>
      <c r="N1730" t="str">
        <f t="shared" si="88"/>
        <v>CO65:DG76</v>
      </c>
      <c r="O1730" s="4">
        <f t="shared" ref="O1730:O1793" ca="1" si="89">INDEX(INDIRECT(N1730),L1730,M1730)</f>
        <v>41934.480000000003</v>
      </c>
    </row>
    <row r="1731" spans="1:15">
      <c r="A1731" s="2" t="s">
        <v>14</v>
      </c>
      <c r="B1731" t="s">
        <v>31</v>
      </c>
      <c r="C1731" t="s">
        <v>32</v>
      </c>
      <c r="D1731">
        <v>15</v>
      </c>
      <c r="E1731" t="s">
        <v>46</v>
      </c>
      <c r="F1731">
        <v>5</v>
      </c>
      <c r="G1731">
        <v>1</v>
      </c>
      <c r="H1731">
        <v>4</v>
      </c>
      <c r="I1731">
        <v>1</v>
      </c>
      <c r="J1731" s="4" t="s">
        <v>54</v>
      </c>
      <c r="K1731" t="str">
        <f t="shared" si="87"/>
        <v>1+4</v>
      </c>
      <c r="L1731">
        <f>VLOOKUP(A1731,'ZONE 1 PREMIUM'!$A$4:$N$16,14,0)</f>
        <v>5</v>
      </c>
      <c r="M1731">
        <f>VLOOKUP(D1731,DROPDOWN!B:C,2,0)</f>
        <v>7</v>
      </c>
      <c r="N1731" t="str">
        <f t="shared" si="88"/>
        <v>CO65:DG76</v>
      </c>
      <c r="O1731" s="4">
        <f t="shared" ca="1" si="89"/>
        <v>46346.8</v>
      </c>
    </row>
    <row r="1732" spans="1:15">
      <c r="A1732" s="2" t="s">
        <v>15</v>
      </c>
      <c r="B1732" t="s">
        <v>33</v>
      </c>
      <c r="C1732" t="s">
        <v>34</v>
      </c>
      <c r="D1732">
        <v>15</v>
      </c>
      <c r="E1732" t="s">
        <v>46</v>
      </c>
      <c r="F1732">
        <v>5</v>
      </c>
      <c r="G1732">
        <v>1</v>
      </c>
      <c r="H1732">
        <v>4</v>
      </c>
      <c r="I1732">
        <v>1</v>
      </c>
      <c r="J1732" s="4" t="s">
        <v>54</v>
      </c>
      <c r="K1732" t="str">
        <f t="shared" ref="K1732:K1795" si="90">G1732&amp;"+"&amp;H1732</f>
        <v>1+4</v>
      </c>
      <c r="L1732">
        <f>VLOOKUP(A1732,'ZONE 1 PREMIUM'!$A$4:$N$16,14,0)</f>
        <v>6</v>
      </c>
      <c r="M1732">
        <f>VLOOKUP(D1732,DROPDOWN!B:C,2,0)</f>
        <v>7</v>
      </c>
      <c r="N1732" t="str">
        <f t="shared" si="88"/>
        <v>CO65:DG76</v>
      </c>
      <c r="O1732" s="4">
        <f t="shared" ca="1" si="89"/>
        <v>56266.890000000007</v>
      </c>
    </row>
    <row r="1733" spans="1:15">
      <c r="A1733" s="2" t="s">
        <v>16</v>
      </c>
      <c r="B1733" t="s">
        <v>35</v>
      </c>
      <c r="C1733" t="s">
        <v>36</v>
      </c>
      <c r="D1733">
        <v>15</v>
      </c>
      <c r="E1733" t="s">
        <v>46</v>
      </c>
      <c r="F1733">
        <v>5</v>
      </c>
      <c r="G1733">
        <v>1</v>
      </c>
      <c r="H1733">
        <v>4</v>
      </c>
      <c r="I1733">
        <v>1</v>
      </c>
      <c r="J1733" s="4" t="s">
        <v>54</v>
      </c>
      <c r="K1733" t="str">
        <f t="shared" si="90"/>
        <v>1+4</v>
      </c>
      <c r="L1733">
        <f>VLOOKUP(A1733,'ZONE 1 PREMIUM'!$A$4:$N$16,14,0)</f>
        <v>7</v>
      </c>
      <c r="M1733">
        <f>VLOOKUP(D1733,DROPDOWN!B:C,2,0)</f>
        <v>7</v>
      </c>
      <c r="N1733" t="str">
        <f t="shared" si="88"/>
        <v>CO65:DG76</v>
      </c>
      <c r="O1733" s="4">
        <f t="shared" ca="1" si="89"/>
        <v>68487.97</v>
      </c>
    </row>
    <row r="1734" spans="1:15">
      <c r="A1734" s="2" t="s">
        <v>17</v>
      </c>
      <c r="B1734" t="s">
        <v>37</v>
      </c>
      <c r="C1734" t="s">
        <v>38</v>
      </c>
      <c r="D1734">
        <v>15</v>
      </c>
      <c r="E1734" t="s">
        <v>46</v>
      </c>
      <c r="F1734">
        <v>5</v>
      </c>
      <c r="G1734">
        <v>1</v>
      </c>
      <c r="H1734">
        <v>4</v>
      </c>
      <c r="I1734">
        <v>1</v>
      </c>
      <c r="J1734" s="4" t="s">
        <v>54</v>
      </c>
      <c r="K1734" t="str">
        <f t="shared" si="90"/>
        <v>1+4</v>
      </c>
      <c r="L1734">
        <f>VLOOKUP(A1734,'ZONE 1 PREMIUM'!$A$4:$N$16,14,0)</f>
        <v>8</v>
      </c>
      <c r="M1734">
        <f>VLOOKUP(D1734,DROPDOWN!B:C,2,0)</f>
        <v>7</v>
      </c>
      <c r="N1734" t="str">
        <f t="shared" si="88"/>
        <v>CO65:DG76</v>
      </c>
      <c r="O1734" s="4">
        <f t="shared" ca="1" si="89"/>
        <v>82841.090000000011</v>
      </c>
    </row>
    <row r="1735" spans="1:15">
      <c r="A1735" s="2" t="s">
        <v>18</v>
      </c>
      <c r="B1735" t="s">
        <v>39</v>
      </c>
      <c r="C1735" t="s">
        <v>40</v>
      </c>
      <c r="D1735">
        <v>15</v>
      </c>
      <c r="E1735" t="s">
        <v>46</v>
      </c>
      <c r="F1735">
        <v>5</v>
      </c>
      <c r="G1735">
        <v>1</v>
      </c>
      <c r="H1735">
        <v>4</v>
      </c>
      <c r="I1735">
        <v>1</v>
      </c>
      <c r="J1735" s="4" t="s">
        <v>54</v>
      </c>
      <c r="K1735" t="str">
        <f t="shared" si="90"/>
        <v>1+4</v>
      </c>
      <c r="L1735">
        <f>VLOOKUP(A1735,'ZONE 1 PREMIUM'!$A$4:$N$16,14,0)</f>
        <v>9</v>
      </c>
      <c r="M1735">
        <f>VLOOKUP(D1735,DROPDOWN!B:C,2,0)</f>
        <v>7</v>
      </c>
      <c r="N1735" t="str">
        <f t="shared" si="88"/>
        <v>CO65:DG76</v>
      </c>
      <c r="O1735" s="4">
        <f t="shared" ca="1" si="89"/>
        <v>104251.96</v>
      </c>
    </row>
    <row r="1736" spans="1:15">
      <c r="A1736" s="2" t="s">
        <v>19</v>
      </c>
      <c r="B1736" t="s">
        <v>41</v>
      </c>
      <c r="C1736" t="s">
        <v>42</v>
      </c>
      <c r="D1736">
        <v>15</v>
      </c>
      <c r="E1736" t="s">
        <v>46</v>
      </c>
      <c r="F1736">
        <v>5</v>
      </c>
      <c r="G1736">
        <v>1</v>
      </c>
      <c r="H1736">
        <v>4</v>
      </c>
      <c r="I1736">
        <v>1</v>
      </c>
      <c r="J1736" s="4" t="s">
        <v>54</v>
      </c>
      <c r="K1736" t="str">
        <f t="shared" si="90"/>
        <v>1+4</v>
      </c>
      <c r="L1736">
        <f>VLOOKUP(A1736,'ZONE 1 PREMIUM'!$A$4:$N$16,14,0)</f>
        <v>10</v>
      </c>
      <c r="M1736">
        <f>VLOOKUP(D1736,DROPDOWN!B:C,2,0)</f>
        <v>7</v>
      </c>
      <c r="N1736" t="str">
        <f t="shared" si="88"/>
        <v>CO65:DG76</v>
      </c>
      <c r="O1736" s="4">
        <f t="shared" ca="1" si="89"/>
        <v>125914.62000000001</v>
      </c>
    </row>
    <row r="1737" spans="1:15">
      <c r="A1737" s="2" t="s">
        <v>20</v>
      </c>
      <c r="B1737" t="s">
        <v>43</v>
      </c>
      <c r="C1737" t="s">
        <v>44</v>
      </c>
      <c r="D1737">
        <v>15</v>
      </c>
      <c r="E1737" t="s">
        <v>46</v>
      </c>
      <c r="F1737">
        <v>5</v>
      </c>
      <c r="G1737">
        <v>1</v>
      </c>
      <c r="H1737">
        <v>4</v>
      </c>
      <c r="I1737">
        <v>1</v>
      </c>
      <c r="J1737" s="4" t="s">
        <v>54</v>
      </c>
      <c r="K1737" t="str">
        <f t="shared" si="90"/>
        <v>1+4</v>
      </c>
      <c r="L1737">
        <f>VLOOKUP(A1737,'ZONE 1 PREMIUM'!$A$4:$N$16,14,0)</f>
        <v>11</v>
      </c>
      <c r="M1737">
        <f>VLOOKUP(D1737,DROPDOWN!B:C,2,0)</f>
        <v>7</v>
      </c>
      <c r="N1737" t="str">
        <f t="shared" si="88"/>
        <v>CO65:DG76</v>
      </c>
      <c r="O1737" s="4">
        <f t="shared" ca="1" si="89"/>
        <v>145775.51</v>
      </c>
    </row>
    <row r="1738" spans="1:15">
      <c r="A1738" s="2" t="s">
        <v>21</v>
      </c>
      <c r="B1738" t="s">
        <v>22</v>
      </c>
      <c r="D1738">
        <v>15</v>
      </c>
      <c r="E1738" t="s">
        <v>46</v>
      </c>
      <c r="F1738">
        <v>5</v>
      </c>
      <c r="G1738">
        <v>1</v>
      </c>
      <c r="H1738">
        <v>4</v>
      </c>
      <c r="I1738">
        <v>1</v>
      </c>
      <c r="J1738" s="4" t="s">
        <v>54</v>
      </c>
      <c r="K1738" t="str">
        <f t="shared" si="90"/>
        <v>1+4</v>
      </c>
      <c r="L1738">
        <f>VLOOKUP(A1738,'ZONE 1 PREMIUM'!$A$4:$N$16,14,0)</f>
        <v>12</v>
      </c>
      <c r="M1738">
        <f>VLOOKUP(D1738,DROPDOWN!B:C,2,0)</f>
        <v>7</v>
      </c>
      <c r="N1738" t="str">
        <f t="shared" si="88"/>
        <v>CO65:DG76</v>
      </c>
      <c r="O1738" s="4">
        <f t="shared" ca="1" si="89"/>
        <v>186604.73</v>
      </c>
    </row>
    <row r="1739" spans="1:15">
      <c r="A1739" s="2" t="s">
        <v>11</v>
      </c>
      <c r="B1739" t="s">
        <v>45</v>
      </c>
      <c r="C1739" t="s">
        <v>25</v>
      </c>
      <c r="D1739">
        <v>15</v>
      </c>
      <c r="E1739" t="s">
        <v>46</v>
      </c>
      <c r="F1739">
        <v>2</v>
      </c>
      <c r="G1739">
        <v>2</v>
      </c>
      <c r="H1739">
        <v>0</v>
      </c>
      <c r="I1739">
        <v>1</v>
      </c>
      <c r="J1739" s="4" t="s">
        <v>54</v>
      </c>
      <c r="K1739" t="str">
        <f t="shared" si="90"/>
        <v>2+0</v>
      </c>
      <c r="L1739">
        <f>VLOOKUP(A1739,'ZONE 1 PREMIUM'!$A$4:$N$16,14,0)</f>
        <v>2</v>
      </c>
      <c r="M1739">
        <f>VLOOKUP(D1739,DROPDOWN!B:C,2,0)</f>
        <v>7</v>
      </c>
      <c r="N1739" t="str">
        <f t="shared" si="88"/>
        <v>CO81:DG92</v>
      </c>
      <c r="O1739" s="4">
        <f t="shared" ca="1" si="89"/>
        <v>25587.750000000004</v>
      </c>
    </row>
    <row r="1740" spans="1:15">
      <c r="A1740" s="2" t="s">
        <v>12</v>
      </c>
      <c r="B1740" t="s">
        <v>27</v>
      </c>
      <c r="C1740" t="s">
        <v>28</v>
      </c>
      <c r="D1740">
        <v>15</v>
      </c>
      <c r="E1740" t="s">
        <v>46</v>
      </c>
      <c r="F1740">
        <v>2</v>
      </c>
      <c r="G1740">
        <v>2</v>
      </c>
      <c r="H1740">
        <v>0</v>
      </c>
      <c r="I1740">
        <v>1</v>
      </c>
      <c r="J1740" s="4" t="s">
        <v>54</v>
      </c>
      <c r="K1740" t="str">
        <f t="shared" si="90"/>
        <v>2+0</v>
      </c>
      <c r="L1740">
        <f>VLOOKUP(A1740,'ZONE 1 PREMIUM'!$A$4:$N$16,14,0)</f>
        <v>3</v>
      </c>
      <c r="M1740">
        <f>VLOOKUP(D1740,DROPDOWN!B:C,2,0)</f>
        <v>7</v>
      </c>
      <c r="N1740" t="str">
        <f t="shared" si="88"/>
        <v>CO81:DG92</v>
      </c>
      <c r="O1740" s="4">
        <f t="shared" ca="1" si="89"/>
        <v>29290.480000000003</v>
      </c>
    </row>
    <row r="1741" spans="1:15">
      <c r="A1741" s="2" t="s">
        <v>13</v>
      </c>
      <c r="B1741" t="s">
        <v>29</v>
      </c>
      <c r="C1741" t="s">
        <v>30</v>
      </c>
      <c r="D1741">
        <v>15</v>
      </c>
      <c r="E1741" t="s">
        <v>46</v>
      </c>
      <c r="F1741">
        <v>2</v>
      </c>
      <c r="G1741">
        <v>2</v>
      </c>
      <c r="H1741">
        <v>0</v>
      </c>
      <c r="I1741">
        <v>1</v>
      </c>
      <c r="J1741" s="4" t="s">
        <v>54</v>
      </c>
      <c r="K1741" t="str">
        <f t="shared" si="90"/>
        <v>2+0</v>
      </c>
      <c r="L1741">
        <f>VLOOKUP(A1741,'ZONE 1 PREMIUM'!$A$4:$N$16,14,0)</f>
        <v>4</v>
      </c>
      <c r="M1741">
        <f>VLOOKUP(D1741,DROPDOWN!B:C,2,0)</f>
        <v>7</v>
      </c>
      <c r="N1741" t="str">
        <f t="shared" si="88"/>
        <v>CO81:DG92</v>
      </c>
      <c r="O1741" s="4">
        <f t="shared" ca="1" si="89"/>
        <v>32526.690000000002</v>
      </c>
    </row>
    <row r="1742" spans="1:15">
      <c r="A1742" s="2" t="s">
        <v>14</v>
      </c>
      <c r="B1742" t="s">
        <v>31</v>
      </c>
      <c r="C1742" t="s">
        <v>32</v>
      </c>
      <c r="D1742">
        <v>15</v>
      </c>
      <c r="E1742" t="s">
        <v>46</v>
      </c>
      <c r="F1742">
        <v>2</v>
      </c>
      <c r="G1742">
        <v>2</v>
      </c>
      <c r="H1742">
        <v>0</v>
      </c>
      <c r="I1742">
        <v>1</v>
      </c>
      <c r="J1742" s="4" t="s">
        <v>54</v>
      </c>
      <c r="K1742" t="str">
        <f t="shared" si="90"/>
        <v>2+0</v>
      </c>
      <c r="L1742">
        <f>VLOOKUP(A1742,'ZONE 1 PREMIUM'!$A$4:$N$16,14,0)</f>
        <v>5</v>
      </c>
      <c r="M1742">
        <f>VLOOKUP(D1742,DROPDOWN!B:C,2,0)</f>
        <v>7</v>
      </c>
      <c r="N1742" t="str">
        <f t="shared" si="88"/>
        <v>CO81:DG92</v>
      </c>
      <c r="O1742" s="4">
        <f t="shared" ca="1" si="89"/>
        <v>37719.450000000004</v>
      </c>
    </row>
    <row r="1743" spans="1:15">
      <c r="A1743" s="2" t="s">
        <v>15</v>
      </c>
      <c r="B1743" t="s">
        <v>33</v>
      </c>
      <c r="C1743" t="s">
        <v>34</v>
      </c>
      <c r="D1743">
        <v>15</v>
      </c>
      <c r="E1743" t="s">
        <v>46</v>
      </c>
      <c r="F1743">
        <v>2</v>
      </c>
      <c r="G1743">
        <v>2</v>
      </c>
      <c r="H1743">
        <v>0</v>
      </c>
      <c r="I1743">
        <v>1</v>
      </c>
      <c r="J1743" s="4" t="s">
        <v>54</v>
      </c>
      <c r="K1743" t="str">
        <f t="shared" si="90"/>
        <v>2+0</v>
      </c>
      <c r="L1743">
        <f>VLOOKUP(A1743,'ZONE 1 PREMIUM'!$A$4:$N$16,14,0)</f>
        <v>6</v>
      </c>
      <c r="M1743">
        <f>VLOOKUP(D1743,DROPDOWN!B:C,2,0)</f>
        <v>7</v>
      </c>
      <c r="N1743" t="str">
        <f t="shared" si="88"/>
        <v>CO81:DG92</v>
      </c>
      <c r="O1743" s="4">
        <f t="shared" ca="1" si="89"/>
        <v>48330.600000000006</v>
      </c>
    </row>
    <row r="1744" spans="1:15">
      <c r="A1744" s="2" t="s">
        <v>16</v>
      </c>
      <c r="B1744" t="s">
        <v>35</v>
      </c>
      <c r="C1744" t="s">
        <v>36</v>
      </c>
      <c r="D1744">
        <v>15</v>
      </c>
      <c r="E1744" t="s">
        <v>46</v>
      </c>
      <c r="F1744">
        <v>2</v>
      </c>
      <c r="G1744">
        <v>2</v>
      </c>
      <c r="H1744">
        <v>0</v>
      </c>
      <c r="I1744">
        <v>1</v>
      </c>
      <c r="J1744" s="4" t="s">
        <v>54</v>
      </c>
      <c r="K1744" t="str">
        <f t="shared" si="90"/>
        <v>2+0</v>
      </c>
      <c r="L1744">
        <f>VLOOKUP(A1744,'ZONE 1 PREMIUM'!$A$4:$N$16,14,0)</f>
        <v>7</v>
      </c>
      <c r="M1744">
        <f>VLOOKUP(D1744,DROPDOWN!B:C,2,0)</f>
        <v>7</v>
      </c>
      <c r="N1744" t="str">
        <f t="shared" si="88"/>
        <v>CO81:DG92</v>
      </c>
      <c r="O1744" s="4">
        <f t="shared" ca="1" si="89"/>
        <v>63791.16</v>
      </c>
    </row>
    <row r="1745" spans="1:15">
      <c r="A1745" s="2" t="s">
        <v>17</v>
      </c>
      <c r="B1745" t="s">
        <v>37</v>
      </c>
      <c r="C1745" t="s">
        <v>38</v>
      </c>
      <c r="D1745">
        <v>15</v>
      </c>
      <c r="E1745" t="s">
        <v>46</v>
      </c>
      <c r="F1745">
        <v>2</v>
      </c>
      <c r="G1745">
        <v>2</v>
      </c>
      <c r="H1745">
        <v>0</v>
      </c>
      <c r="I1745">
        <v>1</v>
      </c>
      <c r="J1745" s="4" t="s">
        <v>54</v>
      </c>
      <c r="K1745" t="str">
        <f t="shared" si="90"/>
        <v>2+0</v>
      </c>
      <c r="L1745">
        <f>VLOOKUP(A1745,'ZONE 1 PREMIUM'!$A$4:$N$16,14,0)</f>
        <v>8</v>
      </c>
      <c r="M1745">
        <f>VLOOKUP(D1745,DROPDOWN!B:C,2,0)</f>
        <v>7</v>
      </c>
      <c r="N1745" t="str">
        <f t="shared" si="88"/>
        <v>CO81:DG92</v>
      </c>
      <c r="O1745" s="4">
        <f t="shared" ca="1" si="89"/>
        <v>87838.74</v>
      </c>
    </row>
    <row r="1746" spans="1:15">
      <c r="A1746" s="2" t="s">
        <v>18</v>
      </c>
      <c r="B1746" t="s">
        <v>39</v>
      </c>
      <c r="C1746" t="s">
        <v>40</v>
      </c>
      <c r="D1746">
        <v>15</v>
      </c>
      <c r="E1746" t="s">
        <v>46</v>
      </c>
      <c r="F1746">
        <v>2</v>
      </c>
      <c r="G1746">
        <v>2</v>
      </c>
      <c r="H1746">
        <v>0</v>
      </c>
      <c r="I1746">
        <v>1</v>
      </c>
      <c r="J1746" s="4" t="s">
        <v>54</v>
      </c>
      <c r="K1746" t="str">
        <f t="shared" si="90"/>
        <v>2+0</v>
      </c>
      <c r="L1746">
        <f>VLOOKUP(A1746,'ZONE 1 PREMIUM'!$A$4:$N$16,14,0)</f>
        <v>9</v>
      </c>
      <c r="M1746">
        <f>VLOOKUP(D1746,DROPDOWN!B:C,2,0)</f>
        <v>7</v>
      </c>
      <c r="N1746" t="str">
        <f t="shared" ref="N1746:N1793" si="91">VLOOKUP(K1746,$DH$4:$DI$13,2,0)</f>
        <v>CO81:DG92</v>
      </c>
      <c r="O1746" s="4">
        <f t="shared" ca="1" si="89"/>
        <v>123833.81000000001</v>
      </c>
    </row>
    <row r="1747" spans="1:15">
      <c r="A1747" s="2" t="s">
        <v>19</v>
      </c>
      <c r="B1747" t="s">
        <v>41</v>
      </c>
      <c r="C1747" t="s">
        <v>42</v>
      </c>
      <c r="D1747">
        <v>15</v>
      </c>
      <c r="E1747" t="s">
        <v>46</v>
      </c>
      <c r="F1747">
        <v>2</v>
      </c>
      <c r="G1747">
        <v>2</v>
      </c>
      <c r="H1747">
        <v>0</v>
      </c>
      <c r="I1747">
        <v>1</v>
      </c>
      <c r="J1747" s="4" t="s">
        <v>54</v>
      </c>
      <c r="K1747" t="str">
        <f t="shared" si="90"/>
        <v>2+0</v>
      </c>
      <c r="L1747">
        <f>VLOOKUP(A1747,'ZONE 1 PREMIUM'!$A$4:$N$16,14,0)</f>
        <v>10</v>
      </c>
      <c r="M1747">
        <f>VLOOKUP(D1747,DROPDOWN!B:C,2,0)</f>
        <v>7</v>
      </c>
      <c r="N1747" t="str">
        <f t="shared" si="91"/>
        <v>CO81:DG92</v>
      </c>
      <c r="O1747" s="4">
        <f t="shared" ca="1" si="89"/>
        <v>171522.40000000002</v>
      </c>
    </row>
    <row r="1748" spans="1:15">
      <c r="A1748" s="2" t="s">
        <v>20</v>
      </c>
      <c r="B1748" t="s">
        <v>43</v>
      </c>
      <c r="C1748" t="s">
        <v>44</v>
      </c>
      <c r="D1748">
        <v>15</v>
      </c>
      <c r="E1748" t="s">
        <v>46</v>
      </c>
      <c r="F1748">
        <v>2</v>
      </c>
      <c r="G1748">
        <v>2</v>
      </c>
      <c r="H1748">
        <v>0</v>
      </c>
      <c r="I1748">
        <v>1</v>
      </c>
      <c r="J1748" s="4" t="s">
        <v>54</v>
      </c>
      <c r="K1748" t="str">
        <f t="shared" si="90"/>
        <v>2+0</v>
      </c>
      <c r="L1748">
        <f>VLOOKUP(A1748,'ZONE 1 PREMIUM'!$A$4:$N$16,14,0)</f>
        <v>11</v>
      </c>
      <c r="M1748">
        <f>VLOOKUP(D1748,DROPDOWN!B:C,2,0)</f>
        <v>7</v>
      </c>
      <c r="N1748" t="str">
        <f t="shared" si="91"/>
        <v>CO81:DG92</v>
      </c>
      <c r="O1748" s="4">
        <f t="shared" ca="1" si="89"/>
        <v>211880.74000000002</v>
      </c>
    </row>
    <row r="1749" spans="1:15">
      <c r="A1749" s="2" t="s">
        <v>21</v>
      </c>
      <c r="B1749" t="s">
        <v>22</v>
      </c>
      <c r="D1749">
        <v>15</v>
      </c>
      <c r="E1749" t="s">
        <v>46</v>
      </c>
      <c r="F1749">
        <v>2</v>
      </c>
      <c r="G1749">
        <v>2</v>
      </c>
      <c r="H1749">
        <v>0</v>
      </c>
      <c r="I1749">
        <v>1</v>
      </c>
      <c r="J1749" s="4" t="s">
        <v>54</v>
      </c>
      <c r="K1749" t="str">
        <f t="shared" si="90"/>
        <v>2+0</v>
      </c>
      <c r="L1749">
        <f>VLOOKUP(A1749,'ZONE 1 PREMIUM'!$A$4:$N$16,14,0)</f>
        <v>12</v>
      </c>
      <c r="M1749">
        <f>VLOOKUP(D1749,DROPDOWN!B:C,2,0)</f>
        <v>7</v>
      </c>
      <c r="N1749" t="str">
        <f t="shared" si="91"/>
        <v>CO81:DG92</v>
      </c>
      <c r="O1749" s="4">
        <f t="shared" ca="1" si="89"/>
        <v>270996.89</v>
      </c>
    </row>
    <row r="1750" spans="1:15">
      <c r="A1750" s="2" t="s">
        <v>11</v>
      </c>
      <c r="B1750" t="s">
        <v>45</v>
      </c>
      <c r="C1750" t="s">
        <v>25</v>
      </c>
      <c r="D1750">
        <v>15</v>
      </c>
      <c r="E1750" t="s">
        <v>46</v>
      </c>
      <c r="F1750">
        <v>3</v>
      </c>
      <c r="G1750">
        <v>2</v>
      </c>
      <c r="H1750">
        <v>1</v>
      </c>
      <c r="I1750">
        <v>1</v>
      </c>
      <c r="J1750" s="4" t="s">
        <v>54</v>
      </c>
      <c r="K1750" t="str">
        <f t="shared" si="90"/>
        <v>2+1</v>
      </c>
      <c r="L1750">
        <f>VLOOKUP(A1750,'ZONE 1 PREMIUM'!$A$4:$N$16,14,0)</f>
        <v>2</v>
      </c>
      <c r="M1750">
        <f>VLOOKUP(D1750,DROPDOWN!B:C,2,0)</f>
        <v>7</v>
      </c>
      <c r="N1750" t="str">
        <f t="shared" si="91"/>
        <v>CO98:DG109</v>
      </c>
      <c r="O1750" s="4">
        <f t="shared" ca="1" si="89"/>
        <v>31151.11</v>
      </c>
    </row>
    <row r="1751" spans="1:15">
      <c r="A1751" s="2" t="s">
        <v>12</v>
      </c>
      <c r="B1751" t="s">
        <v>27</v>
      </c>
      <c r="C1751" t="s">
        <v>28</v>
      </c>
      <c r="D1751">
        <v>15</v>
      </c>
      <c r="E1751" t="s">
        <v>46</v>
      </c>
      <c r="F1751">
        <v>3</v>
      </c>
      <c r="G1751">
        <v>2</v>
      </c>
      <c r="H1751">
        <v>1</v>
      </c>
      <c r="I1751">
        <v>1</v>
      </c>
      <c r="J1751" s="4" t="s">
        <v>54</v>
      </c>
      <c r="K1751" t="str">
        <f t="shared" si="90"/>
        <v>2+1</v>
      </c>
      <c r="L1751">
        <f>VLOOKUP(A1751,'ZONE 1 PREMIUM'!$A$4:$N$16,14,0)</f>
        <v>3</v>
      </c>
      <c r="M1751">
        <f>VLOOKUP(D1751,DROPDOWN!B:C,2,0)</f>
        <v>7</v>
      </c>
      <c r="N1751" t="str">
        <f t="shared" si="91"/>
        <v>CO98:DG109</v>
      </c>
      <c r="O1751" s="4">
        <f t="shared" ca="1" si="89"/>
        <v>34756.83</v>
      </c>
    </row>
    <row r="1752" spans="1:15">
      <c r="A1752" s="2" t="s">
        <v>13</v>
      </c>
      <c r="B1752" t="s">
        <v>29</v>
      </c>
      <c r="C1752" t="s">
        <v>30</v>
      </c>
      <c r="D1752">
        <v>15</v>
      </c>
      <c r="E1752" t="s">
        <v>46</v>
      </c>
      <c r="F1752">
        <v>3</v>
      </c>
      <c r="G1752">
        <v>2</v>
      </c>
      <c r="H1752">
        <v>1</v>
      </c>
      <c r="I1752">
        <v>1</v>
      </c>
      <c r="J1752" s="4" t="s">
        <v>54</v>
      </c>
      <c r="K1752" t="str">
        <f t="shared" si="90"/>
        <v>2+1</v>
      </c>
      <c r="L1752">
        <f>VLOOKUP(A1752,'ZONE 1 PREMIUM'!$A$4:$N$16,14,0)</f>
        <v>4</v>
      </c>
      <c r="M1752">
        <f>VLOOKUP(D1752,DROPDOWN!B:C,2,0)</f>
        <v>7</v>
      </c>
      <c r="N1752" t="str">
        <f t="shared" si="91"/>
        <v>CO98:DG109</v>
      </c>
      <c r="O1752" s="4">
        <f t="shared" ca="1" si="89"/>
        <v>38906.460000000006</v>
      </c>
    </row>
    <row r="1753" spans="1:15">
      <c r="A1753" s="2" t="s">
        <v>14</v>
      </c>
      <c r="B1753" t="s">
        <v>31</v>
      </c>
      <c r="C1753" t="s">
        <v>32</v>
      </c>
      <c r="D1753">
        <v>15</v>
      </c>
      <c r="E1753" t="s">
        <v>46</v>
      </c>
      <c r="F1753">
        <v>3</v>
      </c>
      <c r="G1753">
        <v>2</v>
      </c>
      <c r="H1753">
        <v>1</v>
      </c>
      <c r="I1753">
        <v>1</v>
      </c>
      <c r="J1753" s="4" t="s">
        <v>54</v>
      </c>
      <c r="K1753" t="str">
        <f t="shared" si="90"/>
        <v>2+1</v>
      </c>
      <c r="L1753">
        <f>VLOOKUP(A1753,'ZONE 1 PREMIUM'!$A$4:$N$16,14,0)</f>
        <v>5</v>
      </c>
      <c r="M1753">
        <f>VLOOKUP(D1753,DROPDOWN!B:C,2,0)</f>
        <v>7</v>
      </c>
      <c r="N1753" t="str">
        <f t="shared" si="91"/>
        <v>CO98:DG109</v>
      </c>
      <c r="O1753" s="4">
        <f t="shared" ca="1" si="89"/>
        <v>44545.030000000006</v>
      </c>
    </row>
    <row r="1754" spans="1:15">
      <c r="A1754" s="2" t="s">
        <v>15</v>
      </c>
      <c r="B1754" t="s">
        <v>33</v>
      </c>
      <c r="C1754" t="s">
        <v>34</v>
      </c>
      <c r="D1754">
        <v>15</v>
      </c>
      <c r="E1754" t="s">
        <v>46</v>
      </c>
      <c r="F1754">
        <v>3</v>
      </c>
      <c r="G1754">
        <v>2</v>
      </c>
      <c r="H1754">
        <v>1</v>
      </c>
      <c r="I1754">
        <v>1</v>
      </c>
      <c r="J1754" s="4" t="s">
        <v>54</v>
      </c>
      <c r="K1754" t="str">
        <f t="shared" si="90"/>
        <v>2+1</v>
      </c>
      <c r="L1754">
        <f>VLOOKUP(A1754,'ZONE 1 PREMIUM'!$A$4:$N$16,14,0)</f>
        <v>6</v>
      </c>
      <c r="M1754">
        <f>VLOOKUP(D1754,DROPDOWN!B:C,2,0)</f>
        <v>7</v>
      </c>
      <c r="N1754" t="str">
        <f t="shared" si="91"/>
        <v>CO98:DG109</v>
      </c>
      <c r="O1754" s="4">
        <f t="shared" ca="1" si="89"/>
        <v>56011.83</v>
      </c>
    </row>
    <row r="1755" spans="1:15">
      <c r="A1755" s="2" t="s">
        <v>16</v>
      </c>
      <c r="B1755" t="s">
        <v>35</v>
      </c>
      <c r="C1755" t="s">
        <v>36</v>
      </c>
      <c r="D1755">
        <v>15</v>
      </c>
      <c r="E1755" t="s">
        <v>46</v>
      </c>
      <c r="F1755">
        <v>3</v>
      </c>
      <c r="G1755">
        <v>2</v>
      </c>
      <c r="H1755">
        <v>1</v>
      </c>
      <c r="I1755">
        <v>1</v>
      </c>
      <c r="J1755" s="4" t="s">
        <v>54</v>
      </c>
      <c r="K1755" t="str">
        <f t="shared" si="90"/>
        <v>2+1</v>
      </c>
      <c r="L1755">
        <f>VLOOKUP(A1755,'ZONE 1 PREMIUM'!$A$4:$N$16,14,0)</f>
        <v>7</v>
      </c>
      <c r="M1755">
        <f>VLOOKUP(D1755,DROPDOWN!B:C,2,0)</f>
        <v>7</v>
      </c>
      <c r="N1755" t="str">
        <f t="shared" si="91"/>
        <v>CO98:DG109</v>
      </c>
      <c r="O1755" s="4">
        <f t="shared" ca="1" si="89"/>
        <v>73329.75</v>
      </c>
    </row>
    <row r="1756" spans="1:15">
      <c r="A1756" s="2" t="s">
        <v>17</v>
      </c>
      <c r="B1756" t="s">
        <v>37</v>
      </c>
      <c r="C1756" t="s">
        <v>38</v>
      </c>
      <c r="D1756">
        <v>15</v>
      </c>
      <c r="E1756" t="s">
        <v>46</v>
      </c>
      <c r="F1756">
        <v>3</v>
      </c>
      <c r="G1756">
        <v>2</v>
      </c>
      <c r="H1756">
        <v>1</v>
      </c>
      <c r="I1756">
        <v>1</v>
      </c>
      <c r="J1756" s="4" t="s">
        <v>54</v>
      </c>
      <c r="K1756" t="str">
        <f t="shared" si="90"/>
        <v>2+1</v>
      </c>
      <c r="L1756">
        <f>VLOOKUP(A1756,'ZONE 1 PREMIUM'!$A$4:$N$16,14,0)</f>
        <v>8</v>
      </c>
      <c r="M1756">
        <f>VLOOKUP(D1756,DROPDOWN!B:C,2,0)</f>
        <v>7</v>
      </c>
      <c r="N1756" t="str">
        <f t="shared" si="91"/>
        <v>CO98:DG109</v>
      </c>
      <c r="O1756" s="4">
        <f t="shared" ca="1" si="89"/>
        <v>98120.71</v>
      </c>
    </row>
    <row r="1757" spans="1:15">
      <c r="A1757" s="2" t="s">
        <v>18</v>
      </c>
      <c r="B1757" t="s">
        <v>39</v>
      </c>
      <c r="C1757" t="s">
        <v>40</v>
      </c>
      <c r="D1757">
        <v>15</v>
      </c>
      <c r="E1757" t="s">
        <v>46</v>
      </c>
      <c r="F1757">
        <v>3</v>
      </c>
      <c r="G1757">
        <v>2</v>
      </c>
      <c r="H1757">
        <v>1</v>
      </c>
      <c r="I1757">
        <v>1</v>
      </c>
      <c r="J1757" s="4" t="s">
        <v>54</v>
      </c>
      <c r="K1757" t="str">
        <f t="shared" si="90"/>
        <v>2+1</v>
      </c>
      <c r="L1757">
        <f>VLOOKUP(A1757,'ZONE 1 PREMIUM'!$A$4:$N$16,14,0)</f>
        <v>9</v>
      </c>
      <c r="M1757">
        <f>VLOOKUP(D1757,DROPDOWN!B:C,2,0)</f>
        <v>7</v>
      </c>
      <c r="N1757" t="str">
        <f t="shared" si="91"/>
        <v>CO98:DG109</v>
      </c>
      <c r="O1757" s="4">
        <f t="shared" ca="1" si="89"/>
        <v>134302.17000000001</v>
      </c>
    </row>
    <row r="1758" spans="1:15">
      <c r="A1758" s="2" t="s">
        <v>19</v>
      </c>
      <c r="B1758" t="s">
        <v>41</v>
      </c>
      <c r="C1758" t="s">
        <v>42</v>
      </c>
      <c r="D1758">
        <v>15</v>
      </c>
      <c r="E1758" t="s">
        <v>46</v>
      </c>
      <c r="F1758">
        <v>3</v>
      </c>
      <c r="G1758">
        <v>2</v>
      </c>
      <c r="H1758">
        <v>1</v>
      </c>
      <c r="I1758">
        <v>1</v>
      </c>
      <c r="J1758" s="4" t="s">
        <v>54</v>
      </c>
      <c r="K1758" t="str">
        <f t="shared" si="90"/>
        <v>2+1</v>
      </c>
      <c r="L1758">
        <f>VLOOKUP(A1758,'ZONE 1 PREMIUM'!$A$4:$N$16,14,0)</f>
        <v>10</v>
      </c>
      <c r="M1758">
        <f>VLOOKUP(D1758,DROPDOWN!B:C,2,0)</f>
        <v>7</v>
      </c>
      <c r="N1758" t="str">
        <f t="shared" si="91"/>
        <v>CO98:DG109</v>
      </c>
      <c r="O1758" s="4">
        <f t="shared" ca="1" si="89"/>
        <v>178164.86000000002</v>
      </c>
    </row>
    <row r="1759" spans="1:15">
      <c r="A1759" s="2" t="s">
        <v>20</v>
      </c>
      <c r="B1759" t="s">
        <v>43</v>
      </c>
      <c r="C1759" t="s">
        <v>44</v>
      </c>
      <c r="D1759">
        <v>15</v>
      </c>
      <c r="E1759" t="s">
        <v>46</v>
      </c>
      <c r="F1759">
        <v>3</v>
      </c>
      <c r="G1759">
        <v>2</v>
      </c>
      <c r="H1759">
        <v>1</v>
      </c>
      <c r="I1759">
        <v>1</v>
      </c>
      <c r="J1759" s="4" t="s">
        <v>54</v>
      </c>
      <c r="K1759" t="str">
        <f t="shared" si="90"/>
        <v>2+1</v>
      </c>
      <c r="L1759">
        <f>VLOOKUP(A1759,'ZONE 1 PREMIUM'!$A$4:$N$16,14,0)</f>
        <v>11</v>
      </c>
      <c r="M1759">
        <f>VLOOKUP(D1759,DROPDOWN!B:C,2,0)</f>
        <v>7</v>
      </c>
      <c r="N1759" t="str">
        <f t="shared" si="91"/>
        <v>CO98:DG109</v>
      </c>
      <c r="O1759" s="4">
        <f t="shared" ca="1" si="89"/>
        <v>217137.81000000003</v>
      </c>
    </row>
    <row r="1760" spans="1:15">
      <c r="A1760" s="2" t="s">
        <v>21</v>
      </c>
      <c r="B1760" t="s">
        <v>22</v>
      </c>
      <c r="D1760">
        <v>15</v>
      </c>
      <c r="E1760" t="s">
        <v>46</v>
      </c>
      <c r="F1760">
        <v>3</v>
      </c>
      <c r="G1760">
        <v>2</v>
      </c>
      <c r="H1760">
        <v>1</v>
      </c>
      <c r="I1760">
        <v>1</v>
      </c>
      <c r="J1760" s="4" t="s">
        <v>54</v>
      </c>
      <c r="K1760" t="str">
        <f t="shared" si="90"/>
        <v>2+1</v>
      </c>
      <c r="L1760">
        <f>VLOOKUP(A1760,'ZONE 1 PREMIUM'!$A$4:$N$16,14,0)</f>
        <v>12</v>
      </c>
      <c r="M1760">
        <f>VLOOKUP(D1760,DROPDOWN!B:C,2,0)</f>
        <v>7</v>
      </c>
      <c r="N1760" t="str">
        <f t="shared" si="91"/>
        <v>CO98:DG109</v>
      </c>
      <c r="O1760" s="4">
        <f t="shared" ca="1" si="89"/>
        <v>276040.32000000001</v>
      </c>
    </row>
    <row r="1761" spans="1:15">
      <c r="A1761" s="2" t="s">
        <v>11</v>
      </c>
      <c r="B1761" t="s">
        <v>45</v>
      </c>
      <c r="C1761" t="s">
        <v>25</v>
      </c>
      <c r="D1761">
        <v>15</v>
      </c>
      <c r="E1761" t="s">
        <v>46</v>
      </c>
      <c r="F1761">
        <v>4</v>
      </c>
      <c r="G1761">
        <v>2</v>
      </c>
      <c r="H1761">
        <v>2</v>
      </c>
      <c r="I1761">
        <v>1</v>
      </c>
      <c r="J1761" s="4" t="s">
        <v>54</v>
      </c>
      <c r="K1761" t="str">
        <f t="shared" si="90"/>
        <v>2+2</v>
      </c>
      <c r="L1761">
        <f>VLOOKUP(A1761,'ZONE 1 PREMIUM'!$A$4:$N$16,14,0)</f>
        <v>2</v>
      </c>
      <c r="M1761">
        <f>VLOOKUP(D1761,DROPDOWN!B:C,2,0)</f>
        <v>7</v>
      </c>
      <c r="N1761" t="str">
        <f t="shared" si="91"/>
        <v>CO113:DG124</v>
      </c>
      <c r="O1761" s="4">
        <f t="shared" ca="1" si="89"/>
        <v>36568.410000000003</v>
      </c>
    </row>
    <row r="1762" spans="1:15">
      <c r="A1762" s="2" t="s">
        <v>12</v>
      </c>
      <c r="B1762" t="s">
        <v>27</v>
      </c>
      <c r="C1762" t="s">
        <v>28</v>
      </c>
      <c r="D1762">
        <v>15</v>
      </c>
      <c r="E1762" t="s">
        <v>46</v>
      </c>
      <c r="F1762">
        <v>4</v>
      </c>
      <c r="G1762">
        <v>2</v>
      </c>
      <c r="H1762">
        <v>2</v>
      </c>
      <c r="I1762">
        <v>1</v>
      </c>
      <c r="J1762" s="4" t="s">
        <v>54</v>
      </c>
      <c r="K1762" t="str">
        <f t="shared" si="90"/>
        <v>2+2</v>
      </c>
      <c r="L1762">
        <f>VLOOKUP(A1762,'ZONE 1 PREMIUM'!$A$4:$N$16,14,0)</f>
        <v>3</v>
      </c>
      <c r="M1762">
        <f>VLOOKUP(D1762,DROPDOWN!B:C,2,0)</f>
        <v>7</v>
      </c>
      <c r="N1762" t="str">
        <f t="shared" si="91"/>
        <v>CO113:DG124</v>
      </c>
      <c r="O1762" s="4">
        <f t="shared" ca="1" si="89"/>
        <v>40078.210000000006</v>
      </c>
    </row>
    <row r="1763" spans="1:15">
      <c r="A1763" s="2" t="s">
        <v>13</v>
      </c>
      <c r="B1763" t="s">
        <v>29</v>
      </c>
      <c r="C1763" t="s">
        <v>30</v>
      </c>
      <c r="D1763">
        <v>15</v>
      </c>
      <c r="E1763" t="s">
        <v>46</v>
      </c>
      <c r="F1763">
        <v>4</v>
      </c>
      <c r="G1763">
        <v>2</v>
      </c>
      <c r="H1763">
        <v>2</v>
      </c>
      <c r="I1763">
        <v>1</v>
      </c>
      <c r="J1763" s="4" t="s">
        <v>54</v>
      </c>
      <c r="K1763" t="str">
        <f t="shared" si="90"/>
        <v>2+2</v>
      </c>
      <c r="L1763">
        <f>VLOOKUP(A1763,'ZONE 1 PREMIUM'!$A$4:$N$16,14,0)</f>
        <v>4</v>
      </c>
      <c r="M1763">
        <f>VLOOKUP(D1763,DROPDOWN!B:C,2,0)</f>
        <v>7</v>
      </c>
      <c r="N1763" t="str">
        <f t="shared" si="91"/>
        <v>CO113:DG124</v>
      </c>
      <c r="O1763" s="4">
        <f t="shared" ca="1" si="89"/>
        <v>45073.68</v>
      </c>
    </row>
    <row r="1764" spans="1:15">
      <c r="A1764" s="2" t="s">
        <v>14</v>
      </c>
      <c r="B1764" t="s">
        <v>31</v>
      </c>
      <c r="C1764" t="s">
        <v>32</v>
      </c>
      <c r="D1764">
        <v>15</v>
      </c>
      <c r="E1764" t="s">
        <v>46</v>
      </c>
      <c r="F1764">
        <v>4</v>
      </c>
      <c r="G1764">
        <v>2</v>
      </c>
      <c r="H1764">
        <v>2</v>
      </c>
      <c r="I1764">
        <v>1</v>
      </c>
      <c r="J1764" s="4" t="s">
        <v>54</v>
      </c>
      <c r="K1764" t="str">
        <f t="shared" si="90"/>
        <v>2+2</v>
      </c>
      <c r="L1764">
        <f>VLOOKUP(A1764,'ZONE 1 PREMIUM'!$A$4:$N$16,14,0)</f>
        <v>5</v>
      </c>
      <c r="M1764">
        <f>VLOOKUP(D1764,DROPDOWN!B:C,2,0)</f>
        <v>7</v>
      </c>
      <c r="N1764" t="str">
        <f t="shared" si="91"/>
        <v>CO113:DG124</v>
      </c>
      <c r="O1764" s="4">
        <f t="shared" ca="1" si="89"/>
        <v>51107.920000000006</v>
      </c>
    </row>
    <row r="1765" spans="1:15">
      <c r="A1765" s="2" t="s">
        <v>15</v>
      </c>
      <c r="B1765" t="s">
        <v>33</v>
      </c>
      <c r="C1765" t="s">
        <v>34</v>
      </c>
      <c r="D1765">
        <v>15</v>
      </c>
      <c r="E1765" t="s">
        <v>46</v>
      </c>
      <c r="F1765">
        <v>4</v>
      </c>
      <c r="G1765">
        <v>2</v>
      </c>
      <c r="H1765">
        <v>2</v>
      </c>
      <c r="I1765">
        <v>1</v>
      </c>
      <c r="J1765" s="4" t="s">
        <v>54</v>
      </c>
      <c r="K1765" t="str">
        <f t="shared" si="90"/>
        <v>2+2</v>
      </c>
      <c r="L1765">
        <f>VLOOKUP(A1765,'ZONE 1 PREMIUM'!$A$4:$N$16,14,0)</f>
        <v>6</v>
      </c>
      <c r="M1765">
        <f>VLOOKUP(D1765,DROPDOWN!B:C,2,0)</f>
        <v>7</v>
      </c>
      <c r="N1765" t="str">
        <f t="shared" si="91"/>
        <v>CO113:DG124</v>
      </c>
      <c r="O1765" s="4">
        <f t="shared" ca="1" si="89"/>
        <v>63374.780000000006</v>
      </c>
    </row>
    <row r="1766" spans="1:15">
      <c r="A1766" s="2" t="s">
        <v>16</v>
      </c>
      <c r="B1766" t="s">
        <v>35</v>
      </c>
      <c r="C1766" t="s">
        <v>36</v>
      </c>
      <c r="D1766">
        <v>15</v>
      </c>
      <c r="E1766" t="s">
        <v>46</v>
      </c>
      <c r="F1766">
        <v>4</v>
      </c>
      <c r="G1766">
        <v>2</v>
      </c>
      <c r="H1766">
        <v>2</v>
      </c>
      <c r="I1766">
        <v>1</v>
      </c>
      <c r="J1766" s="4" t="s">
        <v>54</v>
      </c>
      <c r="K1766" t="str">
        <f t="shared" si="90"/>
        <v>2+2</v>
      </c>
      <c r="L1766">
        <f>VLOOKUP(A1766,'ZONE 1 PREMIUM'!$A$4:$N$16,14,0)</f>
        <v>7</v>
      </c>
      <c r="M1766">
        <f>VLOOKUP(D1766,DROPDOWN!B:C,2,0)</f>
        <v>7</v>
      </c>
      <c r="N1766" t="str">
        <f t="shared" si="91"/>
        <v>CO113:DG124</v>
      </c>
      <c r="O1766" s="4">
        <f t="shared" ca="1" si="89"/>
        <v>82455.23000000001</v>
      </c>
    </row>
    <row r="1767" spans="1:15">
      <c r="A1767" s="2" t="s">
        <v>17</v>
      </c>
      <c r="B1767" t="s">
        <v>37</v>
      </c>
      <c r="C1767" t="s">
        <v>38</v>
      </c>
      <c r="D1767">
        <v>15</v>
      </c>
      <c r="E1767" t="s">
        <v>46</v>
      </c>
      <c r="F1767">
        <v>4</v>
      </c>
      <c r="G1767">
        <v>2</v>
      </c>
      <c r="H1767">
        <v>2</v>
      </c>
      <c r="I1767">
        <v>1</v>
      </c>
      <c r="J1767" s="4" t="s">
        <v>54</v>
      </c>
      <c r="K1767" t="str">
        <f t="shared" si="90"/>
        <v>2+2</v>
      </c>
      <c r="L1767">
        <f>VLOOKUP(A1767,'ZONE 1 PREMIUM'!$A$4:$N$16,14,0)</f>
        <v>8</v>
      </c>
      <c r="M1767">
        <f>VLOOKUP(D1767,DROPDOWN!B:C,2,0)</f>
        <v>7</v>
      </c>
      <c r="N1767" t="str">
        <f t="shared" si="91"/>
        <v>CO113:DG124</v>
      </c>
      <c r="O1767" s="4">
        <f t="shared" ca="1" si="89"/>
        <v>106708.82</v>
      </c>
    </row>
    <row r="1768" spans="1:15">
      <c r="A1768" s="2" t="s">
        <v>18</v>
      </c>
      <c r="B1768" t="s">
        <v>39</v>
      </c>
      <c r="C1768" t="s">
        <v>40</v>
      </c>
      <c r="D1768">
        <v>15</v>
      </c>
      <c r="E1768" t="s">
        <v>46</v>
      </c>
      <c r="F1768">
        <v>4</v>
      </c>
      <c r="G1768">
        <v>2</v>
      </c>
      <c r="H1768">
        <v>2</v>
      </c>
      <c r="I1768">
        <v>1</v>
      </c>
      <c r="J1768" s="4" t="s">
        <v>54</v>
      </c>
      <c r="K1768" t="str">
        <f t="shared" si="90"/>
        <v>2+2</v>
      </c>
      <c r="L1768">
        <f>VLOOKUP(A1768,'ZONE 1 PREMIUM'!$A$4:$N$16,14,0)</f>
        <v>9</v>
      </c>
      <c r="M1768">
        <f>VLOOKUP(D1768,DROPDOWN!B:C,2,0)</f>
        <v>7</v>
      </c>
      <c r="N1768" t="str">
        <f t="shared" si="91"/>
        <v>CO113:DG124</v>
      </c>
      <c r="O1768" s="4">
        <f t="shared" ca="1" si="89"/>
        <v>141205.14000000001</v>
      </c>
    </row>
    <row r="1769" spans="1:15">
      <c r="A1769" s="2" t="s">
        <v>19</v>
      </c>
      <c r="B1769" t="s">
        <v>41</v>
      </c>
      <c r="C1769" t="s">
        <v>42</v>
      </c>
      <c r="D1769">
        <v>15</v>
      </c>
      <c r="E1769" t="s">
        <v>46</v>
      </c>
      <c r="F1769">
        <v>4</v>
      </c>
      <c r="G1769">
        <v>2</v>
      </c>
      <c r="H1769">
        <v>2</v>
      </c>
      <c r="I1769">
        <v>1</v>
      </c>
      <c r="J1769" s="4" t="s">
        <v>54</v>
      </c>
      <c r="K1769" t="str">
        <f t="shared" si="90"/>
        <v>2+2</v>
      </c>
      <c r="L1769">
        <f>VLOOKUP(A1769,'ZONE 1 PREMIUM'!$A$4:$N$16,14,0)</f>
        <v>10</v>
      </c>
      <c r="M1769">
        <f>VLOOKUP(D1769,DROPDOWN!B:C,2,0)</f>
        <v>7</v>
      </c>
      <c r="N1769" t="str">
        <f t="shared" si="91"/>
        <v>CO113:DG124</v>
      </c>
      <c r="O1769" s="4">
        <f t="shared" ca="1" si="89"/>
        <v>181354.2</v>
      </c>
    </row>
    <row r="1770" spans="1:15">
      <c r="A1770" s="2" t="s">
        <v>20</v>
      </c>
      <c r="B1770" t="s">
        <v>43</v>
      </c>
      <c r="C1770" t="s">
        <v>44</v>
      </c>
      <c r="D1770">
        <v>15</v>
      </c>
      <c r="E1770" t="s">
        <v>46</v>
      </c>
      <c r="F1770">
        <v>4</v>
      </c>
      <c r="G1770">
        <v>2</v>
      </c>
      <c r="H1770">
        <v>2</v>
      </c>
      <c r="I1770">
        <v>1</v>
      </c>
      <c r="J1770" s="4" t="s">
        <v>54</v>
      </c>
      <c r="K1770" t="str">
        <f t="shared" si="90"/>
        <v>2+2</v>
      </c>
      <c r="L1770">
        <f>VLOOKUP(A1770,'ZONE 1 PREMIUM'!$A$4:$N$16,14,0)</f>
        <v>11</v>
      </c>
      <c r="M1770">
        <f>VLOOKUP(D1770,DROPDOWN!B:C,2,0)</f>
        <v>7</v>
      </c>
      <c r="N1770" t="str">
        <f t="shared" si="91"/>
        <v>CO113:DG124</v>
      </c>
      <c r="O1770" s="4">
        <f t="shared" ca="1" si="89"/>
        <v>220699.93000000002</v>
      </c>
    </row>
    <row r="1771" spans="1:15">
      <c r="A1771" s="2" t="s">
        <v>21</v>
      </c>
      <c r="B1771" t="s">
        <v>22</v>
      </c>
      <c r="D1771">
        <v>15</v>
      </c>
      <c r="E1771" t="s">
        <v>46</v>
      </c>
      <c r="F1771">
        <v>4</v>
      </c>
      <c r="G1771">
        <v>2</v>
      </c>
      <c r="H1771">
        <v>2</v>
      </c>
      <c r="I1771">
        <v>1</v>
      </c>
      <c r="J1771" s="4" t="s">
        <v>54</v>
      </c>
      <c r="K1771" t="str">
        <f t="shared" si="90"/>
        <v>2+2</v>
      </c>
      <c r="L1771">
        <f>VLOOKUP(A1771,'ZONE 1 PREMIUM'!$A$4:$N$16,14,0)</f>
        <v>12</v>
      </c>
      <c r="M1771">
        <f>VLOOKUP(D1771,DROPDOWN!B:C,2,0)</f>
        <v>7</v>
      </c>
      <c r="N1771" t="str">
        <f t="shared" si="91"/>
        <v>CO113:DG124</v>
      </c>
      <c r="O1771" s="4">
        <f t="shared" ca="1" si="89"/>
        <v>279789.92000000004</v>
      </c>
    </row>
    <row r="1772" spans="1:15">
      <c r="A1772" s="2" t="s">
        <v>11</v>
      </c>
      <c r="B1772" t="s">
        <v>45</v>
      </c>
      <c r="C1772" t="s">
        <v>25</v>
      </c>
      <c r="D1772">
        <v>15</v>
      </c>
      <c r="E1772" t="s">
        <v>46</v>
      </c>
      <c r="F1772">
        <v>5</v>
      </c>
      <c r="G1772">
        <v>2</v>
      </c>
      <c r="H1772">
        <v>3</v>
      </c>
      <c r="I1772">
        <v>1</v>
      </c>
      <c r="J1772" s="4" t="s">
        <v>54</v>
      </c>
      <c r="K1772" t="str">
        <f t="shared" si="90"/>
        <v>2+3</v>
      </c>
      <c r="L1772">
        <f>VLOOKUP(A1772,'ZONE 1 PREMIUM'!$A$4:$N$16,14,0)</f>
        <v>2</v>
      </c>
      <c r="M1772">
        <f>VLOOKUP(D1772,DROPDOWN!B:C,2,0)</f>
        <v>7</v>
      </c>
      <c r="N1772" t="str">
        <f t="shared" si="91"/>
        <v>CO128:DG139</v>
      </c>
      <c r="O1772" s="4">
        <f t="shared" ca="1" si="89"/>
        <v>41986.8</v>
      </c>
    </row>
    <row r="1773" spans="1:15">
      <c r="A1773" s="2" t="s">
        <v>12</v>
      </c>
      <c r="B1773" t="s">
        <v>27</v>
      </c>
      <c r="C1773" t="s">
        <v>28</v>
      </c>
      <c r="D1773">
        <v>15</v>
      </c>
      <c r="E1773" t="s">
        <v>46</v>
      </c>
      <c r="F1773">
        <v>5</v>
      </c>
      <c r="G1773">
        <v>2</v>
      </c>
      <c r="H1773">
        <v>3</v>
      </c>
      <c r="I1773">
        <v>1</v>
      </c>
      <c r="J1773" s="4" t="s">
        <v>54</v>
      </c>
      <c r="K1773" t="str">
        <f t="shared" si="90"/>
        <v>2+3</v>
      </c>
      <c r="L1773">
        <f>VLOOKUP(A1773,'ZONE 1 PREMIUM'!$A$4:$N$16,14,0)</f>
        <v>3</v>
      </c>
      <c r="M1773">
        <f>VLOOKUP(D1773,DROPDOWN!B:C,2,0)</f>
        <v>7</v>
      </c>
      <c r="N1773" t="str">
        <f t="shared" si="91"/>
        <v>CO128:DG139</v>
      </c>
      <c r="O1773" s="4">
        <f t="shared" ca="1" si="89"/>
        <v>45398.5</v>
      </c>
    </row>
    <row r="1774" spans="1:15">
      <c r="A1774" s="2" t="s">
        <v>13</v>
      </c>
      <c r="B1774" t="s">
        <v>29</v>
      </c>
      <c r="C1774" t="s">
        <v>30</v>
      </c>
      <c r="D1774">
        <v>15</v>
      </c>
      <c r="E1774" t="s">
        <v>46</v>
      </c>
      <c r="F1774">
        <v>5</v>
      </c>
      <c r="G1774">
        <v>2</v>
      </c>
      <c r="H1774">
        <v>3</v>
      </c>
      <c r="I1774">
        <v>1</v>
      </c>
      <c r="J1774" s="4" t="s">
        <v>54</v>
      </c>
      <c r="K1774" t="str">
        <f t="shared" si="90"/>
        <v>2+3</v>
      </c>
      <c r="L1774">
        <f>VLOOKUP(A1774,'ZONE 1 PREMIUM'!$A$4:$N$16,14,0)</f>
        <v>4</v>
      </c>
      <c r="M1774">
        <f>VLOOKUP(D1774,DROPDOWN!B:C,2,0)</f>
        <v>7</v>
      </c>
      <c r="N1774" t="str">
        <f t="shared" si="91"/>
        <v>CO128:DG139</v>
      </c>
      <c r="O1774" s="4">
        <f t="shared" ca="1" si="89"/>
        <v>51239.810000000005</v>
      </c>
    </row>
    <row r="1775" spans="1:15">
      <c r="A1775" s="2" t="s">
        <v>14</v>
      </c>
      <c r="B1775" t="s">
        <v>31</v>
      </c>
      <c r="C1775" t="s">
        <v>32</v>
      </c>
      <c r="D1775">
        <v>15</v>
      </c>
      <c r="E1775" t="s">
        <v>46</v>
      </c>
      <c r="F1775">
        <v>5</v>
      </c>
      <c r="G1775">
        <v>2</v>
      </c>
      <c r="H1775">
        <v>3</v>
      </c>
      <c r="I1775">
        <v>1</v>
      </c>
      <c r="J1775" s="4" t="s">
        <v>54</v>
      </c>
      <c r="K1775" t="str">
        <f t="shared" si="90"/>
        <v>2+3</v>
      </c>
      <c r="L1775">
        <f>VLOOKUP(A1775,'ZONE 1 PREMIUM'!$A$4:$N$16,14,0)</f>
        <v>5</v>
      </c>
      <c r="M1775">
        <f>VLOOKUP(D1775,DROPDOWN!B:C,2,0)</f>
        <v>7</v>
      </c>
      <c r="N1775" t="str">
        <f t="shared" si="91"/>
        <v>CO128:DG139</v>
      </c>
      <c r="O1775" s="4">
        <f t="shared" ca="1" si="89"/>
        <v>57670.810000000005</v>
      </c>
    </row>
    <row r="1776" spans="1:15">
      <c r="A1776" s="2" t="s">
        <v>15</v>
      </c>
      <c r="B1776" t="s">
        <v>33</v>
      </c>
      <c r="C1776" t="s">
        <v>34</v>
      </c>
      <c r="D1776">
        <v>15</v>
      </c>
      <c r="E1776" t="s">
        <v>46</v>
      </c>
      <c r="F1776">
        <v>5</v>
      </c>
      <c r="G1776">
        <v>2</v>
      </c>
      <c r="H1776">
        <v>3</v>
      </c>
      <c r="I1776">
        <v>1</v>
      </c>
      <c r="J1776" s="4" t="s">
        <v>54</v>
      </c>
      <c r="K1776" t="str">
        <f t="shared" si="90"/>
        <v>2+3</v>
      </c>
      <c r="L1776">
        <f>VLOOKUP(A1776,'ZONE 1 PREMIUM'!$A$4:$N$16,14,0)</f>
        <v>6</v>
      </c>
      <c r="M1776">
        <f>VLOOKUP(D1776,DROPDOWN!B:C,2,0)</f>
        <v>7</v>
      </c>
      <c r="N1776" t="str">
        <f t="shared" si="91"/>
        <v>CO128:DG139</v>
      </c>
      <c r="O1776" s="4">
        <f t="shared" ca="1" si="89"/>
        <v>70736.639999999999</v>
      </c>
    </row>
    <row r="1777" spans="1:15">
      <c r="A1777" s="2" t="s">
        <v>16</v>
      </c>
      <c r="B1777" t="s">
        <v>35</v>
      </c>
      <c r="C1777" t="s">
        <v>36</v>
      </c>
      <c r="D1777">
        <v>15</v>
      </c>
      <c r="E1777" t="s">
        <v>46</v>
      </c>
      <c r="F1777">
        <v>5</v>
      </c>
      <c r="G1777">
        <v>2</v>
      </c>
      <c r="H1777">
        <v>3</v>
      </c>
      <c r="I1777">
        <v>1</v>
      </c>
      <c r="J1777" s="4" t="s">
        <v>54</v>
      </c>
      <c r="K1777" t="str">
        <f t="shared" si="90"/>
        <v>2+3</v>
      </c>
      <c r="L1777">
        <f>VLOOKUP(A1777,'ZONE 1 PREMIUM'!$A$4:$N$16,14,0)</f>
        <v>7</v>
      </c>
      <c r="M1777">
        <f>VLOOKUP(D1777,DROPDOWN!B:C,2,0)</f>
        <v>7</v>
      </c>
      <c r="N1777" t="str">
        <f t="shared" si="91"/>
        <v>CO128:DG139</v>
      </c>
      <c r="O1777" s="4">
        <f t="shared" ca="1" si="89"/>
        <v>89931.540000000008</v>
      </c>
    </row>
    <row r="1778" spans="1:15">
      <c r="A1778" s="2" t="s">
        <v>17</v>
      </c>
      <c r="B1778" t="s">
        <v>37</v>
      </c>
      <c r="C1778" t="s">
        <v>38</v>
      </c>
      <c r="D1778">
        <v>15</v>
      </c>
      <c r="E1778" t="s">
        <v>46</v>
      </c>
      <c r="F1778">
        <v>5</v>
      </c>
      <c r="G1778">
        <v>2</v>
      </c>
      <c r="H1778">
        <v>3</v>
      </c>
      <c r="I1778">
        <v>1</v>
      </c>
      <c r="J1778" s="4" t="s">
        <v>54</v>
      </c>
      <c r="K1778" t="str">
        <f t="shared" si="90"/>
        <v>2+3</v>
      </c>
      <c r="L1778">
        <f>VLOOKUP(A1778,'ZONE 1 PREMIUM'!$A$4:$N$16,14,0)</f>
        <v>8</v>
      </c>
      <c r="M1778">
        <f>VLOOKUP(D1778,DROPDOWN!B:C,2,0)</f>
        <v>7</v>
      </c>
      <c r="N1778" t="str">
        <f t="shared" si="91"/>
        <v>CO128:DG139</v>
      </c>
      <c r="O1778" s="4">
        <f t="shared" ca="1" si="89"/>
        <v>113539.85</v>
      </c>
    </row>
    <row r="1779" spans="1:15">
      <c r="A1779" s="2" t="s">
        <v>18</v>
      </c>
      <c r="B1779" t="s">
        <v>39</v>
      </c>
      <c r="C1779" t="s">
        <v>40</v>
      </c>
      <c r="D1779">
        <v>15</v>
      </c>
      <c r="E1779" t="s">
        <v>46</v>
      </c>
      <c r="F1779">
        <v>5</v>
      </c>
      <c r="G1779">
        <v>2</v>
      </c>
      <c r="H1779">
        <v>3</v>
      </c>
      <c r="I1779">
        <v>1</v>
      </c>
      <c r="J1779" s="4" t="s">
        <v>54</v>
      </c>
      <c r="K1779" t="str">
        <f t="shared" si="90"/>
        <v>2+3</v>
      </c>
      <c r="L1779">
        <f>VLOOKUP(A1779,'ZONE 1 PREMIUM'!$A$4:$N$16,14,0)</f>
        <v>9</v>
      </c>
      <c r="M1779">
        <f>VLOOKUP(D1779,DROPDOWN!B:C,2,0)</f>
        <v>7</v>
      </c>
      <c r="N1779" t="str">
        <f t="shared" si="91"/>
        <v>CO128:DG139</v>
      </c>
      <c r="O1779" s="4">
        <f t="shared" ca="1" si="89"/>
        <v>147987.12000000002</v>
      </c>
    </row>
    <row r="1780" spans="1:15">
      <c r="A1780" s="2" t="s">
        <v>19</v>
      </c>
      <c r="B1780" t="s">
        <v>41</v>
      </c>
      <c r="C1780" t="s">
        <v>42</v>
      </c>
      <c r="D1780">
        <v>15</v>
      </c>
      <c r="E1780" t="s">
        <v>46</v>
      </c>
      <c r="F1780">
        <v>5</v>
      </c>
      <c r="G1780">
        <v>2</v>
      </c>
      <c r="H1780">
        <v>3</v>
      </c>
      <c r="I1780">
        <v>1</v>
      </c>
      <c r="J1780" s="4" t="s">
        <v>54</v>
      </c>
      <c r="K1780" t="str">
        <f t="shared" si="90"/>
        <v>2+3</v>
      </c>
      <c r="L1780">
        <f>VLOOKUP(A1780,'ZONE 1 PREMIUM'!$A$4:$N$16,14,0)</f>
        <v>10</v>
      </c>
      <c r="M1780">
        <f>VLOOKUP(D1780,DROPDOWN!B:C,2,0)</f>
        <v>7</v>
      </c>
      <c r="N1780" t="str">
        <f t="shared" si="91"/>
        <v>CO128:DG139</v>
      </c>
      <c r="O1780" s="4">
        <f t="shared" ca="1" si="89"/>
        <v>187823.35</v>
      </c>
    </row>
    <row r="1781" spans="1:15">
      <c r="A1781" s="2" t="s">
        <v>20</v>
      </c>
      <c r="B1781" t="s">
        <v>43</v>
      </c>
      <c r="C1781" t="s">
        <v>44</v>
      </c>
      <c r="D1781">
        <v>15</v>
      </c>
      <c r="E1781" t="s">
        <v>46</v>
      </c>
      <c r="F1781">
        <v>5</v>
      </c>
      <c r="G1781">
        <v>2</v>
      </c>
      <c r="H1781">
        <v>3</v>
      </c>
      <c r="I1781">
        <v>1</v>
      </c>
      <c r="J1781" s="4" t="s">
        <v>54</v>
      </c>
      <c r="K1781" t="str">
        <f t="shared" si="90"/>
        <v>2+3</v>
      </c>
      <c r="L1781">
        <f>VLOOKUP(A1781,'ZONE 1 PREMIUM'!$A$4:$N$16,14,0)</f>
        <v>11</v>
      </c>
      <c r="M1781">
        <f>VLOOKUP(D1781,DROPDOWN!B:C,2,0)</f>
        <v>7</v>
      </c>
      <c r="N1781" t="str">
        <f t="shared" si="91"/>
        <v>CO128:DG139</v>
      </c>
      <c r="O1781" s="4">
        <f t="shared" ca="1" si="89"/>
        <v>227898.29</v>
      </c>
    </row>
    <row r="1782" spans="1:15">
      <c r="A1782" s="2" t="s">
        <v>21</v>
      </c>
      <c r="B1782" t="s">
        <v>22</v>
      </c>
      <c r="D1782">
        <v>15</v>
      </c>
      <c r="E1782" t="s">
        <v>46</v>
      </c>
      <c r="F1782">
        <v>5</v>
      </c>
      <c r="G1782">
        <v>2</v>
      </c>
      <c r="H1782">
        <v>3</v>
      </c>
      <c r="I1782">
        <v>1</v>
      </c>
      <c r="J1782" s="4" t="s">
        <v>54</v>
      </c>
      <c r="K1782" t="str">
        <f t="shared" si="90"/>
        <v>2+3</v>
      </c>
      <c r="L1782">
        <f>VLOOKUP(A1782,'ZONE 1 PREMIUM'!$A$4:$N$16,14,0)</f>
        <v>12</v>
      </c>
      <c r="M1782">
        <f>VLOOKUP(D1782,DROPDOWN!B:C,2,0)</f>
        <v>7</v>
      </c>
      <c r="N1782" t="str">
        <f t="shared" si="91"/>
        <v>CO128:DG139</v>
      </c>
      <c r="O1782" s="4">
        <f t="shared" ca="1" si="89"/>
        <v>287439.54000000004</v>
      </c>
    </row>
    <row r="1783" spans="1:15">
      <c r="A1783" s="2" t="s">
        <v>11</v>
      </c>
      <c r="B1783" t="s">
        <v>45</v>
      </c>
      <c r="C1783" t="s">
        <v>25</v>
      </c>
      <c r="D1783">
        <v>15</v>
      </c>
      <c r="E1783" t="s">
        <v>46</v>
      </c>
      <c r="F1783">
        <v>6</v>
      </c>
      <c r="G1783">
        <v>2</v>
      </c>
      <c r="H1783">
        <v>4</v>
      </c>
      <c r="I1783">
        <v>1</v>
      </c>
      <c r="J1783" s="4" t="s">
        <v>54</v>
      </c>
      <c r="K1783" t="str">
        <f t="shared" si="90"/>
        <v>2+4</v>
      </c>
      <c r="L1783">
        <f>VLOOKUP(A1783,'ZONE 1 PREMIUM'!$A$4:$N$16,14,0)</f>
        <v>2</v>
      </c>
      <c r="M1783">
        <f>VLOOKUP(D1783,DROPDOWN!B:C,2,0)</f>
        <v>7</v>
      </c>
      <c r="N1783" t="str">
        <f t="shared" si="91"/>
        <v>CO143:DG154</v>
      </c>
      <c r="O1783" s="4">
        <f t="shared" ca="1" si="89"/>
        <v>47404.100000000006</v>
      </c>
    </row>
    <row r="1784" spans="1:15">
      <c r="A1784" s="2" t="s">
        <v>12</v>
      </c>
      <c r="B1784" t="s">
        <v>27</v>
      </c>
      <c r="C1784" t="s">
        <v>28</v>
      </c>
      <c r="D1784">
        <v>15</v>
      </c>
      <c r="E1784" t="s">
        <v>46</v>
      </c>
      <c r="F1784">
        <v>6</v>
      </c>
      <c r="G1784">
        <v>2</v>
      </c>
      <c r="H1784">
        <v>4</v>
      </c>
      <c r="I1784">
        <v>1</v>
      </c>
      <c r="J1784" s="4" t="s">
        <v>54</v>
      </c>
      <c r="K1784" t="str">
        <f t="shared" si="90"/>
        <v>2+4</v>
      </c>
      <c r="L1784">
        <f>VLOOKUP(A1784,'ZONE 1 PREMIUM'!$A$4:$N$16,14,0)</f>
        <v>3</v>
      </c>
      <c r="M1784">
        <f>VLOOKUP(D1784,DROPDOWN!B:C,2,0)</f>
        <v>7</v>
      </c>
      <c r="N1784" t="str">
        <f t="shared" si="91"/>
        <v>CO143:DG154</v>
      </c>
      <c r="O1784" s="4">
        <f t="shared" ca="1" si="89"/>
        <v>50718.79</v>
      </c>
    </row>
    <row r="1785" spans="1:15">
      <c r="A1785" s="2" t="s">
        <v>13</v>
      </c>
      <c r="B1785" t="s">
        <v>29</v>
      </c>
      <c r="C1785" t="s">
        <v>30</v>
      </c>
      <c r="D1785">
        <v>15</v>
      </c>
      <c r="E1785" t="s">
        <v>46</v>
      </c>
      <c r="F1785">
        <v>6</v>
      </c>
      <c r="G1785">
        <v>2</v>
      </c>
      <c r="H1785">
        <v>4</v>
      </c>
      <c r="I1785">
        <v>1</v>
      </c>
      <c r="J1785" s="4" t="s">
        <v>54</v>
      </c>
      <c r="K1785" t="str">
        <f t="shared" si="90"/>
        <v>2+4</v>
      </c>
      <c r="L1785">
        <f>VLOOKUP(A1785,'ZONE 1 PREMIUM'!$A$4:$N$16,14,0)</f>
        <v>4</v>
      </c>
      <c r="M1785">
        <f>VLOOKUP(D1785,DROPDOWN!B:C,2,0)</f>
        <v>7</v>
      </c>
      <c r="N1785" t="str">
        <f t="shared" si="91"/>
        <v>CO143:DG154</v>
      </c>
      <c r="O1785" s="4">
        <f t="shared" ca="1" si="89"/>
        <v>57407.030000000006</v>
      </c>
    </row>
    <row r="1786" spans="1:15">
      <c r="A1786" s="2" t="s">
        <v>14</v>
      </c>
      <c r="B1786" t="s">
        <v>31</v>
      </c>
      <c r="C1786" t="s">
        <v>32</v>
      </c>
      <c r="D1786">
        <v>15</v>
      </c>
      <c r="E1786" t="s">
        <v>46</v>
      </c>
      <c r="F1786">
        <v>6</v>
      </c>
      <c r="G1786">
        <v>2</v>
      </c>
      <c r="H1786">
        <v>4</v>
      </c>
      <c r="I1786">
        <v>1</v>
      </c>
      <c r="J1786" s="4" t="s">
        <v>54</v>
      </c>
      <c r="K1786" t="str">
        <f t="shared" si="90"/>
        <v>2+4</v>
      </c>
      <c r="L1786">
        <f>VLOOKUP(A1786,'ZONE 1 PREMIUM'!$A$4:$N$16,14,0)</f>
        <v>5</v>
      </c>
      <c r="M1786">
        <f>VLOOKUP(D1786,DROPDOWN!B:C,2,0)</f>
        <v>7</v>
      </c>
      <c r="N1786" t="str">
        <f t="shared" si="91"/>
        <v>CO143:DG154</v>
      </c>
      <c r="O1786" s="4">
        <f t="shared" ca="1" si="89"/>
        <v>64234.790000000008</v>
      </c>
    </row>
    <row r="1787" spans="1:15">
      <c r="A1787" s="2" t="s">
        <v>15</v>
      </c>
      <c r="B1787" t="s">
        <v>33</v>
      </c>
      <c r="C1787" t="s">
        <v>34</v>
      </c>
      <c r="D1787">
        <v>15</v>
      </c>
      <c r="E1787" t="s">
        <v>46</v>
      </c>
      <c r="F1787">
        <v>6</v>
      </c>
      <c r="G1787">
        <v>2</v>
      </c>
      <c r="H1787">
        <v>4</v>
      </c>
      <c r="I1787">
        <v>1</v>
      </c>
      <c r="J1787" s="4" t="s">
        <v>54</v>
      </c>
      <c r="K1787" t="str">
        <f t="shared" si="90"/>
        <v>2+4</v>
      </c>
      <c r="L1787">
        <f>VLOOKUP(A1787,'ZONE 1 PREMIUM'!$A$4:$N$16,14,0)</f>
        <v>6</v>
      </c>
      <c r="M1787">
        <f>VLOOKUP(D1787,DROPDOWN!B:C,2,0)</f>
        <v>7</v>
      </c>
      <c r="N1787" t="str">
        <f t="shared" si="91"/>
        <v>CO143:DG154</v>
      </c>
      <c r="O1787" s="4">
        <f t="shared" ca="1" si="89"/>
        <v>78099.590000000011</v>
      </c>
    </row>
    <row r="1788" spans="1:15">
      <c r="A1788" s="2" t="s">
        <v>16</v>
      </c>
      <c r="B1788" t="s">
        <v>35</v>
      </c>
      <c r="C1788" t="s">
        <v>36</v>
      </c>
      <c r="D1788">
        <v>15</v>
      </c>
      <c r="E1788" t="s">
        <v>46</v>
      </c>
      <c r="F1788">
        <v>6</v>
      </c>
      <c r="G1788">
        <v>2</v>
      </c>
      <c r="H1788">
        <v>4</v>
      </c>
      <c r="I1788">
        <v>1</v>
      </c>
      <c r="J1788" s="4" t="s">
        <v>54</v>
      </c>
      <c r="K1788" t="str">
        <f t="shared" si="90"/>
        <v>2+4</v>
      </c>
      <c r="L1788">
        <f>VLOOKUP(A1788,'ZONE 1 PREMIUM'!$A$4:$N$16,14,0)</f>
        <v>7</v>
      </c>
      <c r="M1788">
        <f>VLOOKUP(D1788,DROPDOWN!B:C,2,0)</f>
        <v>7</v>
      </c>
      <c r="N1788" t="str">
        <f t="shared" si="91"/>
        <v>CO143:DG154</v>
      </c>
      <c r="O1788" s="4">
        <f t="shared" ca="1" si="89"/>
        <v>96676.46</v>
      </c>
    </row>
    <row r="1789" spans="1:15">
      <c r="A1789" s="2" t="s">
        <v>17</v>
      </c>
      <c r="B1789" t="s">
        <v>37</v>
      </c>
      <c r="C1789" t="s">
        <v>38</v>
      </c>
      <c r="D1789">
        <v>15</v>
      </c>
      <c r="E1789" t="s">
        <v>46</v>
      </c>
      <c r="F1789">
        <v>6</v>
      </c>
      <c r="G1789">
        <v>2</v>
      </c>
      <c r="H1789">
        <v>4</v>
      </c>
      <c r="I1789">
        <v>1</v>
      </c>
      <c r="J1789" s="4" t="s">
        <v>54</v>
      </c>
      <c r="K1789" t="str">
        <f t="shared" si="90"/>
        <v>2+4</v>
      </c>
      <c r="L1789">
        <f>VLOOKUP(A1789,'ZONE 1 PREMIUM'!$A$4:$N$16,14,0)</f>
        <v>8</v>
      </c>
      <c r="M1789">
        <f>VLOOKUP(D1789,DROPDOWN!B:C,2,0)</f>
        <v>7</v>
      </c>
      <c r="N1789" t="str">
        <f t="shared" si="91"/>
        <v>CO143:DG154</v>
      </c>
      <c r="O1789" s="4">
        <f t="shared" ca="1" si="89"/>
        <v>120272.78000000001</v>
      </c>
    </row>
    <row r="1790" spans="1:15">
      <c r="A1790" s="2" t="s">
        <v>18</v>
      </c>
      <c r="B1790" t="s">
        <v>39</v>
      </c>
      <c r="C1790" t="s">
        <v>40</v>
      </c>
      <c r="D1790">
        <v>15</v>
      </c>
      <c r="E1790" t="s">
        <v>46</v>
      </c>
      <c r="F1790">
        <v>6</v>
      </c>
      <c r="G1790">
        <v>2</v>
      </c>
      <c r="H1790">
        <v>4</v>
      </c>
      <c r="I1790">
        <v>1</v>
      </c>
      <c r="J1790" s="4" t="s">
        <v>54</v>
      </c>
      <c r="K1790" t="str">
        <f t="shared" si="90"/>
        <v>2+4</v>
      </c>
      <c r="L1790">
        <f>VLOOKUP(A1790,'ZONE 1 PREMIUM'!$A$4:$N$16,14,0)</f>
        <v>9</v>
      </c>
      <c r="M1790">
        <f>VLOOKUP(D1790,DROPDOWN!B:C,2,0)</f>
        <v>7</v>
      </c>
      <c r="N1790" t="str">
        <f t="shared" si="91"/>
        <v>CO143:DG154</v>
      </c>
      <c r="O1790" s="4">
        <f t="shared" ca="1" si="89"/>
        <v>154460.63</v>
      </c>
    </row>
    <row r="1791" spans="1:15">
      <c r="A1791" s="2" t="s">
        <v>19</v>
      </c>
      <c r="B1791" t="s">
        <v>41</v>
      </c>
      <c r="C1791" t="s">
        <v>42</v>
      </c>
      <c r="D1791">
        <v>15</v>
      </c>
      <c r="E1791" t="s">
        <v>46</v>
      </c>
      <c r="F1791">
        <v>6</v>
      </c>
      <c r="G1791">
        <v>2</v>
      </c>
      <c r="H1791">
        <v>4</v>
      </c>
      <c r="I1791">
        <v>1</v>
      </c>
      <c r="J1791" s="4" t="s">
        <v>54</v>
      </c>
      <c r="K1791" t="str">
        <f t="shared" si="90"/>
        <v>2+4</v>
      </c>
      <c r="L1791">
        <f>VLOOKUP(A1791,'ZONE 1 PREMIUM'!$A$4:$N$16,14,0)</f>
        <v>10</v>
      </c>
      <c r="M1791">
        <f>VLOOKUP(D1791,DROPDOWN!B:C,2,0)</f>
        <v>7</v>
      </c>
      <c r="N1791" t="str">
        <f t="shared" si="91"/>
        <v>CO143:DG154</v>
      </c>
      <c r="O1791" s="4">
        <f t="shared" ca="1" si="89"/>
        <v>194991.19</v>
      </c>
    </row>
    <row r="1792" spans="1:15">
      <c r="A1792" s="2" t="s">
        <v>20</v>
      </c>
      <c r="B1792" t="s">
        <v>43</v>
      </c>
      <c r="C1792" t="s">
        <v>44</v>
      </c>
      <c r="D1792">
        <v>15</v>
      </c>
      <c r="E1792" t="s">
        <v>46</v>
      </c>
      <c r="F1792">
        <v>6</v>
      </c>
      <c r="G1792">
        <v>2</v>
      </c>
      <c r="H1792">
        <v>4</v>
      </c>
      <c r="I1792">
        <v>1</v>
      </c>
      <c r="J1792" s="4" t="s">
        <v>54</v>
      </c>
      <c r="K1792" t="str">
        <f t="shared" si="90"/>
        <v>2+4</v>
      </c>
      <c r="L1792">
        <f>VLOOKUP(A1792,'ZONE 1 PREMIUM'!$A$4:$N$16,14,0)</f>
        <v>11</v>
      </c>
      <c r="M1792">
        <f>VLOOKUP(D1792,DROPDOWN!B:C,2,0)</f>
        <v>7</v>
      </c>
      <c r="N1792" t="str">
        <f t="shared" si="91"/>
        <v>CO143:DG154</v>
      </c>
      <c r="O1792" s="4">
        <f t="shared" ca="1" si="89"/>
        <v>234569.09000000003</v>
      </c>
    </row>
    <row r="1793" spans="1:15">
      <c r="A1793" s="2" t="s">
        <v>21</v>
      </c>
      <c r="B1793" t="s">
        <v>22</v>
      </c>
      <c r="D1793">
        <v>15</v>
      </c>
      <c r="E1793" t="s">
        <v>46</v>
      </c>
      <c r="F1793">
        <v>6</v>
      </c>
      <c r="G1793">
        <v>2</v>
      </c>
      <c r="H1793">
        <v>4</v>
      </c>
      <c r="I1793">
        <v>1</v>
      </c>
      <c r="J1793" s="4" t="s">
        <v>54</v>
      </c>
      <c r="K1793" t="str">
        <f t="shared" si="90"/>
        <v>2+4</v>
      </c>
      <c r="L1793">
        <f>VLOOKUP(A1793,'ZONE 1 PREMIUM'!$A$4:$N$16,14,0)</f>
        <v>12</v>
      </c>
      <c r="M1793">
        <f>VLOOKUP(D1793,DROPDOWN!B:C,2,0)</f>
        <v>7</v>
      </c>
      <c r="N1793" t="str">
        <f t="shared" si="91"/>
        <v>CO143:DG154</v>
      </c>
      <c r="O1793" s="4">
        <f t="shared" ca="1" si="89"/>
        <v>293001.81</v>
      </c>
    </row>
    <row r="1794" spans="1:15">
      <c r="A1794" s="2" t="s">
        <v>9</v>
      </c>
      <c r="B1794" t="s">
        <v>47</v>
      </c>
      <c r="C1794" t="s">
        <v>48</v>
      </c>
      <c r="D1794">
        <v>20</v>
      </c>
      <c r="E1794" t="s">
        <v>26</v>
      </c>
      <c r="F1794">
        <v>1</v>
      </c>
      <c r="H1794">
        <v>1</v>
      </c>
      <c r="I1794">
        <v>1</v>
      </c>
      <c r="J1794" s="4" t="s">
        <v>52</v>
      </c>
      <c r="K1794" t="str">
        <f t="shared" si="90"/>
        <v>+1</v>
      </c>
      <c r="L1794">
        <f>VLOOKUP(A1794,'ZONE 1 PREMIUM'!$A$3:$M$16,13,0)</f>
        <v>2</v>
      </c>
      <c r="M1794">
        <f>VLOOKUP(D1794,DROPDOWN!B:C,2,0)</f>
        <v>8</v>
      </c>
      <c r="N1794" t="e">
        <f t="shared" ref="N1794:N1857" si="92">VLOOKUP(K1794,$AQ$3:$AR$12,2,0)</f>
        <v>#N/A</v>
      </c>
      <c r="O1794" s="13">
        <v>4913.9165364437358</v>
      </c>
    </row>
    <row r="1795" spans="1:15">
      <c r="A1795" s="2" t="s">
        <v>10</v>
      </c>
      <c r="B1795" t="s">
        <v>49</v>
      </c>
      <c r="C1795" t="s">
        <v>50</v>
      </c>
      <c r="D1795">
        <v>20</v>
      </c>
      <c r="E1795" t="s">
        <v>26</v>
      </c>
      <c r="F1795">
        <v>1</v>
      </c>
      <c r="G1795">
        <v>1</v>
      </c>
      <c r="H1795">
        <v>0</v>
      </c>
      <c r="I1795">
        <v>1</v>
      </c>
      <c r="J1795" s="4" t="s">
        <v>52</v>
      </c>
      <c r="K1795" t="str">
        <f t="shared" si="90"/>
        <v>1+0</v>
      </c>
      <c r="L1795">
        <f>VLOOKUP(A1795,'ZONE 1 PREMIUM'!$A$3:$M$16,13,0)</f>
        <v>3</v>
      </c>
      <c r="M1795">
        <f>VLOOKUP(D1795,DROPDOWN!B:C,2,0)</f>
        <v>8</v>
      </c>
      <c r="N1795" t="str">
        <f t="shared" si="92"/>
        <v>X3:AP16</v>
      </c>
      <c r="O1795" s="4">
        <f t="shared" ref="O1795:O1857" ca="1" si="93">INDEX(INDIRECT(N1795),L1795,M1795)</f>
        <v>8687.0999999999985</v>
      </c>
    </row>
    <row r="1796" spans="1:15">
      <c r="A1796" s="2" t="s">
        <v>11</v>
      </c>
      <c r="B1796" t="s">
        <v>45</v>
      </c>
      <c r="C1796" t="s">
        <v>25</v>
      </c>
      <c r="D1796">
        <v>20</v>
      </c>
      <c r="E1796" t="s">
        <v>26</v>
      </c>
      <c r="F1796">
        <v>1</v>
      </c>
      <c r="G1796">
        <v>1</v>
      </c>
      <c r="H1796">
        <v>0</v>
      </c>
      <c r="I1796">
        <v>1</v>
      </c>
      <c r="J1796" s="4" t="s">
        <v>52</v>
      </c>
      <c r="K1796" t="str">
        <f t="shared" ref="K1796:K1859" si="94">G1796&amp;"+"&amp;H1796</f>
        <v>1+0</v>
      </c>
      <c r="L1796">
        <f>VLOOKUP(A1796,'ZONE 1 PREMIUM'!$A$3:$M$16,13,0)</f>
        <v>4</v>
      </c>
      <c r="M1796">
        <f>VLOOKUP(D1796,DROPDOWN!B:C,2,0)</f>
        <v>8</v>
      </c>
      <c r="N1796" t="str">
        <f t="shared" si="92"/>
        <v>X3:AP16</v>
      </c>
      <c r="O1796" s="4">
        <f t="shared" ca="1" si="93"/>
        <v>23710.699999999997</v>
      </c>
    </row>
    <row r="1797" spans="1:15">
      <c r="A1797" s="2" t="s">
        <v>12</v>
      </c>
      <c r="B1797" t="s">
        <v>27</v>
      </c>
      <c r="C1797" t="s">
        <v>28</v>
      </c>
      <c r="D1797">
        <v>20</v>
      </c>
      <c r="E1797" t="s">
        <v>26</v>
      </c>
      <c r="F1797">
        <v>1</v>
      </c>
      <c r="G1797">
        <v>1</v>
      </c>
      <c r="H1797">
        <v>0</v>
      </c>
      <c r="I1797">
        <v>1</v>
      </c>
      <c r="J1797" s="4" t="s">
        <v>52</v>
      </c>
      <c r="K1797" t="str">
        <f t="shared" si="94"/>
        <v>1+0</v>
      </c>
      <c r="L1797">
        <f>VLOOKUP(A1797,'ZONE 1 PREMIUM'!$A$3:$M$16,13,0)</f>
        <v>5</v>
      </c>
      <c r="M1797">
        <f>VLOOKUP(D1797,DROPDOWN!B:C,2,0)</f>
        <v>8</v>
      </c>
      <c r="N1797" t="str">
        <f t="shared" si="92"/>
        <v>X3:AP16</v>
      </c>
      <c r="O1797" s="4">
        <f t="shared" ca="1" si="93"/>
        <v>27181.399999999998</v>
      </c>
    </row>
    <row r="1798" spans="1:15">
      <c r="A1798" s="2" t="s">
        <v>13</v>
      </c>
      <c r="B1798" t="s">
        <v>29</v>
      </c>
      <c r="C1798" t="s">
        <v>30</v>
      </c>
      <c r="D1798">
        <v>20</v>
      </c>
      <c r="E1798" t="s">
        <v>26</v>
      </c>
      <c r="F1798">
        <v>1</v>
      </c>
      <c r="G1798">
        <v>1</v>
      </c>
      <c r="H1798">
        <v>0</v>
      </c>
      <c r="I1798">
        <v>1</v>
      </c>
      <c r="J1798" s="4" t="s">
        <v>52</v>
      </c>
      <c r="K1798" t="str">
        <f t="shared" si="94"/>
        <v>1+0</v>
      </c>
      <c r="L1798">
        <f>VLOOKUP(A1798,'ZONE 1 PREMIUM'!$A$3:$M$16,13,0)</f>
        <v>6</v>
      </c>
      <c r="M1798">
        <f>VLOOKUP(D1798,DROPDOWN!B:C,2,0)</f>
        <v>8</v>
      </c>
      <c r="N1798" t="str">
        <f t="shared" si="92"/>
        <v>X3:AP16</v>
      </c>
      <c r="O1798" s="4">
        <f t="shared" ca="1" si="93"/>
        <v>31413.399999999998</v>
      </c>
    </row>
    <row r="1799" spans="1:15">
      <c r="A1799" s="2" t="s">
        <v>14</v>
      </c>
      <c r="B1799" t="s">
        <v>31</v>
      </c>
      <c r="C1799" t="s">
        <v>32</v>
      </c>
      <c r="D1799">
        <v>20</v>
      </c>
      <c r="E1799" t="s">
        <v>26</v>
      </c>
      <c r="F1799">
        <v>1</v>
      </c>
      <c r="G1799">
        <v>1</v>
      </c>
      <c r="H1799">
        <v>0</v>
      </c>
      <c r="I1799">
        <v>1</v>
      </c>
      <c r="J1799" s="4" t="s">
        <v>52</v>
      </c>
      <c r="K1799" t="str">
        <f t="shared" si="94"/>
        <v>1+0</v>
      </c>
      <c r="L1799">
        <f>VLOOKUP(A1799,'ZONE 1 PREMIUM'!$A$3:$M$16,13,0)</f>
        <v>7</v>
      </c>
      <c r="M1799">
        <f>VLOOKUP(D1799,DROPDOWN!B:C,2,0)</f>
        <v>8</v>
      </c>
      <c r="N1799" t="str">
        <f t="shared" si="92"/>
        <v>X3:AP16</v>
      </c>
      <c r="O1799" s="4">
        <f t="shared" ca="1" si="93"/>
        <v>36520.549999999996</v>
      </c>
    </row>
    <row r="1800" spans="1:15">
      <c r="A1800" s="2" t="s">
        <v>15</v>
      </c>
      <c r="B1800" t="s">
        <v>33</v>
      </c>
      <c r="C1800" t="s">
        <v>34</v>
      </c>
      <c r="D1800">
        <v>20</v>
      </c>
      <c r="E1800" t="s">
        <v>26</v>
      </c>
      <c r="F1800">
        <v>1</v>
      </c>
      <c r="G1800">
        <v>1</v>
      </c>
      <c r="H1800">
        <v>0</v>
      </c>
      <c r="I1800">
        <v>1</v>
      </c>
      <c r="J1800" s="4" t="s">
        <v>52</v>
      </c>
      <c r="K1800" t="str">
        <f t="shared" si="94"/>
        <v>1+0</v>
      </c>
      <c r="L1800">
        <f>VLOOKUP(A1800,'ZONE 1 PREMIUM'!$A$3:$M$16,13,0)</f>
        <v>8</v>
      </c>
      <c r="M1800">
        <f>VLOOKUP(D1800,DROPDOWN!B:C,2,0)</f>
        <v>8</v>
      </c>
      <c r="N1800" t="str">
        <f t="shared" si="92"/>
        <v>X3:AP16</v>
      </c>
      <c r="O1800" s="4">
        <f t="shared" ca="1" si="93"/>
        <v>45460.649999999994</v>
      </c>
    </row>
    <row r="1801" spans="1:15">
      <c r="A1801" s="2" t="s">
        <v>16</v>
      </c>
      <c r="B1801" t="s">
        <v>35</v>
      </c>
      <c r="C1801" t="s">
        <v>36</v>
      </c>
      <c r="D1801">
        <v>20</v>
      </c>
      <c r="E1801" t="s">
        <v>26</v>
      </c>
      <c r="F1801">
        <v>1</v>
      </c>
      <c r="G1801">
        <v>1</v>
      </c>
      <c r="H1801">
        <v>0</v>
      </c>
      <c r="I1801">
        <v>1</v>
      </c>
      <c r="J1801" s="4" t="s">
        <v>52</v>
      </c>
      <c r="K1801" t="str">
        <f t="shared" si="94"/>
        <v>1+0</v>
      </c>
      <c r="L1801">
        <f>VLOOKUP(A1801,'ZONE 1 PREMIUM'!$A$3:$M$16,13,0)</f>
        <v>9</v>
      </c>
      <c r="M1801">
        <f>VLOOKUP(D1801,DROPDOWN!B:C,2,0)</f>
        <v>8</v>
      </c>
      <c r="N1801" t="str">
        <f t="shared" si="92"/>
        <v>X3:AP16</v>
      </c>
      <c r="O1801" s="4">
        <f t="shared" ca="1" si="93"/>
        <v>59958.7</v>
      </c>
    </row>
    <row r="1802" spans="1:15">
      <c r="A1802" s="2" t="s">
        <v>17</v>
      </c>
      <c r="B1802" t="s">
        <v>37</v>
      </c>
      <c r="C1802" t="s">
        <v>38</v>
      </c>
      <c r="D1802">
        <v>20</v>
      </c>
      <c r="E1802" t="s">
        <v>26</v>
      </c>
      <c r="F1802">
        <v>1</v>
      </c>
      <c r="G1802">
        <v>1</v>
      </c>
      <c r="H1802">
        <v>0</v>
      </c>
      <c r="I1802">
        <v>1</v>
      </c>
      <c r="J1802" s="4" t="s">
        <v>52</v>
      </c>
      <c r="K1802" t="str">
        <f t="shared" si="94"/>
        <v>1+0</v>
      </c>
      <c r="L1802">
        <f>VLOOKUP(A1802,'ZONE 1 PREMIUM'!$A$3:$M$16,13,0)</f>
        <v>10</v>
      </c>
      <c r="M1802">
        <f>VLOOKUP(D1802,DROPDOWN!B:C,2,0)</f>
        <v>8</v>
      </c>
      <c r="N1802" t="str">
        <f t="shared" si="92"/>
        <v>X3:AP16</v>
      </c>
      <c r="O1802" s="4">
        <f t="shared" ca="1" si="93"/>
        <v>81402.75</v>
      </c>
    </row>
    <row r="1803" spans="1:15">
      <c r="A1803" s="2" t="s">
        <v>18</v>
      </c>
      <c r="B1803" t="s">
        <v>39</v>
      </c>
      <c r="C1803" t="s">
        <v>40</v>
      </c>
      <c r="D1803">
        <v>20</v>
      </c>
      <c r="E1803" t="s">
        <v>26</v>
      </c>
      <c r="F1803">
        <v>1</v>
      </c>
      <c r="G1803">
        <v>1</v>
      </c>
      <c r="H1803">
        <v>0</v>
      </c>
      <c r="I1803">
        <v>1</v>
      </c>
      <c r="J1803" s="4" t="s">
        <v>52</v>
      </c>
      <c r="K1803" t="str">
        <f t="shared" si="94"/>
        <v>1+0</v>
      </c>
      <c r="L1803">
        <f>VLOOKUP(A1803,'ZONE 1 PREMIUM'!$A$3:$M$16,13,0)</f>
        <v>11</v>
      </c>
      <c r="M1803">
        <f>VLOOKUP(D1803,DROPDOWN!B:C,2,0)</f>
        <v>8</v>
      </c>
      <c r="N1803" t="str">
        <f t="shared" si="92"/>
        <v>X3:AP16</v>
      </c>
      <c r="O1803" s="4">
        <f t="shared" ca="1" si="93"/>
        <v>112839.15</v>
      </c>
    </row>
    <row r="1804" spans="1:15">
      <c r="A1804" s="2" t="s">
        <v>19</v>
      </c>
      <c r="B1804" t="s">
        <v>41</v>
      </c>
      <c r="C1804" t="s">
        <v>42</v>
      </c>
      <c r="D1804">
        <v>20</v>
      </c>
      <c r="E1804" t="s">
        <v>26</v>
      </c>
      <c r="F1804">
        <v>1</v>
      </c>
      <c r="G1804">
        <v>1</v>
      </c>
      <c r="H1804">
        <v>0</v>
      </c>
      <c r="I1804">
        <v>1</v>
      </c>
      <c r="J1804" s="4" t="s">
        <v>52</v>
      </c>
      <c r="K1804" t="str">
        <f t="shared" si="94"/>
        <v>1+0</v>
      </c>
      <c r="L1804">
        <f>VLOOKUP(A1804,'ZONE 1 PREMIUM'!$A$3:$M$16,13,0)</f>
        <v>12</v>
      </c>
      <c r="M1804">
        <f>VLOOKUP(D1804,DROPDOWN!B:C,2,0)</f>
        <v>8</v>
      </c>
      <c r="N1804" t="str">
        <f t="shared" si="92"/>
        <v>X3:AP16</v>
      </c>
      <c r="O1804" s="4">
        <f t="shared" ca="1" si="93"/>
        <v>144449.19999999998</v>
      </c>
    </row>
    <row r="1805" spans="1:15">
      <c r="A1805" s="2" t="s">
        <v>20</v>
      </c>
      <c r="B1805" t="s">
        <v>43</v>
      </c>
      <c r="C1805" t="s">
        <v>44</v>
      </c>
      <c r="D1805">
        <v>20</v>
      </c>
      <c r="E1805" t="s">
        <v>26</v>
      </c>
      <c r="F1805">
        <v>1</v>
      </c>
      <c r="G1805">
        <v>1</v>
      </c>
      <c r="H1805">
        <v>0</v>
      </c>
      <c r="I1805">
        <v>1</v>
      </c>
      <c r="J1805" s="4" t="s">
        <v>52</v>
      </c>
      <c r="K1805" t="str">
        <f t="shared" si="94"/>
        <v>1+0</v>
      </c>
      <c r="L1805">
        <f>VLOOKUP(A1805,'ZONE 1 PREMIUM'!$A$3:$M$16,13,0)</f>
        <v>13</v>
      </c>
      <c r="M1805">
        <f>VLOOKUP(D1805,DROPDOWN!B:C,2,0)</f>
        <v>8</v>
      </c>
      <c r="N1805" t="str">
        <f t="shared" si="92"/>
        <v>X3:AP16</v>
      </c>
      <c r="O1805" s="4">
        <f t="shared" ca="1" si="93"/>
        <v>173817.9</v>
      </c>
    </row>
    <row r="1806" spans="1:15">
      <c r="A1806" s="2" t="s">
        <v>21</v>
      </c>
      <c r="B1806" t="s">
        <v>22</v>
      </c>
      <c r="D1806">
        <v>20</v>
      </c>
      <c r="E1806" t="s">
        <v>26</v>
      </c>
      <c r="F1806">
        <v>1</v>
      </c>
      <c r="G1806">
        <v>1</v>
      </c>
      <c r="H1806">
        <v>0</v>
      </c>
      <c r="I1806">
        <v>1</v>
      </c>
      <c r="J1806" s="4" t="s">
        <v>52</v>
      </c>
      <c r="K1806" t="str">
        <f t="shared" si="94"/>
        <v>1+0</v>
      </c>
      <c r="L1806">
        <f>VLOOKUP(A1806,'ZONE 1 PREMIUM'!$A$3:$M$16,13,0)</f>
        <v>14</v>
      </c>
      <c r="M1806">
        <f>VLOOKUP(D1806,DROPDOWN!B:C,2,0)</f>
        <v>8</v>
      </c>
      <c r="N1806" t="str">
        <f t="shared" si="92"/>
        <v>X3:AP16</v>
      </c>
      <c r="O1806" s="4">
        <f t="shared" ca="1" si="93"/>
        <v>233781.19999999998</v>
      </c>
    </row>
    <row r="1807" spans="1:15">
      <c r="A1807" s="2" t="s">
        <v>11</v>
      </c>
      <c r="B1807" t="s">
        <v>45</v>
      </c>
      <c r="C1807" t="s">
        <v>25</v>
      </c>
      <c r="D1807">
        <v>20</v>
      </c>
      <c r="E1807" t="s">
        <v>46</v>
      </c>
      <c r="F1807">
        <v>2</v>
      </c>
      <c r="G1807">
        <v>1</v>
      </c>
      <c r="H1807">
        <v>1</v>
      </c>
      <c r="I1807">
        <v>1</v>
      </c>
      <c r="J1807" s="4" t="s">
        <v>52</v>
      </c>
      <c r="K1807" t="str">
        <f t="shared" si="94"/>
        <v>1+1</v>
      </c>
      <c r="L1807">
        <f>VLOOKUP(A1807,'ZONE 1 PREMIUM'!$A$4:$N$16,14,0)</f>
        <v>2</v>
      </c>
      <c r="M1807">
        <f>VLOOKUP(D1807,DROPDOWN!B:C,2,0)</f>
        <v>8</v>
      </c>
      <c r="N1807" t="str">
        <f t="shared" si="92"/>
        <v>X20:AP31</v>
      </c>
      <c r="O1807" s="4">
        <f t="shared" ca="1" si="93"/>
        <v>26655.85</v>
      </c>
    </row>
    <row r="1808" spans="1:15">
      <c r="A1808" s="2" t="s">
        <v>12</v>
      </c>
      <c r="B1808" t="s">
        <v>27</v>
      </c>
      <c r="C1808" t="s">
        <v>28</v>
      </c>
      <c r="D1808">
        <v>20</v>
      </c>
      <c r="E1808" t="s">
        <v>46</v>
      </c>
      <c r="F1808">
        <v>2</v>
      </c>
      <c r="G1808">
        <v>1</v>
      </c>
      <c r="H1808">
        <v>1</v>
      </c>
      <c r="I1808">
        <v>1</v>
      </c>
      <c r="J1808" s="4" t="s">
        <v>52</v>
      </c>
      <c r="K1808" t="str">
        <f t="shared" si="94"/>
        <v>1+1</v>
      </c>
      <c r="L1808">
        <f>VLOOKUP(A1808,'ZONE 1 PREMIUM'!$A$4:$N$16,14,0)</f>
        <v>3</v>
      </c>
      <c r="M1808">
        <f>VLOOKUP(D1808,DROPDOWN!B:C,2,0)</f>
        <v>8</v>
      </c>
      <c r="N1808" t="str">
        <f t="shared" si="92"/>
        <v>X20:AP31</v>
      </c>
      <c r="O1808" s="4">
        <f t="shared" ca="1" si="93"/>
        <v>29420.449999999997</v>
      </c>
    </row>
    <row r="1809" spans="1:15">
      <c r="A1809" s="2" t="s">
        <v>13</v>
      </c>
      <c r="B1809" t="s">
        <v>29</v>
      </c>
      <c r="C1809" t="s">
        <v>30</v>
      </c>
      <c r="D1809">
        <v>20</v>
      </c>
      <c r="E1809" t="s">
        <v>46</v>
      </c>
      <c r="F1809">
        <v>2</v>
      </c>
      <c r="G1809">
        <v>1</v>
      </c>
      <c r="H1809">
        <v>1</v>
      </c>
      <c r="I1809">
        <v>1</v>
      </c>
      <c r="J1809" s="4" t="s">
        <v>52</v>
      </c>
      <c r="K1809" t="str">
        <f t="shared" si="94"/>
        <v>1+1</v>
      </c>
      <c r="L1809">
        <f>VLOOKUP(A1809,'ZONE 1 PREMIUM'!$A$4:$N$16,14,0)</f>
        <v>4</v>
      </c>
      <c r="M1809">
        <f>VLOOKUP(D1809,DROPDOWN!B:C,2,0)</f>
        <v>8</v>
      </c>
      <c r="N1809" t="str">
        <f t="shared" si="92"/>
        <v>X20:AP31</v>
      </c>
      <c r="O1809" s="4">
        <f t="shared" ca="1" si="93"/>
        <v>34083.699999999997</v>
      </c>
    </row>
    <row r="1810" spans="1:15">
      <c r="A1810" s="2" t="s">
        <v>14</v>
      </c>
      <c r="B1810" t="s">
        <v>31</v>
      </c>
      <c r="C1810" t="s">
        <v>32</v>
      </c>
      <c r="D1810">
        <v>20</v>
      </c>
      <c r="E1810" t="s">
        <v>46</v>
      </c>
      <c r="F1810">
        <v>2</v>
      </c>
      <c r="G1810">
        <v>1</v>
      </c>
      <c r="H1810">
        <v>1</v>
      </c>
      <c r="I1810">
        <v>1</v>
      </c>
      <c r="J1810" s="4" t="s">
        <v>52</v>
      </c>
      <c r="K1810" t="str">
        <f t="shared" si="94"/>
        <v>1+1</v>
      </c>
      <c r="L1810">
        <f>VLOOKUP(A1810,'ZONE 1 PREMIUM'!$A$4:$N$16,14,0)</f>
        <v>5</v>
      </c>
      <c r="M1810">
        <f>VLOOKUP(D1810,DROPDOWN!B:C,2,0)</f>
        <v>8</v>
      </c>
      <c r="N1810" t="str">
        <f t="shared" si="92"/>
        <v>X20:AP31</v>
      </c>
      <c r="O1810" s="4">
        <f t="shared" ca="1" si="93"/>
        <v>40097.049999999996</v>
      </c>
    </row>
    <row r="1811" spans="1:15">
      <c r="A1811" s="2" t="s">
        <v>15</v>
      </c>
      <c r="B1811" t="s">
        <v>33</v>
      </c>
      <c r="C1811" t="s">
        <v>34</v>
      </c>
      <c r="D1811">
        <v>20</v>
      </c>
      <c r="E1811" t="s">
        <v>46</v>
      </c>
      <c r="F1811">
        <v>2</v>
      </c>
      <c r="G1811">
        <v>1</v>
      </c>
      <c r="H1811">
        <v>1</v>
      </c>
      <c r="I1811">
        <v>1</v>
      </c>
      <c r="J1811" s="4" t="s">
        <v>52</v>
      </c>
      <c r="K1811" t="str">
        <f t="shared" si="94"/>
        <v>1+1</v>
      </c>
      <c r="L1811">
        <f>VLOOKUP(A1811,'ZONE 1 PREMIUM'!$A$4:$N$16,14,0)</f>
        <v>6</v>
      </c>
      <c r="M1811">
        <f>VLOOKUP(D1811,DROPDOWN!B:C,2,0)</f>
        <v>8</v>
      </c>
      <c r="N1811" t="str">
        <f t="shared" si="92"/>
        <v>X20:AP31</v>
      </c>
      <c r="O1811" s="4">
        <f t="shared" ca="1" si="93"/>
        <v>49499.45</v>
      </c>
    </row>
    <row r="1812" spans="1:15">
      <c r="A1812" s="2" t="s">
        <v>16</v>
      </c>
      <c r="B1812" t="s">
        <v>35</v>
      </c>
      <c r="C1812" t="s">
        <v>36</v>
      </c>
      <c r="D1812">
        <v>20</v>
      </c>
      <c r="E1812" t="s">
        <v>46</v>
      </c>
      <c r="F1812">
        <v>2</v>
      </c>
      <c r="G1812">
        <v>1</v>
      </c>
      <c r="H1812">
        <v>1</v>
      </c>
      <c r="I1812">
        <v>1</v>
      </c>
      <c r="J1812" s="4" t="s">
        <v>52</v>
      </c>
      <c r="K1812" t="str">
        <f t="shared" si="94"/>
        <v>1+1</v>
      </c>
      <c r="L1812">
        <f>VLOOKUP(A1812,'ZONE 1 PREMIUM'!$A$4:$N$16,14,0)</f>
        <v>7</v>
      </c>
      <c r="M1812">
        <f>VLOOKUP(D1812,DROPDOWN!B:C,2,0)</f>
        <v>8</v>
      </c>
      <c r="N1812" t="str">
        <f t="shared" si="92"/>
        <v>X20:AP31</v>
      </c>
      <c r="O1812" s="4">
        <f t="shared" ca="1" si="93"/>
        <v>64393.1</v>
      </c>
    </row>
    <row r="1813" spans="1:15">
      <c r="A1813" s="2" t="s">
        <v>17</v>
      </c>
      <c r="B1813" t="s">
        <v>37</v>
      </c>
      <c r="C1813" t="s">
        <v>38</v>
      </c>
      <c r="D1813">
        <v>20</v>
      </c>
      <c r="E1813" t="s">
        <v>46</v>
      </c>
      <c r="F1813">
        <v>2</v>
      </c>
      <c r="G1813">
        <v>1</v>
      </c>
      <c r="H1813">
        <v>1</v>
      </c>
      <c r="I1813">
        <v>1</v>
      </c>
      <c r="J1813" s="4" t="s">
        <v>52</v>
      </c>
      <c r="K1813" t="str">
        <f t="shared" si="94"/>
        <v>1+1</v>
      </c>
      <c r="L1813">
        <f>VLOOKUP(A1813,'ZONE 1 PREMIUM'!$A$4:$N$16,14,0)</f>
        <v>8</v>
      </c>
      <c r="M1813">
        <f>VLOOKUP(D1813,DROPDOWN!B:C,2,0)</f>
        <v>8</v>
      </c>
      <c r="N1813" t="str">
        <f t="shared" si="92"/>
        <v>X20:AP31</v>
      </c>
      <c r="O1813" s="4">
        <f t="shared" ca="1" si="93"/>
        <v>85947.549999999988</v>
      </c>
    </row>
    <row r="1814" spans="1:15">
      <c r="A1814" s="2" t="s">
        <v>18</v>
      </c>
      <c r="B1814" t="s">
        <v>39</v>
      </c>
      <c r="C1814" t="s">
        <v>40</v>
      </c>
      <c r="D1814">
        <v>20</v>
      </c>
      <c r="E1814" t="s">
        <v>46</v>
      </c>
      <c r="F1814">
        <v>2</v>
      </c>
      <c r="G1814">
        <v>1</v>
      </c>
      <c r="H1814">
        <v>1</v>
      </c>
      <c r="I1814">
        <v>1</v>
      </c>
      <c r="J1814" s="4" t="s">
        <v>52</v>
      </c>
      <c r="K1814" t="str">
        <f t="shared" si="94"/>
        <v>1+1</v>
      </c>
      <c r="L1814">
        <f>VLOOKUP(A1814,'ZONE 1 PREMIUM'!$A$4:$N$16,14,0)</f>
        <v>9</v>
      </c>
      <c r="M1814">
        <f>VLOOKUP(D1814,DROPDOWN!B:C,2,0)</f>
        <v>8</v>
      </c>
      <c r="N1814" t="str">
        <f t="shared" si="92"/>
        <v>X20:AP31</v>
      </c>
      <c r="O1814" s="4">
        <f t="shared" ca="1" si="93"/>
        <v>118692.65</v>
      </c>
    </row>
    <row r="1815" spans="1:15">
      <c r="A1815" s="2" t="s">
        <v>19</v>
      </c>
      <c r="B1815" t="s">
        <v>41</v>
      </c>
      <c r="C1815" t="s">
        <v>42</v>
      </c>
      <c r="D1815">
        <v>20</v>
      </c>
      <c r="E1815" t="s">
        <v>46</v>
      </c>
      <c r="F1815">
        <v>2</v>
      </c>
      <c r="G1815">
        <v>1</v>
      </c>
      <c r="H1815">
        <v>1</v>
      </c>
      <c r="I1815">
        <v>1</v>
      </c>
      <c r="J1815" s="4" t="s">
        <v>52</v>
      </c>
      <c r="K1815" t="str">
        <f t="shared" si="94"/>
        <v>1+1</v>
      </c>
      <c r="L1815">
        <f>VLOOKUP(A1815,'ZONE 1 PREMIUM'!$A$4:$N$16,14,0)</f>
        <v>10</v>
      </c>
      <c r="M1815">
        <f>VLOOKUP(D1815,DROPDOWN!B:C,2,0)</f>
        <v>8</v>
      </c>
      <c r="N1815" t="str">
        <f t="shared" si="92"/>
        <v>X20:AP31</v>
      </c>
      <c r="O1815" s="4">
        <f t="shared" ca="1" si="93"/>
        <v>150382.04999999999</v>
      </c>
    </row>
    <row r="1816" spans="1:15">
      <c r="A1816" s="2" t="s">
        <v>20</v>
      </c>
      <c r="B1816" t="s">
        <v>43</v>
      </c>
      <c r="C1816" t="s">
        <v>44</v>
      </c>
      <c r="D1816">
        <v>20</v>
      </c>
      <c r="E1816" t="s">
        <v>46</v>
      </c>
      <c r="F1816">
        <v>2</v>
      </c>
      <c r="G1816">
        <v>1</v>
      </c>
      <c r="H1816">
        <v>1</v>
      </c>
      <c r="I1816">
        <v>1</v>
      </c>
      <c r="J1816" s="4" t="s">
        <v>52</v>
      </c>
      <c r="K1816" t="str">
        <f t="shared" si="94"/>
        <v>1+1</v>
      </c>
      <c r="L1816">
        <f>VLOOKUP(A1816,'ZONE 1 PREMIUM'!$A$4:$N$16,14,0)</f>
        <v>11</v>
      </c>
      <c r="M1816">
        <f>VLOOKUP(D1816,DROPDOWN!B:C,2,0)</f>
        <v>8</v>
      </c>
      <c r="N1816" t="str">
        <f t="shared" si="92"/>
        <v>X20:AP31</v>
      </c>
      <c r="O1816" s="4">
        <f t="shared" ca="1" si="93"/>
        <v>177534.69999999998</v>
      </c>
    </row>
    <row r="1817" spans="1:15">
      <c r="A1817" s="2" t="s">
        <v>21</v>
      </c>
      <c r="B1817" t="s">
        <v>22</v>
      </c>
      <c r="D1817">
        <v>20</v>
      </c>
      <c r="E1817" t="s">
        <v>46</v>
      </c>
      <c r="F1817">
        <v>2</v>
      </c>
      <c r="G1817">
        <v>1</v>
      </c>
      <c r="H1817">
        <v>1</v>
      </c>
      <c r="I1817">
        <v>1</v>
      </c>
      <c r="J1817" s="4" t="s">
        <v>52</v>
      </c>
      <c r="K1817" t="str">
        <f t="shared" si="94"/>
        <v>1+1</v>
      </c>
      <c r="L1817">
        <f>VLOOKUP(A1817,'ZONE 1 PREMIUM'!$A$4:$N$16,14,0)</f>
        <v>12</v>
      </c>
      <c r="M1817">
        <f>VLOOKUP(D1817,DROPDOWN!B:C,2,0)</f>
        <v>8</v>
      </c>
      <c r="N1817" t="str">
        <f t="shared" si="92"/>
        <v>X20:AP31</v>
      </c>
      <c r="O1817" s="4">
        <f t="shared" ca="1" si="93"/>
        <v>241062.99999999997</v>
      </c>
    </row>
    <row r="1818" spans="1:15">
      <c r="A1818" s="2" t="s">
        <v>11</v>
      </c>
      <c r="B1818" t="s">
        <v>45</v>
      </c>
      <c r="C1818" t="s">
        <v>25</v>
      </c>
      <c r="D1818">
        <v>20</v>
      </c>
      <c r="E1818" t="s">
        <v>46</v>
      </c>
      <c r="F1818">
        <v>3</v>
      </c>
      <c r="G1818">
        <v>1</v>
      </c>
      <c r="H1818">
        <v>2</v>
      </c>
      <c r="I1818">
        <v>1</v>
      </c>
      <c r="J1818" s="4" t="s">
        <v>52</v>
      </c>
      <c r="K1818" t="str">
        <f t="shared" si="94"/>
        <v>1+2</v>
      </c>
      <c r="L1818">
        <f>VLOOKUP(A1818,'ZONE 1 PREMIUM'!$A$4:$N$16,14,0)</f>
        <v>2</v>
      </c>
      <c r="M1818">
        <f>VLOOKUP(D1818,DROPDOWN!B:C,2,0)</f>
        <v>8</v>
      </c>
      <c r="N1818" t="str">
        <f t="shared" si="92"/>
        <v>X35:AP46</v>
      </c>
      <c r="O1818" s="4">
        <f t="shared" ca="1" si="93"/>
        <v>34524.149999999994</v>
      </c>
    </row>
    <row r="1819" spans="1:15">
      <c r="A1819" s="2" t="s">
        <v>12</v>
      </c>
      <c r="B1819" t="s">
        <v>27</v>
      </c>
      <c r="C1819" t="s">
        <v>28</v>
      </c>
      <c r="D1819">
        <v>20</v>
      </c>
      <c r="E1819" t="s">
        <v>46</v>
      </c>
      <c r="F1819">
        <v>3</v>
      </c>
      <c r="G1819">
        <v>1</v>
      </c>
      <c r="H1819">
        <v>2</v>
      </c>
      <c r="I1819">
        <v>1</v>
      </c>
      <c r="J1819" s="4" t="s">
        <v>52</v>
      </c>
      <c r="K1819" t="str">
        <f t="shared" si="94"/>
        <v>1+2</v>
      </c>
      <c r="L1819">
        <f>VLOOKUP(A1819,'ZONE 1 PREMIUM'!$A$4:$N$16,14,0)</f>
        <v>3</v>
      </c>
      <c r="M1819">
        <f>VLOOKUP(D1819,DROPDOWN!B:C,2,0)</f>
        <v>8</v>
      </c>
      <c r="N1819" t="str">
        <f t="shared" si="92"/>
        <v>X35:AP46</v>
      </c>
      <c r="O1819" s="4">
        <f t="shared" ca="1" si="93"/>
        <v>37002.399999999994</v>
      </c>
    </row>
    <row r="1820" spans="1:15">
      <c r="A1820" s="2" t="s">
        <v>13</v>
      </c>
      <c r="B1820" t="s">
        <v>29</v>
      </c>
      <c r="C1820" t="s">
        <v>30</v>
      </c>
      <c r="D1820">
        <v>20</v>
      </c>
      <c r="E1820" t="s">
        <v>46</v>
      </c>
      <c r="F1820">
        <v>3</v>
      </c>
      <c r="G1820">
        <v>1</v>
      </c>
      <c r="H1820">
        <v>2</v>
      </c>
      <c r="I1820">
        <v>1</v>
      </c>
      <c r="J1820" s="4" t="s">
        <v>52</v>
      </c>
      <c r="K1820" t="str">
        <f t="shared" si="94"/>
        <v>1+2</v>
      </c>
      <c r="L1820">
        <f>VLOOKUP(A1820,'ZONE 1 PREMIUM'!$A$4:$N$16,14,0)</f>
        <v>4</v>
      </c>
      <c r="M1820">
        <f>VLOOKUP(D1820,DROPDOWN!B:C,2,0)</f>
        <v>8</v>
      </c>
      <c r="N1820" t="str">
        <f t="shared" si="92"/>
        <v>X35:AP46</v>
      </c>
      <c r="O1820" s="4">
        <f t="shared" ca="1" si="93"/>
        <v>42908.799999999996</v>
      </c>
    </row>
    <row r="1821" spans="1:15">
      <c r="A1821" s="2" t="s">
        <v>14</v>
      </c>
      <c r="B1821" t="s">
        <v>31</v>
      </c>
      <c r="C1821" t="s">
        <v>32</v>
      </c>
      <c r="D1821">
        <v>20</v>
      </c>
      <c r="E1821" t="s">
        <v>46</v>
      </c>
      <c r="F1821">
        <v>3</v>
      </c>
      <c r="G1821">
        <v>1</v>
      </c>
      <c r="H1821">
        <v>2</v>
      </c>
      <c r="I1821">
        <v>1</v>
      </c>
      <c r="J1821" s="4" t="s">
        <v>52</v>
      </c>
      <c r="K1821" t="str">
        <f t="shared" si="94"/>
        <v>1+2</v>
      </c>
      <c r="L1821">
        <f>VLOOKUP(A1821,'ZONE 1 PREMIUM'!$A$4:$N$16,14,0)</f>
        <v>5</v>
      </c>
      <c r="M1821">
        <f>VLOOKUP(D1821,DROPDOWN!B:C,2,0)</f>
        <v>8</v>
      </c>
      <c r="N1821" t="str">
        <f t="shared" si="92"/>
        <v>X35:AP46</v>
      </c>
      <c r="O1821" s="4">
        <f t="shared" ca="1" si="93"/>
        <v>48152.799999999996</v>
      </c>
    </row>
    <row r="1822" spans="1:15">
      <c r="A1822" s="2" t="s">
        <v>15</v>
      </c>
      <c r="B1822" t="s">
        <v>33</v>
      </c>
      <c r="C1822" t="s">
        <v>34</v>
      </c>
      <c r="D1822">
        <v>20</v>
      </c>
      <c r="E1822" t="s">
        <v>46</v>
      </c>
      <c r="F1822">
        <v>3</v>
      </c>
      <c r="G1822">
        <v>1</v>
      </c>
      <c r="H1822">
        <v>2</v>
      </c>
      <c r="I1822">
        <v>1</v>
      </c>
      <c r="J1822" s="4" t="s">
        <v>52</v>
      </c>
      <c r="K1822" t="str">
        <f t="shared" si="94"/>
        <v>1+2</v>
      </c>
      <c r="L1822">
        <f>VLOOKUP(A1822,'ZONE 1 PREMIUM'!$A$4:$N$16,14,0)</f>
        <v>6</v>
      </c>
      <c r="M1822">
        <f>VLOOKUP(D1822,DROPDOWN!B:C,2,0)</f>
        <v>8</v>
      </c>
      <c r="N1822" t="str">
        <f t="shared" si="92"/>
        <v>X35:AP46</v>
      </c>
      <c r="O1822" s="4">
        <f t="shared" ca="1" si="93"/>
        <v>60288.749999999993</v>
      </c>
    </row>
    <row r="1823" spans="1:15">
      <c r="A1823" s="2" t="s">
        <v>16</v>
      </c>
      <c r="B1823" t="s">
        <v>35</v>
      </c>
      <c r="C1823" t="s">
        <v>36</v>
      </c>
      <c r="D1823">
        <v>20</v>
      </c>
      <c r="E1823" t="s">
        <v>46</v>
      </c>
      <c r="F1823">
        <v>3</v>
      </c>
      <c r="G1823">
        <v>1</v>
      </c>
      <c r="H1823">
        <v>2</v>
      </c>
      <c r="I1823">
        <v>1</v>
      </c>
      <c r="J1823" s="4" t="s">
        <v>52</v>
      </c>
      <c r="K1823" t="str">
        <f t="shared" si="94"/>
        <v>1+2</v>
      </c>
      <c r="L1823">
        <f>VLOOKUP(A1823,'ZONE 1 PREMIUM'!$A$4:$N$16,14,0)</f>
        <v>7</v>
      </c>
      <c r="M1823">
        <f>VLOOKUP(D1823,DROPDOWN!B:C,2,0)</f>
        <v>8</v>
      </c>
      <c r="N1823" t="str">
        <f t="shared" si="92"/>
        <v>X35:AP46</v>
      </c>
      <c r="O1823" s="4">
        <f t="shared" ca="1" si="93"/>
        <v>77790.599999999991</v>
      </c>
    </row>
    <row r="1824" spans="1:15">
      <c r="A1824" s="2" t="s">
        <v>17</v>
      </c>
      <c r="B1824" t="s">
        <v>37</v>
      </c>
      <c r="C1824" t="s">
        <v>38</v>
      </c>
      <c r="D1824">
        <v>20</v>
      </c>
      <c r="E1824" t="s">
        <v>46</v>
      </c>
      <c r="F1824">
        <v>3</v>
      </c>
      <c r="G1824">
        <v>1</v>
      </c>
      <c r="H1824">
        <v>2</v>
      </c>
      <c r="I1824">
        <v>1</v>
      </c>
      <c r="J1824" s="4" t="s">
        <v>52</v>
      </c>
      <c r="K1824" t="str">
        <f t="shared" si="94"/>
        <v>1+2</v>
      </c>
      <c r="L1824">
        <f>VLOOKUP(A1824,'ZONE 1 PREMIUM'!$A$4:$N$16,14,0)</f>
        <v>8</v>
      </c>
      <c r="M1824">
        <f>VLOOKUP(D1824,DROPDOWN!B:C,2,0)</f>
        <v>8</v>
      </c>
      <c r="N1824" t="str">
        <f t="shared" si="92"/>
        <v>X35:AP46</v>
      </c>
      <c r="O1824" s="4">
        <f t="shared" ca="1" si="93"/>
        <v>100390.39999999999</v>
      </c>
    </row>
    <row r="1825" spans="1:15">
      <c r="A1825" s="2" t="s">
        <v>18</v>
      </c>
      <c r="B1825" t="s">
        <v>39</v>
      </c>
      <c r="C1825" t="s">
        <v>40</v>
      </c>
      <c r="D1825">
        <v>20</v>
      </c>
      <c r="E1825" t="s">
        <v>46</v>
      </c>
      <c r="F1825">
        <v>3</v>
      </c>
      <c r="G1825">
        <v>1</v>
      </c>
      <c r="H1825">
        <v>2</v>
      </c>
      <c r="I1825">
        <v>1</v>
      </c>
      <c r="J1825" s="4" t="s">
        <v>52</v>
      </c>
      <c r="K1825" t="str">
        <f t="shared" si="94"/>
        <v>1+2</v>
      </c>
      <c r="L1825">
        <f>VLOOKUP(A1825,'ZONE 1 PREMIUM'!$A$4:$N$16,14,0)</f>
        <v>9</v>
      </c>
      <c r="M1825">
        <f>VLOOKUP(D1825,DROPDOWN!B:C,2,0)</f>
        <v>8</v>
      </c>
      <c r="N1825" t="str">
        <f t="shared" si="92"/>
        <v>X35:AP46</v>
      </c>
      <c r="O1825" s="4">
        <f t="shared" ca="1" si="93"/>
        <v>130500.84999999999</v>
      </c>
    </row>
    <row r="1826" spans="1:15">
      <c r="A1826" s="2" t="s">
        <v>19</v>
      </c>
      <c r="B1826" t="s">
        <v>41</v>
      </c>
      <c r="C1826" t="s">
        <v>42</v>
      </c>
      <c r="D1826">
        <v>20</v>
      </c>
      <c r="E1826" t="s">
        <v>46</v>
      </c>
      <c r="F1826">
        <v>3</v>
      </c>
      <c r="G1826">
        <v>1</v>
      </c>
      <c r="H1826">
        <v>2</v>
      </c>
      <c r="I1826">
        <v>1</v>
      </c>
      <c r="J1826" s="4" t="s">
        <v>52</v>
      </c>
      <c r="K1826" t="str">
        <f t="shared" si="94"/>
        <v>1+2</v>
      </c>
      <c r="L1826">
        <f>VLOOKUP(A1826,'ZONE 1 PREMIUM'!$A$4:$N$16,14,0)</f>
        <v>10</v>
      </c>
      <c r="M1826">
        <f>VLOOKUP(D1826,DROPDOWN!B:C,2,0)</f>
        <v>8</v>
      </c>
      <c r="N1826" t="str">
        <f t="shared" si="92"/>
        <v>X35:AP46</v>
      </c>
      <c r="O1826" s="4">
        <f t="shared" ca="1" si="93"/>
        <v>164801.9</v>
      </c>
    </row>
    <row r="1827" spans="1:15">
      <c r="A1827" s="2" t="s">
        <v>20</v>
      </c>
      <c r="B1827" t="s">
        <v>43</v>
      </c>
      <c r="C1827" t="s">
        <v>44</v>
      </c>
      <c r="D1827">
        <v>20</v>
      </c>
      <c r="E1827" t="s">
        <v>46</v>
      </c>
      <c r="F1827">
        <v>3</v>
      </c>
      <c r="G1827">
        <v>1</v>
      </c>
      <c r="H1827">
        <v>2</v>
      </c>
      <c r="I1827">
        <v>1</v>
      </c>
      <c r="J1827" s="4" t="s">
        <v>52</v>
      </c>
      <c r="K1827" t="str">
        <f t="shared" si="94"/>
        <v>1+2</v>
      </c>
      <c r="L1827">
        <f>VLOOKUP(A1827,'ZONE 1 PREMIUM'!$A$4:$N$16,14,0)</f>
        <v>11</v>
      </c>
      <c r="M1827">
        <f>VLOOKUP(D1827,DROPDOWN!B:C,2,0)</f>
        <v>8</v>
      </c>
      <c r="N1827" t="str">
        <f t="shared" si="92"/>
        <v>X35:AP46</v>
      </c>
      <c r="O1827" s="4">
        <f t="shared" ca="1" si="93"/>
        <v>194517.9</v>
      </c>
    </row>
    <row r="1828" spans="1:15">
      <c r="A1828" s="2" t="s">
        <v>21</v>
      </c>
      <c r="B1828" t="s">
        <v>22</v>
      </c>
      <c r="D1828">
        <v>20</v>
      </c>
      <c r="E1828" t="s">
        <v>46</v>
      </c>
      <c r="F1828">
        <v>3</v>
      </c>
      <c r="G1828">
        <v>1</v>
      </c>
      <c r="H1828">
        <v>2</v>
      </c>
      <c r="I1828">
        <v>1</v>
      </c>
      <c r="J1828" s="4" t="s">
        <v>52</v>
      </c>
      <c r="K1828" t="str">
        <f t="shared" si="94"/>
        <v>1+2</v>
      </c>
      <c r="L1828">
        <f>VLOOKUP(A1828,'ZONE 1 PREMIUM'!$A$4:$N$16,14,0)</f>
        <v>12</v>
      </c>
      <c r="M1828">
        <f>VLOOKUP(D1828,DROPDOWN!B:C,2,0)</f>
        <v>8</v>
      </c>
      <c r="N1828" t="str">
        <f t="shared" si="92"/>
        <v>X35:AP46</v>
      </c>
      <c r="O1828" s="4">
        <f t="shared" ca="1" si="93"/>
        <v>253856.74999999997</v>
      </c>
    </row>
    <row r="1829" spans="1:15">
      <c r="A1829" s="2" t="s">
        <v>11</v>
      </c>
      <c r="B1829" t="s">
        <v>45</v>
      </c>
      <c r="C1829" t="s">
        <v>25</v>
      </c>
      <c r="D1829">
        <v>20</v>
      </c>
      <c r="E1829" t="s">
        <v>46</v>
      </c>
      <c r="F1829">
        <v>4</v>
      </c>
      <c r="G1829">
        <v>1</v>
      </c>
      <c r="H1829">
        <v>3</v>
      </c>
      <c r="I1829">
        <v>1</v>
      </c>
      <c r="J1829" s="4" t="s">
        <v>52</v>
      </c>
      <c r="K1829" t="str">
        <f t="shared" si="94"/>
        <v>1+3</v>
      </c>
      <c r="L1829">
        <f>VLOOKUP(A1829,'ZONE 1 PREMIUM'!$A$4:$N$16,14,0)</f>
        <v>2</v>
      </c>
      <c r="M1829">
        <f>VLOOKUP(D1829,DROPDOWN!B:C,2,0)</f>
        <v>8</v>
      </c>
      <c r="N1829" t="str">
        <f t="shared" si="92"/>
        <v>X50:AP61</v>
      </c>
      <c r="O1829" s="4">
        <f t="shared" ca="1" si="93"/>
        <v>42393.599999999999</v>
      </c>
    </row>
    <row r="1830" spans="1:15">
      <c r="A1830" s="2" t="s">
        <v>12</v>
      </c>
      <c r="B1830" t="s">
        <v>27</v>
      </c>
      <c r="C1830" t="s">
        <v>28</v>
      </c>
      <c r="D1830">
        <v>20</v>
      </c>
      <c r="E1830" t="s">
        <v>46</v>
      </c>
      <c r="F1830">
        <v>4</v>
      </c>
      <c r="G1830">
        <v>1</v>
      </c>
      <c r="H1830">
        <v>3</v>
      </c>
      <c r="I1830">
        <v>1</v>
      </c>
      <c r="J1830" s="4" t="s">
        <v>52</v>
      </c>
      <c r="K1830" t="str">
        <f t="shared" si="94"/>
        <v>1+3</v>
      </c>
      <c r="L1830">
        <f>VLOOKUP(A1830,'ZONE 1 PREMIUM'!$A$4:$N$16,14,0)</f>
        <v>3</v>
      </c>
      <c r="M1830">
        <f>VLOOKUP(D1830,DROPDOWN!B:C,2,0)</f>
        <v>8</v>
      </c>
      <c r="N1830" t="str">
        <f t="shared" si="92"/>
        <v>X50:AP61</v>
      </c>
      <c r="O1830" s="4">
        <f t="shared" ca="1" si="93"/>
        <v>44731.549999999996</v>
      </c>
    </row>
    <row r="1831" spans="1:15">
      <c r="A1831" s="2" t="s">
        <v>13</v>
      </c>
      <c r="B1831" t="s">
        <v>29</v>
      </c>
      <c r="C1831" t="s">
        <v>30</v>
      </c>
      <c r="D1831">
        <v>20</v>
      </c>
      <c r="E1831" t="s">
        <v>46</v>
      </c>
      <c r="F1831">
        <v>4</v>
      </c>
      <c r="G1831">
        <v>1</v>
      </c>
      <c r="H1831">
        <v>3</v>
      </c>
      <c r="I1831">
        <v>1</v>
      </c>
      <c r="J1831" s="4" t="s">
        <v>52</v>
      </c>
      <c r="K1831" t="str">
        <f t="shared" si="94"/>
        <v>1+3</v>
      </c>
      <c r="L1831">
        <f>VLOOKUP(A1831,'ZONE 1 PREMIUM'!$A$4:$N$16,14,0)</f>
        <v>4</v>
      </c>
      <c r="M1831">
        <f>VLOOKUP(D1831,DROPDOWN!B:C,2,0)</f>
        <v>8</v>
      </c>
      <c r="N1831" t="str">
        <f t="shared" si="92"/>
        <v>X50:AP61</v>
      </c>
      <c r="O1831" s="4">
        <f t="shared" ca="1" si="93"/>
        <v>51902.95</v>
      </c>
    </row>
    <row r="1832" spans="1:15">
      <c r="A1832" s="2" t="s">
        <v>14</v>
      </c>
      <c r="B1832" t="s">
        <v>31</v>
      </c>
      <c r="C1832" t="s">
        <v>32</v>
      </c>
      <c r="D1832">
        <v>20</v>
      </c>
      <c r="E1832" t="s">
        <v>46</v>
      </c>
      <c r="F1832">
        <v>4</v>
      </c>
      <c r="G1832">
        <v>1</v>
      </c>
      <c r="H1832">
        <v>3</v>
      </c>
      <c r="I1832">
        <v>1</v>
      </c>
      <c r="J1832" s="4" t="s">
        <v>52</v>
      </c>
      <c r="K1832" t="str">
        <f t="shared" si="94"/>
        <v>1+3</v>
      </c>
      <c r="L1832">
        <f>VLOOKUP(A1832,'ZONE 1 PREMIUM'!$A$4:$N$16,14,0)</f>
        <v>5</v>
      </c>
      <c r="M1832">
        <f>VLOOKUP(D1832,DROPDOWN!B:C,2,0)</f>
        <v>8</v>
      </c>
      <c r="N1832" t="str">
        <f t="shared" si="92"/>
        <v>X50:AP61</v>
      </c>
      <c r="O1832" s="4">
        <f t="shared" ca="1" si="93"/>
        <v>57750.7</v>
      </c>
    </row>
    <row r="1833" spans="1:15">
      <c r="A1833" s="2" t="s">
        <v>15</v>
      </c>
      <c r="B1833" t="s">
        <v>33</v>
      </c>
      <c r="C1833" t="s">
        <v>34</v>
      </c>
      <c r="D1833">
        <v>20</v>
      </c>
      <c r="E1833" t="s">
        <v>46</v>
      </c>
      <c r="F1833">
        <v>4</v>
      </c>
      <c r="G1833">
        <v>1</v>
      </c>
      <c r="H1833">
        <v>3</v>
      </c>
      <c r="I1833">
        <v>1</v>
      </c>
      <c r="J1833" s="4" t="s">
        <v>52</v>
      </c>
      <c r="K1833" t="str">
        <f t="shared" si="94"/>
        <v>1+3</v>
      </c>
      <c r="L1833">
        <f>VLOOKUP(A1833,'ZONE 1 PREMIUM'!$A$4:$N$16,14,0)</f>
        <v>6</v>
      </c>
      <c r="M1833">
        <f>VLOOKUP(D1833,DROPDOWN!B:C,2,0)</f>
        <v>8</v>
      </c>
      <c r="N1833" t="str">
        <f t="shared" si="92"/>
        <v>X50:AP61</v>
      </c>
      <c r="O1833" s="4">
        <f t="shared" ca="1" si="93"/>
        <v>71078.049999999988</v>
      </c>
    </row>
    <row r="1834" spans="1:15">
      <c r="A1834" s="2" t="s">
        <v>16</v>
      </c>
      <c r="B1834" t="s">
        <v>35</v>
      </c>
      <c r="C1834" t="s">
        <v>36</v>
      </c>
      <c r="D1834">
        <v>20</v>
      </c>
      <c r="E1834" t="s">
        <v>46</v>
      </c>
      <c r="F1834">
        <v>4</v>
      </c>
      <c r="G1834">
        <v>1</v>
      </c>
      <c r="H1834">
        <v>3</v>
      </c>
      <c r="I1834">
        <v>1</v>
      </c>
      <c r="J1834" s="4" t="s">
        <v>52</v>
      </c>
      <c r="K1834" t="str">
        <f t="shared" si="94"/>
        <v>1+3</v>
      </c>
      <c r="L1834">
        <f>VLOOKUP(A1834,'ZONE 1 PREMIUM'!$A$4:$N$16,14,0)</f>
        <v>7</v>
      </c>
      <c r="M1834">
        <f>VLOOKUP(D1834,DROPDOWN!B:C,2,0)</f>
        <v>8</v>
      </c>
      <c r="N1834" t="str">
        <f t="shared" si="92"/>
        <v>X50:AP61</v>
      </c>
      <c r="O1834" s="4">
        <f t="shared" ca="1" si="93"/>
        <v>89821.9</v>
      </c>
    </row>
    <row r="1835" spans="1:15">
      <c r="A1835" s="2" t="s">
        <v>17</v>
      </c>
      <c r="B1835" t="s">
        <v>37</v>
      </c>
      <c r="C1835" t="s">
        <v>38</v>
      </c>
      <c r="D1835">
        <v>20</v>
      </c>
      <c r="E1835" t="s">
        <v>46</v>
      </c>
      <c r="F1835">
        <v>4</v>
      </c>
      <c r="G1835">
        <v>1</v>
      </c>
      <c r="H1835">
        <v>3</v>
      </c>
      <c r="I1835">
        <v>1</v>
      </c>
      <c r="J1835" s="4" t="s">
        <v>52</v>
      </c>
      <c r="K1835" t="str">
        <f t="shared" si="94"/>
        <v>1+3</v>
      </c>
      <c r="L1835">
        <f>VLOOKUP(A1835,'ZONE 1 PREMIUM'!$A$4:$N$16,14,0)</f>
        <v>8</v>
      </c>
      <c r="M1835">
        <f>VLOOKUP(D1835,DROPDOWN!B:C,2,0)</f>
        <v>8</v>
      </c>
      <c r="N1835" t="str">
        <f t="shared" si="92"/>
        <v>X50:AP61</v>
      </c>
      <c r="O1835" s="4">
        <f t="shared" ca="1" si="93"/>
        <v>111100.34999999999</v>
      </c>
    </row>
    <row r="1836" spans="1:15">
      <c r="A1836" s="2" t="s">
        <v>18</v>
      </c>
      <c r="B1836" t="s">
        <v>39</v>
      </c>
      <c r="C1836" t="s">
        <v>40</v>
      </c>
      <c r="D1836">
        <v>20</v>
      </c>
      <c r="E1836" t="s">
        <v>46</v>
      </c>
      <c r="F1836">
        <v>4</v>
      </c>
      <c r="G1836">
        <v>1</v>
      </c>
      <c r="H1836">
        <v>3</v>
      </c>
      <c r="I1836">
        <v>1</v>
      </c>
      <c r="J1836" s="4" t="s">
        <v>52</v>
      </c>
      <c r="K1836" t="str">
        <f t="shared" si="94"/>
        <v>1+3</v>
      </c>
      <c r="L1836">
        <f>VLOOKUP(A1836,'ZONE 1 PREMIUM'!$A$4:$N$16,14,0)</f>
        <v>9</v>
      </c>
      <c r="M1836">
        <f>VLOOKUP(D1836,DROPDOWN!B:C,2,0)</f>
        <v>8</v>
      </c>
      <c r="N1836" t="str">
        <f t="shared" si="92"/>
        <v>X50:AP61</v>
      </c>
      <c r="O1836" s="4">
        <f t="shared" ca="1" si="93"/>
        <v>142298.69999999998</v>
      </c>
    </row>
    <row r="1837" spans="1:15">
      <c r="A1837" s="2" t="s">
        <v>19</v>
      </c>
      <c r="B1837" t="s">
        <v>41</v>
      </c>
      <c r="C1837" t="s">
        <v>42</v>
      </c>
      <c r="D1837">
        <v>20</v>
      </c>
      <c r="E1837" t="s">
        <v>46</v>
      </c>
      <c r="F1837">
        <v>4</v>
      </c>
      <c r="G1837">
        <v>1</v>
      </c>
      <c r="H1837">
        <v>3</v>
      </c>
      <c r="I1837">
        <v>1</v>
      </c>
      <c r="J1837" s="4" t="s">
        <v>52</v>
      </c>
      <c r="K1837" t="str">
        <f t="shared" si="94"/>
        <v>1+3</v>
      </c>
      <c r="L1837">
        <f>VLOOKUP(A1837,'ZONE 1 PREMIUM'!$A$4:$N$16,14,0)</f>
        <v>10</v>
      </c>
      <c r="M1837">
        <f>VLOOKUP(D1837,DROPDOWN!B:C,2,0)</f>
        <v>8</v>
      </c>
      <c r="N1837" t="str">
        <f t="shared" si="92"/>
        <v>X50:AP61</v>
      </c>
      <c r="O1837" s="4">
        <f t="shared" ca="1" si="93"/>
        <v>174400.94999999998</v>
      </c>
    </row>
    <row r="1838" spans="1:15">
      <c r="A1838" s="2" t="s">
        <v>20</v>
      </c>
      <c r="B1838" t="s">
        <v>43</v>
      </c>
      <c r="C1838" t="s">
        <v>44</v>
      </c>
      <c r="D1838">
        <v>20</v>
      </c>
      <c r="E1838" t="s">
        <v>46</v>
      </c>
      <c r="F1838">
        <v>4</v>
      </c>
      <c r="G1838">
        <v>1</v>
      </c>
      <c r="H1838">
        <v>3</v>
      </c>
      <c r="I1838">
        <v>1</v>
      </c>
      <c r="J1838" s="4" t="s">
        <v>52</v>
      </c>
      <c r="K1838" t="str">
        <f t="shared" si="94"/>
        <v>1+3</v>
      </c>
      <c r="L1838">
        <f>VLOOKUP(A1838,'ZONE 1 PREMIUM'!$A$4:$N$16,14,0)</f>
        <v>11</v>
      </c>
      <c r="M1838">
        <f>VLOOKUP(D1838,DROPDOWN!B:C,2,0)</f>
        <v>8</v>
      </c>
      <c r="N1838" t="str">
        <f t="shared" si="92"/>
        <v>X50:AP61</v>
      </c>
      <c r="O1838" s="4">
        <f t="shared" ca="1" si="93"/>
        <v>203659.24999999997</v>
      </c>
    </row>
    <row r="1839" spans="1:15">
      <c r="A1839" s="2" t="s">
        <v>21</v>
      </c>
      <c r="B1839" t="s">
        <v>22</v>
      </c>
      <c r="D1839">
        <v>20</v>
      </c>
      <c r="E1839" t="s">
        <v>46</v>
      </c>
      <c r="F1839">
        <v>4</v>
      </c>
      <c r="G1839">
        <v>1</v>
      </c>
      <c r="H1839">
        <v>3</v>
      </c>
      <c r="I1839">
        <v>1</v>
      </c>
      <c r="J1839" s="4" t="s">
        <v>52</v>
      </c>
      <c r="K1839" t="str">
        <f t="shared" si="94"/>
        <v>1+3</v>
      </c>
      <c r="L1839">
        <f>VLOOKUP(A1839,'ZONE 1 PREMIUM'!$A$4:$N$16,14,0)</f>
        <v>12</v>
      </c>
      <c r="M1839">
        <f>VLOOKUP(D1839,DROPDOWN!B:C,2,0)</f>
        <v>8</v>
      </c>
      <c r="N1839" t="str">
        <f t="shared" si="92"/>
        <v>X50:AP61</v>
      </c>
      <c r="O1839" s="4">
        <f t="shared" ca="1" si="93"/>
        <v>263520.19999999995</v>
      </c>
    </row>
    <row r="1840" spans="1:15">
      <c r="A1840" s="2" t="s">
        <v>11</v>
      </c>
      <c r="B1840" t="s">
        <v>45</v>
      </c>
      <c r="C1840" t="s">
        <v>25</v>
      </c>
      <c r="D1840">
        <v>20</v>
      </c>
      <c r="E1840" t="s">
        <v>46</v>
      </c>
      <c r="F1840">
        <v>5</v>
      </c>
      <c r="G1840">
        <v>1</v>
      </c>
      <c r="H1840">
        <v>4</v>
      </c>
      <c r="I1840">
        <v>1</v>
      </c>
      <c r="J1840" s="4" t="s">
        <v>52</v>
      </c>
      <c r="K1840" t="str">
        <f t="shared" si="94"/>
        <v>1+4</v>
      </c>
      <c r="L1840">
        <f>VLOOKUP(A1840,'ZONE 1 PREMIUM'!$A$4:$N$16,14,0)</f>
        <v>2</v>
      </c>
      <c r="M1840">
        <f>VLOOKUP(D1840,DROPDOWN!B:C,2,0)</f>
        <v>8</v>
      </c>
      <c r="N1840" t="str">
        <f t="shared" si="92"/>
        <v>X65:AP76</v>
      </c>
      <c r="O1840" s="4">
        <f t="shared" ca="1" si="93"/>
        <v>50263.049999999996</v>
      </c>
    </row>
    <row r="1841" spans="1:15">
      <c r="A1841" s="2" t="s">
        <v>12</v>
      </c>
      <c r="B1841" t="s">
        <v>27</v>
      </c>
      <c r="C1841" t="s">
        <v>28</v>
      </c>
      <c r="D1841">
        <v>20</v>
      </c>
      <c r="E1841" t="s">
        <v>46</v>
      </c>
      <c r="F1841">
        <v>5</v>
      </c>
      <c r="G1841">
        <v>1</v>
      </c>
      <c r="H1841">
        <v>4</v>
      </c>
      <c r="I1841">
        <v>1</v>
      </c>
      <c r="J1841" s="4" t="s">
        <v>52</v>
      </c>
      <c r="K1841" t="str">
        <f t="shared" si="94"/>
        <v>1+4</v>
      </c>
      <c r="L1841">
        <f>VLOOKUP(A1841,'ZONE 1 PREMIUM'!$A$4:$N$16,14,0)</f>
        <v>3</v>
      </c>
      <c r="M1841">
        <f>VLOOKUP(D1841,DROPDOWN!B:C,2,0)</f>
        <v>8</v>
      </c>
      <c r="N1841" t="str">
        <f t="shared" si="92"/>
        <v>X65:AP76</v>
      </c>
      <c r="O1841" s="4">
        <f t="shared" ca="1" si="93"/>
        <v>52460.7</v>
      </c>
    </row>
    <row r="1842" spans="1:15">
      <c r="A1842" s="2" t="s">
        <v>13</v>
      </c>
      <c r="B1842" t="s">
        <v>29</v>
      </c>
      <c r="C1842" t="s">
        <v>30</v>
      </c>
      <c r="D1842">
        <v>20</v>
      </c>
      <c r="E1842" t="s">
        <v>46</v>
      </c>
      <c r="F1842">
        <v>5</v>
      </c>
      <c r="G1842">
        <v>1</v>
      </c>
      <c r="H1842">
        <v>4</v>
      </c>
      <c r="I1842">
        <v>1</v>
      </c>
      <c r="J1842" s="4" t="s">
        <v>52</v>
      </c>
      <c r="K1842" t="str">
        <f t="shared" si="94"/>
        <v>1+4</v>
      </c>
      <c r="L1842">
        <f>VLOOKUP(A1842,'ZONE 1 PREMIUM'!$A$4:$N$16,14,0)</f>
        <v>4</v>
      </c>
      <c r="M1842">
        <f>VLOOKUP(D1842,DROPDOWN!B:C,2,0)</f>
        <v>8</v>
      </c>
      <c r="N1842" t="str">
        <f t="shared" si="92"/>
        <v>X65:AP76</v>
      </c>
      <c r="O1842" s="4">
        <f t="shared" ca="1" si="93"/>
        <v>60898.249999999993</v>
      </c>
    </row>
    <row r="1843" spans="1:15">
      <c r="A1843" s="2" t="s">
        <v>14</v>
      </c>
      <c r="B1843" t="s">
        <v>31</v>
      </c>
      <c r="C1843" t="s">
        <v>32</v>
      </c>
      <c r="D1843">
        <v>20</v>
      </c>
      <c r="E1843" t="s">
        <v>46</v>
      </c>
      <c r="F1843">
        <v>5</v>
      </c>
      <c r="G1843">
        <v>1</v>
      </c>
      <c r="H1843">
        <v>4</v>
      </c>
      <c r="I1843">
        <v>1</v>
      </c>
      <c r="J1843" s="4" t="s">
        <v>52</v>
      </c>
      <c r="K1843" t="str">
        <f t="shared" si="94"/>
        <v>1+4</v>
      </c>
      <c r="L1843">
        <f>VLOOKUP(A1843,'ZONE 1 PREMIUM'!$A$4:$N$16,14,0)</f>
        <v>5</v>
      </c>
      <c r="M1843">
        <f>VLOOKUP(D1843,DROPDOWN!B:C,2,0)</f>
        <v>8</v>
      </c>
      <c r="N1843" t="str">
        <f t="shared" si="92"/>
        <v>X65:AP76</v>
      </c>
      <c r="O1843" s="4">
        <f t="shared" ca="1" si="93"/>
        <v>67348.599999999991</v>
      </c>
    </row>
    <row r="1844" spans="1:15">
      <c r="A1844" s="2" t="s">
        <v>15</v>
      </c>
      <c r="B1844" t="s">
        <v>33</v>
      </c>
      <c r="C1844" t="s">
        <v>34</v>
      </c>
      <c r="D1844">
        <v>20</v>
      </c>
      <c r="E1844" t="s">
        <v>46</v>
      </c>
      <c r="F1844">
        <v>5</v>
      </c>
      <c r="G1844">
        <v>1</v>
      </c>
      <c r="H1844">
        <v>4</v>
      </c>
      <c r="I1844">
        <v>1</v>
      </c>
      <c r="J1844" s="4" t="s">
        <v>52</v>
      </c>
      <c r="K1844" t="str">
        <f t="shared" si="94"/>
        <v>1+4</v>
      </c>
      <c r="L1844">
        <f>VLOOKUP(A1844,'ZONE 1 PREMIUM'!$A$4:$N$16,14,0)</f>
        <v>6</v>
      </c>
      <c r="M1844">
        <f>VLOOKUP(D1844,DROPDOWN!B:C,2,0)</f>
        <v>8</v>
      </c>
      <c r="N1844" t="str">
        <f t="shared" si="92"/>
        <v>X65:AP76</v>
      </c>
      <c r="O1844" s="4">
        <f t="shared" ca="1" si="93"/>
        <v>81867.349999999991</v>
      </c>
    </row>
    <row r="1845" spans="1:15">
      <c r="A1845" s="2" t="s">
        <v>16</v>
      </c>
      <c r="B1845" t="s">
        <v>35</v>
      </c>
      <c r="C1845" t="s">
        <v>36</v>
      </c>
      <c r="D1845">
        <v>20</v>
      </c>
      <c r="E1845" t="s">
        <v>46</v>
      </c>
      <c r="F1845">
        <v>5</v>
      </c>
      <c r="G1845">
        <v>1</v>
      </c>
      <c r="H1845">
        <v>4</v>
      </c>
      <c r="I1845">
        <v>1</v>
      </c>
      <c r="J1845" s="4" t="s">
        <v>52</v>
      </c>
      <c r="K1845" t="str">
        <f t="shared" si="94"/>
        <v>1+4</v>
      </c>
      <c r="L1845">
        <f>VLOOKUP(A1845,'ZONE 1 PREMIUM'!$A$4:$N$16,14,0)</f>
        <v>7</v>
      </c>
      <c r="M1845">
        <f>VLOOKUP(D1845,DROPDOWN!B:C,2,0)</f>
        <v>8</v>
      </c>
      <c r="N1845" t="str">
        <f t="shared" si="92"/>
        <v>X65:AP76</v>
      </c>
      <c r="O1845" s="4">
        <f t="shared" ca="1" si="93"/>
        <v>99880.95</v>
      </c>
    </row>
    <row r="1846" spans="1:15">
      <c r="A1846" s="2" t="s">
        <v>17</v>
      </c>
      <c r="B1846" t="s">
        <v>37</v>
      </c>
      <c r="C1846" t="s">
        <v>38</v>
      </c>
      <c r="D1846">
        <v>20</v>
      </c>
      <c r="E1846" t="s">
        <v>46</v>
      </c>
      <c r="F1846">
        <v>5</v>
      </c>
      <c r="G1846">
        <v>1</v>
      </c>
      <c r="H1846">
        <v>4</v>
      </c>
      <c r="I1846">
        <v>1</v>
      </c>
      <c r="J1846" s="4" t="s">
        <v>52</v>
      </c>
      <c r="K1846" t="str">
        <f t="shared" si="94"/>
        <v>1+4</v>
      </c>
      <c r="L1846">
        <f>VLOOKUP(A1846,'ZONE 1 PREMIUM'!$A$4:$N$16,14,0)</f>
        <v>8</v>
      </c>
      <c r="M1846">
        <f>VLOOKUP(D1846,DROPDOWN!B:C,2,0)</f>
        <v>8</v>
      </c>
      <c r="N1846" t="str">
        <f t="shared" si="92"/>
        <v>X65:AP76</v>
      </c>
      <c r="O1846" s="4">
        <f t="shared" ca="1" si="93"/>
        <v>120870.74999999999</v>
      </c>
    </row>
    <row r="1847" spans="1:15">
      <c r="A1847" s="2" t="s">
        <v>18</v>
      </c>
      <c r="B1847" t="s">
        <v>39</v>
      </c>
      <c r="C1847" t="s">
        <v>40</v>
      </c>
      <c r="D1847">
        <v>20</v>
      </c>
      <c r="E1847" t="s">
        <v>46</v>
      </c>
      <c r="F1847">
        <v>5</v>
      </c>
      <c r="G1847">
        <v>1</v>
      </c>
      <c r="H1847">
        <v>4</v>
      </c>
      <c r="I1847">
        <v>1</v>
      </c>
      <c r="J1847" s="4" t="s">
        <v>52</v>
      </c>
      <c r="K1847" t="str">
        <f t="shared" si="94"/>
        <v>1+4</v>
      </c>
      <c r="L1847">
        <f>VLOOKUP(A1847,'ZONE 1 PREMIUM'!$A$4:$N$16,14,0)</f>
        <v>9</v>
      </c>
      <c r="M1847">
        <f>VLOOKUP(D1847,DROPDOWN!B:C,2,0)</f>
        <v>8</v>
      </c>
      <c r="N1847" t="str">
        <f t="shared" si="92"/>
        <v>X65:AP76</v>
      </c>
      <c r="O1847" s="4">
        <f t="shared" ca="1" si="93"/>
        <v>152310.59999999998</v>
      </c>
    </row>
    <row r="1848" spans="1:15">
      <c r="A1848" s="2" t="s">
        <v>19</v>
      </c>
      <c r="B1848" t="s">
        <v>41</v>
      </c>
      <c r="C1848" t="s">
        <v>42</v>
      </c>
      <c r="D1848">
        <v>20</v>
      </c>
      <c r="E1848" t="s">
        <v>46</v>
      </c>
      <c r="F1848">
        <v>5</v>
      </c>
      <c r="G1848">
        <v>1</v>
      </c>
      <c r="H1848">
        <v>4</v>
      </c>
      <c r="I1848">
        <v>1</v>
      </c>
      <c r="J1848" s="4" t="s">
        <v>52</v>
      </c>
      <c r="K1848" t="str">
        <f t="shared" si="94"/>
        <v>1+4</v>
      </c>
      <c r="L1848">
        <f>VLOOKUP(A1848,'ZONE 1 PREMIUM'!$A$4:$N$16,14,0)</f>
        <v>10</v>
      </c>
      <c r="M1848">
        <f>VLOOKUP(D1848,DROPDOWN!B:C,2,0)</f>
        <v>8</v>
      </c>
      <c r="N1848" t="str">
        <f t="shared" si="92"/>
        <v>X65:AP76</v>
      </c>
      <c r="O1848" s="4">
        <f t="shared" ca="1" si="93"/>
        <v>184270.25</v>
      </c>
    </row>
    <row r="1849" spans="1:15">
      <c r="A1849" s="2" t="s">
        <v>20</v>
      </c>
      <c r="B1849" t="s">
        <v>43</v>
      </c>
      <c r="C1849" t="s">
        <v>44</v>
      </c>
      <c r="D1849">
        <v>20</v>
      </c>
      <c r="E1849" t="s">
        <v>46</v>
      </c>
      <c r="F1849">
        <v>5</v>
      </c>
      <c r="G1849">
        <v>1</v>
      </c>
      <c r="H1849">
        <v>4</v>
      </c>
      <c r="I1849">
        <v>1</v>
      </c>
      <c r="J1849" s="4" t="s">
        <v>52</v>
      </c>
      <c r="K1849" t="str">
        <f t="shared" si="94"/>
        <v>1+4</v>
      </c>
      <c r="L1849">
        <f>VLOOKUP(A1849,'ZONE 1 PREMIUM'!$A$4:$N$16,14,0)</f>
        <v>11</v>
      </c>
      <c r="M1849">
        <f>VLOOKUP(D1849,DROPDOWN!B:C,2,0)</f>
        <v>8</v>
      </c>
      <c r="N1849" t="str">
        <f t="shared" si="92"/>
        <v>X65:AP76</v>
      </c>
      <c r="O1849" s="4">
        <f t="shared" ca="1" si="93"/>
        <v>213576.84999999998</v>
      </c>
    </row>
    <row r="1850" spans="1:15">
      <c r="A1850" s="2" t="s">
        <v>21</v>
      </c>
      <c r="B1850" t="s">
        <v>22</v>
      </c>
      <c r="D1850">
        <v>20</v>
      </c>
      <c r="E1850" t="s">
        <v>46</v>
      </c>
      <c r="F1850">
        <v>5</v>
      </c>
      <c r="G1850">
        <v>1</v>
      </c>
      <c r="H1850">
        <v>4</v>
      </c>
      <c r="I1850">
        <v>1</v>
      </c>
      <c r="J1850" s="4" t="s">
        <v>52</v>
      </c>
      <c r="K1850" t="str">
        <f t="shared" si="94"/>
        <v>1+4</v>
      </c>
      <c r="L1850">
        <f>VLOOKUP(A1850,'ZONE 1 PREMIUM'!$A$4:$N$16,14,0)</f>
        <v>12</v>
      </c>
      <c r="M1850">
        <f>VLOOKUP(D1850,DROPDOWN!B:C,2,0)</f>
        <v>8</v>
      </c>
      <c r="N1850" t="str">
        <f t="shared" si="92"/>
        <v>X65:AP76</v>
      </c>
      <c r="O1850" s="4">
        <f t="shared" ca="1" si="93"/>
        <v>273763.25</v>
      </c>
    </row>
    <row r="1851" spans="1:15">
      <c r="A1851" s="2" t="s">
        <v>11</v>
      </c>
      <c r="B1851" t="s">
        <v>45</v>
      </c>
      <c r="C1851" t="s">
        <v>25</v>
      </c>
      <c r="D1851">
        <v>20</v>
      </c>
      <c r="E1851" t="s">
        <v>46</v>
      </c>
      <c r="F1851">
        <v>2</v>
      </c>
      <c r="G1851">
        <v>2</v>
      </c>
      <c r="H1851">
        <v>0</v>
      </c>
      <c r="I1851">
        <v>1</v>
      </c>
      <c r="J1851" s="4" t="s">
        <v>52</v>
      </c>
      <c r="K1851" t="str">
        <f t="shared" si="94"/>
        <v>2+0</v>
      </c>
      <c r="L1851">
        <f>VLOOKUP(A1851,'ZONE 1 PREMIUM'!$A$4:$N$16,14,0)</f>
        <v>2</v>
      </c>
      <c r="M1851">
        <f>VLOOKUP(D1851,DROPDOWN!B:C,2,0)</f>
        <v>8</v>
      </c>
      <c r="N1851" t="str">
        <f t="shared" si="92"/>
        <v>X81:AP92</v>
      </c>
      <c r="O1851" s="4">
        <f t="shared" ca="1" si="93"/>
        <v>37247.35</v>
      </c>
    </row>
    <row r="1852" spans="1:15">
      <c r="A1852" s="2" t="s">
        <v>12</v>
      </c>
      <c r="B1852" t="s">
        <v>27</v>
      </c>
      <c r="C1852" t="s">
        <v>28</v>
      </c>
      <c r="D1852">
        <v>20</v>
      </c>
      <c r="E1852" t="s">
        <v>46</v>
      </c>
      <c r="F1852">
        <v>2</v>
      </c>
      <c r="G1852">
        <v>2</v>
      </c>
      <c r="H1852">
        <v>0</v>
      </c>
      <c r="I1852">
        <v>1</v>
      </c>
      <c r="J1852" s="4" t="s">
        <v>52</v>
      </c>
      <c r="K1852" t="str">
        <f t="shared" si="94"/>
        <v>2+0</v>
      </c>
      <c r="L1852">
        <f>VLOOKUP(A1852,'ZONE 1 PREMIUM'!$A$4:$N$16,14,0)</f>
        <v>3</v>
      </c>
      <c r="M1852">
        <f>VLOOKUP(D1852,DROPDOWN!B:C,2,0)</f>
        <v>8</v>
      </c>
      <c r="N1852" t="str">
        <f t="shared" si="92"/>
        <v>X81:AP92</v>
      </c>
      <c r="O1852" s="4">
        <f t="shared" ca="1" si="93"/>
        <v>42351.049999999996</v>
      </c>
    </row>
    <row r="1853" spans="1:15">
      <c r="A1853" s="2" t="s">
        <v>13</v>
      </c>
      <c r="B1853" t="s">
        <v>29</v>
      </c>
      <c r="C1853" t="s">
        <v>30</v>
      </c>
      <c r="D1853">
        <v>20</v>
      </c>
      <c r="E1853" t="s">
        <v>46</v>
      </c>
      <c r="F1853">
        <v>2</v>
      </c>
      <c r="G1853">
        <v>2</v>
      </c>
      <c r="H1853">
        <v>0</v>
      </c>
      <c r="I1853">
        <v>1</v>
      </c>
      <c r="J1853" s="4" t="s">
        <v>52</v>
      </c>
      <c r="K1853" t="str">
        <f t="shared" si="94"/>
        <v>2+0</v>
      </c>
      <c r="L1853">
        <f>VLOOKUP(A1853,'ZONE 1 PREMIUM'!$A$4:$N$16,14,0)</f>
        <v>4</v>
      </c>
      <c r="M1853">
        <f>VLOOKUP(D1853,DROPDOWN!B:C,2,0)</f>
        <v>8</v>
      </c>
      <c r="N1853" t="str">
        <f t="shared" si="92"/>
        <v>X81:AP92</v>
      </c>
      <c r="O1853" s="4">
        <f t="shared" ca="1" si="93"/>
        <v>47055.7</v>
      </c>
    </row>
    <row r="1854" spans="1:15">
      <c r="A1854" s="2" t="s">
        <v>14</v>
      </c>
      <c r="B1854" t="s">
        <v>31</v>
      </c>
      <c r="C1854" t="s">
        <v>32</v>
      </c>
      <c r="D1854">
        <v>20</v>
      </c>
      <c r="E1854" t="s">
        <v>46</v>
      </c>
      <c r="F1854">
        <v>2</v>
      </c>
      <c r="G1854">
        <v>2</v>
      </c>
      <c r="H1854">
        <v>0</v>
      </c>
      <c r="I1854">
        <v>1</v>
      </c>
      <c r="J1854" s="4" t="s">
        <v>52</v>
      </c>
      <c r="K1854" t="str">
        <f t="shared" si="94"/>
        <v>2+0</v>
      </c>
      <c r="L1854">
        <f>VLOOKUP(A1854,'ZONE 1 PREMIUM'!$A$4:$N$16,14,0)</f>
        <v>5</v>
      </c>
      <c r="M1854">
        <f>VLOOKUP(D1854,DROPDOWN!B:C,2,0)</f>
        <v>8</v>
      </c>
      <c r="N1854" t="str">
        <f t="shared" si="92"/>
        <v>X81:AP92</v>
      </c>
      <c r="O1854" s="4">
        <f t="shared" ca="1" si="93"/>
        <v>54544.499999999993</v>
      </c>
    </row>
    <row r="1855" spans="1:15">
      <c r="A1855" s="2" t="s">
        <v>15</v>
      </c>
      <c r="B1855" t="s">
        <v>33</v>
      </c>
      <c r="C1855" t="s">
        <v>34</v>
      </c>
      <c r="D1855">
        <v>20</v>
      </c>
      <c r="E1855" t="s">
        <v>46</v>
      </c>
      <c r="F1855">
        <v>2</v>
      </c>
      <c r="G1855">
        <v>2</v>
      </c>
      <c r="H1855">
        <v>0</v>
      </c>
      <c r="I1855">
        <v>1</v>
      </c>
      <c r="J1855" s="4" t="s">
        <v>52</v>
      </c>
      <c r="K1855" t="str">
        <f t="shared" si="94"/>
        <v>2+0</v>
      </c>
      <c r="L1855">
        <f>VLOOKUP(A1855,'ZONE 1 PREMIUM'!$A$4:$N$16,14,0)</f>
        <v>6</v>
      </c>
      <c r="M1855">
        <f>VLOOKUP(D1855,DROPDOWN!B:C,2,0)</f>
        <v>8</v>
      </c>
      <c r="N1855" t="str">
        <f t="shared" si="92"/>
        <v>X81:AP92</v>
      </c>
      <c r="O1855" s="4">
        <f t="shared" ca="1" si="93"/>
        <v>69930.349999999991</v>
      </c>
    </row>
    <row r="1856" spans="1:15">
      <c r="A1856" s="2" t="s">
        <v>16</v>
      </c>
      <c r="B1856" t="s">
        <v>35</v>
      </c>
      <c r="C1856" t="s">
        <v>36</v>
      </c>
      <c r="D1856">
        <v>20</v>
      </c>
      <c r="E1856" t="s">
        <v>46</v>
      </c>
      <c r="F1856">
        <v>2</v>
      </c>
      <c r="G1856">
        <v>2</v>
      </c>
      <c r="H1856">
        <v>0</v>
      </c>
      <c r="I1856">
        <v>1</v>
      </c>
      <c r="J1856" s="4" t="s">
        <v>52</v>
      </c>
      <c r="K1856" t="str">
        <f t="shared" si="94"/>
        <v>2+0</v>
      </c>
      <c r="L1856">
        <f>VLOOKUP(A1856,'ZONE 1 PREMIUM'!$A$4:$N$16,14,0)</f>
        <v>7</v>
      </c>
      <c r="M1856">
        <f>VLOOKUP(D1856,DROPDOWN!B:C,2,0)</f>
        <v>8</v>
      </c>
      <c r="N1856" t="str">
        <f t="shared" si="92"/>
        <v>X81:AP92</v>
      </c>
      <c r="O1856" s="4">
        <f t="shared" ca="1" si="93"/>
        <v>92543.95</v>
      </c>
    </row>
    <row r="1857" spans="1:15">
      <c r="A1857" s="2" t="s">
        <v>17</v>
      </c>
      <c r="B1857" t="s">
        <v>37</v>
      </c>
      <c r="C1857" t="s">
        <v>38</v>
      </c>
      <c r="D1857">
        <v>20</v>
      </c>
      <c r="E1857" t="s">
        <v>46</v>
      </c>
      <c r="F1857">
        <v>2</v>
      </c>
      <c r="G1857">
        <v>2</v>
      </c>
      <c r="H1857">
        <v>0</v>
      </c>
      <c r="I1857">
        <v>1</v>
      </c>
      <c r="J1857" s="4" t="s">
        <v>52</v>
      </c>
      <c r="K1857" t="str">
        <f t="shared" si="94"/>
        <v>2+0</v>
      </c>
      <c r="L1857">
        <f>VLOOKUP(A1857,'ZONE 1 PREMIUM'!$A$4:$N$16,14,0)</f>
        <v>8</v>
      </c>
      <c r="M1857">
        <f>VLOOKUP(D1857,DROPDOWN!B:C,2,0)</f>
        <v>8</v>
      </c>
      <c r="N1857" t="str">
        <f t="shared" si="92"/>
        <v>X81:AP92</v>
      </c>
      <c r="O1857" s="4">
        <f t="shared" ca="1" si="93"/>
        <v>127678.74999999999</v>
      </c>
    </row>
    <row r="1858" spans="1:15">
      <c r="A1858" s="2" t="s">
        <v>18</v>
      </c>
      <c r="B1858" t="s">
        <v>39</v>
      </c>
      <c r="C1858" t="s">
        <v>40</v>
      </c>
      <c r="D1858">
        <v>20</v>
      </c>
      <c r="E1858" t="s">
        <v>46</v>
      </c>
      <c r="F1858">
        <v>2</v>
      </c>
      <c r="G1858">
        <v>2</v>
      </c>
      <c r="H1858">
        <v>0</v>
      </c>
      <c r="I1858">
        <v>1</v>
      </c>
      <c r="J1858" s="4" t="s">
        <v>52</v>
      </c>
      <c r="K1858" t="str">
        <f t="shared" si="94"/>
        <v>2+0</v>
      </c>
      <c r="L1858">
        <f>VLOOKUP(A1858,'ZONE 1 PREMIUM'!$A$4:$N$16,14,0)</f>
        <v>9</v>
      </c>
      <c r="M1858">
        <f>VLOOKUP(D1858,DROPDOWN!B:C,2,0)</f>
        <v>8</v>
      </c>
      <c r="N1858" t="str">
        <f t="shared" ref="N1858:N1905" si="95">VLOOKUP(K1858,$AQ$3:$AR$12,2,0)</f>
        <v>X81:AP92</v>
      </c>
      <c r="O1858" s="4">
        <f t="shared" ref="O1858:O1921" ca="1" si="96">INDEX(INDIRECT(N1858),L1858,M1858)</f>
        <v>180459.15</v>
      </c>
    </row>
    <row r="1859" spans="1:15">
      <c r="A1859" s="2" t="s">
        <v>19</v>
      </c>
      <c r="B1859" t="s">
        <v>41</v>
      </c>
      <c r="C1859" t="s">
        <v>42</v>
      </c>
      <c r="D1859">
        <v>20</v>
      </c>
      <c r="E1859" t="s">
        <v>46</v>
      </c>
      <c r="F1859">
        <v>2</v>
      </c>
      <c r="G1859">
        <v>2</v>
      </c>
      <c r="H1859">
        <v>0</v>
      </c>
      <c r="I1859">
        <v>1</v>
      </c>
      <c r="J1859" s="4" t="s">
        <v>52</v>
      </c>
      <c r="K1859" t="str">
        <f t="shared" si="94"/>
        <v>2+0</v>
      </c>
      <c r="L1859">
        <f>VLOOKUP(A1859,'ZONE 1 PREMIUM'!$A$4:$N$16,14,0)</f>
        <v>10</v>
      </c>
      <c r="M1859">
        <f>VLOOKUP(D1859,DROPDOWN!B:C,2,0)</f>
        <v>8</v>
      </c>
      <c r="N1859" t="str">
        <f t="shared" si="95"/>
        <v>X81:AP92</v>
      </c>
      <c r="O1859" s="4">
        <f t="shared" ca="1" si="96"/>
        <v>250632.15</v>
      </c>
    </row>
    <row r="1860" spans="1:15">
      <c r="A1860" s="2" t="s">
        <v>20</v>
      </c>
      <c r="B1860" t="s">
        <v>43</v>
      </c>
      <c r="C1860" t="s">
        <v>44</v>
      </c>
      <c r="D1860">
        <v>20</v>
      </c>
      <c r="E1860" t="s">
        <v>46</v>
      </c>
      <c r="F1860">
        <v>2</v>
      </c>
      <c r="G1860">
        <v>2</v>
      </c>
      <c r="H1860">
        <v>0</v>
      </c>
      <c r="I1860">
        <v>1</v>
      </c>
      <c r="J1860" s="4" t="s">
        <v>52</v>
      </c>
      <c r="K1860" t="str">
        <f t="shared" ref="K1860:K1923" si="97">G1860&amp;"+"&amp;H1860</f>
        <v>2+0</v>
      </c>
      <c r="L1860">
        <f>VLOOKUP(A1860,'ZONE 1 PREMIUM'!$A$4:$N$16,14,0)</f>
        <v>11</v>
      </c>
      <c r="M1860">
        <f>VLOOKUP(D1860,DROPDOWN!B:C,2,0)</f>
        <v>8</v>
      </c>
      <c r="N1860" t="str">
        <f t="shared" si="95"/>
        <v>X81:AP92</v>
      </c>
      <c r="O1860" s="4">
        <f t="shared" ca="1" si="96"/>
        <v>310187.19999999995</v>
      </c>
    </row>
    <row r="1861" spans="1:15">
      <c r="A1861" s="2" t="s">
        <v>21</v>
      </c>
      <c r="B1861" t="s">
        <v>22</v>
      </c>
      <c r="D1861">
        <v>20</v>
      </c>
      <c r="E1861" t="s">
        <v>46</v>
      </c>
      <c r="F1861">
        <v>2</v>
      </c>
      <c r="G1861">
        <v>2</v>
      </c>
      <c r="H1861">
        <v>0</v>
      </c>
      <c r="I1861">
        <v>1</v>
      </c>
      <c r="J1861" s="4" t="s">
        <v>52</v>
      </c>
      <c r="K1861" t="str">
        <f t="shared" si="97"/>
        <v>2+0</v>
      </c>
      <c r="L1861">
        <f>VLOOKUP(A1861,'ZONE 1 PREMIUM'!$A$4:$N$16,14,0)</f>
        <v>12</v>
      </c>
      <c r="M1861">
        <f>VLOOKUP(D1861,DROPDOWN!B:C,2,0)</f>
        <v>8</v>
      </c>
      <c r="N1861" t="str">
        <f t="shared" si="95"/>
        <v>X81:AP92</v>
      </c>
      <c r="O1861" s="4">
        <f t="shared" ca="1" si="96"/>
        <v>397444.6</v>
      </c>
    </row>
    <row r="1862" spans="1:15">
      <c r="A1862" s="2" t="s">
        <v>11</v>
      </c>
      <c r="B1862" t="s">
        <v>45</v>
      </c>
      <c r="C1862" t="s">
        <v>25</v>
      </c>
      <c r="D1862">
        <v>20</v>
      </c>
      <c r="E1862" t="s">
        <v>46</v>
      </c>
      <c r="F1862">
        <v>3</v>
      </c>
      <c r="G1862">
        <v>2</v>
      </c>
      <c r="H1862">
        <v>1</v>
      </c>
      <c r="I1862">
        <v>1</v>
      </c>
      <c r="J1862" s="4" t="s">
        <v>52</v>
      </c>
      <c r="K1862" t="str">
        <f t="shared" si="97"/>
        <v>2+1</v>
      </c>
      <c r="L1862">
        <f>VLOOKUP(A1862,'ZONE 1 PREMIUM'!$A$4:$N$16,14,0)</f>
        <v>2</v>
      </c>
      <c r="M1862">
        <f>VLOOKUP(D1862,DROPDOWN!B:C,2,0)</f>
        <v>8</v>
      </c>
      <c r="N1862" t="str">
        <f t="shared" si="95"/>
        <v>X98:AP109</v>
      </c>
      <c r="O1862" s="4">
        <f t="shared" ca="1" si="96"/>
        <v>45278.95</v>
      </c>
    </row>
    <row r="1863" spans="1:15">
      <c r="A1863" s="2" t="s">
        <v>12</v>
      </c>
      <c r="B1863" t="s">
        <v>27</v>
      </c>
      <c r="C1863" t="s">
        <v>28</v>
      </c>
      <c r="D1863">
        <v>20</v>
      </c>
      <c r="E1863" t="s">
        <v>46</v>
      </c>
      <c r="F1863">
        <v>3</v>
      </c>
      <c r="G1863">
        <v>2</v>
      </c>
      <c r="H1863">
        <v>1</v>
      </c>
      <c r="I1863">
        <v>1</v>
      </c>
      <c r="J1863" s="4" t="s">
        <v>52</v>
      </c>
      <c r="K1863" t="str">
        <f t="shared" si="97"/>
        <v>2+1</v>
      </c>
      <c r="L1863">
        <f>VLOOKUP(A1863,'ZONE 1 PREMIUM'!$A$4:$N$16,14,0)</f>
        <v>3</v>
      </c>
      <c r="M1863">
        <f>VLOOKUP(D1863,DROPDOWN!B:C,2,0)</f>
        <v>8</v>
      </c>
      <c r="N1863" t="str">
        <f t="shared" si="95"/>
        <v>X98:AP109</v>
      </c>
      <c r="O1863" s="4">
        <f t="shared" ca="1" si="96"/>
        <v>50242.35</v>
      </c>
    </row>
    <row r="1864" spans="1:15">
      <c r="A1864" s="2" t="s">
        <v>13</v>
      </c>
      <c r="B1864" t="s">
        <v>29</v>
      </c>
      <c r="C1864" t="s">
        <v>30</v>
      </c>
      <c r="D1864">
        <v>20</v>
      </c>
      <c r="E1864" t="s">
        <v>46</v>
      </c>
      <c r="F1864">
        <v>3</v>
      </c>
      <c r="G1864">
        <v>2</v>
      </c>
      <c r="H1864">
        <v>1</v>
      </c>
      <c r="I1864">
        <v>1</v>
      </c>
      <c r="J1864" s="4" t="s">
        <v>52</v>
      </c>
      <c r="K1864" t="str">
        <f t="shared" si="97"/>
        <v>2+1</v>
      </c>
      <c r="L1864">
        <f>VLOOKUP(A1864,'ZONE 1 PREMIUM'!$A$4:$N$16,14,0)</f>
        <v>4</v>
      </c>
      <c r="M1864">
        <f>VLOOKUP(D1864,DROPDOWN!B:C,2,0)</f>
        <v>8</v>
      </c>
      <c r="N1864" t="str">
        <f t="shared" si="95"/>
        <v>X98:AP109</v>
      </c>
      <c r="O1864" s="4">
        <f t="shared" ca="1" si="96"/>
        <v>56286.749999999993</v>
      </c>
    </row>
    <row r="1865" spans="1:15">
      <c r="A1865" s="2" t="s">
        <v>14</v>
      </c>
      <c r="B1865" t="s">
        <v>31</v>
      </c>
      <c r="C1865" t="s">
        <v>32</v>
      </c>
      <c r="D1865">
        <v>20</v>
      </c>
      <c r="E1865" t="s">
        <v>46</v>
      </c>
      <c r="F1865">
        <v>3</v>
      </c>
      <c r="G1865">
        <v>2</v>
      </c>
      <c r="H1865">
        <v>1</v>
      </c>
      <c r="I1865">
        <v>1</v>
      </c>
      <c r="J1865" s="4" t="s">
        <v>52</v>
      </c>
      <c r="K1865" t="str">
        <f t="shared" si="97"/>
        <v>2+1</v>
      </c>
      <c r="L1865">
        <f>VLOOKUP(A1865,'ZONE 1 PREMIUM'!$A$4:$N$16,14,0)</f>
        <v>5</v>
      </c>
      <c r="M1865">
        <f>VLOOKUP(D1865,DROPDOWN!B:C,2,0)</f>
        <v>8</v>
      </c>
      <c r="N1865" t="str">
        <f t="shared" si="95"/>
        <v>X98:AP109</v>
      </c>
      <c r="O1865" s="4">
        <f t="shared" ca="1" si="96"/>
        <v>64433.35</v>
      </c>
    </row>
    <row r="1866" spans="1:15">
      <c r="A1866" s="2" t="s">
        <v>15</v>
      </c>
      <c r="B1866" t="s">
        <v>33</v>
      </c>
      <c r="C1866" t="s">
        <v>34</v>
      </c>
      <c r="D1866">
        <v>20</v>
      </c>
      <c r="E1866" t="s">
        <v>46</v>
      </c>
      <c r="F1866">
        <v>3</v>
      </c>
      <c r="G1866">
        <v>2</v>
      </c>
      <c r="H1866">
        <v>1</v>
      </c>
      <c r="I1866">
        <v>1</v>
      </c>
      <c r="J1866" s="4" t="s">
        <v>52</v>
      </c>
      <c r="K1866" t="str">
        <f t="shared" si="97"/>
        <v>2+1</v>
      </c>
      <c r="L1866">
        <f>VLOOKUP(A1866,'ZONE 1 PREMIUM'!$A$4:$N$16,14,0)</f>
        <v>6</v>
      </c>
      <c r="M1866">
        <f>VLOOKUP(D1866,DROPDOWN!B:C,2,0)</f>
        <v>8</v>
      </c>
      <c r="N1866" t="str">
        <f t="shared" si="95"/>
        <v>X98:AP109</v>
      </c>
      <c r="O1866" s="4">
        <f t="shared" ca="1" si="96"/>
        <v>81072.7</v>
      </c>
    </row>
    <row r="1867" spans="1:15">
      <c r="A1867" s="2" t="s">
        <v>16</v>
      </c>
      <c r="B1867" t="s">
        <v>35</v>
      </c>
      <c r="C1867" t="s">
        <v>36</v>
      </c>
      <c r="D1867">
        <v>20</v>
      </c>
      <c r="E1867" t="s">
        <v>46</v>
      </c>
      <c r="F1867">
        <v>3</v>
      </c>
      <c r="G1867">
        <v>2</v>
      </c>
      <c r="H1867">
        <v>1</v>
      </c>
      <c r="I1867">
        <v>1</v>
      </c>
      <c r="J1867" s="4" t="s">
        <v>52</v>
      </c>
      <c r="K1867" t="str">
        <f t="shared" si="97"/>
        <v>2+1</v>
      </c>
      <c r="L1867">
        <f>VLOOKUP(A1867,'ZONE 1 PREMIUM'!$A$4:$N$16,14,0)</f>
        <v>7</v>
      </c>
      <c r="M1867">
        <f>VLOOKUP(D1867,DROPDOWN!B:C,2,0)</f>
        <v>8</v>
      </c>
      <c r="N1867" t="str">
        <f t="shared" si="95"/>
        <v>X98:AP109</v>
      </c>
      <c r="O1867" s="4">
        <f t="shared" ca="1" si="96"/>
        <v>106402.59999999999</v>
      </c>
    </row>
    <row r="1868" spans="1:15">
      <c r="A1868" s="2" t="s">
        <v>17</v>
      </c>
      <c r="B1868" t="s">
        <v>37</v>
      </c>
      <c r="C1868" t="s">
        <v>38</v>
      </c>
      <c r="D1868">
        <v>20</v>
      </c>
      <c r="E1868" t="s">
        <v>46</v>
      </c>
      <c r="F1868">
        <v>3</v>
      </c>
      <c r="G1868">
        <v>2</v>
      </c>
      <c r="H1868">
        <v>1</v>
      </c>
      <c r="I1868">
        <v>1</v>
      </c>
      <c r="J1868" s="4" t="s">
        <v>52</v>
      </c>
      <c r="K1868" t="str">
        <f t="shared" si="97"/>
        <v>2+1</v>
      </c>
      <c r="L1868">
        <f>VLOOKUP(A1868,'ZONE 1 PREMIUM'!$A$4:$N$16,14,0)</f>
        <v>8</v>
      </c>
      <c r="M1868">
        <f>VLOOKUP(D1868,DROPDOWN!B:C,2,0)</f>
        <v>8</v>
      </c>
      <c r="N1868" t="str">
        <f t="shared" si="95"/>
        <v>X98:AP109</v>
      </c>
      <c r="O1868" s="4">
        <f t="shared" ca="1" si="96"/>
        <v>142623</v>
      </c>
    </row>
    <row r="1869" spans="1:15">
      <c r="A1869" s="2" t="s">
        <v>18</v>
      </c>
      <c r="B1869" t="s">
        <v>39</v>
      </c>
      <c r="C1869" t="s">
        <v>40</v>
      </c>
      <c r="D1869">
        <v>20</v>
      </c>
      <c r="E1869" t="s">
        <v>46</v>
      </c>
      <c r="F1869">
        <v>3</v>
      </c>
      <c r="G1869">
        <v>2</v>
      </c>
      <c r="H1869">
        <v>1</v>
      </c>
      <c r="I1869">
        <v>1</v>
      </c>
      <c r="J1869" s="4" t="s">
        <v>52</v>
      </c>
      <c r="K1869" t="str">
        <f t="shared" si="97"/>
        <v>2+1</v>
      </c>
      <c r="L1869">
        <f>VLOOKUP(A1869,'ZONE 1 PREMIUM'!$A$4:$N$16,14,0)</f>
        <v>9</v>
      </c>
      <c r="M1869">
        <f>VLOOKUP(D1869,DROPDOWN!B:C,2,0)</f>
        <v>8</v>
      </c>
      <c r="N1869" t="str">
        <f t="shared" si="95"/>
        <v>X98:AP109</v>
      </c>
      <c r="O1869" s="4">
        <f t="shared" ca="1" si="96"/>
        <v>195674.8</v>
      </c>
    </row>
    <row r="1870" spans="1:15">
      <c r="A1870" s="2" t="s">
        <v>19</v>
      </c>
      <c r="B1870" t="s">
        <v>41</v>
      </c>
      <c r="C1870" t="s">
        <v>42</v>
      </c>
      <c r="D1870">
        <v>20</v>
      </c>
      <c r="E1870" t="s">
        <v>46</v>
      </c>
      <c r="F1870">
        <v>3</v>
      </c>
      <c r="G1870">
        <v>2</v>
      </c>
      <c r="H1870">
        <v>1</v>
      </c>
      <c r="I1870">
        <v>1</v>
      </c>
      <c r="J1870" s="4" t="s">
        <v>52</v>
      </c>
      <c r="K1870" t="str">
        <f t="shared" si="97"/>
        <v>2+1</v>
      </c>
      <c r="L1870">
        <f>VLOOKUP(A1870,'ZONE 1 PREMIUM'!$A$4:$N$16,14,0)</f>
        <v>10</v>
      </c>
      <c r="M1870">
        <f>VLOOKUP(D1870,DROPDOWN!B:C,2,0)</f>
        <v>8</v>
      </c>
      <c r="N1870" t="str">
        <f t="shared" si="95"/>
        <v>X98:AP109</v>
      </c>
      <c r="O1870" s="4">
        <f t="shared" ca="1" si="96"/>
        <v>260259.94999999998</v>
      </c>
    </row>
    <row r="1871" spans="1:15">
      <c r="A1871" s="2" t="s">
        <v>20</v>
      </c>
      <c r="B1871" t="s">
        <v>43</v>
      </c>
      <c r="C1871" t="s">
        <v>44</v>
      </c>
      <c r="D1871">
        <v>20</v>
      </c>
      <c r="E1871" t="s">
        <v>46</v>
      </c>
      <c r="F1871">
        <v>3</v>
      </c>
      <c r="G1871">
        <v>2</v>
      </c>
      <c r="H1871">
        <v>1</v>
      </c>
      <c r="I1871">
        <v>1</v>
      </c>
      <c r="J1871" s="4" t="s">
        <v>52</v>
      </c>
      <c r="K1871" t="str">
        <f t="shared" si="97"/>
        <v>2+1</v>
      </c>
      <c r="L1871">
        <f>VLOOKUP(A1871,'ZONE 1 PREMIUM'!$A$4:$N$16,14,0)</f>
        <v>11</v>
      </c>
      <c r="M1871">
        <f>VLOOKUP(D1871,DROPDOWN!B:C,2,0)</f>
        <v>8</v>
      </c>
      <c r="N1871" t="str">
        <f t="shared" si="95"/>
        <v>X98:AP109</v>
      </c>
      <c r="O1871" s="4">
        <f t="shared" ca="1" si="96"/>
        <v>317774.89999999997</v>
      </c>
    </row>
    <row r="1872" spans="1:15">
      <c r="A1872" s="2" t="s">
        <v>21</v>
      </c>
      <c r="B1872" t="s">
        <v>22</v>
      </c>
      <c r="D1872">
        <v>20</v>
      </c>
      <c r="E1872" t="s">
        <v>46</v>
      </c>
      <c r="F1872">
        <v>3</v>
      </c>
      <c r="G1872">
        <v>2</v>
      </c>
      <c r="H1872">
        <v>1</v>
      </c>
      <c r="I1872">
        <v>1</v>
      </c>
      <c r="J1872" s="4" t="s">
        <v>52</v>
      </c>
      <c r="K1872" t="str">
        <f t="shared" si="97"/>
        <v>2+1</v>
      </c>
      <c r="L1872">
        <f>VLOOKUP(A1872,'ZONE 1 PREMIUM'!$A$4:$N$16,14,0)</f>
        <v>12</v>
      </c>
      <c r="M1872">
        <f>VLOOKUP(D1872,DROPDOWN!B:C,2,0)</f>
        <v>8</v>
      </c>
      <c r="N1872" t="str">
        <f t="shared" si="95"/>
        <v>X98:AP109</v>
      </c>
      <c r="O1872" s="4">
        <f t="shared" ca="1" si="96"/>
        <v>404702.24999999994</v>
      </c>
    </row>
    <row r="1873" spans="1:15">
      <c r="A1873" s="2" t="s">
        <v>11</v>
      </c>
      <c r="B1873" t="s">
        <v>45</v>
      </c>
      <c r="C1873" t="s">
        <v>25</v>
      </c>
      <c r="D1873">
        <v>20</v>
      </c>
      <c r="E1873" t="s">
        <v>46</v>
      </c>
      <c r="F1873">
        <v>4</v>
      </c>
      <c r="G1873">
        <v>2</v>
      </c>
      <c r="H1873">
        <v>2</v>
      </c>
      <c r="I1873">
        <v>1</v>
      </c>
      <c r="J1873" s="4" t="s">
        <v>52</v>
      </c>
      <c r="K1873" t="str">
        <f t="shared" si="97"/>
        <v>2+2</v>
      </c>
      <c r="L1873">
        <f>VLOOKUP(A1873,'ZONE 1 PREMIUM'!$A$4:$N$16,14,0)</f>
        <v>2</v>
      </c>
      <c r="M1873">
        <f>VLOOKUP(D1873,DROPDOWN!B:C,2,0)</f>
        <v>8</v>
      </c>
      <c r="N1873" t="str">
        <f t="shared" si="95"/>
        <v>X113:AP124</v>
      </c>
      <c r="O1873" s="4">
        <f t="shared" ca="1" si="96"/>
        <v>53148.399999999994</v>
      </c>
    </row>
    <row r="1874" spans="1:15">
      <c r="A1874" s="2" t="s">
        <v>12</v>
      </c>
      <c r="B1874" t="s">
        <v>27</v>
      </c>
      <c r="C1874" t="s">
        <v>28</v>
      </c>
      <c r="D1874">
        <v>20</v>
      </c>
      <c r="E1874" t="s">
        <v>46</v>
      </c>
      <c r="F1874">
        <v>4</v>
      </c>
      <c r="G1874">
        <v>2</v>
      </c>
      <c r="H1874">
        <v>2</v>
      </c>
      <c r="I1874">
        <v>1</v>
      </c>
      <c r="J1874" s="4" t="s">
        <v>52</v>
      </c>
      <c r="K1874" t="str">
        <f t="shared" si="97"/>
        <v>2+2</v>
      </c>
      <c r="L1874">
        <f>VLOOKUP(A1874,'ZONE 1 PREMIUM'!$A$4:$N$16,14,0)</f>
        <v>3</v>
      </c>
      <c r="M1874">
        <f>VLOOKUP(D1874,DROPDOWN!B:C,2,0)</f>
        <v>8</v>
      </c>
      <c r="N1874" t="str">
        <f t="shared" si="95"/>
        <v>X113:AP124</v>
      </c>
      <c r="O1874" s="4">
        <f t="shared" ca="1" si="96"/>
        <v>57971.499999999993</v>
      </c>
    </row>
    <row r="1875" spans="1:15">
      <c r="A1875" s="2" t="s">
        <v>13</v>
      </c>
      <c r="B1875" t="s">
        <v>29</v>
      </c>
      <c r="C1875" t="s">
        <v>30</v>
      </c>
      <c r="D1875">
        <v>20</v>
      </c>
      <c r="E1875" t="s">
        <v>46</v>
      </c>
      <c r="F1875">
        <v>4</v>
      </c>
      <c r="G1875">
        <v>2</v>
      </c>
      <c r="H1875">
        <v>2</v>
      </c>
      <c r="I1875">
        <v>1</v>
      </c>
      <c r="J1875" s="4" t="s">
        <v>52</v>
      </c>
      <c r="K1875" t="str">
        <f t="shared" si="97"/>
        <v>2+2</v>
      </c>
      <c r="L1875">
        <f>VLOOKUP(A1875,'ZONE 1 PREMIUM'!$A$4:$N$16,14,0)</f>
        <v>4</v>
      </c>
      <c r="M1875">
        <f>VLOOKUP(D1875,DROPDOWN!B:C,2,0)</f>
        <v>8</v>
      </c>
      <c r="N1875" t="str">
        <f t="shared" si="95"/>
        <v>X113:AP124</v>
      </c>
      <c r="O1875" s="4">
        <f t="shared" ca="1" si="96"/>
        <v>65282.049999999996</v>
      </c>
    </row>
    <row r="1876" spans="1:15">
      <c r="A1876" s="2" t="s">
        <v>14</v>
      </c>
      <c r="B1876" t="s">
        <v>31</v>
      </c>
      <c r="C1876" t="s">
        <v>32</v>
      </c>
      <c r="D1876">
        <v>20</v>
      </c>
      <c r="E1876" t="s">
        <v>46</v>
      </c>
      <c r="F1876">
        <v>4</v>
      </c>
      <c r="G1876">
        <v>2</v>
      </c>
      <c r="H1876">
        <v>2</v>
      </c>
      <c r="I1876">
        <v>1</v>
      </c>
      <c r="J1876" s="4" t="s">
        <v>52</v>
      </c>
      <c r="K1876" t="str">
        <f t="shared" si="97"/>
        <v>2+2</v>
      </c>
      <c r="L1876">
        <f>VLOOKUP(A1876,'ZONE 1 PREMIUM'!$A$4:$N$16,14,0)</f>
        <v>5</v>
      </c>
      <c r="M1876">
        <f>VLOOKUP(D1876,DROPDOWN!B:C,2,0)</f>
        <v>8</v>
      </c>
      <c r="N1876" t="str">
        <f t="shared" si="95"/>
        <v>X113:AP124</v>
      </c>
      <c r="O1876" s="4">
        <f t="shared" ca="1" si="96"/>
        <v>74031.25</v>
      </c>
    </row>
    <row r="1877" spans="1:15">
      <c r="A1877" s="2" t="s">
        <v>15</v>
      </c>
      <c r="B1877" t="s">
        <v>33</v>
      </c>
      <c r="C1877" t="s">
        <v>34</v>
      </c>
      <c r="D1877">
        <v>20</v>
      </c>
      <c r="E1877" t="s">
        <v>46</v>
      </c>
      <c r="F1877">
        <v>4</v>
      </c>
      <c r="G1877">
        <v>2</v>
      </c>
      <c r="H1877">
        <v>2</v>
      </c>
      <c r="I1877">
        <v>1</v>
      </c>
      <c r="J1877" s="4" t="s">
        <v>52</v>
      </c>
      <c r="K1877" t="str">
        <f t="shared" si="97"/>
        <v>2+2</v>
      </c>
      <c r="L1877">
        <f>VLOOKUP(A1877,'ZONE 1 PREMIUM'!$A$4:$N$16,14,0)</f>
        <v>6</v>
      </c>
      <c r="M1877">
        <f>VLOOKUP(D1877,DROPDOWN!B:C,2,0)</f>
        <v>8</v>
      </c>
      <c r="N1877" t="str">
        <f t="shared" si="95"/>
        <v>X113:AP124</v>
      </c>
      <c r="O1877" s="4">
        <f t="shared" ca="1" si="96"/>
        <v>91862</v>
      </c>
    </row>
    <row r="1878" spans="1:15">
      <c r="A1878" s="2" t="s">
        <v>16</v>
      </c>
      <c r="B1878" t="s">
        <v>35</v>
      </c>
      <c r="C1878" t="s">
        <v>36</v>
      </c>
      <c r="D1878">
        <v>20</v>
      </c>
      <c r="E1878" t="s">
        <v>46</v>
      </c>
      <c r="F1878">
        <v>4</v>
      </c>
      <c r="G1878">
        <v>2</v>
      </c>
      <c r="H1878">
        <v>2</v>
      </c>
      <c r="I1878">
        <v>1</v>
      </c>
      <c r="J1878" s="4" t="s">
        <v>52</v>
      </c>
      <c r="K1878" t="str">
        <f t="shared" si="97"/>
        <v>2+2</v>
      </c>
      <c r="L1878">
        <f>VLOOKUP(A1878,'ZONE 1 PREMIUM'!$A$4:$N$16,14,0)</f>
        <v>7</v>
      </c>
      <c r="M1878">
        <f>VLOOKUP(D1878,DROPDOWN!B:C,2,0)</f>
        <v>8</v>
      </c>
      <c r="N1878" t="str">
        <f t="shared" si="95"/>
        <v>X113:AP124</v>
      </c>
      <c r="O1878" s="4">
        <f t="shared" ca="1" si="96"/>
        <v>119800.09999999999</v>
      </c>
    </row>
    <row r="1879" spans="1:15">
      <c r="A1879" s="2" t="s">
        <v>17</v>
      </c>
      <c r="B1879" t="s">
        <v>37</v>
      </c>
      <c r="C1879" t="s">
        <v>38</v>
      </c>
      <c r="D1879">
        <v>20</v>
      </c>
      <c r="E1879" t="s">
        <v>46</v>
      </c>
      <c r="F1879">
        <v>4</v>
      </c>
      <c r="G1879">
        <v>2</v>
      </c>
      <c r="H1879">
        <v>2</v>
      </c>
      <c r="I1879">
        <v>1</v>
      </c>
      <c r="J1879" s="4" t="s">
        <v>52</v>
      </c>
      <c r="K1879" t="str">
        <f t="shared" si="97"/>
        <v>2+2</v>
      </c>
      <c r="L1879">
        <f>VLOOKUP(A1879,'ZONE 1 PREMIUM'!$A$4:$N$16,14,0)</f>
        <v>8</v>
      </c>
      <c r="M1879">
        <f>VLOOKUP(D1879,DROPDOWN!B:C,2,0)</f>
        <v>8</v>
      </c>
      <c r="N1879" t="str">
        <f t="shared" si="95"/>
        <v>X113:AP124</v>
      </c>
      <c r="O1879" s="4">
        <f t="shared" ca="1" si="96"/>
        <v>155259.19999999998</v>
      </c>
    </row>
    <row r="1880" spans="1:15">
      <c r="A1880" s="2" t="s">
        <v>18</v>
      </c>
      <c r="B1880" t="s">
        <v>39</v>
      </c>
      <c r="C1880" t="s">
        <v>40</v>
      </c>
      <c r="D1880">
        <v>20</v>
      </c>
      <c r="E1880" t="s">
        <v>46</v>
      </c>
      <c r="F1880">
        <v>4</v>
      </c>
      <c r="G1880">
        <v>2</v>
      </c>
      <c r="H1880">
        <v>2</v>
      </c>
      <c r="I1880">
        <v>1</v>
      </c>
      <c r="J1880" s="4" t="s">
        <v>52</v>
      </c>
      <c r="K1880" t="str">
        <f t="shared" si="97"/>
        <v>2+2</v>
      </c>
      <c r="L1880">
        <f>VLOOKUP(A1880,'ZONE 1 PREMIUM'!$A$4:$N$16,14,0)</f>
        <v>9</v>
      </c>
      <c r="M1880">
        <f>VLOOKUP(D1880,DROPDOWN!B:C,2,0)</f>
        <v>8</v>
      </c>
      <c r="N1880" t="str">
        <f t="shared" si="95"/>
        <v>X113:AP124</v>
      </c>
      <c r="O1880" s="4">
        <f t="shared" ca="1" si="96"/>
        <v>205854.59999999998</v>
      </c>
    </row>
    <row r="1881" spans="1:15">
      <c r="A1881" s="2" t="s">
        <v>19</v>
      </c>
      <c r="B1881" t="s">
        <v>41</v>
      </c>
      <c r="C1881" t="s">
        <v>42</v>
      </c>
      <c r="D1881">
        <v>20</v>
      </c>
      <c r="E1881" t="s">
        <v>46</v>
      </c>
      <c r="F1881">
        <v>4</v>
      </c>
      <c r="G1881">
        <v>2</v>
      </c>
      <c r="H1881">
        <v>2</v>
      </c>
      <c r="I1881">
        <v>1</v>
      </c>
      <c r="J1881" s="4" t="s">
        <v>52</v>
      </c>
      <c r="K1881" t="str">
        <f t="shared" si="97"/>
        <v>2+2</v>
      </c>
      <c r="L1881">
        <f>VLOOKUP(A1881,'ZONE 1 PREMIUM'!$A$4:$N$16,14,0)</f>
        <v>10</v>
      </c>
      <c r="M1881">
        <f>VLOOKUP(D1881,DROPDOWN!B:C,2,0)</f>
        <v>8</v>
      </c>
      <c r="N1881" t="str">
        <f t="shared" si="95"/>
        <v>X113:AP124</v>
      </c>
      <c r="O1881" s="4">
        <f t="shared" ca="1" si="96"/>
        <v>265012.89999999997</v>
      </c>
    </row>
    <row r="1882" spans="1:15">
      <c r="A1882" s="2" t="s">
        <v>20</v>
      </c>
      <c r="B1882" t="s">
        <v>43</v>
      </c>
      <c r="C1882" t="s">
        <v>44</v>
      </c>
      <c r="D1882">
        <v>20</v>
      </c>
      <c r="E1882" t="s">
        <v>46</v>
      </c>
      <c r="F1882">
        <v>4</v>
      </c>
      <c r="G1882">
        <v>2</v>
      </c>
      <c r="H1882">
        <v>2</v>
      </c>
      <c r="I1882">
        <v>1</v>
      </c>
      <c r="J1882" s="4" t="s">
        <v>52</v>
      </c>
      <c r="K1882" t="str">
        <f t="shared" si="97"/>
        <v>2+2</v>
      </c>
      <c r="L1882">
        <f>VLOOKUP(A1882,'ZONE 1 PREMIUM'!$A$4:$N$16,14,0)</f>
        <v>11</v>
      </c>
      <c r="M1882">
        <f>VLOOKUP(D1882,DROPDOWN!B:C,2,0)</f>
        <v>8</v>
      </c>
      <c r="N1882" t="str">
        <f t="shared" si="95"/>
        <v>X113:AP124</v>
      </c>
      <c r="O1882" s="4">
        <f t="shared" ca="1" si="96"/>
        <v>323059.14999999997</v>
      </c>
    </row>
    <row r="1883" spans="1:15">
      <c r="A1883" s="2" t="s">
        <v>21</v>
      </c>
      <c r="B1883" t="s">
        <v>22</v>
      </c>
      <c r="D1883">
        <v>20</v>
      </c>
      <c r="E1883" t="s">
        <v>46</v>
      </c>
      <c r="F1883">
        <v>4</v>
      </c>
      <c r="G1883">
        <v>2</v>
      </c>
      <c r="H1883">
        <v>2</v>
      </c>
      <c r="I1883">
        <v>1</v>
      </c>
      <c r="J1883" s="4" t="s">
        <v>52</v>
      </c>
      <c r="K1883" t="str">
        <f t="shared" si="97"/>
        <v>2+2</v>
      </c>
      <c r="L1883">
        <f>VLOOKUP(A1883,'ZONE 1 PREMIUM'!$A$4:$N$16,14,0)</f>
        <v>12</v>
      </c>
      <c r="M1883">
        <f>VLOOKUP(D1883,DROPDOWN!B:C,2,0)</f>
        <v>8</v>
      </c>
      <c r="N1883" t="str">
        <f t="shared" si="95"/>
        <v>X113:AP124</v>
      </c>
      <c r="O1883" s="4">
        <f t="shared" ca="1" si="96"/>
        <v>410244.1</v>
      </c>
    </row>
    <row r="1884" spans="1:15">
      <c r="A1884" s="2" t="s">
        <v>11</v>
      </c>
      <c r="B1884" t="s">
        <v>45</v>
      </c>
      <c r="C1884" t="s">
        <v>25</v>
      </c>
      <c r="D1884">
        <v>20</v>
      </c>
      <c r="E1884" t="s">
        <v>46</v>
      </c>
      <c r="F1884">
        <v>5</v>
      </c>
      <c r="G1884">
        <v>2</v>
      </c>
      <c r="H1884">
        <v>3</v>
      </c>
      <c r="I1884">
        <v>1</v>
      </c>
      <c r="J1884" s="4" t="s">
        <v>52</v>
      </c>
      <c r="K1884" t="str">
        <f t="shared" si="97"/>
        <v>2+3</v>
      </c>
      <c r="L1884">
        <f>VLOOKUP(A1884,'ZONE 1 PREMIUM'!$A$4:$N$16,14,0)</f>
        <v>2</v>
      </c>
      <c r="M1884">
        <f>VLOOKUP(D1884,DROPDOWN!B:C,2,0)</f>
        <v>8</v>
      </c>
      <c r="N1884" t="str">
        <f t="shared" si="95"/>
        <v>X128:AP139</v>
      </c>
      <c r="O1884" s="4">
        <f t="shared" ca="1" si="96"/>
        <v>61017.85</v>
      </c>
    </row>
    <row r="1885" spans="1:15">
      <c r="A1885" s="2" t="s">
        <v>12</v>
      </c>
      <c r="B1885" t="s">
        <v>27</v>
      </c>
      <c r="C1885" t="s">
        <v>28</v>
      </c>
      <c r="D1885">
        <v>20</v>
      </c>
      <c r="E1885" t="s">
        <v>46</v>
      </c>
      <c r="F1885">
        <v>5</v>
      </c>
      <c r="G1885">
        <v>2</v>
      </c>
      <c r="H1885">
        <v>3</v>
      </c>
      <c r="I1885">
        <v>1</v>
      </c>
      <c r="J1885" s="4" t="s">
        <v>52</v>
      </c>
      <c r="K1885" t="str">
        <f t="shared" si="97"/>
        <v>2+3</v>
      </c>
      <c r="L1885">
        <f>VLOOKUP(A1885,'ZONE 1 PREMIUM'!$A$4:$N$16,14,0)</f>
        <v>3</v>
      </c>
      <c r="M1885">
        <f>VLOOKUP(D1885,DROPDOWN!B:C,2,0)</f>
        <v>8</v>
      </c>
      <c r="N1885" t="str">
        <f t="shared" si="95"/>
        <v>X128:AP139</v>
      </c>
      <c r="O1885" s="4">
        <f t="shared" ca="1" si="96"/>
        <v>65699.5</v>
      </c>
    </row>
    <row r="1886" spans="1:15">
      <c r="A1886" s="2" t="s">
        <v>13</v>
      </c>
      <c r="B1886" t="s">
        <v>29</v>
      </c>
      <c r="C1886" t="s">
        <v>30</v>
      </c>
      <c r="D1886">
        <v>20</v>
      </c>
      <c r="E1886" t="s">
        <v>46</v>
      </c>
      <c r="F1886">
        <v>5</v>
      </c>
      <c r="G1886">
        <v>2</v>
      </c>
      <c r="H1886">
        <v>3</v>
      </c>
      <c r="I1886">
        <v>1</v>
      </c>
      <c r="J1886" s="4" t="s">
        <v>52</v>
      </c>
      <c r="K1886" t="str">
        <f t="shared" si="97"/>
        <v>2+3</v>
      </c>
      <c r="L1886">
        <f>VLOOKUP(A1886,'ZONE 1 PREMIUM'!$A$4:$N$16,14,0)</f>
        <v>4</v>
      </c>
      <c r="M1886">
        <f>VLOOKUP(D1886,DROPDOWN!B:C,2,0)</f>
        <v>8</v>
      </c>
      <c r="N1886" t="str">
        <f t="shared" si="95"/>
        <v>X128:AP139</v>
      </c>
      <c r="O1886" s="4">
        <f t="shared" ca="1" si="96"/>
        <v>74276.2</v>
      </c>
    </row>
    <row r="1887" spans="1:15">
      <c r="A1887" s="2" t="s">
        <v>14</v>
      </c>
      <c r="B1887" t="s">
        <v>31</v>
      </c>
      <c r="C1887" t="s">
        <v>32</v>
      </c>
      <c r="D1887">
        <v>20</v>
      </c>
      <c r="E1887" t="s">
        <v>46</v>
      </c>
      <c r="F1887">
        <v>5</v>
      </c>
      <c r="G1887">
        <v>2</v>
      </c>
      <c r="H1887">
        <v>3</v>
      </c>
      <c r="I1887">
        <v>1</v>
      </c>
      <c r="J1887" s="4" t="s">
        <v>52</v>
      </c>
      <c r="K1887" t="str">
        <f t="shared" si="97"/>
        <v>2+3</v>
      </c>
      <c r="L1887">
        <f>VLOOKUP(A1887,'ZONE 1 PREMIUM'!$A$4:$N$16,14,0)</f>
        <v>5</v>
      </c>
      <c r="M1887">
        <f>VLOOKUP(D1887,DROPDOWN!B:C,2,0)</f>
        <v>8</v>
      </c>
      <c r="N1887" t="str">
        <f t="shared" si="95"/>
        <v>X128:AP139</v>
      </c>
      <c r="O1887" s="4">
        <f t="shared" ca="1" si="96"/>
        <v>83628</v>
      </c>
    </row>
    <row r="1888" spans="1:15">
      <c r="A1888" s="2" t="s">
        <v>15</v>
      </c>
      <c r="B1888" t="s">
        <v>33</v>
      </c>
      <c r="C1888" t="s">
        <v>34</v>
      </c>
      <c r="D1888">
        <v>20</v>
      </c>
      <c r="E1888" t="s">
        <v>46</v>
      </c>
      <c r="F1888">
        <v>5</v>
      </c>
      <c r="G1888">
        <v>2</v>
      </c>
      <c r="H1888">
        <v>3</v>
      </c>
      <c r="I1888">
        <v>1</v>
      </c>
      <c r="J1888" s="4" t="s">
        <v>52</v>
      </c>
      <c r="K1888" t="str">
        <f t="shared" si="97"/>
        <v>2+3</v>
      </c>
      <c r="L1888">
        <f>VLOOKUP(A1888,'ZONE 1 PREMIUM'!$A$4:$N$16,14,0)</f>
        <v>6</v>
      </c>
      <c r="M1888">
        <f>VLOOKUP(D1888,DROPDOWN!B:C,2,0)</f>
        <v>8</v>
      </c>
      <c r="N1888" t="str">
        <f t="shared" si="95"/>
        <v>X128:AP139</v>
      </c>
      <c r="O1888" s="4">
        <f t="shared" ca="1" si="96"/>
        <v>102651.29999999999</v>
      </c>
    </row>
    <row r="1889" spans="1:15">
      <c r="A1889" s="2" t="s">
        <v>16</v>
      </c>
      <c r="B1889" t="s">
        <v>35</v>
      </c>
      <c r="C1889" t="s">
        <v>36</v>
      </c>
      <c r="D1889">
        <v>20</v>
      </c>
      <c r="E1889" t="s">
        <v>46</v>
      </c>
      <c r="F1889">
        <v>5</v>
      </c>
      <c r="G1889">
        <v>2</v>
      </c>
      <c r="H1889">
        <v>3</v>
      </c>
      <c r="I1889">
        <v>1</v>
      </c>
      <c r="J1889" s="4" t="s">
        <v>52</v>
      </c>
      <c r="K1889" t="str">
        <f t="shared" si="97"/>
        <v>2+3</v>
      </c>
      <c r="L1889">
        <f>VLOOKUP(A1889,'ZONE 1 PREMIUM'!$A$4:$N$16,14,0)</f>
        <v>7</v>
      </c>
      <c r="M1889">
        <f>VLOOKUP(D1889,DROPDOWN!B:C,2,0)</f>
        <v>8</v>
      </c>
      <c r="N1889" t="str">
        <f t="shared" si="95"/>
        <v>X128:AP139</v>
      </c>
      <c r="O1889" s="4">
        <f t="shared" ca="1" si="96"/>
        <v>130800.99999999999</v>
      </c>
    </row>
    <row r="1890" spans="1:15">
      <c r="A1890" s="2" t="s">
        <v>17</v>
      </c>
      <c r="B1890" t="s">
        <v>37</v>
      </c>
      <c r="C1890" t="s">
        <v>38</v>
      </c>
      <c r="D1890">
        <v>20</v>
      </c>
      <c r="E1890" t="s">
        <v>46</v>
      </c>
      <c r="F1890">
        <v>5</v>
      </c>
      <c r="G1890">
        <v>2</v>
      </c>
      <c r="H1890">
        <v>3</v>
      </c>
      <c r="I1890">
        <v>1</v>
      </c>
      <c r="J1890" s="4" t="s">
        <v>52</v>
      </c>
      <c r="K1890" t="str">
        <f t="shared" si="97"/>
        <v>2+3</v>
      </c>
      <c r="L1890">
        <f>VLOOKUP(A1890,'ZONE 1 PREMIUM'!$A$4:$N$16,14,0)</f>
        <v>8</v>
      </c>
      <c r="M1890">
        <f>VLOOKUP(D1890,DROPDOWN!B:C,2,0)</f>
        <v>8</v>
      </c>
      <c r="N1890" t="str">
        <f t="shared" si="95"/>
        <v>X128:AP139</v>
      </c>
      <c r="O1890" s="4">
        <f t="shared" ca="1" si="96"/>
        <v>165333.19999999998</v>
      </c>
    </row>
    <row r="1891" spans="1:15">
      <c r="A1891" s="2" t="s">
        <v>18</v>
      </c>
      <c r="B1891" t="s">
        <v>39</v>
      </c>
      <c r="C1891" t="s">
        <v>40</v>
      </c>
      <c r="D1891">
        <v>20</v>
      </c>
      <c r="E1891" t="s">
        <v>46</v>
      </c>
      <c r="F1891">
        <v>5</v>
      </c>
      <c r="G1891">
        <v>2</v>
      </c>
      <c r="H1891">
        <v>3</v>
      </c>
      <c r="I1891">
        <v>1</v>
      </c>
      <c r="J1891" s="4" t="s">
        <v>52</v>
      </c>
      <c r="K1891" t="str">
        <f t="shared" si="97"/>
        <v>2+3</v>
      </c>
      <c r="L1891">
        <f>VLOOKUP(A1891,'ZONE 1 PREMIUM'!$A$4:$N$16,14,0)</f>
        <v>9</v>
      </c>
      <c r="M1891">
        <f>VLOOKUP(D1891,DROPDOWN!B:C,2,0)</f>
        <v>8</v>
      </c>
      <c r="N1891" t="str">
        <f t="shared" si="95"/>
        <v>X128:AP139</v>
      </c>
      <c r="O1891" s="4">
        <f t="shared" ca="1" si="96"/>
        <v>215851.55</v>
      </c>
    </row>
    <row r="1892" spans="1:15">
      <c r="A1892" s="2" t="s">
        <v>19</v>
      </c>
      <c r="B1892" t="s">
        <v>41</v>
      </c>
      <c r="C1892" t="s">
        <v>42</v>
      </c>
      <c r="D1892">
        <v>20</v>
      </c>
      <c r="E1892" t="s">
        <v>46</v>
      </c>
      <c r="F1892">
        <v>5</v>
      </c>
      <c r="G1892">
        <v>2</v>
      </c>
      <c r="H1892">
        <v>3</v>
      </c>
      <c r="I1892">
        <v>1</v>
      </c>
      <c r="J1892" s="4" t="s">
        <v>52</v>
      </c>
      <c r="K1892" t="str">
        <f t="shared" si="97"/>
        <v>2+3</v>
      </c>
      <c r="L1892">
        <f>VLOOKUP(A1892,'ZONE 1 PREMIUM'!$A$4:$N$16,14,0)</f>
        <v>10</v>
      </c>
      <c r="M1892">
        <f>VLOOKUP(D1892,DROPDOWN!B:C,2,0)</f>
        <v>8</v>
      </c>
      <c r="N1892" t="str">
        <f t="shared" si="95"/>
        <v>X128:AP139</v>
      </c>
      <c r="O1892" s="4">
        <f t="shared" ca="1" si="96"/>
        <v>274552.14999999997</v>
      </c>
    </row>
    <row r="1893" spans="1:15">
      <c r="A1893" s="2" t="s">
        <v>20</v>
      </c>
      <c r="B1893" t="s">
        <v>43</v>
      </c>
      <c r="C1893" t="s">
        <v>44</v>
      </c>
      <c r="D1893">
        <v>20</v>
      </c>
      <c r="E1893" t="s">
        <v>46</v>
      </c>
      <c r="F1893">
        <v>5</v>
      </c>
      <c r="G1893">
        <v>2</v>
      </c>
      <c r="H1893">
        <v>3</v>
      </c>
      <c r="I1893">
        <v>1</v>
      </c>
      <c r="J1893" s="4" t="s">
        <v>52</v>
      </c>
      <c r="K1893" t="str">
        <f t="shared" si="97"/>
        <v>2+3</v>
      </c>
      <c r="L1893">
        <f>VLOOKUP(A1893,'ZONE 1 PREMIUM'!$A$4:$N$16,14,0)</f>
        <v>11</v>
      </c>
      <c r="M1893">
        <f>VLOOKUP(D1893,DROPDOWN!B:C,2,0)</f>
        <v>8</v>
      </c>
      <c r="N1893" t="str">
        <f t="shared" si="95"/>
        <v>X128:AP139</v>
      </c>
      <c r="O1893" s="4">
        <f t="shared" ca="1" si="96"/>
        <v>333661</v>
      </c>
    </row>
    <row r="1894" spans="1:15">
      <c r="A1894" s="2" t="s">
        <v>21</v>
      </c>
      <c r="B1894" t="s">
        <v>22</v>
      </c>
      <c r="D1894">
        <v>20</v>
      </c>
      <c r="E1894" t="s">
        <v>46</v>
      </c>
      <c r="F1894">
        <v>5</v>
      </c>
      <c r="G1894">
        <v>2</v>
      </c>
      <c r="H1894">
        <v>3</v>
      </c>
      <c r="I1894">
        <v>1</v>
      </c>
      <c r="J1894" s="4" t="s">
        <v>52</v>
      </c>
      <c r="K1894" t="str">
        <f t="shared" si="97"/>
        <v>2+3</v>
      </c>
      <c r="L1894">
        <f>VLOOKUP(A1894,'ZONE 1 PREMIUM'!$A$4:$N$16,14,0)</f>
        <v>12</v>
      </c>
      <c r="M1894">
        <f>VLOOKUP(D1894,DROPDOWN!B:C,2,0)</f>
        <v>8</v>
      </c>
      <c r="N1894" t="str">
        <f t="shared" si="95"/>
        <v>X128:AP139</v>
      </c>
      <c r="O1894" s="4">
        <f t="shared" ca="1" si="96"/>
        <v>421500.3</v>
      </c>
    </row>
    <row r="1895" spans="1:15">
      <c r="A1895" s="2" t="s">
        <v>11</v>
      </c>
      <c r="B1895" t="s">
        <v>45</v>
      </c>
      <c r="C1895" t="s">
        <v>25</v>
      </c>
      <c r="D1895">
        <v>20</v>
      </c>
      <c r="E1895" t="s">
        <v>46</v>
      </c>
      <c r="F1895">
        <v>6</v>
      </c>
      <c r="G1895">
        <v>2</v>
      </c>
      <c r="H1895">
        <v>4</v>
      </c>
      <c r="I1895">
        <v>1</v>
      </c>
      <c r="J1895" s="4" t="s">
        <v>52</v>
      </c>
      <c r="K1895" t="str">
        <f t="shared" si="97"/>
        <v>2+4</v>
      </c>
      <c r="L1895">
        <f>VLOOKUP(A1895,'ZONE 1 PREMIUM'!$A$4:$N$16,14,0)</f>
        <v>2</v>
      </c>
      <c r="M1895">
        <f>VLOOKUP(D1895,DROPDOWN!B:C,2,0)</f>
        <v>8</v>
      </c>
      <c r="N1895" t="str">
        <f t="shared" si="95"/>
        <v>X143:AP154</v>
      </c>
      <c r="O1895" s="4">
        <f t="shared" ca="1" si="96"/>
        <v>68887.299999999988</v>
      </c>
    </row>
    <row r="1896" spans="1:15">
      <c r="A1896" s="2" t="s">
        <v>12</v>
      </c>
      <c r="B1896" t="s">
        <v>27</v>
      </c>
      <c r="C1896" t="s">
        <v>28</v>
      </c>
      <c r="D1896">
        <v>20</v>
      </c>
      <c r="E1896" t="s">
        <v>46</v>
      </c>
      <c r="F1896">
        <v>6</v>
      </c>
      <c r="G1896">
        <v>2</v>
      </c>
      <c r="H1896">
        <v>4</v>
      </c>
      <c r="I1896">
        <v>1</v>
      </c>
      <c r="J1896" s="4" t="s">
        <v>52</v>
      </c>
      <c r="K1896" t="str">
        <f t="shared" si="97"/>
        <v>2+4</v>
      </c>
      <c r="L1896">
        <f>VLOOKUP(A1896,'ZONE 1 PREMIUM'!$A$4:$N$16,14,0)</f>
        <v>3</v>
      </c>
      <c r="M1896">
        <f>VLOOKUP(D1896,DROPDOWN!B:C,2,0)</f>
        <v>8</v>
      </c>
      <c r="N1896" t="str">
        <f t="shared" si="95"/>
        <v>X143:AP154</v>
      </c>
      <c r="O1896" s="4">
        <f t="shared" ca="1" si="96"/>
        <v>73428.649999999994</v>
      </c>
    </row>
    <row r="1897" spans="1:15">
      <c r="A1897" s="2" t="s">
        <v>13</v>
      </c>
      <c r="B1897" t="s">
        <v>29</v>
      </c>
      <c r="C1897" t="s">
        <v>30</v>
      </c>
      <c r="D1897">
        <v>20</v>
      </c>
      <c r="E1897" t="s">
        <v>46</v>
      </c>
      <c r="F1897">
        <v>6</v>
      </c>
      <c r="G1897">
        <v>2</v>
      </c>
      <c r="H1897">
        <v>4</v>
      </c>
      <c r="I1897">
        <v>1</v>
      </c>
      <c r="J1897" s="4" t="s">
        <v>52</v>
      </c>
      <c r="K1897" t="str">
        <f t="shared" si="97"/>
        <v>2+4</v>
      </c>
      <c r="L1897">
        <f>VLOOKUP(A1897,'ZONE 1 PREMIUM'!$A$4:$N$16,14,0)</f>
        <v>4</v>
      </c>
      <c r="M1897">
        <f>VLOOKUP(D1897,DROPDOWN!B:C,2,0)</f>
        <v>8</v>
      </c>
      <c r="N1897" t="str">
        <f t="shared" si="95"/>
        <v>X143:AP154</v>
      </c>
      <c r="O1897" s="4">
        <f t="shared" ca="1" si="96"/>
        <v>83270.349999999991</v>
      </c>
    </row>
    <row r="1898" spans="1:15">
      <c r="A1898" s="2" t="s">
        <v>14</v>
      </c>
      <c r="B1898" t="s">
        <v>31</v>
      </c>
      <c r="C1898" t="s">
        <v>32</v>
      </c>
      <c r="D1898">
        <v>20</v>
      </c>
      <c r="E1898" t="s">
        <v>46</v>
      </c>
      <c r="F1898">
        <v>6</v>
      </c>
      <c r="G1898">
        <v>2</v>
      </c>
      <c r="H1898">
        <v>4</v>
      </c>
      <c r="I1898">
        <v>1</v>
      </c>
      <c r="J1898" s="4" t="s">
        <v>52</v>
      </c>
      <c r="K1898" t="str">
        <f t="shared" si="97"/>
        <v>2+4</v>
      </c>
      <c r="L1898">
        <f>VLOOKUP(A1898,'ZONE 1 PREMIUM'!$A$4:$N$16,14,0)</f>
        <v>5</v>
      </c>
      <c r="M1898">
        <f>VLOOKUP(D1898,DROPDOWN!B:C,2,0)</f>
        <v>8</v>
      </c>
      <c r="N1898" t="str">
        <f t="shared" si="95"/>
        <v>X143:AP154</v>
      </c>
      <c r="O1898" s="4">
        <f t="shared" ca="1" si="96"/>
        <v>93225.9</v>
      </c>
    </row>
    <row r="1899" spans="1:15">
      <c r="A1899" s="2" t="s">
        <v>15</v>
      </c>
      <c r="B1899" t="s">
        <v>33</v>
      </c>
      <c r="C1899" t="s">
        <v>34</v>
      </c>
      <c r="D1899">
        <v>20</v>
      </c>
      <c r="E1899" t="s">
        <v>46</v>
      </c>
      <c r="F1899">
        <v>6</v>
      </c>
      <c r="G1899">
        <v>2</v>
      </c>
      <c r="H1899">
        <v>4</v>
      </c>
      <c r="I1899">
        <v>1</v>
      </c>
      <c r="J1899" s="4" t="s">
        <v>52</v>
      </c>
      <c r="K1899" t="str">
        <f t="shared" si="97"/>
        <v>2+4</v>
      </c>
      <c r="L1899">
        <f>VLOOKUP(A1899,'ZONE 1 PREMIUM'!$A$4:$N$16,14,0)</f>
        <v>6</v>
      </c>
      <c r="M1899">
        <f>VLOOKUP(D1899,DROPDOWN!B:C,2,0)</f>
        <v>8</v>
      </c>
      <c r="N1899" t="str">
        <f t="shared" si="95"/>
        <v>X143:AP154</v>
      </c>
      <c r="O1899" s="4">
        <f t="shared" ca="1" si="96"/>
        <v>113440.59999999999</v>
      </c>
    </row>
    <row r="1900" spans="1:15">
      <c r="A1900" s="2" t="s">
        <v>16</v>
      </c>
      <c r="B1900" t="s">
        <v>35</v>
      </c>
      <c r="C1900" t="s">
        <v>36</v>
      </c>
      <c r="D1900">
        <v>20</v>
      </c>
      <c r="E1900" t="s">
        <v>46</v>
      </c>
      <c r="F1900">
        <v>6</v>
      </c>
      <c r="G1900">
        <v>2</v>
      </c>
      <c r="H1900">
        <v>4</v>
      </c>
      <c r="I1900">
        <v>1</v>
      </c>
      <c r="J1900" s="4" t="s">
        <v>52</v>
      </c>
      <c r="K1900" t="str">
        <f t="shared" si="97"/>
        <v>2+4</v>
      </c>
      <c r="L1900">
        <f>VLOOKUP(A1900,'ZONE 1 PREMIUM'!$A$4:$N$16,14,0)</f>
        <v>7</v>
      </c>
      <c r="M1900">
        <f>VLOOKUP(D1900,DROPDOWN!B:C,2,0)</f>
        <v>8</v>
      </c>
      <c r="N1900" t="str">
        <f t="shared" si="95"/>
        <v>X143:AP154</v>
      </c>
      <c r="O1900" s="4">
        <f t="shared" ca="1" si="96"/>
        <v>140733.54999999999</v>
      </c>
    </row>
    <row r="1901" spans="1:15">
      <c r="A1901" s="2" t="s">
        <v>17</v>
      </c>
      <c r="B1901" t="s">
        <v>37</v>
      </c>
      <c r="C1901" t="s">
        <v>38</v>
      </c>
      <c r="D1901">
        <v>20</v>
      </c>
      <c r="E1901" t="s">
        <v>46</v>
      </c>
      <c r="F1901">
        <v>6</v>
      </c>
      <c r="G1901">
        <v>2</v>
      </c>
      <c r="H1901">
        <v>4</v>
      </c>
      <c r="I1901">
        <v>1</v>
      </c>
      <c r="J1901" s="4" t="s">
        <v>52</v>
      </c>
      <c r="K1901" t="str">
        <f t="shared" si="97"/>
        <v>2+4</v>
      </c>
      <c r="L1901">
        <f>VLOOKUP(A1901,'ZONE 1 PREMIUM'!$A$4:$N$16,14,0)</f>
        <v>8</v>
      </c>
      <c r="M1901">
        <f>VLOOKUP(D1901,DROPDOWN!B:C,2,0)</f>
        <v>8</v>
      </c>
      <c r="N1901" t="str">
        <f t="shared" si="95"/>
        <v>X143:AP154</v>
      </c>
      <c r="O1901" s="4">
        <f t="shared" ca="1" si="96"/>
        <v>175256.55</v>
      </c>
    </row>
    <row r="1902" spans="1:15">
      <c r="A1902" s="2" t="s">
        <v>18</v>
      </c>
      <c r="B1902" t="s">
        <v>39</v>
      </c>
      <c r="C1902" t="s">
        <v>40</v>
      </c>
      <c r="D1902">
        <v>20</v>
      </c>
      <c r="E1902" t="s">
        <v>46</v>
      </c>
      <c r="F1902">
        <v>6</v>
      </c>
      <c r="G1902">
        <v>2</v>
      </c>
      <c r="H1902">
        <v>4</v>
      </c>
      <c r="I1902">
        <v>1</v>
      </c>
      <c r="J1902" s="4" t="s">
        <v>52</v>
      </c>
      <c r="K1902" t="str">
        <f t="shared" si="97"/>
        <v>2+4</v>
      </c>
      <c r="L1902">
        <f>VLOOKUP(A1902,'ZONE 1 PREMIUM'!$A$4:$N$16,14,0)</f>
        <v>9</v>
      </c>
      <c r="M1902">
        <f>VLOOKUP(D1902,DROPDOWN!B:C,2,0)</f>
        <v>8</v>
      </c>
      <c r="N1902" t="str">
        <f t="shared" si="95"/>
        <v>X143:AP154</v>
      </c>
      <c r="O1902" s="4">
        <f t="shared" ca="1" si="96"/>
        <v>225396.55</v>
      </c>
    </row>
    <row r="1903" spans="1:15">
      <c r="A1903" s="2" t="s">
        <v>19</v>
      </c>
      <c r="B1903" t="s">
        <v>41</v>
      </c>
      <c r="C1903" t="s">
        <v>42</v>
      </c>
      <c r="D1903">
        <v>20</v>
      </c>
      <c r="E1903" t="s">
        <v>46</v>
      </c>
      <c r="F1903">
        <v>6</v>
      </c>
      <c r="G1903">
        <v>2</v>
      </c>
      <c r="H1903">
        <v>4</v>
      </c>
      <c r="I1903">
        <v>1</v>
      </c>
      <c r="J1903" s="4" t="s">
        <v>52</v>
      </c>
      <c r="K1903" t="str">
        <f t="shared" si="97"/>
        <v>2+4</v>
      </c>
      <c r="L1903">
        <f>VLOOKUP(A1903,'ZONE 1 PREMIUM'!$A$4:$N$16,14,0)</f>
        <v>10</v>
      </c>
      <c r="M1903">
        <f>VLOOKUP(D1903,DROPDOWN!B:C,2,0)</f>
        <v>8</v>
      </c>
      <c r="N1903" t="str">
        <f t="shared" si="95"/>
        <v>X143:AP154</v>
      </c>
      <c r="O1903" s="4">
        <f t="shared" ca="1" si="96"/>
        <v>285111.44999999995</v>
      </c>
    </row>
    <row r="1904" spans="1:15">
      <c r="A1904" s="2" t="s">
        <v>20</v>
      </c>
      <c r="B1904" t="s">
        <v>43</v>
      </c>
      <c r="C1904" t="s">
        <v>44</v>
      </c>
      <c r="D1904">
        <v>20</v>
      </c>
      <c r="E1904" t="s">
        <v>46</v>
      </c>
      <c r="F1904">
        <v>6</v>
      </c>
      <c r="G1904">
        <v>2</v>
      </c>
      <c r="H1904">
        <v>4</v>
      </c>
      <c r="I1904">
        <v>1</v>
      </c>
      <c r="J1904" s="4" t="s">
        <v>52</v>
      </c>
      <c r="K1904" t="str">
        <f t="shared" si="97"/>
        <v>2+4</v>
      </c>
      <c r="L1904">
        <f>VLOOKUP(A1904,'ZONE 1 PREMIUM'!$A$4:$N$16,14,0)</f>
        <v>11</v>
      </c>
      <c r="M1904">
        <f>VLOOKUP(D1904,DROPDOWN!B:C,2,0)</f>
        <v>8</v>
      </c>
      <c r="N1904" t="str">
        <f t="shared" si="95"/>
        <v>X143:AP154</v>
      </c>
      <c r="O1904" s="4">
        <f t="shared" ca="1" si="96"/>
        <v>343487.75</v>
      </c>
    </row>
    <row r="1905" spans="1:15">
      <c r="A1905" s="2" t="s">
        <v>21</v>
      </c>
      <c r="B1905" t="s">
        <v>22</v>
      </c>
      <c r="D1905">
        <v>20</v>
      </c>
      <c r="E1905" t="s">
        <v>46</v>
      </c>
      <c r="F1905">
        <v>6</v>
      </c>
      <c r="G1905">
        <v>2</v>
      </c>
      <c r="H1905">
        <v>4</v>
      </c>
      <c r="I1905">
        <v>1</v>
      </c>
      <c r="J1905" s="4" t="s">
        <v>52</v>
      </c>
      <c r="K1905" t="str">
        <f t="shared" si="97"/>
        <v>2+4</v>
      </c>
      <c r="L1905">
        <f>VLOOKUP(A1905,'ZONE 1 PREMIUM'!$A$4:$N$16,14,0)</f>
        <v>12</v>
      </c>
      <c r="M1905">
        <f>VLOOKUP(D1905,DROPDOWN!B:C,2,0)</f>
        <v>8</v>
      </c>
      <c r="N1905" t="str">
        <f t="shared" si="95"/>
        <v>X143:AP154</v>
      </c>
      <c r="O1905" s="4">
        <f t="shared" ca="1" si="96"/>
        <v>429697.49999999994</v>
      </c>
    </row>
    <row r="1906" spans="1:15">
      <c r="A1906" s="2" t="s">
        <v>9</v>
      </c>
      <c r="B1906" t="s">
        <v>47</v>
      </c>
      <c r="C1906" t="s">
        <v>48</v>
      </c>
      <c r="D1906">
        <v>20</v>
      </c>
      <c r="E1906" t="s">
        <v>26</v>
      </c>
      <c r="F1906">
        <v>1</v>
      </c>
      <c r="H1906">
        <v>1</v>
      </c>
      <c r="I1906">
        <v>1</v>
      </c>
      <c r="J1906" s="4" t="s">
        <v>55</v>
      </c>
      <c r="K1906" t="str">
        <f t="shared" si="97"/>
        <v>+1</v>
      </c>
      <c r="N1906" t="e">
        <f t="shared" ref="N1906:N1969" si="98">VLOOKUP(K1906,$BN$3:$BO$12,2,0)</f>
        <v>#N/A</v>
      </c>
      <c r="O1906" s="7">
        <v>4510.3166309304079</v>
      </c>
    </row>
    <row r="1907" spans="1:15">
      <c r="A1907" s="2" t="s">
        <v>10</v>
      </c>
      <c r="B1907" t="s">
        <v>49</v>
      </c>
      <c r="C1907" t="s">
        <v>50</v>
      </c>
      <c r="D1907">
        <v>20</v>
      </c>
      <c r="E1907" t="s">
        <v>26</v>
      </c>
      <c r="F1907">
        <v>1</v>
      </c>
      <c r="G1907">
        <v>1</v>
      </c>
      <c r="H1907">
        <v>0</v>
      </c>
      <c r="I1907">
        <v>1</v>
      </c>
      <c r="J1907" s="4" t="s">
        <v>55</v>
      </c>
      <c r="K1907" t="str">
        <f t="shared" si="97"/>
        <v>1+0</v>
      </c>
      <c r="L1907">
        <f>VLOOKUP(A1907,'ZONE 1 PREMIUM'!$A$3:$M$16,13,0)</f>
        <v>3</v>
      </c>
      <c r="M1907">
        <f>VLOOKUP(D1907,DROPDOWN!B:C,2,0)</f>
        <v>8</v>
      </c>
      <c r="N1907" t="str">
        <f t="shared" si="98"/>
        <v>AU3:BM16</v>
      </c>
      <c r="O1907" s="4">
        <f t="shared" ca="1" si="96"/>
        <v>7705.125</v>
      </c>
    </row>
    <row r="1908" spans="1:15">
      <c r="A1908" s="2" t="s">
        <v>11</v>
      </c>
      <c r="B1908" t="s">
        <v>45</v>
      </c>
      <c r="C1908" t="s">
        <v>25</v>
      </c>
      <c r="D1908">
        <v>20</v>
      </c>
      <c r="E1908" t="s">
        <v>26</v>
      </c>
      <c r="F1908">
        <v>1</v>
      </c>
      <c r="G1908">
        <v>1</v>
      </c>
      <c r="H1908">
        <v>0</v>
      </c>
      <c r="I1908">
        <v>1</v>
      </c>
      <c r="J1908" s="4" t="s">
        <v>55</v>
      </c>
      <c r="K1908" t="str">
        <f t="shared" si="97"/>
        <v>1+0</v>
      </c>
      <c r="L1908">
        <f>VLOOKUP(A1908,'ZONE 1 PREMIUM'!$A$3:$M$16,13,0)</f>
        <v>4</v>
      </c>
      <c r="M1908">
        <f>VLOOKUP(D1908,DROPDOWN!B:C,2,0)</f>
        <v>8</v>
      </c>
      <c r="N1908" t="str">
        <f t="shared" si="98"/>
        <v>AU3:BM16</v>
      </c>
      <c r="O1908" s="4">
        <f t="shared" ca="1" si="96"/>
        <v>21044.25</v>
      </c>
    </row>
    <row r="1909" spans="1:15">
      <c r="A1909" s="2" t="s">
        <v>12</v>
      </c>
      <c r="B1909" t="s">
        <v>27</v>
      </c>
      <c r="C1909" t="s">
        <v>28</v>
      </c>
      <c r="D1909">
        <v>20</v>
      </c>
      <c r="E1909" t="s">
        <v>26</v>
      </c>
      <c r="F1909">
        <v>1</v>
      </c>
      <c r="G1909">
        <v>1</v>
      </c>
      <c r="H1909">
        <v>0</v>
      </c>
      <c r="I1909">
        <v>1</v>
      </c>
      <c r="J1909" s="4" t="s">
        <v>55</v>
      </c>
      <c r="K1909" t="str">
        <f t="shared" si="97"/>
        <v>1+0</v>
      </c>
      <c r="L1909">
        <f>VLOOKUP(A1909,'ZONE 1 PREMIUM'!$A$3:$M$16,13,0)</f>
        <v>5</v>
      </c>
      <c r="M1909">
        <f>VLOOKUP(D1909,DROPDOWN!B:C,2,0)</f>
        <v>8</v>
      </c>
      <c r="N1909" t="str">
        <f t="shared" si="98"/>
        <v>AU3:BM16</v>
      </c>
      <c r="O1909" s="4">
        <f t="shared" ca="1" si="96"/>
        <v>24135.75</v>
      </c>
    </row>
    <row r="1910" spans="1:15">
      <c r="A1910" s="2" t="s">
        <v>13</v>
      </c>
      <c r="B1910" t="s">
        <v>29</v>
      </c>
      <c r="C1910" t="s">
        <v>30</v>
      </c>
      <c r="D1910">
        <v>20</v>
      </c>
      <c r="E1910" t="s">
        <v>26</v>
      </c>
      <c r="F1910">
        <v>1</v>
      </c>
      <c r="G1910">
        <v>1</v>
      </c>
      <c r="H1910">
        <v>0</v>
      </c>
      <c r="I1910">
        <v>1</v>
      </c>
      <c r="J1910" s="4" t="s">
        <v>55</v>
      </c>
      <c r="K1910" t="str">
        <f t="shared" si="97"/>
        <v>1+0</v>
      </c>
      <c r="L1910">
        <f>VLOOKUP(A1910,'ZONE 1 PREMIUM'!$A$3:$M$16,13,0)</f>
        <v>6</v>
      </c>
      <c r="M1910">
        <f>VLOOKUP(D1910,DROPDOWN!B:C,2,0)</f>
        <v>8</v>
      </c>
      <c r="N1910" t="str">
        <f t="shared" si="98"/>
        <v>AU3:BM16</v>
      </c>
      <c r="O1910" s="4">
        <f t="shared" ca="1" si="96"/>
        <v>27883.125</v>
      </c>
    </row>
    <row r="1911" spans="1:15">
      <c r="A1911" s="2" t="s">
        <v>14</v>
      </c>
      <c r="B1911" t="s">
        <v>31</v>
      </c>
      <c r="C1911" t="s">
        <v>32</v>
      </c>
      <c r="D1911">
        <v>20</v>
      </c>
      <c r="E1911" t="s">
        <v>26</v>
      </c>
      <c r="F1911">
        <v>1</v>
      </c>
      <c r="G1911">
        <v>1</v>
      </c>
      <c r="H1911">
        <v>0</v>
      </c>
      <c r="I1911">
        <v>1</v>
      </c>
      <c r="J1911" s="4" t="s">
        <v>55</v>
      </c>
      <c r="K1911" t="str">
        <f t="shared" si="97"/>
        <v>1+0</v>
      </c>
      <c r="L1911">
        <f>VLOOKUP(A1911,'ZONE 1 PREMIUM'!$A$3:$M$16,13,0)</f>
        <v>7</v>
      </c>
      <c r="M1911">
        <f>VLOOKUP(D1911,DROPDOWN!B:C,2,0)</f>
        <v>8</v>
      </c>
      <c r="N1911" t="str">
        <f t="shared" si="98"/>
        <v>AU3:BM16</v>
      </c>
      <c r="O1911" s="4">
        <f t="shared" ca="1" si="96"/>
        <v>32405.625</v>
      </c>
    </row>
    <row r="1912" spans="1:15">
      <c r="A1912" s="2" t="s">
        <v>15</v>
      </c>
      <c r="B1912" t="s">
        <v>33</v>
      </c>
      <c r="C1912" t="s">
        <v>34</v>
      </c>
      <c r="D1912">
        <v>20</v>
      </c>
      <c r="E1912" t="s">
        <v>26</v>
      </c>
      <c r="F1912">
        <v>1</v>
      </c>
      <c r="G1912">
        <v>1</v>
      </c>
      <c r="H1912">
        <v>0</v>
      </c>
      <c r="I1912">
        <v>1</v>
      </c>
      <c r="J1912" s="4" t="s">
        <v>55</v>
      </c>
      <c r="K1912" t="str">
        <f t="shared" si="97"/>
        <v>1+0</v>
      </c>
      <c r="L1912">
        <f>VLOOKUP(A1912,'ZONE 1 PREMIUM'!$A$3:$M$16,13,0)</f>
        <v>8</v>
      </c>
      <c r="M1912">
        <f>VLOOKUP(D1912,DROPDOWN!B:C,2,0)</f>
        <v>8</v>
      </c>
      <c r="N1912" t="str">
        <f t="shared" si="98"/>
        <v>AU3:BM16</v>
      </c>
      <c r="O1912" s="4">
        <f t="shared" ca="1" si="96"/>
        <v>40342.5</v>
      </c>
    </row>
    <row r="1913" spans="1:15">
      <c r="A1913" s="2" t="s">
        <v>16</v>
      </c>
      <c r="B1913" t="s">
        <v>35</v>
      </c>
      <c r="C1913" t="s">
        <v>36</v>
      </c>
      <c r="D1913">
        <v>20</v>
      </c>
      <c r="E1913" t="s">
        <v>26</v>
      </c>
      <c r="F1913">
        <v>1</v>
      </c>
      <c r="G1913">
        <v>1</v>
      </c>
      <c r="H1913">
        <v>0</v>
      </c>
      <c r="I1913">
        <v>1</v>
      </c>
      <c r="J1913" s="4" t="s">
        <v>55</v>
      </c>
      <c r="K1913" t="str">
        <f t="shared" si="97"/>
        <v>1+0</v>
      </c>
      <c r="L1913">
        <f>VLOOKUP(A1913,'ZONE 1 PREMIUM'!$A$3:$M$16,13,0)</f>
        <v>9</v>
      </c>
      <c r="M1913">
        <f>VLOOKUP(D1913,DROPDOWN!B:C,2,0)</f>
        <v>8</v>
      </c>
      <c r="N1913" t="str">
        <f t="shared" si="98"/>
        <v>AU3:BM16</v>
      </c>
      <c r="O1913" s="4">
        <f t="shared" ca="1" si="96"/>
        <v>53179.875</v>
      </c>
    </row>
    <row r="1914" spans="1:15">
      <c r="A1914" s="2" t="s">
        <v>17</v>
      </c>
      <c r="B1914" t="s">
        <v>37</v>
      </c>
      <c r="C1914" t="s">
        <v>38</v>
      </c>
      <c r="D1914">
        <v>20</v>
      </c>
      <c r="E1914" t="s">
        <v>26</v>
      </c>
      <c r="F1914">
        <v>1</v>
      </c>
      <c r="G1914">
        <v>1</v>
      </c>
      <c r="H1914">
        <v>0</v>
      </c>
      <c r="I1914">
        <v>1</v>
      </c>
      <c r="J1914" s="4" t="s">
        <v>55</v>
      </c>
      <c r="K1914" t="str">
        <f t="shared" si="97"/>
        <v>1+0</v>
      </c>
      <c r="L1914">
        <f>VLOOKUP(A1914,'ZONE 1 PREMIUM'!$A$3:$M$16,13,0)</f>
        <v>10</v>
      </c>
      <c r="M1914">
        <f>VLOOKUP(D1914,DROPDOWN!B:C,2,0)</f>
        <v>8</v>
      </c>
      <c r="N1914" t="str">
        <f t="shared" si="98"/>
        <v>AU3:BM16</v>
      </c>
      <c r="O1914" s="4">
        <f t="shared" ca="1" si="96"/>
        <v>72198</v>
      </c>
    </row>
    <row r="1915" spans="1:15">
      <c r="A1915" s="2" t="s">
        <v>18</v>
      </c>
      <c r="B1915" t="s">
        <v>39</v>
      </c>
      <c r="C1915" t="s">
        <v>40</v>
      </c>
      <c r="D1915">
        <v>20</v>
      </c>
      <c r="E1915" t="s">
        <v>26</v>
      </c>
      <c r="F1915">
        <v>1</v>
      </c>
      <c r="G1915">
        <v>1</v>
      </c>
      <c r="H1915">
        <v>0</v>
      </c>
      <c r="I1915">
        <v>1</v>
      </c>
      <c r="J1915" s="4" t="s">
        <v>55</v>
      </c>
      <c r="K1915" t="str">
        <f t="shared" si="97"/>
        <v>1+0</v>
      </c>
      <c r="L1915">
        <f>VLOOKUP(A1915,'ZONE 1 PREMIUM'!$A$3:$M$16,13,0)</f>
        <v>11</v>
      </c>
      <c r="M1915">
        <f>VLOOKUP(D1915,DROPDOWN!B:C,2,0)</f>
        <v>8</v>
      </c>
      <c r="N1915" t="str">
        <f t="shared" si="98"/>
        <v>AU3:BM16</v>
      </c>
      <c r="O1915" s="4">
        <f t="shared" ca="1" si="96"/>
        <v>100036.125</v>
      </c>
    </row>
    <row r="1916" spans="1:15">
      <c r="A1916" s="2" t="s">
        <v>19</v>
      </c>
      <c r="B1916" t="s">
        <v>41</v>
      </c>
      <c r="C1916" t="s">
        <v>42</v>
      </c>
      <c r="D1916">
        <v>20</v>
      </c>
      <c r="E1916" t="s">
        <v>26</v>
      </c>
      <c r="F1916">
        <v>1</v>
      </c>
      <c r="G1916">
        <v>1</v>
      </c>
      <c r="H1916">
        <v>0</v>
      </c>
      <c r="I1916">
        <v>1</v>
      </c>
      <c r="J1916" s="4" t="s">
        <v>55</v>
      </c>
      <c r="K1916" t="str">
        <f t="shared" si="97"/>
        <v>1+0</v>
      </c>
      <c r="L1916">
        <f>VLOOKUP(A1916,'ZONE 1 PREMIUM'!$A$3:$M$16,13,0)</f>
        <v>12</v>
      </c>
      <c r="M1916">
        <f>VLOOKUP(D1916,DROPDOWN!B:C,2,0)</f>
        <v>8</v>
      </c>
      <c r="N1916" t="str">
        <f t="shared" si="98"/>
        <v>AU3:BM16</v>
      </c>
      <c r="O1916" s="4">
        <f t="shared" ca="1" si="96"/>
        <v>128034</v>
      </c>
    </row>
    <row r="1917" spans="1:15">
      <c r="A1917" s="2" t="s">
        <v>20</v>
      </c>
      <c r="B1917" t="s">
        <v>43</v>
      </c>
      <c r="C1917" t="s">
        <v>44</v>
      </c>
      <c r="D1917">
        <v>20</v>
      </c>
      <c r="E1917" t="s">
        <v>26</v>
      </c>
      <c r="F1917">
        <v>1</v>
      </c>
      <c r="G1917">
        <v>1</v>
      </c>
      <c r="H1917">
        <v>0</v>
      </c>
      <c r="I1917">
        <v>1</v>
      </c>
      <c r="J1917" s="4" t="s">
        <v>55</v>
      </c>
      <c r="K1917" t="str">
        <f t="shared" si="97"/>
        <v>1+0</v>
      </c>
      <c r="L1917">
        <f>VLOOKUP(A1917,'ZONE 1 PREMIUM'!$A$3:$M$16,13,0)</f>
        <v>13</v>
      </c>
      <c r="M1917">
        <f>VLOOKUP(D1917,DROPDOWN!B:C,2,0)</f>
        <v>8</v>
      </c>
      <c r="N1917" t="str">
        <f t="shared" si="98"/>
        <v>AU3:BM16</v>
      </c>
      <c r="O1917" s="4">
        <f t="shared" ca="1" si="96"/>
        <v>154040.625</v>
      </c>
    </row>
    <row r="1918" spans="1:15">
      <c r="A1918" s="2" t="s">
        <v>21</v>
      </c>
      <c r="B1918" t="s">
        <v>22</v>
      </c>
      <c r="D1918">
        <v>20</v>
      </c>
      <c r="E1918" t="s">
        <v>26</v>
      </c>
      <c r="F1918">
        <v>1</v>
      </c>
      <c r="G1918">
        <v>1</v>
      </c>
      <c r="H1918">
        <v>0</v>
      </c>
      <c r="I1918">
        <v>1</v>
      </c>
      <c r="J1918" s="4" t="s">
        <v>55</v>
      </c>
      <c r="K1918" t="str">
        <f t="shared" si="97"/>
        <v>1+0</v>
      </c>
      <c r="L1918">
        <f>VLOOKUP(A1918,'ZONE 1 PREMIUM'!$A$3:$M$16,13,0)</f>
        <v>14</v>
      </c>
      <c r="M1918">
        <f>VLOOKUP(D1918,DROPDOWN!B:C,2,0)</f>
        <v>8</v>
      </c>
      <c r="N1918" t="str">
        <f t="shared" si="98"/>
        <v>AU3:BM16</v>
      </c>
      <c r="O1918" s="4">
        <f t="shared" ca="1" si="96"/>
        <v>207139.5</v>
      </c>
    </row>
    <row r="1919" spans="1:15">
      <c r="A1919" s="2" t="s">
        <v>11</v>
      </c>
      <c r="B1919" t="s">
        <v>45</v>
      </c>
      <c r="C1919" t="s">
        <v>25</v>
      </c>
      <c r="D1919">
        <v>20</v>
      </c>
      <c r="E1919" t="s">
        <v>46</v>
      </c>
      <c r="F1919">
        <v>2</v>
      </c>
      <c r="G1919">
        <v>1</v>
      </c>
      <c r="H1919">
        <v>1</v>
      </c>
      <c r="I1919">
        <v>1</v>
      </c>
      <c r="J1919" s="4" t="s">
        <v>55</v>
      </c>
      <c r="K1919" t="str">
        <f t="shared" si="97"/>
        <v>1+1</v>
      </c>
      <c r="L1919">
        <f>VLOOKUP(A1919,'ZONE 1 PREMIUM'!$A$4:$N$16,14,0)</f>
        <v>2</v>
      </c>
      <c r="M1919">
        <f>VLOOKUP(D1919,DROPDOWN!B:C,2,0)</f>
        <v>8</v>
      </c>
      <c r="N1919" t="str">
        <f t="shared" si="98"/>
        <v>AU20:BM31</v>
      </c>
      <c r="O1919" s="4">
        <f t="shared" ca="1" si="96"/>
        <v>23664.375</v>
      </c>
    </row>
    <row r="1920" spans="1:15">
      <c r="A1920" s="2" t="s">
        <v>12</v>
      </c>
      <c r="B1920" t="s">
        <v>27</v>
      </c>
      <c r="C1920" t="s">
        <v>28</v>
      </c>
      <c r="D1920">
        <v>20</v>
      </c>
      <c r="E1920" t="s">
        <v>46</v>
      </c>
      <c r="F1920">
        <v>2</v>
      </c>
      <c r="G1920">
        <v>1</v>
      </c>
      <c r="H1920">
        <v>1</v>
      </c>
      <c r="I1920">
        <v>1</v>
      </c>
      <c r="J1920" s="4" t="s">
        <v>55</v>
      </c>
      <c r="K1920" t="str">
        <f t="shared" si="97"/>
        <v>1+1</v>
      </c>
      <c r="L1920">
        <f>VLOOKUP(A1920,'ZONE 1 PREMIUM'!$A$4:$N$16,14,0)</f>
        <v>3</v>
      </c>
      <c r="M1920">
        <f>VLOOKUP(D1920,DROPDOWN!B:C,2,0)</f>
        <v>8</v>
      </c>
      <c r="N1920" t="str">
        <f t="shared" si="98"/>
        <v>AU20:BM31</v>
      </c>
      <c r="O1920" s="4">
        <f t="shared" ca="1" si="96"/>
        <v>26131.5</v>
      </c>
    </row>
    <row r="1921" spans="1:15">
      <c r="A1921" s="2" t="s">
        <v>13</v>
      </c>
      <c r="B1921" t="s">
        <v>29</v>
      </c>
      <c r="C1921" t="s">
        <v>30</v>
      </c>
      <c r="D1921">
        <v>20</v>
      </c>
      <c r="E1921" t="s">
        <v>46</v>
      </c>
      <c r="F1921">
        <v>2</v>
      </c>
      <c r="G1921">
        <v>1</v>
      </c>
      <c r="H1921">
        <v>1</v>
      </c>
      <c r="I1921">
        <v>1</v>
      </c>
      <c r="J1921" s="4" t="s">
        <v>55</v>
      </c>
      <c r="K1921" t="str">
        <f t="shared" si="97"/>
        <v>1+1</v>
      </c>
      <c r="L1921">
        <f>VLOOKUP(A1921,'ZONE 1 PREMIUM'!$A$4:$N$16,14,0)</f>
        <v>4</v>
      </c>
      <c r="M1921">
        <f>VLOOKUP(D1921,DROPDOWN!B:C,2,0)</f>
        <v>8</v>
      </c>
      <c r="N1921" t="str">
        <f t="shared" si="98"/>
        <v>AU20:BM31</v>
      </c>
      <c r="O1921" s="4">
        <f t="shared" ca="1" si="96"/>
        <v>30268.125</v>
      </c>
    </row>
    <row r="1922" spans="1:15">
      <c r="A1922" s="2" t="s">
        <v>14</v>
      </c>
      <c r="B1922" t="s">
        <v>31</v>
      </c>
      <c r="C1922" t="s">
        <v>32</v>
      </c>
      <c r="D1922">
        <v>20</v>
      </c>
      <c r="E1922" t="s">
        <v>46</v>
      </c>
      <c r="F1922">
        <v>2</v>
      </c>
      <c r="G1922">
        <v>1</v>
      </c>
      <c r="H1922">
        <v>1</v>
      </c>
      <c r="I1922">
        <v>1</v>
      </c>
      <c r="J1922" s="4" t="s">
        <v>55</v>
      </c>
      <c r="K1922" t="str">
        <f t="shared" si="97"/>
        <v>1+1</v>
      </c>
      <c r="L1922">
        <f>VLOOKUP(A1922,'ZONE 1 PREMIUM'!$A$4:$N$16,14,0)</f>
        <v>5</v>
      </c>
      <c r="M1922">
        <f>VLOOKUP(D1922,DROPDOWN!B:C,2,0)</f>
        <v>8</v>
      </c>
      <c r="N1922" t="str">
        <f t="shared" si="98"/>
        <v>AU20:BM31</v>
      </c>
      <c r="O1922" s="4">
        <f t="shared" ref="O1922:O1985" ca="1" si="99">INDEX(INDIRECT(N1922),L1922,M1922)</f>
        <v>35599.5</v>
      </c>
    </row>
    <row r="1923" spans="1:15">
      <c r="A1923" s="2" t="s">
        <v>15</v>
      </c>
      <c r="B1923" t="s">
        <v>33</v>
      </c>
      <c r="C1923" t="s">
        <v>34</v>
      </c>
      <c r="D1923">
        <v>20</v>
      </c>
      <c r="E1923" t="s">
        <v>46</v>
      </c>
      <c r="F1923">
        <v>2</v>
      </c>
      <c r="G1923">
        <v>1</v>
      </c>
      <c r="H1923">
        <v>1</v>
      </c>
      <c r="I1923">
        <v>1</v>
      </c>
      <c r="J1923" s="4" t="s">
        <v>55</v>
      </c>
      <c r="K1923" t="str">
        <f t="shared" si="97"/>
        <v>1+1</v>
      </c>
      <c r="L1923">
        <f>VLOOKUP(A1923,'ZONE 1 PREMIUM'!$A$4:$N$16,14,0)</f>
        <v>6</v>
      </c>
      <c r="M1923">
        <f>VLOOKUP(D1923,DROPDOWN!B:C,2,0)</f>
        <v>8</v>
      </c>
      <c r="N1923" t="str">
        <f t="shared" si="98"/>
        <v>AU20:BM31</v>
      </c>
      <c r="O1923" s="4">
        <f t="shared" ca="1" si="99"/>
        <v>43947</v>
      </c>
    </row>
    <row r="1924" spans="1:15">
      <c r="A1924" s="2" t="s">
        <v>16</v>
      </c>
      <c r="B1924" t="s">
        <v>35</v>
      </c>
      <c r="C1924" t="s">
        <v>36</v>
      </c>
      <c r="D1924">
        <v>20</v>
      </c>
      <c r="E1924" t="s">
        <v>46</v>
      </c>
      <c r="F1924">
        <v>2</v>
      </c>
      <c r="G1924">
        <v>1</v>
      </c>
      <c r="H1924">
        <v>1</v>
      </c>
      <c r="I1924">
        <v>1</v>
      </c>
      <c r="J1924" s="4" t="s">
        <v>55</v>
      </c>
      <c r="K1924" t="str">
        <f t="shared" ref="K1924:K1987" si="100">G1924&amp;"+"&amp;H1924</f>
        <v>1+1</v>
      </c>
      <c r="L1924">
        <f>VLOOKUP(A1924,'ZONE 1 PREMIUM'!$A$4:$N$16,14,0)</f>
        <v>7</v>
      </c>
      <c r="M1924">
        <f>VLOOKUP(D1924,DROPDOWN!B:C,2,0)</f>
        <v>8</v>
      </c>
      <c r="N1924" t="str">
        <f t="shared" si="98"/>
        <v>AU20:BM31</v>
      </c>
      <c r="O1924" s="4">
        <f t="shared" ca="1" si="99"/>
        <v>57143.25</v>
      </c>
    </row>
    <row r="1925" spans="1:15">
      <c r="A1925" s="2" t="s">
        <v>17</v>
      </c>
      <c r="B1925" t="s">
        <v>37</v>
      </c>
      <c r="C1925" t="s">
        <v>38</v>
      </c>
      <c r="D1925">
        <v>20</v>
      </c>
      <c r="E1925" t="s">
        <v>46</v>
      </c>
      <c r="F1925">
        <v>2</v>
      </c>
      <c r="G1925">
        <v>1</v>
      </c>
      <c r="H1925">
        <v>1</v>
      </c>
      <c r="I1925">
        <v>1</v>
      </c>
      <c r="J1925" s="4" t="s">
        <v>55</v>
      </c>
      <c r="K1925" t="str">
        <f t="shared" si="100"/>
        <v>1+1</v>
      </c>
      <c r="L1925">
        <f>VLOOKUP(A1925,'ZONE 1 PREMIUM'!$A$4:$N$16,14,0)</f>
        <v>8</v>
      </c>
      <c r="M1925">
        <f>VLOOKUP(D1925,DROPDOWN!B:C,2,0)</f>
        <v>8</v>
      </c>
      <c r="N1925" t="str">
        <f t="shared" si="98"/>
        <v>AU20:BM31</v>
      </c>
      <c r="O1925" s="4">
        <f t="shared" ca="1" si="99"/>
        <v>76263.75</v>
      </c>
    </row>
    <row r="1926" spans="1:15">
      <c r="A1926" s="2" t="s">
        <v>18</v>
      </c>
      <c r="B1926" t="s">
        <v>39</v>
      </c>
      <c r="C1926" t="s">
        <v>40</v>
      </c>
      <c r="D1926">
        <v>20</v>
      </c>
      <c r="E1926" t="s">
        <v>46</v>
      </c>
      <c r="F1926">
        <v>2</v>
      </c>
      <c r="G1926">
        <v>1</v>
      </c>
      <c r="H1926">
        <v>1</v>
      </c>
      <c r="I1926">
        <v>1</v>
      </c>
      <c r="J1926" s="4" t="s">
        <v>55</v>
      </c>
      <c r="K1926" t="str">
        <f t="shared" si="100"/>
        <v>1+1</v>
      </c>
      <c r="L1926">
        <f>VLOOKUP(A1926,'ZONE 1 PREMIUM'!$A$4:$N$16,14,0)</f>
        <v>9</v>
      </c>
      <c r="M1926">
        <f>VLOOKUP(D1926,DROPDOWN!B:C,2,0)</f>
        <v>8</v>
      </c>
      <c r="N1926" t="str">
        <f t="shared" si="98"/>
        <v>AU20:BM31</v>
      </c>
      <c r="O1926" s="4">
        <f t="shared" ca="1" si="99"/>
        <v>105264</v>
      </c>
    </row>
    <row r="1927" spans="1:15">
      <c r="A1927" s="2" t="s">
        <v>19</v>
      </c>
      <c r="B1927" t="s">
        <v>41</v>
      </c>
      <c r="C1927" t="s">
        <v>42</v>
      </c>
      <c r="D1927">
        <v>20</v>
      </c>
      <c r="E1927" t="s">
        <v>46</v>
      </c>
      <c r="F1927">
        <v>2</v>
      </c>
      <c r="G1927">
        <v>1</v>
      </c>
      <c r="H1927">
        <v>1</v>
      </c>
      <c r="I1927">
        <v>1</v>
      </c>
      <c r="J1927" s="4" t="s">
        <v>55</v>
      </c>
      <c r="K1927" t="str">
        <f t="shared" si="100"/>
        <v>1+1</v>
      </c>
      <c r="L1927">
        <f>VLOOKUP(A1927,'ZONE 1 PREMIUM'!$A$4:$N$16,14,0)</f>
        <v>10</v>
      </c>
      <c r="M1927">
        <f>VLOOKUP(D1927,DROPDOWN!B:C,2,0)</f>
        <v>8</v>
      </c>
      <c r="N1927" t="str">
        <f t="shared" si="98"/>
        <v>AU20:BM31</v>
      </c>
      <c r="O1927" s="4">
        <f t="shared" ca="1" si="99"/>
        <v>133327.125</v>
      </c>
    </row>
    <row r="1928" spans="1:15">
      <c r="A1928" s="2" t="s">
        <v>20</v>
      </c>
      <c r="B1928" t="s">
        <v>43</v>
      </c>
      <c r="C1928" t="s">
        <v>44</v>
      </c>
      <c r="D1928">
        <v>20</v>
      </c>
      <c r="E1928" t="s">
        <v>46</v>
      </c>
      <c r="F1928">
        <v>2</v>
      </c>
      <c r="G1928">
        <v>1</v>
      </c>
      <c r="H1928">
        <v>1</v>
      </c>
      <c r="I1928">
        <v>1</v>
      </c>
      <c r="J1928" s="4" t="s">
        <v>55</v>
      </c>
      <c r="K1928" t="str">
        <f t="shared" si="100"/>
        <v>1+1</v>
      </c>
      <c r="L1928">
        <f>VLOOKUP(A1928,'ZONE 1 PREMIUM'!$A$4:$N$16,14,0)</f>
        <v>11</v>
      </c>
      <c r="M1928">
        <f>VLOOKUP(D1928,DROPDOWN!B:C,2,0)</f>
        <v>8</v>
      </c>
      <c r="N1928" t="str">
        <f t="shared" si="98"/>
        <v>AU20:BM31</v>
      </c>
      <c r="O1928" s="4">
        <f t="shared" ca="1" si="99"/>
        <v>157371.75</v>
      </c>
    </row>
    <row r="1929" spans="1:15">
      <c r="A1929" s="2" t="s">
        <v>21</v>
      </c>
      <c r="B1929" t="s">
        <v>22</v>
      </c>
      <c r="D1929">
        <v>20</v>
      </c>
      <c r="E1929" t="s">
        <v>46</v>
      </c>
      <c r="F1929">
        <v>2</v>
      </c>
      <c r="G1929">
        <v>1</v>
      </c>
      <c r="H1929">
        <v>1</v>
      </c>
      <c r="I1929">
        <v>1</v>
      </c>
      <c r="J1929" s="4" t="s">
        <v>55</v>
      </c>
      <c r="K1929" t="str">
        <f t="shared" si="100"/>
        <v>1+1</v>
      </c>
      <c r="L1929">
        <f>VLOOKUP(A1929,'ZONE 1 PREMIUM'!$A$4:$N$16,14,0)</f>
        <v>12</v>
      </c>
      <c r="M1929">
        <f>VLOOKUP(D1929,DROPDOWN!B:C,2,0)</f>
        <v>8</v>
      </c>
      <c r="N1929" t="str">
        <f t="shared" si="98"/>
        <v>AU20:BM31</v>
      </c>
      <c r="O1929" s="4">
        <f t="shared" ca="1" si="99"/>
        <v>213633</v>
      </c>
    </row>
    <row r="1930" spans="1:15">
      <c r="A1930" s="2" t="s">
        <v>11</v>
      </c>
      <c r="B1930" t="s">
        <v>45</v>
      </c>
      <c r="C1930" t="s">
        <v>25</v>
      </c>
      <c r="D1930">
        <v>20</v>
      </c>
      <c r="E1930" t="s">
        <v>46</v>
      </c>
      <c r="F1930">
        <v>3</v>
      </c>
      <c r="G1930">
        <v>1</v>
      </c>
      <c r="H1930">
        <v>2</v>
      </c>
      <c r="I1930">
        <v>1</v>
      </c>
      <c r="J1930" s="4" t="s">
        <v>55</v>
      </c>
      <c r="K1930" t="str">
        <f t="shared" si="100"/>
        <v>1+2</v>
      </c>
      <c r="L1930">
        <f>VLOOKUP(A1930,'ZONE 1 PREMIUM'!$A$4:$N$16,14,0)</f>
        <v>2</v>
      </c>
      <c r="M1930">
        <f>VLOOKUP(D1930,DROPDOWN!B:C,2,0)</f>
        <v>8</v>
      </c>
      <c r="N1930" t="str">
        <f t="shared" si="98"/>
        <v>AU35:BM46</v>
      </c>
      <c r="O1930" s="4">
        <f t="shared" ca="1" si="99"/>
        <v>30632.625</v>
      </c>
    </row>
    <row r="1931" spans="1:15">
      <c r="A1931" s="2" t="s">
        <v>12</v>
      </c>
      <c r="B1931" t="s">
        <v>27</v>
      </c>
      <c r="C1931" t="s">
        <v>28</v>
      </c>
      <c r="D1931">
        <v>20</v>
      </c>
      <c r="E1931" t="s">
        <v>46</v>
      </c>
      <c r="F1931">
        <v>3</v>
      </c>
      <c r="G1931">
        <v>1</v>
      </c>
      <c r="H1931">
        <v>2</v>
      </c>
      <c r="I1931">
        <v>1</v>
      </c>
      <c r="J1931" s="4" t="s">
        <v>55</v>
      </c>
      <c r="K1931" t="str">
        <f t="shared" si="100"/>
        <v>1+2</v>
      </c>
      <c r="L1931">
        <f>VLOOKUP(A1931,'ZONE 1 PREMIUM'!$A$4:$N$16,14,0)</f>
        <v>3</v>
      </c>
      <c r="M1931">
        <f>VLOOKUP(D1931,DROPDOWN!B:C,2,0)</f>
        <v>8</v>
      </c>
      <c r="N1931" t="str">
        <f t="shared" si="98"/>
        <v>AU35:BM46</v>
      </c>
      <c r="O1931" s="4">
        <f t="shared" ca="1" si="99"/>
        <v>32846.625</v>
      </c>
    </row>
    <row r="1932" spans="1:15">
      <c r="A1932" s="2" t="s">
        <v>13</v>
      </c>
      <c r="B1932" t="s">
        <v>29</v>
      </c>
      <c r="C1932" t="s">
        <v>30</v>
      </c>
      <c r="D1932">
        <v>20</v>
      </c>
      <c r="E1932" t="s">
        <v>46</v>
      </c>
      <c r="F1932">
        <v>3</v>
      </c>
      <c r="G1932">
        <v>1</v>
      </c>
      <c r="H1932">
        <v>2</v>
      </c>
      <c r="I1932">
        <v>1</v>
      </c>
      <c r="J1932" s="4" t="s">
        <v>55</v>
      </c>
      <c r="K1932" t="str">
        <f t="shared" si="100"/>
        <v>1+2</v>
      </c>
      <c r="L1932">
        <f>VLOOKUP(A1932,'ZONE 1 PREMIUM'!$A$4:$N$16,14,0)</f>
        <v>4</v>
      </c>
      <c r="M1932">
        <f>VLOOKUP(D1932,DROPDOWN!B:C,2,0)</f>
        <v>8</v>
      </c>
      <c r="N1932" t="str">
        <f t="shared" si="98"/>
        <v>AU35:BM46</v>
      </c>
      <c r="O1932" s="4">
        <f t="shared" ca="1" si="99"/>
        <v>38082.375</v>
      </c>
    </row>
    <row r="1933" spans="1:15">
      <c r="A1933" s="2" t="s">
        <v>14</v>
      </c>
      <c r="B1933" t="s">
        <v>31</v>
      </c>
      <c r="C1933" t="s">
        <v>32</v>
      </c>
      <c r="D1933">
        <v>20</v>
      </c>
      <c r="E1933" t="s">
        <v>46</v>
      </c>
      <c r="F1933">
        <v>3</v>
      </c>
      <c r="G1933">
        <v>1</v>
      </c>
      <c r="H1933">
        <v>2</v>
      </c>
      <c r="I1933">
        <v>1</v>
      </c>
      <c r="J1933" s="4" t="s">
        <v>55</v>
      </c>
      <c r="K1933" t="str">
        <f t="shared" si="100"/>
        <v>1+2</v>
      </c>
      <c r="L1933">
        <f>VLOOKUP(A1933,'ZONE 1 PREMIUM'!$A$4:$N$16,14,0)</f>
        <v>5</v>
      </c>
      <c r="M1933">
        <f>VLOOKUP(D1933,DROPDOWN!B:C,2,0)</f>
        <v>8</v>
      </c>
      <c r="N1933" t="str">
        <f t="shared" si="98"/>
        <v>AU35:BM46</v>
      </c>
      <c r="O1933" s="4">
        <f t="shared" ca="1" si="99"/>
        <v>42729.75</v>
      </c>
    </row>
    <row r="1934" spans="1:15">
      <c r="A1934" s="2" t="s">
        <v>15</v>
      </c>
      <c r="B1934" t="s">
        <v>33</v>
      </c>
      <c r="C1934" t="s">
        <v>34</v>
      </c>
      <c r="D1934">
        <v>20</v>
      </c>
      <c r="E1934" t="s">
        <v>46</v>
      </c>
      <c r="F1934">
        <v>3</v>
      </c>
      <c r="G1934">
        <v>1</v>
      </c>
      <c r="H1934">
        <v>2</v>
      </c>
      <c r="I1934">
        <v>1</v>
      </c>
      <c r="J1934" s="4" t="s">
        <v>55</v>
      </c>
      <c r="K1934" t="str">
        <f t="shared" si="100"/>
        <v>1+2</v>
      </c>
      <c r="L1934">
        <f>VLOOKUP(A1934,'ZONE 1 PREMIUM'!$A$4:$N$16,14,0)</f>
        <v>6</v>
      </c>
      <c r="M1934">
        <f>VLOOKUP(D1934,DROPDOWN!B:C,2,0)</f>
        <v>8</v>
      </c>
      <c r="N1934" t="str">
        <f t="shared" si="98"/>
        <v>AU35:BM46</v>
      </c>
      <c r="O1934" s="4">
        <f t="shared" ca="1" si="99"/>
        <v>53501.625</v>
      </c>
    </row>
    <row r="1935" spans="1:15">
      <c r="A1935" s="2" t="s">
        <v>16</v>
      </c>
      <c r="B1935" t="s">
        <v>35</v>
      </c>
      <c r="C1935" t="s">
        <v>36</v>
      </c>
      <c r="D1935">
        <v>20</v>
      </c>
      <c r="E1935" t="s">
        <v>46</v>
      </c>
      <c r="F1935">
        <v>3</v>
      </c>
      <c r="G1935">
        <v>1</v>
      </c>
      <c r="H1935">
        <v>2</v>
      </c>
      <c r="I1935">
        <v>1</v>
      </c>
      <c r="J1935" s="4" t="s">
        <v>55</v>
      </c>
      <c r="K1935" t="str">
        <f t="shared" si="100"/>
        <v>1+2</v>
      </c>
      <c r="L1935">
        <f>VLOOKUP(A1935,'ZONE 1 PREMIUM'!$A$4:$N$16,14,0)</f>
        <v>7</v>
      </c>
      <c r="M1935">
        <f>VLOOKUP(D1935,DROPDOWN!B:C,2,0)</f>
        <v>8</v>
      </c>
      <c r="N1935" t="str">
        <f t="shared" si="98"/>
        <v>AU35:BM46</v>
      </c>
      <c r="O1935" s="4">
        <f t="shared" ca="1" si="99"/>
        <v>69008.625</v>
      </c>
    </row>
    <row r="1936" spans="1:15">
      <c r="A1936" s="2" t="s">
        <v>17</v>
      </c>
      <c r="B1936" t="s">
        <v>37</v>
      </c>
      <c r="C1936" t="s">
        <v>38</v>
      </c>
      <c r="D1936">
        <v>20</v>
      </c>
      <c r="E1936" t="s">
        <v>46</v>
      </c>
      <c r="F1936">
        <v>3</v>
      </c>
      <c r="G1936">
        <v>1</v>
      </c>
      <c r="H1936">
        <v>2</v>
      </c>
      <c r="I1936">
        <v>1</v>
      </c>
      <c r="J1936" s="4" t="s">
        <v>55</v>
      </c>
      <c r="K1936" t="str">
        <f t="shared" si="100"/>
        <v>1+2</v>
      </c>
      <c r="L1936">
        <f>VLOOKUP(A1936,'ZONE 1 PREMIUM'!$A$4:$N$16,14,0)</f>
        <v>8</v>
      </c>
      <c r="M1936">
        <f>VLOOKUP(D1936,DROPDOWN!B:C,2,0)</f>
        <v>8</v>
      </c>
      <c r="N1936" t="str">
        <f t="shared" si="98"/>
        <v>AU35:BM46</v>
      </c>
      <c r="O1936" s="4">
        <f t="shared" ca="1" si="99"/>
        <v>89052.75</v>
      </c>
    </row>
    <row r="1937" spans="1:15">
      <c r="A1937" s="2" t="s">
        <v>18</v>
      </c>
      <c r="B1937" t="s">
        <v>39</v>
      </c>
      <c r="C1937" t="s">
        <v>40</v>
      </c>
      <c r="D1937">
        <v>20</v>
      </c>
      <c r="E1937" t="s">
        <v>46</v>
      </c>
      <c r="F1937">
        <v>3</v>
      </c>
      <c r="G1937">
        <v>1</v>
      </c>
      <c r="H1937">
        <v>2</v>
      </c>
      <c r="I1937">
        <v>1</v>
      </c>
      <c r="J1937" s="4" t="s">
        <v>55</v>
      </c>
      <c r="K1937" t="str">
        <f t="shared" si="100"/>
        <v>1+2</v>
      </c>
      <c r="L1937">
        <f>VLOOKUP(A1937,'ZONE 1 PREMIUM'!$A$4:$N$16,14,0)</f>
        <v>9</v>
      </c>
      <c r="M1937">
        <f>VLOOKUP(D1937,DROPDOWN!B:C,2,0)</f>
        <v>8</v>
      </c>
      <c r="N1937" t="str">
        <f t="shared" si="98"/>
        <v>AU35:BM46</v>
      </c>
      <c r="O1937" s="4">
        <f t="shared" ca="1" si="99"/>
        <v>115716.375</v>
      </c>
    </row>
    <row r="1938" spans="1:15">
      <c r="A1938" s="2" t="s">
        <v>19</v>
      </c>
      <c r="B1938" t="s">
        <v>41</v>
      </c>
      <c r="C1938" t="s">
        <v>42</v>
      </c>
      <c r="D1938">
        <v>20</v>
      </c>
      <c r="E1938" t="s">
        <v>46</v>
      </c>
      <c r="F1938">
        <v>3</v>
      </c>
      <c r="G1938">
        <v>1</v>
      </c>
      <c r="H1938">
        <v>2</v>
      </c>
      <c r="I1938">
        <v>1</v>
      </c>
      <c r="J1938" s="4" t="s">
        <v>55</v>
      </c>
      <c r="K1938" t="str">
        <f t="shared" si="100"/>
        <v>1+2</v>
      </c>
      <c r="L1938">
        <f>VLOOKUP(A1938,'ZONE 1 PREMIUM'!$A$4:$N$16,14,0)</f>
        <v>10</v>
      </c>
      <c r="M1938">
        <f>VLOOKUP(D1938,DROPDOWN!B:C,2,0)</f>
        <v>8</v>
      </c>
      <c r="N1938" t="str">
        <f t="shared" si="98"/>
        <v>AU35:BM46</v>
      </c>
      <c r="O1938" s="4">
        <f t="shared" ca="1" si="99"/>
        <v>146095.875</v>
      </c>
    </row>
    <row r="1939" spans="1:15">
      <c r="A1939" s="2" t="s">
        <v>20</v>
      </c>
      <c r="B1939" t="s">
        <v>43</v>
      </c>
      <c r="C1939" t="s">
        <v>44</v>
      </c>
      <c r="D1939">
        <v>20</v>
      </c>
      <c r="E1939" t="s">
        <v>46</v>
      </c>
      <c r="F1939">
        <v>3</v>
      </c>
      <c r="G1939">
        <v>1</v>
      </c>
      <c r="H1939">
        <v>2</v>
      </c>
      <c r="I1939">
        <v>1</v>
      </c>
      <c r="J1939" s="4" t="s">
        <v>55</v>
      </c>
      <c r="K1939" t="str">
        <f t="shared" si="100"/>
        <v>1+2</v>
      </c>
      <c r="L1939">
        <f>VLOOKUP(A1939,'ZONE 1 PREMIUM'!$A$4:$N$16,14,0)</f>
        <v>11</v>
      </c>
      <c r="M1939">
        <f>VLOOKUP(D1939,DROPDOWN!B:C,2,0)</f>
        <v>8</v>
      </c>
      <c r="N1939" t="str">
        <f t="shared" si="98"/>
        <v>AU35:BM46</v>
      </c>
      <c r="O1939" s="4">
        <f t="shared" ca="1" si="99"/>
        <v>172413</v>
      </c>
    </row>
    <row r="1940" spans="1:15">
      <c r="A1940" s="2" t="s">
        <v>21</v>
      </c>
      <c r="B1940" t="s">
        <v>22</v>
      </c>
      <c r="D1940">
        <v>20</v>
      </c>
      <c r="E1940" t="s">
        <v>46</v>
      </c>
      <c r="F1940">
        <v>3</v>
      </c>
      <c r="G1940">
        <v>1</v>
      </c>
      <c r="H1940">
        <v>2</v>
      </c>
      <c r="I1940">
        <v>1</v>
      </c>
      <c r="J1940" s="4" t="s">
        <v>55</v>
      </c>
      <c r="K1940" t="str">
        <f t="shared" si="100"/>
        <v>1+2</v>
      </c>
      <c r="L1940">
        <f>VLOOKUP(A1940,'ZONE 1 PREMIUM'!$A$4:$N$16,14,0)</f>
        <v>12</v>
      </c>
      <c r="M1940">
        <f>VLOOKUP(D1940,DROPDOWN!B:C,2,0)</f>
        <v>8</v>
      </c>
      <c r="N1940" t="str">
        <f t="shared" si="98"/>
        <v>AU35:BM46</v>
      </c>
      <c r="O1940" s="4">
        <f t="shared" ca="1" si="99"/>
        <v>224960.625</v>
      </c>
    </row>
    <row r="1941" spans="1:15">
      <c r="A1941" s="2" t="s">
        <v>11</v>
      </c>
      <c r="B1941" t="s">
        <v>45</v>
      </c>
      <c r="C1941" t="s">
        <v>25</v>
      </c>
      <c r="D1941">
        <v>20</v>
      </c>
      <c r="E1941" t="s">
        <v>46</v>
      </c>
      <c r="F1941">
        <v>4</v>
      </c>
      <c r="G1941">
        <v>1</v>
      </c>
      <c r="H1941">
        <v>3</v>
      </c>
      <c r="I1941">
        <v>1</v>
      </c>
      <c r="J1941" s="4" t="s">
        <v>55</v>
      </c>
      <c r="K1941" t="str">
        <f t="shared" si="100"/>
        <v>1+3</v>
      </c>
      <c r="L1941">
        <f>VLOOKUP(A1941,'ZONE 1 PREMIUM'!$A$4:$N$16,14,0)</f>
        <v>2</v>
      </c>
      <c r="M1941">
        <f>VLOOKUP(D1941,DROPDOWN!B:C,2,0)</f>
        <v>8</v>
      </c>
      <c r="N1941" t="str">
        <f t="shared" si="98"/>
        <v>AU50:BM61</v>
      </c>
      <c r="O1941" s="4">
        <f t="shared" ca="1" si="99"/>
        <v>37600.875</v>
      </c>
    </row>
    <row r="1942" spans="1:15">
      <c r="A1942" s="2" t="s">
        <v>12</v>
      </c>
      <c r="B1942" t="s">
        <v>27</v>
      </c>
      <c r="C1942" t="s">
        <v>28</v>
      </c>
      <c r="D1942">
        <v>20</v>
      </c>
      <c r="E1942" t="s">
        <v>46</v>
      </c>
      <c r="F1942">
        <v>4</v>
      </c>
      <c r="G1942">
        <v>1</v>
      </c>
      <c r="H1942">
        <v>3</v>
      </c>
      <c r="I1942">
        <v>1</v>
      </c>
      <c r="J1942" s="4" t="s">
        <v>55</v>
      </c>
      <c r="K1942" t="str">
        <f t="shared" si="100"/>
        <v>1+3</v>
      </c>
      <c r="L1942">
        <f>VLOOKUP(A1942,'ZONE 1 PREMIUM'!$A$4:$N$16,14,0)</f>
        <v>3</v>
      </c>
      <c r="M1942">
        <f>VLOOKUP(D1942,DROPDOWN!B:C,2,0)</f>
        <v>8</v>
      </c>
      <c r="N1942" t="str">
        <f t="shared" si="98"/>
        <v>AU50:BM61</v>
      </c>
      <c r="O1942" s="4">
        <f t="shared" ca="1" si="99"/>
        <v>39690</v>
      </c>
    </row>
    <row r="1943" spans="1:15">
      <c r="A1943" s="2" t="s">
        <v>13</v>
      </c>
      <c r="B1943" t="s">
        <v>29</v>
      </c>
      <c r="C1943" t="s">
        <v>30</v>
      </c>
      <c r="D1943">
        <v>20</v>
      </c>
      <c r="E1943" t="s">
        <v>46</v>
      </c>
      <c r="F1943">
        <v>4</v>
      </c>
      <c r="G1943">
        <v>1</v>
      </c>
      <c r="H1943">
        <v>3</v>
      </c>
      <c r="I1943">
        <v>1</v>
      </c>
      <c r="J1943" s="4" t="s">
        <v>55</v>
      </c>
      <c r="K1943" t="str">
        <f t="shared" si="100"/>
        <v>1+3</v>
      </c>
      <c r="L1943">
        <f>VLOOKUP(A1943,'ZONE 1 PREMIUM'!$A$4:$N$16,14,0)</f>
        <v>4</v>
      </c>
      <c r="M1943">
        <f>VLOOKUP(D1943,DROPDOWN!B:C,2,0)</f>
        <v>8</v>
      </c>
      <c r="N1943" t="str">
        <f t="shared" si="98"/>
        <v>AU50:BM61</v>
      </c>
      <c r="O1943" s="4">
        <f t="shared" ca="1" si="99"/>
        <v>46047.375</v>
      </c>
    </row>
    <row r="1944" spans="1:15">
      <c r="A1944" s="2" t="s">
        <v>14</v>
      </c>
      <c r="B1944" t="s">
        <v>31</v>
      </c>
      <c r="C1944" t="s">
        <v>32</v>
      </c>
      <c r="D1944">
        <v>20</v>
      </c>
      <c r="E1944" t="s">
        <v>46</v>
      </c>
      <c r="F1944">
        <v>4</v>
      </c>
      <c r="G1944">
        <v>1</v>
      </c>
      <c r="H1944">
        <v>3</v>
      </c>
      <c r="I1944">
        <v>1</v>
      </c>
      <c r="J1944" s="4" t="s">
        <v>55</v>
      </c>
      <c r="K1944" t="str">
        <f t="shared" si="100"/>
        <v>1+3</v>
      </c>
      <c r="L1944">
        <f>VLOOKUP(A1944,'ZONE 1 PREMIUM'!$A$4:$N$16,14,0)</f>
        <v>5</v>
      </c>
      <c r="M1944">
        <f>VLOOKUP(D1944,DROPDOWN!B:C,2,0)</f>
        <v>8</v>
      </c>
      <c r="N1944" t="str">
        <f t="shared" si="98"/>
        <v>AU50:BM61</v>
      </c>
      <c r="O1944" s="4">
        <f t="shared" ca="1" si="99"/>
        <v>51229.125</v>
      </c>
    </row>
    <row r="1945" spans="1:15">
      <c r="A1945" s="2" t="s">
        <v>15</v>
      </c>
      <c r="B1945" t="s">
        <v>33</v>
      </c>
      <c r="C1945" t="s">
        <v>34</v>
      </c>
      <c r="D1945">
        <v>20</v>
      </c>
      <c r="E1945" t="s">
        <v>46</v>
      </c>
      <c r="F1945">
        <v>4</v>
      </c>
      <c r="G1945">
        <v>1</v>
      </c>
      <c r="H1945">
        <v>3</v>
      </c>
      <c r="I1945">
        <v>1</v>
      </c>
      <c r="J1945" s="4" t="s">
        <v>55</v>
      </c>
      <c r="K1945" t="str">
        <f t="shared" si="100"/>
        <v>1+3</v>
      </c>
      <c r="L1945">
        <f>VLOOKUP(A1945,'ZONE 1 PREMIUM'!$A$4:$N$16,14,0)</f>
        <v>6</v>
      </c>
      <c r="M1945">
        <f>VLOOKUP(D1945,DROPDOWN!B:C,2,0)</f>
        <v>8</v>
      </c>
      <c r="N1945" t="str">
        <f t="shared" si="98"/>
        <v>AU50:BM61</v>
      </c>
      <c r="O1945" s="4">
        <f t="shared" ca="1" si="99"/>
        <v>63055.125</v>
      </c>
    </row>
    <row r="1946" spans="1:15">
      <c r="A1946" s="2" t="s">
        <v>16</v>
      </c>
      <c r="B1946" t="s">
        <v>35</v>
      </c>
      <c r="C1946" t="s">
        <v>36</v>
      </c>
      <c r="D1946">
        <v>20</v>
      </c>
      <c r="E1946" t="s">
        <v>46</v>
      </c>
      <c r="F1946">
        <v>4</v>
      </c>
      <c r="G1946">
        <v>1</v>
      </c>
      <c r="H1946">
        <v>3</v>
      </c>
      <c r="I1946">
        <v>1</v>
      </c>
      <c r="J1946" s="4" t="s">
        <v>55</v>
      </c>
      <c r="K1946" t="str">
        <f t="shared" si="100"/>
        <v>1+3</v>
      </c>
      <c r="L1946">
        <f>VLOOKUP(A1946,'ZONE 1 PREMIUM'!$A$4:$N$16,14,0)</f>
        <v>7</v>
      </c>
      <c r="M1946">
        <f>VLOOKUP(D1946,DROPDOWN!B:C,2,0)</f>
        <v>8</v>
      </c>
      <c r="N1946" t="str">
        <f t="shared" si="98"/>
        <v>AU50:BM61</v>
      </c>
      <c r="O1946" s="4">
        <f t="shared" ca="1" si="99"/>
        <v>79660.125</v>
      </c>
    </row>
    <row r="1947" spans="1:15">
      <c r="A1947" s="2" t="s">
        <v>17</v>
      </c>
      <c r="B1947" t="s">
        <v>37</v>
      </c>
      <c r="C1947" t="s">
        <v>38</v>
      </c>
      <c r="D1947">
        <v>20</v>
      </c>
      <c r="E1947" t="s">
        <v>46</v>
      </c>
      <c r="F1947">
        <v>4</v>
      </c>
      <c r="G1947">
        <v>1</v>
      </c>
      <c r="H1947">
        <v>3</v>
      </c>
      <c r="I1947">
        <v>1</v>
      </c>
      <c r="J1947" s="4" t="s">
        <v>55</v>
      </c>
      <c r="K1947" t="str">
        <f t="shared" si="100"/>
        <v>1+3</v>
      </c>
      <c r="L1947">
        <f>VLOOKUP(A1947,'ZONE 1 PREMIUM'!$A$4:$N$16,14,0)</f>
        <v>8</v>
      </c>
      <c r="M1947">
        <f>VLOOKUP(D1947,DROPDOWN!B:C,2,0)</f>
        <v>8</v>
      </c>
      <c r="N1947" t="str">
        <f t="shared" si="98"/>
        <v>AU50:BM61</v>
      </c>
      <c r="O1947" s="4">
        <f t="shared" ca="1" si="99"/>
        <v>98530.875</v>
      </c>
    </row>
    <row r="1948" spans="1:15">
      <c r="A1948" s="2" t="s">
        <v>18</v>
      </c>
      <c r="B1948" t="s">
        <v>39</v>
      </c>
      <c r="C1948" t="s">
        <v>40</v>
      </c>
      <c r="D1948">
        <v>20</v>
      </c>
      <c r="E1948" t="s">
        <v>46</v>
      </c>
      <c r="F1948">
        <v>4</v>
      </c>
      <c r="G1948">
        <v>1</v>
      </c>
      <c r="H1948">
        <v>3</v>
      </c>
      <c r="I1948">
        <v>1</v>
      </c>
      <c r="J1948" s="4" t="s">
        <v>55</v>
      </c>
      <c r="K1948" t="str">
        <f t="shared" si="100"/>
        <v>1+3</v>
      </c>
      <c r="L1948">
        <f>VLOOKUP(A1948,'ZONE 1 PREMIUM'!$A$4:$N$16,14,0)</f>
        <v>9</v>
      </c>
      <c r="M1948">
        <f>VLOOKUP(D1948,DROPDOWN!B:C,2,0)</f>
        <v>8</v>
      </c>
      <c r="N1948" t="str">
        <f t="shared" si="98"/>
        <v>AU50:BM61</v>
      </c>
      <c r="O1948" s="4">
        <f t="shared" ca="1" si="99"/>
        <v>126162</v>
      </c>
    </row>
    <row r="1949" spans="1:15">
      <c r="A1949" s="2" t="s">
        <v>19</v>
      </c>
      <c r="B1949" t="s">
        <v>41</v>
      </c>
      <c r="C1949" t="s">
        <v>42</v>
      </c>
      <c r="D1949">
        <v>20</v>
      </c>
      <c r="E1949" t="s">
        <v>46</v>
      </c>
      <c r="F1949">
        <v>4</v>
      </c>
      <c r="G1949">
        <v>1</v>
      </c>
      <c r="H1949">
        <v>3</v>
      </c>
      <c r="I1949">
        <v>1</v>
      </c>
      <c r="J1949" s="4" t="s">
        <v>55</v>
      </c>
      <c r="K1949" t="str">
        <f t="shared" si="100"/>
        <v>1+3</v>
      </c>
      <c r="L1949">
        <f>VLOOKUP(A1949,'ZONE 1 PREMIUM'!$A$4:$N$16,14,0)</f>
        <v>10</v>
      </c>
      <c r="M1949">
        <f>VLOOKUP(D1949,DROPDOWN!B:C,2,0)</f>
        <v>8</v>
      </c>
      <c r="N1949" t="str">
        <f t="shared" si="98"/>
        <v>AU50:BM61</v>
      </c>
      <c r="O1949" s="4">
        <f t="shared" ca="1" si="99"/>
        <v>154591.875</v>
      </c>
    </row>
    <row r="1950" spans="1:15">
      <c r="A1950" s="2" t="s">
        <v>20</v>
      </c>
      <c r="B1950" t="s">
        <v>43</v>
      </c>
      <c r="C1950" t="s">
        <v>44</v>
      </c>
      <c r="D1950">
        <v>20</v>
      </c>
      <c r="E1950" t="s">
        <v>46</v>
      </c>
      <c r="F1950">
        <v>4</v>
      </c>
      <c r="G1950">
        <v>1</v>
      </c>
      <c r="H1950">
        <v>3</v>
      </c>
      <c r="I1950">
        <v>1</v>
      </c>
      <c r="J1950" s="4" t="s">
        <v>55</v>
      </c>
      <c r="K1950" t="str">
        <f t="shared" si="100"/>
        <v>1+3</v>
      </c>
      <c r="L1950">
        <f>VLOOKUP(A1950,'ZONE 1 PREMIUM'!$A$4:$N$16,14,0)</f>
        <v>11</v>
      </c>
      <c r="M1950">
        <f>VLOOKUP(D1950,DROPDOWN!B:C,2,0)</f>
        <v>8</v>
      </c>
      <c r="N1950" t="str">
        <f t="shared" si="98"/>
        <v>AU50:BM61</v>
      </c>
      <c r="O1950" s="4">
        <f t="shared" ca="1" si="99"/>
        <v>180502.875</v>
      </c>
    </row>
    <row r="1951" spans="1:15">
      <c r="A1951" s="2" t="s">
        <v>21</v>
      </c>
      <c r="B1951" t="s">
        <v>22</v>
      </c>
      <c r="D1951">
        <v>20</v>
      </c>
      <c r="E1951" t="s">
        <v>46</v>
      </c>
      <c r="F1951">
        <v>4</v>
      </c>
      <c r="G1951">
        <v>1</v>
      </c>
      <c r="H1951">
        <v>3</v>
      </c>
      <c r="I1951">
        <v>1</v>
      </c>
      <c r="J1951" s="4" t="s">
        <v>55</v>
      </c>
      <c r="K1951" t="str">
        <f t="shared" si="100"/>
        <v>1+3</v>
      </c>
      <c r="L1951">
        <f>VLOOKUP(A1951,'ZONE 1 PREMIUM'!$A$4:$N$16,14,0)</f>
        <v>12</v>
      </c>
      <c r="M1951">
        <f>VLOOKUP(D1951,DROPDOWN!B:C,2,0)</f>
        <v>8</v>
      </c>
      <c r="N1951" t="str">
        <f t="shared" si="98"/>
        <v>AU50:BM61</v>
      </c>
      <c r="O1951" s="4">
        <f t="shared" ca="1" si="99"/>
        <v>233514</v>
      </c>
    </row>
    <row r="1952" spans="1:15">
      <c r="A1952" s="2" t="s">
        <v>11</v>
      </c>
      <c r="B1952" t="s">
        <v>45</v>
      </c>
      <c r="C1952" t="s">
        <v>25</v>
      </c>
      <c r="D1952">
        <v>20</v>
      </c>
      <c r="E1952" t="s">
        <v>46</v>
      </c>
      <c r="F1952">
        <v>5</v>
      </c>
      <c r="G1952">
        <v>1</v>
      </c>
      <c r="H1952">
        <v>4</v>
      </c>
      <c r="I1952">
        <v>1</v>
      </c>
      <c r="J1952" s="4" t="s">
        <v>55</v>
      </c>
      <c r="K1952" t="str">
        <f t="shared" si="100"/>
        <v>1+4</v>
      </c>
      <c r="L1952">
        <f>VLOOKUP(A1952,'ZONE 1 PREMIUM'!$A$4:$N$16,14,0)</f>
        <v>2</v>
      </c>
      <c r="M1952">
        <f>VLOOKUP(D1952,DROPDOWN!B:C,2,0)</f>
        <v>8</v>
      </c>
      <c r="N1952" t="str">
        <f t="shared" si="98"/>
        <v>AU65:BM76</v>
      </c>
      <c r="O1952" s="4">
        <f t="shared" ca="1" si="99"/>
        <v>44569.125</v>
      </c>
    </row>
    <row r="1953" spans="1:15">
      <c r="A1953" s="2" t="s">
        <v>12</v>
      </c>
      <c r="B1953" t="s">
        <v>27</v>
      </c>
      <c r="C1953" t="s">
        <v>28</v>
      </c>
      <c r="D1953">
        <v>20</v>
      </c>
      <c r="E1953" t="s">
        <v>46</v>
      </c>
      <c r="F1953">
        <v>5</v>
      </c>
      <c r="G1953">
        <v>1</v>
      </c>
      <c r="H1953">
        <v>4</v>
      </c>
      <c r="I1953">
        <v>1</v>
      </c>
      <c r="J1953" s="4" t="s">
        <v>55</v>
      </c>
      <c r="K1953" t="str">
        <f t="shared" si="100"/>
        <v>1+4</v>
      </c>
      <c r="L1953">
        <f>VLOOKUP(A1953,'ZONE 1 PREMIUM'!$A$4:$N$16,14,0)</f>
        <v>3</v>
      </c>
      <c r="M1953">
        <f>VLOOKUP(D1953,DROPDOWN!B:C,2,0)</f>
        <v>8</v>
      </c>
      <c r="N1953" t="str">
        <f t="shared" si="98"/>
        <v>AU65:BM76</v>
      </c>
      <c r="O1953" s="4">
        <f t="shared" ca="1" si="99"/>
        <v>46534.5</v>
      </c>
    </row>
    <row r="1954" spans="1:15">
      <c r="A1954" s="2" t="s">
        <v>13</v>
      </c>
      <c r="B1954" t="s">
        <v>29</v>
      </c>
      <c r="C1954" t="s">
        <v>30</v>
      </c>
      <c r="D1954">
        <v>20</v>
      </c>
      <c r="E1954" t="s">
        <v>46</v>
      </c>
      <c r="F1954">
        <v>5</v>
      </c>
      <c r="G1954">
        <v>1</v>
      </c>
      <c r="H1954">
        <v>4</v>
      </c>
      <c r="I1954">
        <v>1</v>
      </c>
      <c r="J1954" s="4" t="s">
        <v>55</v>
      </c>
      <c r="K1954" t="str">
        <f t="shared" si="100"/>
        <v>1+4</v>
      </c>
      <c r="L1954">
        <f>VLOOKUP(A1954,'ZONE 1 PREMIUM'!$A$4:$N$16,14,0)</f>
        <v>4</v>
      </c>
      <c r="M1954">
        <f>VLOOKUP(D1954,DROPDOWN!B:C,2,0)</f>
        <v>8</v>
      </c>
      <c r="N1954" t="str">
        <f t="shared" si="98"/>
        <v>AU65:BM76</v>
      </c>
      <c r="O1954" s="4">
        <f t="shared" ca="1" si="99"/>
        <v>54012.375</v>
      </c>
    </row>
    <row r="1955" spans="1:15">
      <c r="A1955" s="2" t="s">
        <v>14</v>
      </c>
      <c r="B1955" t="s">
        <v>31</v>
      </c>
      <c r="C1955" t="s">
        <v>32</v>
      </c>
      <c r="D1955">
        <v>20</v>
      </c>
      <c r="E1955" t="s">
        <v>46</v>
      </c>
      <c r="F1955">
        <v>5</v>
      </c>
      <c r="G1955">
        <v>1</v>
      </c>
      <c r="H1955">
        <v>4</v>
      </c>
      <c r="I1955">
        <v>1</v>
      </c>
      <c r="J1955" s="4" t="s">
        <v>55</v>
      </c>
      <c r="K1955" t="str">
        <f t="shared" si="100"/>
        <v>1+4</v>
      </c>
      <c r="L1955">
        <f>VLOOKUP(A1955,'ZONE 1 PREMIUM'!$A$4:$N$16,14,0)</f>
        <v>5</v>
      </c>
      <c r="M1955">
        <f>VLOOKUP(D1955,DROPDOWN!B:C,2,0)</f>
        <v>8</v>
      </c>
      <c r="N1955" t="str">
        <f t="shared" si="98"/>
        <v>AU65:BM76</v>
      </c>
      <c r="O1955" s="4">
        <f t="shared" ca="1" si="99"/>
        <v>59728.5</v>
      </c>
    </row>
    <row r="1956" spans="1:15">
      <c r="A1956" s="2" t="s">
        <v>15</v>
      </c>
      <c r="B1956" t="s">
        <v>33</v>
      </c>
      <c r="C1956" t="s">
        <v>34</v>
      </c>
      <c r="D1956">
        <v>20</v>
      </c>
      <c r="E1956" t="s">
        <v>46</v>
      </c>
      <c r="F1956">
        <v>5</v>
      </c>
      <c r="G1956">
        <v>1</v>
      </c>
      <c r="H1956">
        <v>4</v>
      </c>
      <c r="I1956">
        <v>1</v>
      </c>
      <c r="J1956" s="4" t="s">
        <v>55</v>
      </c>
      <c r="K1956" t="str">
        <f t="shared" si="100"/>
        <v>1+4</v>
      </c>
      <c r="L1956">
        <f>VLOOKUP(A1956,'ZONE 1 PREMIUM'!$A$4:$N$16,14,0)</f>
        <v>6</v>
      </c>
      <c r="M1956">
        <f>VLOOKUP(D1956,DROPDOWN!B:C,2,0)</f>
        <v>8</v>
      </c>
      <c r="N1956" t="str">
        <f t="shared" si="98"/>
        <v>AU65:BM76</v>
      </c>
      <c r="O1956" s="4">
        <f t="shared" ca="1" si="99"/>
        <v>72609.75</v>
      </c>
    </row>
    <row r="1957" spans="1:15">
      <c r="A1957" s="2" t="s">
        <v>16</v>
      </c>
      <c r="B1957" t="s">
        <v>35</v>
      </c>
      <c r="C1957" t="s">
        <v>36</v>
      </c>
      <c r="D1957">
        <v>20</v>
      </c>
      <c r="E1957" t="s">
        <v>46</v>
      </c>
      <c r="F1957">
        <v>5</v>
      </c>
      <c r="G1957">
        <v>1</v>
      </c>
      <c r="H1957">
        <v>4</v>
      </c>
      <c r="I1957">
        <v>1</v>
      </c>
      <c r="J1957" s="4" t="s">
        <v>55</v>
      </c>
      <c r="K1957" t="str">
        <f t="shared" si="100"/>
        <v>1+4</v>
      </c>
      <c r="L1957">
        <f>VLOOKUP(A1957,'ZONE 1 PREMIUM'!$A$4:$N$16,14,0)</f>
        <v>7</v>
      </c>
      <c r="M1957">
        <f>VLOOKUP(D1957,DROPDOWN!B:C,2,0)</f>
        <v>8</v>
      </c>
      <c r="N1957" t="str">
        <f t="shared" si="98"/>
        <v>AU65:BM76</v>
      </c>
      <c r="O1957" s="4">
        <f t="shared" ca="1" si="99"/>
        <v>88564.5</v>
      </c>
    </row>
    <row r="1958" spans="1:15">
      <c r="A1958" s="2" t="s">
        <v>17</v>
      </c>
      <c r="B1958" t="s">
        <v>37</v>
      </c>
      <c r="C1958" t="s">
        <v>38</v>
      </c>
      <c r="D1958">
        <v>20</v>
      </c>
      <c r="E1958" t="s">
        <v>46</v>
      </c>
      <c r="F1958">
        <v>5</v>
      </c>
      <c r="G1958">
        <v>1</v>
      </c>
      <c r="H1958">
        <v>4</v>
      </c>
      <c r="I1958">
        <v>1</v>
      </c>
      <c r="J1958" s="4" t="s">
        <v>55</v>
      </c>
      <c r="K1958" t="str">
        <f t="shared" si="100"/>
        <v>1+4</v>
      </c>
      <c r="L1958">
        <f>VLOOKUP(A1958,'ZONE 1 PREMIUM'!$A$4:$N$16,14,0)</f>
        <v>8</v>
      </c>
      <c r="M1958">
        <f>VLOOKUP(D1958,DROPDOWN!B:C,2,0)</f>
        <v>8</v>
      </c>
      <c r="N1958" t="str">
        <f t="shared" si="98"/>
        <v>AU65:BM76</v>
      </c>
      <c r="O1958" s="4">
        <f t="shared" ca="1" si="99"/>
        <v>107178.75</v>
      </c>
    </row>
    <row r="1959" spans="1:15">
      <c r="A1959" s="2" t="s">
        <v>18</v>
      </c>
      <c r="B1959" t="s">
        <v>39</v>
      </c>
      <c r="C1959" t="s">
        <v>40</v>
      </c>
      <c r="D1959">
        <v>20</v>
      </c>
      <c r="E1959" t="s">
        <v>46</v>
      </c>
      <c r="F1959">
        <v>5</v>
      </c>
      <c r="G1959">
        <v>1</v>
      </c>
      <c r="H1959">
        <v>4</v>
      </c>
      <c r="I1959">
        <v>1</v>
      </c>
      <c r="J1959" s="4" t="s">
        <v>55</v>
      </c>
      <c r="K1959" t="str">
        <f t="shared" si="100"/>
        <v>1+4</v>
      </c>
      <c r="L1959">
        <f>VLOOKUP(A1959,'ZONE 1 PREMIUM'!$A$4:$N$16,14,0)</f>
        <v>9</v>
      </c>
      <c r="M1959">
        <f>VLOOKUP(D1959,DROPDOWN!B:C,2,0)</f>
        <v>8</v>
      </c>
      <c r="N1959" t="str">
        <f t="shared" si="98"/>
        <v>AU65:BM76</v>
      </c>
      <c r="O1959" s="4">
        <f t="shared" ca="1" si="99"/>
        <v>135022.5</v>
      </c>
    </row>
    <row r="1960" spans="1:15">
      <c r="A1960" s="2" t="s">
        <v>19</v>
      </c>
      <c r="B1960" t="s">
        <v>41</v>
      </c>
      <c r="C1960" t="s">
        <v>42</v>
      </c>
      <c r="D1960">
        <v>20</v>
      </c>
      <c r="E1960" t="s">
        <v>46</v>
      </c>
      <c r="F1960">
        <v>5</v>
      </c>
      <c r="G1960">
        <v>1</v>
      </c>
      <c r="H1960">
        <v>4</v>
      </c>
      <c r="I1960">
        <v>1</v>
      </c>
      <c r="J1960" s="4" t="s">
        <v>55</v>
      </c>
      <c r="K1960" t="str">
        <f t="shared" si="100"/>
        <v>1+4</v>
      </c>
      <c r="L1960">
        <f>VLOOKUP(A1960,'ZONE 1 PREMIUM'!$A$4:$N$16,14,0)</f>
        <v>10</v>
      </c>
      <c r="M1960">
        <f>VLOOKUP(D1960,DROPDOWN!B:C,2,0)</f>
        <v>8</v>
      </c>
      <c r="N1960" t="str">
        <f t="shared" si="98"/>
        <v>AU65:BM76</v>
      </c>
      <c r="O1960" s="4">
        <f t="shared" ca="1" si="99"/>
        <v>163326.375</v>
      </c>
    </row>
    <row r="1961" spans="1:15">
      <c r="A1961" s="2" t="s">
        <v>20</v>
      </c>
      <c r="B1961" t="s">
        <v>43</v>
      </c>
      <c r="C1961" t="s">
        <v>44</v>
      </c>
      <c r="D1961">
        <v>20</v>
      </c>
      <c r="E1961" t="s">
        <v>46</v>
      </c>
      <c r="F1961">
        <v>5</v>
      </c>
      <c r="G1961">
        <v>1</v>
      </c>
      <c r="H1961">
        <v>4</v>
      </c>
      <c r="I1961">
        <v>1</v>
      </c>
      <c r="J1961" s="4" t="s">
        <v>55</v>
      </c>
      <c r="K1961" t="str">
        <f t="shared" si="100"/>
        <v>1+4</v>
      </c>
      <c r="L1961">
        <f>VLOOKUP(A1961,'ZONE 1 PREMIUM'!$A$4:$N$16,14,0)</f>
        <v>11</v>
      </c>
      <c r="M1961">
        <f>VLOOKUP(D1961,DROPDOWN!B:C,2,0)</f>
        <v>8</v>
      </c>
      <c r="N1961" t="str">
        <f t="shared" si="98"/>
        <v>AU65:BM76</v>
      </c>
      <c r="O1961" s="4">
        <f t="shared" ca="1" si="99"/>
        <v>189281.25</v>
      </c>
    </row>
    <row r="1962" spans="1:15">
      <c r="A1962" s="2" t="s">
        <v>21</v>
      </c>
      <c r="B1962" t="s">
        <v>22</v>
      </c>
      <c r="D1962">
        <v>20</v>
      </c>
      <c r="E1962" t="s">
        <v>46</v>
      </c>
      <c r="F1962">
        <v>5</v>
      </c>
      <c r="G1962">
        <v>1</v>
      </c>
      <c r="H1962">
        <v>4</v>
      </c>
      <c r="I1962">
        <v>1</v>
      </c>
      <c r="J1962" s="4" t="s">
        <v>55</v>
      </c>
      <c r="K1962" t="str">
        <f t="shared" si="100"/>
        <v>1+4</v>
      </c>
      <c r="L1962">
        <f>VLOOKUP(A1962,'ZONE 1 PREMIUM'!$A$4:$N$16,14,0)</f>
        <v>12</v>
      </c>
      <c r="M1962">
        <f>VLOOKUP(D1962,DROPDOWN!B:C,2,0)</f>
        <v>8</v>
      </c>
      <c r="N1962" t="str">
        <f t="shared" si="98"/>
        <v>AU65:BM76</v>
      </c>
      <c r="O1962" s="4">
        <f t="shared" ca="1" si="99"/>
        <v>242582.625</v>
      </c>
    </row>
    <row r="1963" spans="1:15">
      <c r="A1963" s="2" t="s">
        <v>11</v>
      </c>
      <c r="B1963" t="s">
        <v>45</v>
      </c>
      <c r="C1963" t="s">
        <v>25</v>
      </c>
      <c r="D1963">
        <v>20</v>
      </c>
      <c r="E1963" t="s">
        <v>46</v>
      </c>
      <c r="F1963">
        <v>2</v>
      </c>
      <c r="G1963">
        <v>2</v>
      </c>
      <c r="H1963">
        <v>0</v>
      </c>
      <c r="I1963">
        <v>1</v>
      </c>
      <c r="J1963" s="4" t="s">
        <v>55</v>
      </c>
      <c r="K1963" t="str">
        <f t="shared" si="100"/>
        <v>2+0</v>
      </c>
      <c r="L1963">
        <f>VLOOKUP(A1963,'ZONE 1 PREMIUM'!$A$4:$N$16,14,0)</f>
        <v>2</v>
      </c>
      <c r="M1963">
        <f>VLOOKUP(D1963,DROPDOWN!B:C,2,0)</f>
        <v>8</v>
      </c>
      <c r="N1963" t="str">
        <f t="shared" si="98"/>
        <v>AU81:BM92</v>
      </c>
      <c r="O1963" s="4">
        <f t="shared" ca="1" si="99"/>
        <v>33078.375</v>
      </c>
    </row>
    <row r="1964" spans="1:15">
      <c r="A1964" s="2" t="s">
        <v>12</v>
      </c>
      <c r="B1964" t="s">
        <v>27</v>
      </c>
      <c r="C1964" t="s">
        <v>28</v>
      </c>
      <c r="D1964">
        <v>20</v>
      </c>
      <c r="E1964" t="s">
        <v>46</v>
      </c>
      <c r="F1964">
        <v>2</v>
      </c>
      <c r="G1964">
        <v>2</v>
      </c>
      <c r="H1964">
        <v>0</v>
      </c>
      <c r="I1964">
        <v>1</v>
      </c>
      <c r="J1964" s="4" t="s">
        <v>55</v>
      </c>
      <c r="K1964" t="str">
        <f t="shared" si="100"/>
        <v>2+0</v>
      </c>
      <c r="L1964">
        <f>VLOOKUP(A1964,'ZONE 1 PREMIUM'!$A$4:$N$16,14,0)</f>
        <v>3</v>
      </c>
      <c r="M1964">
        <f>VLOOKUP(D1964,DROPDOWN!B:C,2,0)</f>
        <v>8</v>
      </c>
      <c r="N1964" t="str">
        <f t="shared" si="98"/>
        <v>AU81:BM92</v>
      </c>
      <c r="O1964" s="4">
        <f t="shared" ca="1" si="99"/>
        <v>37632.375</v>
      </c>
    </row>
    <row r="1965" spans="1:15">
      <c r="A1965" s="2" t="s">
        <v>13</v>
      </c>
      <c r="B1965" t="s">
        <v>29</v>
      </c>
      <c r="C1965" t="s">
        <v>30</v>
      </c>
      <c r="D1965">
        <v>20</v>
      </c>
      <c r="E1965" t="s">
        <v>46</v>
      </c>
      <c r="F1965">
        <v>2</v>
      </c>
      <c r="G1965">
        <v>2</v>
      </c>
      <c r="H1965">
        <v>0</v>
      </c>
      <c r="I1965">
        <v>1</v>
      </c>
      <c r="J1965" s="4" t="s">
        <v>55</v>
      </c>
      <c r="K1965" t="str">
        <f t="shared" si="100"/>
        <v>2+0</v>
      </c>
      <c r="L1965">
        <f>VLOOKUP(A1965,'ZONE 1 PREMIUM'!$A$4:$N$16,14,0)</f>
        <v>4</v>
      </c>
      <c r="M1965">
        <f>VLOOKUP(D1965,DROPDOWN!B:C,2,0)</f>
        <v>8</v>
      </c>
      <c r="N1965" t="str">
        <f t="shared" si="98"/>
        <v>AU81:BM92</v>
      </c>
      <c r="O1965" s="4">
        <f t="shared" ca="1" si="99"/>
        <v>41801.625</v>
      </c>
    </row>
    <row r="1966" spans="1:15">
      <c r="A1966" s="2" t="s">
        <v>14</v>
      </c>
      <c r="B1966" t="s">
        <v>31</v>
      </c>
      <c r="C1966" t="s">
        <v>32</v>
      </c>
      <c r="D1966">
        <v>20</v>
      </c>
      <c r="E1966" t="s">
        <v>46</v>
      </c>
      <c r="F1966">
        <v>2</v>
      </c>
      <c r="G1966">
        <v>2</v>
      </c>
      <c r="H1966">
        <v>0</v>
      </c>
      <c r="I1966">
        <v>1</v>
      </c>
      <c r="J1966" s="4" t="s">
        <v>55</v>
      </c>
      <c r="K1966" t="str">
        <f t="shared" si="100"/>
        <v>2+0</v>
      </c>
      <c r="L1966">
        <f>VLOOKUP(A1966,'ZONE 1 PREMIUM'!$A$4:$N$16,14,0)</f>
        <v>5</v>
      </c>
      <c r="M1966">
        <f>VLOOKUP(D1966,DROPDOWN!B:C,2,0)</f>
        <v>8</v>
      </c>
      <c r="N1966" t="str">
        <f t="shared" si="98"/>
        <v>AU81:BM92</v>
      </c>
      <c r="O1966" s="4">
        <f t="shared" ca="1" si="99"/>
        <v>48433.5</v>
      </c>
    </row>
    <row r="1967" spans="1:15">
      <c r="A1967" s="2" t="s">
        <v>15</v>
      </c>
      <c r="B1967" t="s">
        <v>33</v>
      </c>
      <c r="C1967" t="s">
        <v>34</v>
      </c>
      <c r="D1967">
        <v>20</v>
      </c>
      <c r="E1967" t="s">
        <v>46</v>
      </c>
      <c r="F1967">
        <v>2</v>
      </c>
      <c r="G1967">
        <v>2</v>
      </c>
      <c r="H1967">
        <v>0</v>
      </c>
      <c r="I1967">
        <v>1</v>
      </c>
      <c r="J1967" s="4" t="s">
        <v>55</v>
      </c>
      <c r="K1967" t="str">
        <f t="shared" si="100"/>
        <v>2+0</v>
      </c>
      <c r="L1967">
        <f>VLOOKUP(A1967,'ZONE 1 PREMIUM'!$A$4:$N$16,14,0)</f>
        <v>6</v>
      </c>
      <c r="M1967">
        <f>VLOOKUP(D1967,DROPDOWN!B:C,2,0)</f>
        <v>8</v>
      </c>
      <c r="N1967" t="str">
        <f t="shared" si="98"/>
        <v>AU81:BM92</v>
      </c>
      <c r="O1967" s="4">
        <f t="shared" ca="1" si="99"/>
        <v>62082</v>
      </c>
    </row>
    <row r="1968" spans="1:15">
      <c r="A1968" s="2" t="s">
        <v>16</v>
      </c>
      <c r="B1968" t="s">
        <v>35</v>
      </c>
      <c r="C1968" t="s">
        <v>36</v>
      </c>
      <c r="D1968">
        <v>20</v>
      </c>
      <c r="E1968" t="s">
        <v>46</v>
      </c>
      <c r="F1968">
        <v>2</v>
      </c>
      <c r="G1968">
        <v>2</v>
      </c>
      <c r="H1968">
        <v>0</v>
      </c>
      <c r="I1968">
        <v>1</v>
      </c>
      <c r="J1968" s="4" t="s">
        <v>55</v>
      </c>
      <c r="K1968" t="str">
        <f t="shared" si="100"/>
        <v>2+0</v>
      </c>
      <c r="L1968">
        <f>VLOOKUP(A1968,'ZONE 1 PREMIUM'!$A$4:$N$16,14,0)</f>
        <v>7</v>
      </c>
      <c r="M1968">
        <f>VLOOKUP(D1968,DROPDOWN!B:C,2,0)</f>
        <v>8</v>
      </c>
      <c r="N1968" t="str">
        <f t="shared" si="98"/>
        <v>AU81:BM92</v>
      </c>
      <c r="O1968" s="4">
        <f t="shared" ca="1" si="99"/>
        <v>82120.5</v>
      </c>
    </row>
    <row r="1969" spans="1:15">
      <c r="A1969" s="2" t="s">
        <v>17</v>
      </c>
      <c r="B1969" t="s">
        <v>37</v>
      </c>
      <c r="C1969" t="s">
        <v>38</v>
      </c>
      <c r="D1969">
        <v>20</v>
      </c>
      <c r="E1969" t="s">
        <v>46</v>
      </c>
      <c r="F1969">
        <v>2</v>
      </c>
      <c r="G1969">
        <v>2</v>
      </c>
      <c r="H1969">
        <v>0</v>
      </c>
      <c r="I1969">
        <v>1</v>
      </c>
      <c r="J1969" s="4" t="s">
        <v>55</v>
      </c>
      <c r="K1969" t="str">
        <f t="shared" si="100"/>
        <v>2+0</v>
      </c>
      <c r="L1969">
        <f>VLOOKUP(A1969,'ZONE 1 PREMIUM'!$A$4:$N$16,14,0)</f>
        <v>8</v>
      </c>
      <c r="M1969">
        <f>VLOOKUP(D1969,DROPDOWN!B:C,2,0)</f>
        <v>8</v>
      </c>
      <c r="N1969" t="str">
        <f t="shared" si="98"/>
        <v>AU81:BM92</v>
      </c>
      <c r="O1969" s="4">
        <f t="shared" ca="1" si="99"/>
        <v>113270.625</v>
      </c>
    </row>
    <row r="1970" spans="1:15">
      <c r="A1970" s="2" t="s">
        <v>18</v>
      </c>
      <c r="B1970" t="s">
        <v>39</v>
      </c>
      <c r="C1970" t="s">
        <v>40</v>
      </c>
      <c r="D1970">
        <v>20</v>
      </c>
      <c r="E1970" t="s">
        <v>46</v>
      </c>
      <c r="F1970">
        <v>2</v>
      </c>
      <c r="G1970">
        <v>2</v>
      </c>
      <c r="H1970">
        <v>0</v>
      </c>
      <c r="I1970">
        <v>1</v>
      </c>
      <c r="J1970" s="4" t="s">
        <v>55</v>
      </c>
      <c r="K1970" t="str">
        <f t="shared" si="100"/>
        <v>2+0</v>
      </c>
      <c r="L1970">
        <f>VLOOKUP(A1970,'ZONE 1 PREMIUM'!$A$4:$N$16,14,0)</f>
        <v>9</v>
      </c>
      <c r="M1970">
        <f>VLOOKUP(D1970,DROPDOWN!B:C,2,0)</f>
        <v>8</v>
      </c>
      <c r="N1970" t="str">
        <f t="shared" ref="N1970:N2017" si="101">VLOOKUP(K1970,$BN$3:$BO$12,2,0)</f>
        <v>AU81:BM92</v>
      </c>
      <c r="O1970" s="4">
        <f t="shared" ca="1" si="99"/>
        <v>160029</v>
      </c>
    </row>
    <row r="1971" spans="1:15">
      <c r="A1971" s="2" t="s">
        <v>19</v>
      </c>
      <c r="B1971" t="s">
        <v>41</v>
      </c>
      <c r="C1971" t="s">
        <v>42</v>
      </c>
      <c r="D1971">
        <v>20</v>
      </c>
      <c r="E1971" t="s">
        <v>46</v>
      </c>
      <c r="F1971">
        <v>2</v>
      </c>
      <c r="G1971">
        <v>2</v>
      </c>
      <c r="H1971">
        <v>0</v>
      </c>
      <c r="I1971">
        <v>1</v>
      </c>
      <c r="J1971" s="4" t="s">
        <v>55</v>
      </c>
      <c r="K1971" t="str">
        <f t="shared" si="100"/>
        <v>2+0</v>
      </c>
      <c r="L1971">
        <f>VLOOKUP(A1971,'ZONE 1 PREMIUM'!$A$4:$N$16,14,0)</f>
        <v>10</v>
      </c>
      <c r="M1971">
        <f>VLOOKUP(D1971,DROPDOWN!B:C,2,0)</f>
        <v>8</v>
      </c>
      <c r="N1971" t="str">
        <f t="shared" si="101"/>
        <v>AU81:BM92</v>
      </c>
      <c r="O1971" s="4">
        <f t="shared" ca="1" si="99"/>
        <v>222177.375</v>
      </c>
    </row>
    <row r="1972" spans="1:15">
      <c r="A1972" s="2" t="s">
        <v>20</v>
      </c>
      <c r="B1972" t="s">
        <v>43</v>
      </c>
      <c r="C1972" t="s">
        <v>44</v>
      </c>
      <c r="D1972">
        <v>20</v>
      </c>
      <c r="E1972" t="s">
        <v>46</v>
      </c>
      <c r="F1972">
        <v>2</v>
      </c>
      <c r="G1972">
        <v>2</v>
      </c>
      <c r="H1972">
        <v>0</v>
      </c>
      <c r="I1972">
        <v>1</v>
      </c>
      <c r="J1972" s="4" t="s">
        <v>55</v>
      </c>
      <c r="K1972" t="str">
        <f t="shared" si="100"/>
        <v>2+0</v>
      </c>
      <c r="L1972">
        <f>VLOOKUP(A1972,'ZONE 1 PREMIUM'!$A$4:$N$16,14,0)</f>
        <v>11</v>
      </c>
      <c r="M1972">
        <f>VLOOKUP(D1972,DROPDOWN!B:C,2,0)</f>
        <v>8</v>
      </c>
      <c r="N1972" t="str">
        <f t="shared" si="101"/>
        <v>AU81:BM92</v>
      </c>
      <c r="O1972" s="4">
        <f t="shared" ca="1" si="99"/>
        <v>274916.25</v>
      </c>
    </row>
    <row r="1973" spans="1:15">
      <c r="A1973" s="2" t="s">
        <v>21</v>
      </c>
      <c r="B1973" t="s">
        <v>22</v>
      </c>
      <c r="D1973">
        <v>20</v>
      </c>
      <c r="E1973" t="s">
        <v>46</v>
      </c>
      <c r="F1973">
        <v>2</v>
      </c>
      <c r="G1973">
        <v>2</v>
      </c>
      <c r="H1973">
        <v>0</v>
      </c>
      <c r="I1973">
        <v>1</v>
      </c>
      <c r="J1973" s="4" t="s">
        <v>55</v>
      </c>
      <c r="K1973" t="str">
        <f t="shared" si="100"/>
        <v>2+0</v>
      </c>
      <c r="L1973">
        <f>VLOOKUP(A1973,'ZONE 1 PREMIUM'!$A$4:$N$16,14,0)</f>
        <v>12</v>
      </c>
      <c r="M1973">
        <f>VLOOKUP(D1973,DROPDOWN!B:C,2,0)</f>
        <v>8</v>
      </c>
      <c r="N1973" t="str">
        <f t="shared" si="101"/>
        <v>AU81:BM92</v>
      </c>
      <c r="O1973" s="4">
        <f t="shared" ca="1" si="99"/>
        <v>352182.375</v>
      </c>
    </row>
    <row r="1974" spans="1:15">
      <c r="A1974" s="2" t="s">
        <v>11</v>
      </c>
      <c r="B1974" t="s">
        <v>45</v>
      </c>
      <c r="C1974" t="s">
        <v>25</v>
      </c>
      <c r="D1974">
        <v>20</v>
      </c>
      <c r="E1974" t="s">
        <v>46</v>
      </c>
      <c r="F1974">
        <v>3</v>
      </c>
      <c r="G1974">
        <v>2</v>
      </c>
      <c r="H1974">
        <v>1</v>
      </c>
      <c r="I1974">
        <v>1</v>
      </c>
      <c r="J1974" s="4" t="s">
        <v>55</v>
      </c>
      <c r="K1974" t="str">
        <f t="shared" si="100"/>
        <v>2+1</v>
      </c>
      <c r="L1974">
        <f>VLOOKUP(A1974,'ZONE 1 PREMIUM'!$A$4:$N$16,14,0)</f>
        <v>2</v>
      </c>
      <c r="M1974">
        <f>VLOOKUP(D1974,DROPDOWN!B:C,2,0)</f>
        <v>8</v>
      </c>
      <c r="N1974" t="str">
        <f t="shared" si="101"/>
        <v>AU98:BM109</v>
      </c>
      <c r="O1974" s="4">
        <f t="shared" ca="1" si="99"/>
        <v>40204.125</v>
      </c>
    </row>
    <row r="1975" spans="1:15">
      <c r="A1975" s="2" t="s">
        <v>12</v>
      </c>
      <c r="B1975" t="s">
        <v>27</v>
      </c>
      <c r="C1975" t="s">
        <v>28</v>
      </c>
      <c r="D1975">
        <v>20</v>
      </c>
      <c r="E1975" t="s">
        <v>46</v>
      </c>
      <c r="F1975">
        <v>3</v>
      </c>
      <c r="G1975">
        <v>2</v>
      </c>
      <c r="H1975">
        <v>1</v>
      </c>
      <c r="I1975">
        <v>1</v>
      </c>
      <c r="J1975" s="4" t="s">
        <v>55</v>
      </c>
      <c r="K1975" t="str">
        <f t="shared" si="100"/>
        <v>2+1</v>
      </c>
      <c r="L1975">
        <f>VLOOKUP(A1975,'ZONE 1 PREMIUM'!$A$4:$N$16,14,0)</f>
        <v>3</v>
      </c>
      <c r="M1975">
        <f>VLOOKUP(D1975,DROPDOWN!B:C,2,0)</f>
        <v>8</v>
      </c>
      <c r="N1975" t="str">
        <f t="shared" si="101"/>
        <v>AU98:BM109</v>
      </c>
      <c r="O1975" s="4">
        <f t="shared" ca="1" si="99"/>
        <v>44633.25</v>
      </c>
    </row>
    <row r="1976" spans="1:15">
      <c r="A1976" s="2" t="s">
        <v>13</v>
      </c>
      <c r="B1976" t="s">
        <v>29</v>
      </c>
      <c r="C1976" t="s">
        <v>30</v>
      </c>
      <c r="D1976">
        <v>20</v>
      </c>
      <c r="E1976" t="s">
        <v>46</v>
      </c>
      <c r="F1976">
        <v>3</v>
      </c>
      <c r="G1976">
        <v>2</v>
      </c>
      <c r="H1976">
        <v>1</v>
      </c>
      <c r="I1976">
        <v>1</v>
      </c>
      <c r="J1976" s="4" t="s">
        <v>55</v>
      </c>
      <c r="K1976" t="str">
        <f t="shared" si="100"/>
        <v>2+1</v>
      </c>
      <c r="L1976">
        <f>VLOOKUP(A1976,'ZONE 1 PREMIUM'!$A$4:$N$16,14,0)</f>
        <v>4</v>
      </c>
      <c r="M1976">
        <f>VLOOKUP(D1976,DROPDOWN!B:C,2,0)</f>
        <v>8</v>
      </c>
      <c r="N1976" t="str">
        <f t="shared" si="101"/>
        <v>AU98:BM109</v>
      </c>
      <c r="O1976" s="4">
        <f t="shared" ca="1" si="99"/>
        <v>49995</v>
      </c>
    </row>
    <row r="1977" spans="1:15">
      <c r="A1977" s="2" t="s">
        <v>14</v>
      </c>
      <c r="B1977" t="s">
        <v>31</v>
      </c>
      <c r="C1977" t="s">
        <v>32</v>
      </c>
      <c r="D1977">
        <v>20</v>
      </c>
      <c r="E1977" t="s">
        <v>46</v>
      </c>
      <c r="F1977">
        <v>3</v>
      </c>
      <c r="G1977">
        <v>2</v>
      </c>
      <c r="H1977">
        <v>1</v>
      </c>
      <c r="I1977">
        <v>1</v>
      </c>
      <c r="J1977" s="4" t="s">
        <v>55</v>
      </c>
      <c r="K1977" t="str">
        <f t="shared" si="100"/>
        <v>2+1</v>
      </c>
      <c r="L1977">
        <f>VLOOKUP(A1977,'ZONE 1 PREMIUM'!$A$4:$N$16,14,0)</f>
        <v>5</v>
      </c>
      <c r="M1977">
        <f>VLOOKUP(D1977,DROPDOWN!B:C,2,0)</f>
        <v>8</v>
      </c>
      <c r="N1977" t="str">
        <f t="shared" si="101"/>
        <v>AU98:BM109</v>
      </c>
      <c r="O1977" s="4">
        <f t="shared" ca="1" si="99"/>
        <v>57213</v>
      </c>
    </row>
    <row r="1978" spans="1:15">
      <c r="A1978" s="2" t="s">
        <v>15</v>
      </c>
      <c r="B1978" t="s">
        <v>33</v>
      </c>
      <c r="C1978" t="s">
        <v>34</v>
      </c>
      <c r="D1978">
        <v>20</v>
      </c>
      <c r="E1978" t="s">
        <v>46</v>
      </c>
      <c r="F1978">
        <v>3</v>
      </c>
      <c r="G1978">
        <v>2</v>
      </c>
      <c r="H1978">
        <v>1</v>
      </c>
      <c r="I1978">
        <v>1</v>
      </c>
      <c r="J1978" s="4" t="s">
        <v>55</v>
      </c>
      <c r="K1978" t="str">
        <f t="shared" si="100"/>
        <v>2+1</v>
      </c>
      <c r="L1978">
        <f>VLOOKUP(A1978,'ZONE 1 PREMIUM'!$A$4:$N$16,14,0)</f>
        <v>6</v>
      </c>
      <c r="M1978">
        <f>VLOOKUP(D1978,DROPDOWN!B:C,2,0)</f>
        <v>8</v>
      </c>
      <c r="N1978" t="str">
        <f t="shared" si="101"/>
        <v>AU98:BM109</v>
      </c>
      <c r="O1978" s="4">
        <f t="shared" ca="1" si="99"/>
        <v>71977.5</v>
      </c>
    </row>
    <row r="1979" spans="1:15">
      <c r="A1979" s="2" t="s">
        <v>16</v>
      </c>
      <c r="B1979" t="s">
        <v>35</v>
      </c>
      <c r="C1979" t="s">
        <v>36</v>
      </c>
      <c r="D1979">
        <v>20</v>
      </c>
      <c r="E1979" t="s">
        <v>46</v>
      </c>
      <c r="F1979">
        <v>3</v>
      </c>
      <c r="G1979">
        <v>2</v>
      </c>
      <c r="H1979">
        <v>1</v>
      </c>
      <c r="I1979">
        <v>1</v>
      </c>
      <c r="J1979" s="4" t="s">
        <v>55</v>
      </c>
      <c r="K1979" t="str">
        <f t="shared" si="100"/>
        <v>2+1</v>
      </c>
      <c r="L1979">
        <f>VLOOKUP(A1979,'ZONE 1 PREMIUM'!$A$4:$N$16,14,0)</f>
        <v>7</v>
      </c>
      <c r="M1979">
        <f>VLOOKUP(D1979,DROPDOWN!B:C,2,0)</f>
        <v>8</v>
      </c>
      <c r="N1979" t="str">
        <f t="shared" si="101"/>
        <v>AU98:BM109</v>
      </c>
      <c r="O1979" s="4">
        <f t="shared" ca="1" si="99"/>
        <v>94429.125</v>
      </c>
    </row>
    <row r="1980" spans="1:15">
      <c r="A1980" s="2" t="s">
        <v>17</v>
      </c>
      <c r="B1980" t="s">
        <v>37</v>
      </c>
      <c r="C1980" t="s">
        <v>38</v>
      </c>
      <c r="D1980">
        <v>20</v>
      </c>
      <c r="E1980" t="s">
        <v>46</v>
      </c>
      <c r="F1980">
        <v>3</v>
      </c>
      <c r="G1980">
        <v>2</v>
      </c>
      <c r="H1980">
        <v>1</v>
      </c>
      <c r="I1980">
        <v>1</v>
      </c>
      <c r="J1980" s="4" t="s">
        <v>55</v>
      </c>
      <c r="K1980" t="str">
        <f t="shared" si="100"/>
        <v>2+1</v>
      </c>
      <c r="L1980">
        <f>VLOOKUP(A1980,'ZONE 1 PREMIUM'!$A$4:$N$16,14,0)</f>
        <v>8</v>
      </c>
      <c r="M1980">
        <f>VLOOKUP(D1980,DROPDOWN!B:C,2,0)</f>
        <v>8</v>
      </c>
      <c r="N1980" t="str">
        <f t="shared" si="101"/>
        <v>AU98:BM109</v>
      </c>
      <c r="O1980" s="4">
        <f t="shared" ca="1" si="99"/>
        <v>126544.5</v>
      </c>
    </row>
    <row r="1981" spans="1:15">
      <c r="A1981" s="2" t="s">
        <v>18</v>
      </c>
      <c r="B1981" t="s">
        <v>39</v>
      </c>
      <c r="C1981" t="s">
        <v>40</v>
      </c>
      <c r="D1981">
        <v>20</v>
      </c>
      <c r="E1981" t="s">
        <v>46</v>
      </c>
      <c r="F1981">
        <v>3</v>
      </c>
      <c r="G1981">
        <v>2</v>
      </c>
      <c r="H1981">
        <v>1</v>
      </c>
      <c r="I1981">
        <v>1</v>
      </c>
      <c r="J1981" s="4" t="s">
        <v>55</v>
      </c>
      <c r="K1981" t="str">
        <f t="shared" si="100"/>
        <v>2+1</v>
      </c>
      <c r="L1981">
        <f>VLOOKUP(A1981,'ZONE 1 PREMIUM'!$A$4:$N$16,14,0)</f>
        <v>9</v>
      </c>
      <c r="M1981">
        <f>VLOOKUP(D1981,DROPDOWN!B:C,2,0)</f>
        <v>8</v>
      </c>
      <c r="N1981" t="str">
        <f t="shared" si="101"/>
        <v>AU98:BM109</v>
      </c>
      <c r="O1981" s="4">
        <f t="shared" ca="1" si="99"/>
        <v>173543.625</v>
      </c>
    </row>
    <row r="1982" spans="1:15">
      <c r="A1982" s="2" t="s">
        <v>19</v>
      </c>
      <c r="B1982" t="s">
        <v>41</v>
      </c>
      <c r="C1982" t="s">
        <v>42</v>
      </c>
      <c r="D1982">
        <v>20</v>
      </c>
      <c r="E1982" t="s">
        <v>46</v>
      </c>
      <c r="F1982">
        <v>3</v>
      </c>
      <c r="G1982">
        <v>2</v>
      </c>
      <c r="H1982">
        <v>1</v>
      </c>
      <c r="I1982">
        <v>1</v>
      </c>
      <c r="J1982" s="4" t="s">
        <v>55</v>
      </c>
      <c r="K1982" t="str">
        <f t="shared" si="100"/>
        <v>2+1</v>
      </c>
      <c r="L1982">
        <f>VLOOKUP(A1982,'ZONE 1 PREMIUM'!$A$4:$N$16,14,0)</f>
        <v>10</v>
      </c>
      <c r="M1982">
        <f>VLOOKUP(D1982,DROPDOWN!B:C,2,0)</f>
        <v>8</v>
      </c>
      <c r="N1982" t="str">
        <f t="shared" si="101"/>
        <v>AU98:BM109</v>
      </c>
      <c r="O1982" s="4">
        <f t="shared" ca="1" si="99"/>
        <v>230740.875</v>
      </c>
    </row>
    <row r="1983" spans="1:15">
      <c r="A1983" s="2" t="s">
        <v>20</v>
      </c>
      <c r="B1983" t="s">
        <v>43</v>
      </c>
      <c r="C1983" t="s">
        <v>44</v>
      </c>
      <c r="D1983">
        <v>20</v>
      </c>
      <c r="E1983" t="s">
        <v>46</v>
      </c>
      <c r="F1983">
        <v>3</v>
      </c>
      <c r="G1983">
        <v>2</v>
      </c>
      <c r="H1983">
        <v>1</v>
      </c>
      <c r="I1983">
        <v>1</v>
      </c>
      <c r="J1983" s="4" t="s">
        <v>55</v>
      </c>
      <c r="K1983" t="str">
        <f t="shared" si="100"/>
        <v>2+1</v>
      </c>
      <c r="L1983">
        <f>VLOOKUP(A1983,'ZONE 1 PREMIUM'!$A$4:$N$16,14,0)</f>
        <v>11</v>
      </c>
      <c r="M1983">
        <f>VLOOKUP(D1983,DROPDOWN!B:C,2,0)</f>
        <v>8</v>
      </c>
      <c r="N1983" t="str">
        <f t="shared" si="101"/>
        <v>AU98:BM109</v>
      </c>
      <c r="O1983" s="4">
        <f t="shared" ca="1" si="99"/>
        <v>281673</v>
      </c>
    </row>
    <row r="1984" spans="1:15">
      <c r="A1984" s="2" t="s">
        <v>21</v>
      </c>
      <c r="B1984" t="s">
        <v>22</v>
      </c>
      <c r="D1984">
        <v>20</v>
      </c>
      <c r="E1984" t="s">
        <v>46</v>
      </c>
      <c r="F1984">
        <v>3</v>
      </c>
      <c r="G1984">
        <v>2</v>
      </c>
      <c r="H1984">
        <v>1</v>
      </c>
      <c r="I1984">
        <v>1</v>
      </c>
      <c r="J1984" s="4" t="s">
        <v>55</v>
      </c>
      <c r="K1984" t="str">
        <f t="shared" si="100"/>
        <v>2+1</v>
      </c>
      <c r="L1984">
        <f>VLOOKUP(A1984,'ZONE 1 PREMIUM'!$A$4:$N$16,14,0)</f>
        <v>12</v>
      </c>
      <c r="M1984">
        <f>VLOOKUP(D1984,DROPDOWN!B:C,2,0)</f>
        <v>8</v>
      </c>
      <c r="N1984" t="str">
        <f t="shared" si="101"/>
        <v>AU98:BM109</v>
      </c>
      <c r="O1984" s="4">
        <f t="shared" ca="1" si="99"/>
        <v>358648.875</v>
      </c>
    </row>
    <row r="1985" spans="1:15">
      <c r="A1985" s="2" t="s">
        <v>11</v>
      </c>
      <c r="B1985" t="s">
        <v>45</v>
      </c>
      <c r="C1985" t="s">
        <v>25</v>
      </c>
      <c r="D1985">
        <v>20</v>
      </c>
      <c r="E1985" t="s">
        <v>46</v>
      </c>
      <c r="F1985">
        <v>4</v>
      </c>
      <c r="G1985">
        <v>2</v>
      </c>
      <c r="H1985">
        <v>2</v>
      </c>
      <c r="I1985">
        <v>1</v>
      </c>
      <c r="J1985" s="4" t="s">
        <v>55</v>
      </c>
      <c r="K1985" t="str">
        <f t="shared" si="100"/>
        <v>2+2</v>
      </c>
      <c r="L1985">
        <f>VLOOKUP(A1985,'ZONE 1 PREMIUM'!$A$4:$N$16,14,0)</f>
        <v>2</v>
      </c>
      <c r="M1985">
        <f>VLOOKUP(D1985,DROPDOWN!B:C,2,0)</f>
        <v>8</v>
      </c>
      <c r="N1985" t="str">
        <f t="shared" si="101"/>
        <v>AU113:BM124</v>
      </c>
      <c r="O1985" s="4">
        <f t="shared" ca="1" si="99"/>
        <v>47172.375</v>
      </c>
    </row>
    <row r="1986" spans="1:15">
      <c r="A1986" s="2" t="s">
        <v>12</v>
      </c>
      <c r="B1986" t="s">
        <v>27</v>
      </c>
      <c r="C1986" t="s">
        <v>28</v>
      </c>
      <c r="D1986">
        <v>20</v>
      </c>
      <c r="E1986" t="s">
        <v>46</v>
      </c>
      <c r="F1986">
        <v>4</v>
      </c>
      <c r="G1986">
        <v>2</v>
      </c>
      <c r="H1986">
        <v>2</v>
      </c>
      <c r="I1986">
        <v>1</v>
      </c>
      <c r="J1986" s="4" t="s">
        <v>55</v>
      </c>
      <c r="K1986" t="str">
        <f t="shared" si="100"/>
        <v>2+2</v>
      </c>
      <c r="L1986">
        <f>VLOOKUP(A1986,'ZONE 1 PREMIUM'!$A$4:$N$16,14,0)</f>
        <v>3</v>
      </c>
      <c r="M1986">
        <f>VLOOKUP(D1986,DROPDOWN!B:C,2,0)</f>
        <v>8</v>
      </c>
      <c r="N1986" t="str">
        <f t="shared" si="101"/>
        <v>AU113:BM124</v>
      </c>
      <c r="O1986" s="4">
        <f t="shared" ref="O1986:O2049" ca="1" si="102">INDEX(INDIRECT(N1986),L1986,M1986)</f>
        <v>51477.75</v>
      </c>
    </row>
    <row r="1987" spans="1:15">
      <c r="A1987" s="2" t="s">
        <v>13</v>
      </c>
      <c r="B1987" t="s">
        <v>29</v>
      </c>
      <c r="C1987" t="s">
        <v>30</v>
      </c>
      <c r="D1987">
        <v>20</v>
      </c>
      <c r="E1987" t="s">
        <v>46</v>
      </c>
      <c r="F1987">
        <v>4</v>
      </c>
      <c r="G1987">
        <v>2</v>
      </c>
      <c r="H1987">
        <v>2</v>
      </c>
      <c r="I1987">
        <v>1</v>
      </c>
      <c r="J1987" s="4" t="s">
        <v>55</v>
      </c>
      <c r="K1987" t="str">
        <f t="shared" si="100"/>
        <v>2+2</v>
      </c>
      <c r="L1987">
        <f>VLOOKUP(A1987,'ZONE 1 PREMIUM'!$A$4:$N$16,14,0)</f>
        <v>4</v>
      </c>
      <c r="M1987">
        <f>VLOOKUP(D1987,DROPDOWN!B:C,2,0)</f>
        <v>8</v>
      </c>
      <c r="N1987" t="str">
        <f t="shared" si="101"/>
        <v>AU113:BM124</v>
      </c>
      <c r="O1987" s="4">
        <f t="shared" ca="1" si="102"/>
        <v>57960</v>
      </c>
    </row>
    <row r="1988" spans="1:15">
      <c r="A1988" s="2" t="s">
        <v>14</v>
      </c>
      <c r="B1988" t="s">
        <v>31</v>
      </c>
      <c r="C1988" t="s">
        <v>32</v>
      </c>
      <c r="D1988">
        <v>20</v>
      </c>
      <c r="E1988" t="s">
        <v>46</v>
      </c>
      <c r="F1988">
        <v>4</v>
      </c>
      <c r="G1988">
        <v>2</v>
      </c>
      <c r="H1988">
        <v>2</v>
      </c>
      <c r="I1988">
        <v>1</v>
      </c>
      <c r="J1988" s="4" t="s">
        <v>55</v>
      </c>
      <c r="K1988" t="str">
        <f t="shared" ref="K1988:K2051" si="103">G1988&amp;"+"&amp;H1988</f>
        <v>2+2</v>
      </c>
      <c r="L1988">
        <f>VLOOKUP(A1988,'ZONE 1 PREMIUM'!$A$4:$N$16,14,0)</f>
        <v>5</v>
      </c>
      <c r="M1988">
        <f>VLOOKUP(D1988,DROPDOWN!B:C,2,0)</f>
        <v>8</v>
      </c>
      <c r="N1988" t="str">
        <f t="shared" si="101"/>
        <v>AU113:BM124</v>
      </c>
      <c r="O1988" s="4">
        <f t="shared" ca="1" si="102"/>
        <v>65712.375</v>
      </c>
    </row>
    <row r="1989" spans="1:15">
      <c r="A1989" s="2" t="s">
        <v>15</v>
      </c>
      <c r="B1989" t="s">
        <v>33</v>
      </c>
      <c r="C1989" t="s">
        <v>34</v>
      </c>
      <c r="D1989">
        <v>20</v>
      </c>
      <c r="E1989" t="s">
        <v>46</v>
      </c>
      <c r="F1989">
        <v>4</v>
      </c>
      <c r="G1989">
        <v>2</v>
      </c>
      <c r="H1989">
        <v>2</v>
      </c>
      <c r="I1989">
        <v>1</v>
      </c>
      <c r="J1989" s="4" t="s">
        <v>55</v>
      </c>
      <c r="K1989" t="str">
        <f t="shared" si="103"/>
        <v>2+2</v>
      </c>
      <c r="L1989">
        <f>VLOOKUP(A1989,'ZONE 1 PREMIUM'!$A$4:$N$16,14,0)</f>
        <v>6</v>
      </c>
      <c r="M1989">
        <f>VLOOKUP(D1989,DROPDOWN!B:C,2,0)</f>
        <v>8</v>
      </c>
      <c r="N1989" t="str">
        <f t="shared" si="101"/>
        <v>AU113:BM124</v>
      </c>
      <c r="O1989" s="4">
        <f t="shared" ca="1" si="102"/>
        <v>81532.125</v>
      </c>
    </row>
    <row r="1990" spans="1:15">
      <c r="A1990" s="2" t="s">
        <v>16</v>
      </c>
      <c r="B1990" t="s">
        <v>35</v>
      </c>
      <c r="C1990" t="s">
        <v>36</v>
      </c>
      <c r="D1990">
        <v>20</v>
      </c>
      <c r="E1990" t="s">
        <v>46</v>
      </c>
      <c r="F1990">
        <v>4</v>
      </c>
      <c r="G1990">
        <v>2</v>
      </c>
      <c r="H1990">
        <v>2</v>
      </c>
      <c r="I1990">
        <v>1</v>
      </c>
      <c r="J1990" s="4" t="s">
        <v>55</v>
      </c>
      <c r="K1990" t="str">
        <f t="shared" si="103"/>
        <v>2+2</v>
      </c>
      <c r="L1990">
        <f>VLOOKUP(A1990,'ZONE 1 PREMIUM'!$A$4:$N$16,14,0)</f>
        <v>7</v>
      </c>
      <c r="M1990">
        <f>VLOOKUP(D1990,DROPDOWN!B:C,2,0)</f>
        <v>8</v>
      </c>
      <c r="N1990" t="str">
        <f t="shared" si="101"/>
        <v>AU113:BM124</v>
      </c>
      <c r="O1990" s="4">
        <f t="shared" ca="1" si="102"/>
        <v>106294.5</v>
      </c>
    </row>
    <row r="1991" spans="1:15">
      <c r="A1991" s="2" t="s">
        <v>17</v>
      </c>
      <c r="B1991" t="s">
        <v>37</v>
      </c>
      <c r="C1991" t="s">
        <v>38</v>
      </c>
      <c r="D1991">
        <v>20</v>
      </c>
      <c r="E1991" t="s">
        <v>46</v>
      </c>
      <c r="F1991">
        <v>4</v>
      </c>
      <c r="G1991">
        <v>2</v>
      </c>
      <c r="H1991">
        <v>2</v>
      </c>
      <c r="I1991">
        <v>1</v>
      </c>
      <c r="J1991" s="4" t="s">
        <v>55</v>
      </c>
      <c r="K1991" t="str">
        <f t="shared" si="103"/>
        <v>2+2</v>
      </c>
      <c r="L1991">
        <f>VLOOKUP(A1991,'ZONE 1 PREMIUM'!$A$4:$N$16,14,0)</f>
        <v>8</v>
      </c>
      <c r="M1991">
        <f>VLOOKUP(D1991,DROPDOWN!B:C,2,0)</f>
        <v>8</v>
      </c>
      <c r="N1991" t="str">
        <f t="shared" si="101"/>
        <v>AU113:BM124</v>
      </c>
      <c r="O1991" s="4">
        <f t="shared" ca="1" si="102"/>
        <v>137731.5</v>
      </c>
    </row>
    <row r="1992" spans="1:15">
      <c r="A1992" s="2" t="s">
        <v>18</v>
      </c>
      <c r="B1992" t="s">
        <v>39</v>
      </c>
      <c r="C1992" t="s">
        <v>40</v>
      </c>
      <c r="D1992">
        <v>20</v>
      </c>
      <c r="E1992" t="s">
        <v>46</v>
      </c>
      <c r="F1992">
        <v>4</v>
      </c>
      <c r="G1992">
        <v>2</v>
      </c>
      <c r="H1992">
        <v>2</v>
      </c>
      <c r="I1992">
        <v>1</v>
      </c>
      <c r="J1992" s="4" t="s">
        <v>55</v>
      </c>
      <c r="K1992" t="str">
        <f t="shared" si="103"/>
        <v>2+2</v>
      </c>
      <c r="L1992">
        <f>VLOOKUP(A1992,'ZONE 1 PREMIUM'!$A$4:$N$16,14,0)</f>
        <v>9</v>
      </c>
      <c r="M1992">
        <f>VLOOKUP(D1992,DROPDOWN!B:C,2,0)</f>
        <v>8</v>
      </c>
      <c r="N1992" t="str">
        <f t="shared" si="101"/>
        <v>AU113:BM124</v>
      </c>
      <c r="O1992" s="4">
        <f t="shared" ca="1" si="102"/>
        <v>182552.625</v>
      </c>
    </row>
    <row r="1993" spans="1:15">
      <c r="A1993" s="2" t="s">
        <v>19</v>
      </c>
      <c r="B1993" t="s">
        <v>41</v>
      </c>
      <c r="C1993" t="s">
        <v>42</v>
      </c>
      <c r="D1993">
        <v>20</v>
      </c>
      <c r="E1993" t="s">
        <v>46</v>
      </c>
      <c r="F1993">
        <v>4</v>
      </c>
      <c r="G1993">
        <v>2</v>
      </c>
      <c r="H1993">
        <v>2</v>
      </c>
      <c r="I1993">
        <v>1</v>
      </c>
      <c r="J1993" s="4" t="s">
        <v>55</v>
      </c>
      <c r="K1993" t="str">
        <f t="shared" si="103"/>
        <v>2+2</v>
      </c>
      <c r="L1993">
        <f>VLOOKUP(A1993,'ZONE 1 PREMIUM'!$A$4:$N$16,14,0)</f>
        <v>10</v>
      </c>
      <c r="M1993">
        <f>VLOOKUP(D1993,DROPDOWN!B:C,2,0)</f>
        <v>8</v>
      </c>
      <c r="N1993" t="str">
        <f t="shared" si="101"/>
        <v>AU113:BM124</v>
      </c>
      <c r="O1993" s="4">
        <f t="shared" ca="1" si="102"/>
        <v>234938.25</v>
      </c>
    </row>
    <row r="1994" spans="1:15">
      <c r="A1994" s="2" t="s">
        <v>20</v>
      </c>
      <c r="B1994" t="s">
        <v>43</v>
      </c>
      <c r="C1994" t="s">
        <v>44</v>
      </c>
      <c r="D1994">
        <v>20</v>
      </c>
      <c r="E1994" t="s">
        <v>46</v>
      </c>
      <c r="F1994">
        <v>4</v>
      </c>
      <c r="G1994">
        <v>2</v>
      </c>
      <c r="H1994">
        <v>2</v>
      </c>
      <c r="I1994">
        <v>1</v>
      </c>
      <c r="J1994" s="4" t="s">
        <v>55</v>
      </c>
      <c r="K1994" t="str">
        <f t="shared" si="103"/>
        <v>2+2</v>
      </c>
      <c r="L1994">
        <f>VLOOKUP(A1994,'ZONE 1 PREMIUM'!$A$4:$N$16,14,0)</f>
        <v>11</v>
      </c>
      <c r="M1994">
        <f>VLOOKUP(D1994,DROPDOWN!B:C,2,0)</f>
        <v>8</v>
      </c>
      <c r="N1994" t="str">
        <f t="shared" si="101"/>
        <v>AU113:BM124</v>
      </c>
      <c r="O1994" s="4">
        <f t="shared" ca="1" si="102"/>
        <v>286344</v>
      </c>
    </row>
    <row r="1995" spans="1:15">
      <c r="A1995" s="2" t="s">
        <v>21</v>
      </c>
      <c r="B1995" t="s">
        <v>22</v>
      </c>
      <c r="D1995">
        <v>20</v>
      </c>
      <c r="E1995" t="s">
        <v>46</v>
      </c>
      <c r="F1995">
        <v>4</v>
      </c>
      <c r="G1995">
        <v>2</v>
      </c>
      <c r="H1995">
        <v>2</v>
      </c>
      <c r="I1995">
        <v>1</v>
      </c>
      <c r="J1995" s="4" t="s">
        <v>55</v>
      </c>
      <c r="K1995" t="str">
        <f t="shared" si="103"/>
        <v>2+2</v>
      </c>
      <c r="L1995">
        <f>VLOOKUP(A1995,'ZONE 1 PREMIUM'!$A$4:$N$16,14,0)</f>
        <v>12</v>
      </c>
      <c r="M1995">
        <f>VLOOKUP(D1995,DROPDOWN!B:C,2,0)</f>
        <v>8</v>
      </c>
      <c r="N1995" t="str">
        <f t="shared" si="101"/>
        <v>AU113:BM124</v>
      </c>
      <c r="O1995" s="4">
        <f t="shared" ca="1" si="102"/>
        <v>363549.375</v>
      </c>
    </row>
    <row r="1996" spans="1:15">
      <c r="A1996" s="2" t="s">
        <v>11</v>
      </c>
      <c r="B1996" t="s">
        <v>45</v>
      </c>
      <c r="C1996" t="s">
        <v>25</v>
      </c>
      <c r="D1996">
        <v>20</v>
      </c>
      <c r="E1996" t="s">
        <v>46</v>
      </c>
      <c r="F1996">
        <v>5</v>
      </c>
      <c r="G1996">
        <v>2</v>
      </c>
      <c r="H1996">
        <v>3</v>
      </c>
      <c r="I1996">
        <v>1</v>
      </c>
      <c r="J1996" s="4" t="s">
        <v>55</v>
      </c>
      <c r="K1996" t="str">
        <f t="shared" si="103"/>
        <v>2+3</v>
      </c>
      <c r="L1996">
        <f>VLOOKUP(A1996,'ZONE 1 PREMIUM'!$A$4:$N$16,14,0)</f>
        <v>2</v>
      </c>
      <c r="M1996">
        <f>VLOOKUP(D1996,DROPDOWN!B:C,2,0)</f>
        <v>8</v>
      </c>
      <c r="N1996" t="str">
        <f t="shared" si="101"/>
        <v>AU128:BM139</v>
      </c>
      <c r="O1996" s="4">
        <f t="shared" ca="1" si="102"/>
        <v>54140.625</v>
      </c>
    </row>
    <row r="1997" spans="1:15">
      <c r="A1997" s="2" t="s">
        <v>12</v>
      </c>
      <c r="B1997" t="s">
        <v>27</v>
      </c>
      <c r="C1997" t="s">
        <v>28</v>
      </c>
      <c r="D1997">
        <v>20</v>
      </c>
      <c r="E1997" t="s">
        <v>46</v>
      </c>
      <c r="F1997">
        <v>5</v>
      </c>
      <c r="G1997">
        <v>2</v>
      </c>
      <c r="H1997">
        <v>3</v>
      </c>
      <c r="I1997">
        <v>1</v>
      </c>
      <c r="J1997" s="4" t="s">
        <v>55</v>
      </c>
      <c r="K1997" t="str">
        <f t="shared" si="103"/>
        <v>2+3</v>
      </c>
      <c r="L1997">
        <f>VLOOKUP(A1997,'ZONE 1 PREMIUM'!$A$4:$N$16,14,0)</f>
        <v>3</v>
      </c>
      <c r="M1997">
        <f>VLOOKUP(D1997,DROPDOWN!B:C,2,0)</f>
        <v>8</v>
      </c>
      <c r="N1997" t="str">
        <f t="shared" si="101"/>
        <v>AU128:BM139</v>
      </c>
      <c r="O1997" s="4">
        <f t="shared" ca="1" si="102"/>
        <v>58322.25</v>
      </c>
    </row>
    <row r="1998" spans="1:15">
      <c r="A1998" s="2" t="s">
        <v>13</v>
      </c>
      <c r="B1998" t="s">
        <v>29</v>
      </c>
      <c r="C1998" t="s">
        <v>30</v>
      </c>
      <c r="D1998">
        <v>20</v>
      </c>
      <c r="E1998" t="s">
        <v>46</v>
      </c>
      <c r="F1998">
        <v>5</v>
      </c>
      <c r="G1998">
        <v>2</v>
      </c>
      <c r="H1998">
        <v>3</v>
      </c>
      <c r="I1998">
        <v>1</v>
      </c>
      <c r="J1998" s="4" t="s">
        <v>55</v>
      </c>
      <c r="K1998" t="str">
        <f t="shared" si="103"/>
        <v>2+3</v>
      </c>
      <c r="L1998">
        <f>VLOOKUP(A1998,'ZONE 1 PREMIUM'!$A$4:$N$16,14,0)</f>
        <v>4</v>
      </c>
      <c r="M1998">
        <f>VLOOKUP(D1998,DROPDOWN!B:C,2,0)</f>
        <v>8</v>
      </c>
      <c r="N1998" t="str">
        <f t="shared" si="101"/>
        <v>AU128:BM139</v>
      </c>
      <c r="O1998" s="4">
        <f t="shared" ca="1" si="102"/>
        <v>65925</v>
      </c>
    </row>
    <row r="1999" spans="1:15">
      <c r="A1999" s="2" t="s">
        <v>14</v>
      </c>
      <c r="B1999" t="s">
        <v>31</v>
      </c>
      <c r="C1999" t="s">
        <v>32</v>
      </c>
      <c r="D1999">
        <v>20</v>
      </c>
      <c r="E1999" t="s">
        <v>46</v>
      </c>
      <c r="F1999">
        <v>5</v>
      </c>
      <c r="G1999">
        <v>2</v>
      </c>
      <c r="H1999">
        <v>3</v>
      </c>
      <c r="I1999">
        <v>1</v>
      </c>
      <c r="J1999" s="4" t="s">
        <v>55</v>
      </c>
      <c r="K1999" t="str">
        <f t="shared" si="103"/>
        <v>2+3</v>
      </c>
      <c r="L1999">
        <f>VLOOKUP(A1999,'ZONE 1 PREMIUM'!$A$4:$N$16,14,0)</f>
        <v>5</v>
      </c>
      <c r="M1999">
        <f>VLOOKUP(D1999,DROPDOWN!B:C,2,0)</f>
        <v>8</v>
      </c>
      <c r="N1999" t="str">
        <f t="shared" si="101"/>
        <v>AU128:BM139</v>
      </c>
      <c r="O1999" s="4">
        <f t="shared" ca="1" si="102"/>
        <v>74211.75</v>
      </c>
    </row>
    <row r="2000" spans="1:15">
      <c r="A2000" s="2" t="s">
        <v>15</v>
      </c>
      <c r="B2000" t="s">
        <v>33</v>
      </c>
      <c r="C2000" t="s">
        <v>34</v>
      </c>
      <c r="D2000">
        <v>20</v>
      </c>
      <c r="E2000" t="s">
        <v>46</v>
      </c>
      <c r="F2000">
        <v>5</v>
      </c>
      <c r="G2000">
        <v>2</v>
      </c>
      <c r="H2000">
        <v>3</v>
      </c>
      <c r="I2000">
        <v>1</v>
      </c>
      <c r="J2000" s="4" t="s">
        <v>55</v>
      </c>
      <c r="K2000" t="str">
        <f t="shared" si="103"/>
        <v>2+3</v>
      </c>
      <c r="L2000">
        <f>VLOOKUP(A2000,'ZONE 1 PREMIUM'!$A$4:$N$16,14,0)</f>
        <v>6</v>
      </c>
      <c r="M2000">
        <f>VLOOKUP(D2000,DROPDOWN!B:C,2,0)</f>
        <v>8</v>
      </c>
      <c r="N2000" t="str">
        <f t="shared" si="101"/>
        <v>AU128:BM139</v>
      </c>
      <c r="O2000" s="4">
        <f t="shared" ca="1" si="102"/>
        <v>91086.75</v>
      </c>
    </row>
    <row r="2001" spans="1:15">
      <c r="A2001" s="2" t="s">
        <v>16</v>
      </c>
      <c r="B2001" t="s">
        <v>35</v>
      </c>
      <c r="C2001" t="s">
        <v>36</v>
      </c>
      <c r="D2001">
        <v>20</v>
      </c>
      <c r="E2001" t="s">
        <v>46</v>
      </c>
      <c r="F2001">
        <v>5</v>
      </c>
      <c r="G2001">
        <v>2</v>
      </c>
      <c r="H2001">
        <v>3</v>
      </c>
      <c r="I2001">
        <v>1</v>
      </c>
      <c r="J2001" s="4" t="s">
        <v>55</v>
      </c>
      <c r="K2001" t="str">
        <f t="shared" si="103"/>
        <v>2+3</v>
      </c>
      <c r="L2001">
        <f>VLOOKUP(A2001,'ZONE 1 PREMIUM'!$A$4:$N$16,14,0)</f>
        <v>7</v>
      </c>
      <c r="M2001">
        <f>VLOOKUP(D2001,DROPDOWN!B:C,2,0)</f>
        <v>8</v>
      </c>
      <c r="N2001" t="str">
        <f t="shared" si="101"/>
        <v>AU128:BM139</v>
      </c>
      <c r="O2001" s="4">
        <f t="shared" ca="1" si="102"/>
        <v>116032.5</v>
      </c>
    </row>
    <row r="2002" spans="1:15">
      <c r="A2002" s="2" t="s">
        <v>17</v>
      </c>
      <c r="B2002" t="s">
        <v>37</v>
      </c>
      <c r="C2002" t="s">
        <v>38</v>
      </c>
      <c r="D2002">
        <v>20</v>
      </c>
      <c r="E2002" t="s">
        <v>46</v>
      </c>
      <c r="F2002">
        <v>5</v>
      </c>
      <c r="G2002">
        <v>2</v>
      </c>
      <c r="H2002">
        <v>3</v>
      </c>
      <c r="I2002">
        <v>1</v>
      </c>
      <c r="J2002" s="4" t="s">
        <v>55</v>
      </c>
      <c r="K2002" t="str">
        <f t="shared" si="103"/>
        <v>2+3</v>
      </c>
      <c r="L2002">
        <f>VLOOKUP(A2002,'ZONE 1 PREMIUM'!$A$4:$N$16,14,0)</f>
        <v>8</v>
      </c>
      <c r="M2002">
        <f>VLOOKUP(D2002,DROPDOWN!B:C,2,0)</f>
        <v>8</v>
      </c>
      <c r="N2002" t="str">
        <f t="shared" si="101"/>
        <v>AU128:BM139</v>
      </c>
      <c r="O2002" s="4">
        <f t="shared" ca="1" si="102"/>
        <v>146646</v>
      </c>
    </row>
    <row r="2003" spans="1:15">
      <c r="A2003" s="2" t="s">
        <v>18</v>
      </c>
      <c r="B2003" t="s">
        <v>39</v>
      </c>
      <c r="C2003" t="s">
        <v>40</v>
      </c>
      <c r="D2003">
        <v>20</v>
      </c>
      <c r="E2003" t="s">
        <v>46</v>
      </c>
      <c r="F2003">
        <v>5</v>
      </c>
      <c r="G2003">
        <v>2</v>
      </c>
      <c r="H2003">
        <v>3</v>
      </c>
      <c r="I2003">
        <v>1</v>
      </c>
      <c r="J2003" s="4" t="s">
        <v>55</v>
      </c>
      <c r="K2003" t="str">
        <f t="shared" si="103"/>
        <v>2+3</v>
      </c>
      <c r="L2003">
        <f>VLOOKUP(A2003,'ZONE 1 PREMIUM'!$A$4:$N$16,14,0)</f>
        <v>9</v>
      </c>
      <c r="M2003">
        <f>VLOOKUP(D2003,DROPDOWN!B:C,2,0)</f>
        <v>8</v>
      </c>
      <c r="N2003" t="str">
        <f t="shared" si="101"/>
        <v>AU128:BM139</v>
      </c>
      <c r="O2003" s="4">
        <f t="shared" ca="1" si="102"/>
        <v>191400.75</v>
      </c>
    </row>
    <row r="2004" spans="1:15">
      <c r="A2004" s="2" t="s">
        <v>19</v>
      </c>
      <c r="B2004" t="s">
        <v>41</v>
      </c>
      <c r="C2004" t="s">
        <v>42</v>
      </c>
      <c r="D2004">
        <v>20</v>
      </c>
      <c r="E2004" t="s">
        <v>46</v>
      </c>
      <c r="F2004">
        <v>5</v>
      </c>
      <c r="G2004">
        <v>2</v>
      </c>
      <c r="H2004">
        <v>3</v>
      </c>
      <c r="I2004">
        <v>1</v>
      </c>
      <c r="J2004" s="4" t="s">
        <v>55</v>
      </c>
      <c r="K2004" t="str">
        <f t="shared" si="103"/>
        <v>2+3</v>
      </c>
      <c r="L2004">
        <f>VLOOKUP(A2004,'ZONE 1 PREMIUM'!$A$4:$N$16,14,0)</f>
        <v>10</v>
      </c>
      <c r="M2004">
        <f>VLOOKUP(D2004,DROPDOWN!B:C,2,0)</f>
        <v>8</v>
      </c>
      <c r="N2004" t="str">
        <f t="shared" si="101"/>
        <v>AU128:BM139</v>
      </c>
      <c r="O2004" s="4">
        <f t="shared" ca="1" si="102"/>
        <v>243381.375</v>
      </c>
    </row>
    <row r="2005" spans="1:15">
      <c r="A2005" s="2" t="s">
        <v>20</v>
      </c>
      <c r="B2005" t="s">
        <v>43</v>
      </c>
      <c r="C2005" t="s">
        <v>44</v>
      </c>
      <c r="D2005">
        <v>20</v>
      </c>
      <c r="E2005" t="s">
        <v>46</v>
      </c>
      <c r="F2005">
        <v>5</v>
      </c>
      <c r="G2005">
        <v>2</v>
      </c>
      <c r="H2005">
        <v>3</v>
      </c>
      <c r="I2005">
        <v>1</v>
      </c>
      <c r="J2005" s="4" t="s">
        <v>55</v>
      </c>
      <c r="K2005" t="str">
        <f t="shared" si="103"/>
        <v>2+3</v>
      </c>
      <c r="L2005">
        <f>VLOOKUP(A2005,'ZONE 1 PREMIUM'!$A$4:$N$16,14,0)</f>
        <v>11</v>
      </c>
      <c r="M2005">
        <f>VLOOKUP(D2005,DROPDOWN!B:C,2,0)</f>
        <v>8</v>
      </c>
      <c r="N2005" t="str">
        <f t="shared" si="101"/>
        <v>AU128:BM139</v>
      </c>
      <c r="O2005" s="4">
        <f t="shared" ca="1" si="102"/>
        <v>295728.75</v>
      </c>
    </row>
    <row r="2006" spans="1:15">
      <c r="A2006" s="2" t="s">
        <v>21</v>
      </c>
      <c r="B2006" t="s">
        <v>22</v>
      </c>
      <c r="D2006">
        <v>20</v>
      </c>
      <c r="E2006" t="s">
        <v>46</v>
      </c>
      <c r="F2006">
        <v>5</v>
      </c>
      <c r="G2006">
        <v>2</v>
      </c>
      <c r="H2006">
        <v>3</v>
      </c>
      <c r="I2006">
        <v>1</v>
      </c>
      <c r="J2006" s="4" t="s">
        <v>55</v>
      </c>
      <c r="K2006" t="str">
        <f t="shared" si="103"/>
        <v>2+3</v>
      </c>
      <c r="L2006">
        <f>VLOOKUP(A2006,'ZONE 1 PREMIUM'!$A$4:$N$16,14,0)</f>
        <v>12</v>
      </c>
      <c r="M2006">
        <f>VLOOKUP(D2006,DROPDOWN!B:C,2,0)</f>
        <v>8</v>
      </c>
      <c r="N2006" t="str">
        <f t="shared" si="101"/>
        <v>AU128:BM139</v>
      </c>
      <c r="O2006" s="4">
        <f t="shared" ca="1" si="102"/>
        <v>373514.625</v>
      </c>
    </row>
    <row r="2007" spans="1:15">
      <c r="A2007" s="2" t="s">
        <v>11</v>
      </c>
      <c r="B2007" t="s">
        <v>45</v>
      </c>
      <c r="C2007" t="s">
        <v>25</v>
      </c>
      <c r="D2007">
        <v>20</v>
      </c>
      <c r="E2007" t="s">
        <v>46</v>
      </c>
      <c r="F2007">
        <v>6</v>
      </c>
      <c r="G2007">
        <v>2</v>
      </c>
      <c r="H2007">
        <v>4</v>
      </c>
      <c r="I2007">
        <v>1</v>
      </c>
      <c r="J2007" s="4" t="s">
        <v>55</v>
      </c>
      <c r="K2007" t="str">
        <f t="shared" si="103"/>
        <v>2+4</v>
      </c>
      <c r="L2007">
        <f>VLOOKUP(A2007,'ZONE 1 PREMIUM'!$A$4:$N$16,14,0)</f>
        <v>2</v>
      </c>
      <c r="M2007">
        <f>VLOOKUP(D2007,DROPDOWN!B:C,2,0)</f>
        <v>8</v>
      </c>
      <c r="N2007" t="str">
        <f t="shared" si="101"/>
        <v>AU143:BM154</v>
      </c>
      <c r="O2007" s="4">
        <f t="shared" ca="1" si="102"/>
        <v>61108.875</v>
      </c>
    </row>
    <row r="2008" spans="1:15">
      <c r="A2008" s="2" t="s">
        <v>12</v>
      </c>
      <c r="B2008" t="s">
        <v>27</v>
      </c>
      <c r="C2008" t="s">
        <v>28</v>
      </c>
      <c r="D2008">
        <v>20</v>
      </c>
      <c r="E2008" t="s">
        <v>46</v>
      </c>
      <c r="F2008">
        <v>6</v>
      </c>
      <c r="G2008">
        <v>2</v>
      </c>
      <c r="H2008">
        <v>4</v>
      </c>
      <c r="I2008">
        <v>1</v>
      </c>
      <c r="J2008" s="4" t="s">
        <v>55</v>
      </c>
      <c r="K2008" t="str">
        <f t="shared" si="103"/>
        <v>2+4</v>
      </c>
      <c r="L2008">
        <f>VLOOKUP(A2008,'ZONE 1 PREMIUM'!$A$4:$N$16,14,0)</f>
        <v>3</v>
      </c>
      <c r="M2008">
        <f>VLOOKUP(D2008,DROPDOWN!B:C,2,0)</f>
        <v>8</v>
      </c>
      <c r="N2008" t="str">
        <f t="shared" si="101"/>
        <v>AU143:BM154</v>
      </c>
      <c r="O2008" s="4">
        <f t="shared" ca="1" si="102"/>
        <v>65165.625</v>
      </c>
    </row>
    <row r="2009" spans="1:15">
      <c r="A2009" s="2" t="s">
        <v>13</v>
      </c>
      <c r="B2009" t="s">
        <v>29</v>
      </c>
      <c r="C2009" t="s">
        <v>30</v>
      </c>
      <c r="D2009">
        <v>20</v>
      </c>
      <c r="E2009" t="s">
        <v>46</v>
      </c>
      <c r="F2009">
        <v>6</v>
      </c>
      <c r="G2009">
        <v>2</v>
      </c>
      <c r="H2009">
        <v>4</v>
      </c>
      <c r="I2009">
        <v>1</v>
      </c>
      <c r="J2009" s="4" t="s">
        <v>55</v>
      </c>
      <c r="K2009" t="str">
        <f t="shared" si="103"/>
        <v>2+4</v>
      </c>
      <c r="L2009">
        <f>VLOOKUP(A2009,'ZONE 1 PREMIUM'!$A$4:$N$16,14,0)</f>
        <v>4</v>
      </c>
      <c r="M2009">
        <f>VLOOKUP(D2009,DROPDOWN!B:C,2,0)</f>
        <v>8</v>
      </c>
      <c r="N2009" t="str">
        <f t="shared" si="101"/>
        <v>AU143:BM154</v>
      </c>
      <c r="O2009" s="4">
        <f t="shared" ca="1" si="102"/>
        <v>73890</v>
      </c>
    </row>
    <row r="2010" spans="1:15">
      <c r="A2010" s="2" t="s">
        <v>14</v>
      </c>
      <c r="B2010" t="s">
        <v>31</v>
      </c>
      <c r="C2010" t="s">
        <v>32</v>
      </c>
      <c r="D2010">
        <v>20</v>
      </c>
      <c r="E2010" t="s">
        <v>46</v>
      </c>
      <c r="F2010">
        <v>6</v>
      </c>
      <c r="G2010">
        <v>2</v>
      </c>
      <c r="H2010">
        <v>4</v>
      </c>
      <c r="I2010">
        <v>1</v>
      </c>
      <c r="J2010" s="4" t="s">
        <v>55</v>
      </c>
      <c r="K2010" t="str">
        <f t="shared" si="103"/>
        <v>2+4</v>
      </c>
      <c r="L2010">
        <f>VLOOKUP(A2010,'ZONE 1 PREMIUM'!$A$4:$N$16,14,0)</f>
        <v>5</v>
      </c>
      <c r="M2010">
        <f>VLOOKUP(D2010,DROPDOWN!B:C,2,0)</f>
        <v>8</v>
      </c>
      <c r="N2010" t="str">
        <f t="shared" si="101"/>
        <v>AU143:BM154</v>
      </c>
      <c r="O2010" s="4">
        <f t="shared" ca="1" si="102"/>
        <v>82710</v>
      </c>
    </row>
    <row r="2011" spans="1:15">
      <c r="A2011" s="2" t="s">
        <v>15</v>
      </c>
      <c r="B2011" t="s">
        <v>33</v>
      </c>
      <c r="C2011" t="s">
        <v>34</v>
      </c>
      <c r="D2011">
        <v>20</v>
      </c>
      <c r="E2011" t="s">
        <v>46</v>
      </c>
      <c r="F2011">
        <v>6</v>
      </c>
      <c r="G2011">
        <v>2</v>
      </c>
      <c r="H2011">
        <v>4</v>
      </c>
      <c r="I2011">
        <v>1</v>
      </c>
      <c r="J2011" s="4" t="s">
        <v>55</v>
      </c>
      <c r="K2011" t="str">
        <f t="shared" si="103"/>
        <v>2+4</v>
      </c>
      <c r="L2011">
        <f>VLOOKUP(A2011,'ZONE 1 PREMIUM'!$A$4:$N$16,14,0)</f>
        <v>6</v>
      </c>
      <c r="M2011">
        <f>VLOOKUP(D2011,DROPDOWN!B:C,2,0)</f>
        <v>8</v>
      </c>
      <c r="N2011" t="str">
        <f t="shared" si="101"/>
        <v>AU143:BM154</v>
      </c>
      <c r="O2011" s="4">
        <f t="shared" ca="1" si="102"/>
        <v>100641.375</v>
      </c>
    </row>
    <row r="2012" spans="1:15">
      <c r="A2012" s="2" t="s">
        <v>16</v>
      </c>
      <c r="B2012" t="s">
        <v>35</v>
      </c>
      <c r="C2012" t="s">
        <v>36</v>
      </c>
      <c r="D2012">
        <v>20</v>
      </c>
      <c r="E2012" t="s">
        <v>46</v>
      </c>
      <c r="F2012">
        <v>6</v>
      </c>
      <c r="G2012">
        <v>2</v>
      </c>
      <c r="H2012">
        <v>4</v>
      </c>
      <c r="I2012">
        <v>1</v>
      </c>
      <c r="J2012" s="4" t="s">
        <v>55</v>
      </c>
      <c r="K2012" t="str">
        <f t="shared" si="103"/>
        <v>2+4</v>
      </c>
      <c r="L2012">
        <f>VLOOKUP(A2012,'ZONE 1 PREMIUM'!$A$4:$N$16,14,0)</f>
        <v>7</v>
      </c>
      <c r="M2012">
        <f>VLOOKUP(D2012,DROPDOWN!B:C,2,0)</f>
        <v>8</v>
      </c>
      <c r="N2012" t="str">
        <f t="shared" si="101"/>
        <v>AU143:BM154</v>
      </c>
      <c r="O2012" s="4">
        <f t="shared" ca="1" si="102"/>
        <v>124822.125</v>
      </c>
    </row>
    <row r="2013" spans="1:15">
      <c r="A2013" s="2" t="s">
        <v>17</v>
      </c>
      <c r="B2013" t="s">
        <v>37</v>
      </c>
      <c r="C2013" t="s">
        <v>38</v>
      </c>
      <c r="D2013">
        <v>20</v>
      </c>
      <c r="E2013" t="s">
        <v>46</v>
      </c>
      <c r="F2013">
        <v>6</v>
      </c>
      <c r="G2013">
        <v>2</v>
      </c>
      <c r="H2013">
        <v>4</v>
      </c>
      <c r="I2013">
        <v>1</v>
      </c>
      <c r="J2013" s="4" t="s">
        <v>55</v>
      </c>
      <c r="K2013" t="str">
        <f t="shared" si="103"/>
        <v>2+4</v>
      </c>
      <c r="L2013">
        <f>VLOOKUP(A2013,'ZONE 1 PREMIUM'!$A$4:$N$16,14,0)</f>
        <v>8</v>
      </c>
      <c r="M2013">
        <f>VLOOKUP(D2013,DROPDOWN!B:C,2,0)</f>
        <v>8</v>
      </c>
      <c r="N2013" t="str">
        <f t="shared" si="101"/>
        <v>AU143:BM154</v>
      </c>
      <c r="O2013" s="4">
        <f t="shared" ca="1" si="102"/>
        <v>155428.875</v>
      </c>
    </row>
    <row r="2014" spans="1:15">
      <c r="A2014" s="2" t="s">
        <v>18</v>
      </c>
      <c r="B2014" t="s">
        <v>39</v>
      </c>
      <c r="C2014" t="s">
        <v>40</v>
      </c>
      <c r="D2014">
        <v>20</v>
      </c>
      <c r="E2014" t="s">
        <v>46</v>
      </c>
      <c r="F2014">
        <v>6</v>
      </c>
      <c r="G2014">
        <v>2</v>
      </c>
      <c r="H2014">
        <v>4</v>
      </c>
      <c r="I2014">
        <v>1</v>
      </c>
      <c r="J2014" s="4" t="s">
        <v>55</v>
      </c>
      <c r="K2014" t="str">
        <f t="shared" si="103"/>
        <v>2+4</v>
      </c>
      <c r="L2014">
        <f>VLOOKUP(A2014,'ZONE 1 PREMIUM'!$A$4:$N$16,14,0)</f>
        <v>9</v>
      </c>
      <c r="M2014">
        <f>VLOOKUP(D2014,DROPDOWN!B:C,2,0)</f>
        <v>8</v>
      </c>
      <c r="N2014" t="str">
        <f t="shared" si="101"/>
        <v>AU143:BM154</v>
      </c>
      <c r="O2014" s="4">
        <f t="shared" ca="1" si="102"/>
        <v>199847.25</v>
      </c>
    </row>
    <row r="2015" spans="1:15">
      <c r="A2015" s="2" t="s">
        <v>19</v>
      </c>
      <c r="B2015" t="s">
        <v>41</v>
      </c>
      <c r="C2015" t="s">
        <v>42</v>
      </c>
      <c r="D2015">
        <v>20</v>
      </c>
      <c r="E2015" t="s">
        <v>46</v>
      </c>
      <c r="F2015">
        <v>6</v>
      </c>
      <c r="G2015">
        <v>2</v>
      </c>
      <c r="H2015">
        <v>4</v>
      </c>
      <c r="I2015">
        <v>1</v>
      </c>
      <c r="J2015" s="4" t="s">
        <v>55</v>
      </c>
      <c r="K2015" t="str">
        <f t="shared" si="103"/>
        <v>2+4</v>
      </c>
      <c r="L2015">
        <f>VLOOKUP(A2015,'ZONE 1 PREMIUM'!$A$4:$N$16,14,0)</f>
        <v>10</v>
      </c>
      <c r="M2015">
        <f>VLOOKUP(D2015,DROPDOWN!B:C,2,0)</f>
        <v>8</v>
      </c>
      <c r="N2015" t="str">
        <f t="shared" si="101"/>
        <v>AU143:BM154</v>
      </c>
      <c r="O2015" s="4">
        <f t="shared" ca="1" si="102"/>
        <v>252729</v>
      </c>
    </row>
    <row r="2016" spans="1:15">
      <c r="A2016" s="2" t="s">
        <v>20</v>
      </c>
      <c r="B2016" t="s">
        <v>43</v>
      </c>
      <c r="C2016" t="s">
        <v>44</v>
      </c>
      <c r="D2016">
        <v>20</v>
      </c>
      <c r="E2016" t="s">
        <v>46</v>
      </c>
      <c r="F2016">
        <v>6</v>
      </c>
      <c r="G2016">
        <v>2</v>
      </c>
      <c r="H2016">
        <v>4</v>
      </c>
      <c r="I2016">
        <v>1</v>
      </c>
      <c r="J2016" s="4" t="s">
        <v>55</v>
      </c>
      <c r="K2016" t="str">
        <f t="shared" si="103"/>
        <v>2+4</v>
      </c>
      <c r="L2016">
        <f>VLOOKUP(A2016,'ZONE 1 PREMIUM'!$A$4:$N$16,14,0)</f>
        <v>11</v>
      </c>
      <c r="M2016">
        <f>VLOOKUP(D2016,DROPDOWN!B:C,2,0)</f>
        <v>8</v>
      </c>
      <c r="N2016" t="str">
        <f t="shared" si="101"/>
        <v>AU143:BM154</v>
      </c>
      <c r="O2016" s="4">
        <f t="shared" ca="1" si="102"/>
        <v>304427.25</v>
      </c>
    </row>
    <row r="2017" spans="1:15">
      <c r="A2017" s="2" t="s">
        <v>21</v>
      </c>
      <c r="B2017" t="s">
        <v>22</v>
      </c>
      <c r="D2017">
        <v>20</v>
      </c>
      <c r="E2017" t="s">
        <v>46</v>
      </c>
      <c r="F2017">
        <v>6</v>
      </c>
      <c r="G2017">
        <v>2</v>
      </c>
      <c r="H2017">
        <v>4</v>
      </c>
      <c r="I2017">
        <v>1</v>
      </c>
      <c r="J2017" s="4" t="s">
        <v>55</v>
      </c>
      <c r="K2017" t="str">
        <f t="shared" si="103"/>
        <v>2+4</v>
      </c>
      <c r="L2017">
        <f>VLOOKUP(A2017,'ZONE 1 PREMIUM'!$A$4:$N$16,14,0)</f>
        <v>12</v>
      </c>
      <c r="M2017">
        <f>VLOOKUP(D2017,DROPDOWN!B:C,2,0)</f>
        <v>8</v>
      </c>
      <c r="N2017" t="str">
        <f t="shared" si="101"/>
        <v>AU143:BM154</v>
      </c>
      <c r="O2017" s="4">
        <f t="shared" ca="1" si="102"/>
        <v>380768.625</v>
      </c>
    </row>
    <row r="2018" spans="1:15">
      <c r="A2018" s="2" t="s">
        <v>9</v>
      </c>
      <c r="B2018" t="s">
        <v>47</v>
      </c>
      <c r="C2018" t="s">
        <v>48</v>
      </c>
      <c r="D2018">
        <v>20</v>
      </c>
      <c r="E2018" t="s">
        <v>26</v>
      </c>
      <c r="F2018">
        <v>1</v>
      </c>
      <c r="H2018">
        <v>1</v>
      </c>
      <c r="I2018">
        <v>1</v>
      </c>
      <c r="J2018" s="4" t="s">
        <v>53</v>
      </c>
      <c r="K2018" t="str">
        <f t="shared" si="103"/>
        <v>+1</v>
      </c>
      <c r="N2018" t="e">
        <f t="shared" ref="N2018:N2081" si="104">VLOOKUP(K2018,$CK$3:$CL$12,2,0)</f>
        <v>#N/A</v>
      </c>
      <c r="O2018" s="13">
        <v>4308.5166781737435</v>
      </c>
    </row>
    <row r="2019" spans="1:15">
      <c r="A2019" s="2" t="s">
        <v>10</v>
      </c>
      <c r="B2019" t="s">
        <v>49</v>
      </c>
      <c r="C2019" t="s">
        <v>50</v>
      </c>
      <c r="D2019">
        <v>20</v>
      </c>
      <c r="E2019" t="s">
        <v>26</v>
      </c>
      <c r="F2019">
        <v>1</v>
      </c>
      <c r="G2019">
        <v>1</v>
      </c>
      <c r="H2019">
        <v>0</v>
      </c>
      <c r="I2019">
        <v>1</v>
      </c>
      <c r="J2019" s="4" t="s">
        <v>53</v>
      </c>
      <c r="K2019" t="str">
        <f t="shared" si="103"/>
        <v>1+0</v>
      </c>
      <c r="L2019">
        <f>VLOOKUP(A2019,'ZONE 1 PREMIUM'!$A$3:$M$16,13,0)</f>
        <v>3</v>
      </c>
      <c r="M2019">
        <f>VLOOKUP(D2019,DROPDOWN!B:C,2,0)</f>
        <v>8</v>
      </c>
      <c r="N2019" t="str">
        <f t="shared" si="104"/>
        <v>BR3:CJ16</v>
      </c>
      <c r="O2019" s="4">
        <f t="shared" ca="1" si="102"/>
        <v>7108.2000000000007</v>
      </c>
    </row>
    <row r="2020" spans="1:15">
      <c r="A2020" s="2" t="s">
        <v>11</v>
      </c>
      <c r="B2020" t="s">
        <v>45</v>
      </c>
      <c r="C2020" t="s">
        <v>25</v>
      </c>
      <c r="D2020">
        <v>20</v>
      </c>
      <c r="E2020" t="s">
        <v>26</v>
      </c>
      <c r="F2020">
        <v>1</v>
      </c>
      <c r="G2020">
        <v>1</v>
      </c>
      <c r="H2020">
        <v>0</v>
      </c>
      <c r="I2020">
        <v>1</v>
      </c>
      <c r="J2020" s="4" t="s">
        <v>53</v>
      </c>
      <c r="K2020" t="str">
        <f t="shared" si="103"/>
        <v>1+0</v>
      </c>
      <c r="L2020">
        <f>VLOOKUP(A2020,'ZONE 1 PREMIUM'!$A$3:$M$16,13,0)</f>
        <v>4</v>
      </c>
      <c r="M2020">
        <f>VLOOKUP(D2020,DROPDOWN!B:C,2,0)</f>
        <v>8</v>
      </c>
      <c r="N2020" t="str">
        <f t="shared" si="104"/>
        <v>BR3:CJ16</v>
      </c>
      <c r="O2020" s="4">
        <f t="shared" ca="1" si="102"/>
        <v>19417.2</v>
      </c>
    </row>
    <row r="2021" spans="1:15">
      <c r="A2021" s="2" t="s">
        <v>12</v>
      </c>
      <c r="B2021" t="s">
        <v>27</v>
      </c>
      <c r="C2021" t="s">
        <v>28</v>
      </c>
      <c r="D2021">
        <v>20</v>
      </c>
      <c r="E2021" t="s">
        <v>26</v>
      </c>
      <c r="F2021">
        <v>1</v>
      </c>
      <c r="G2021">
        <v>1</v>
      </c>
      <c r="H2021">
        <v>0</v>
      </c>
      <c r="I2021">
        <v>1</v>
      </c>
      <c r="J2021" s="4" t="s">
        <v>53</v>
      </c>
      <c r="K2021" t="str">
        <f t="shared" si="103"/>
        <v>1+0</v>
      </c>
      <c r="L2021">
        <f>VLOOKUP(A2021,'ZONE 1 PREMIUM'!$A$3:$M$16,13,0)</f>
        <v>5</v>
      </c>
      <c r="M2021">
        <f>VLOOKUP(D2021,DROPDOWN!B:C,2,0)</f>
        <v>8</v>
      </c>
      <c r="N2021" t="str">
        <f t="shared" si="104"/>
        <v>BR3:CJ16</v>
      </c>
      <c r="O2021" s="4">
        <f t="shared" ca="1" si="102"/>
        <v>22276.100000000002</v>
      </c>
    </row>
    <row r="2022" spans="1:15">
      <c r="A2022" s="2" t="s">
        <v>13</v>
      </c>
      <c r="B2022" t="s">
        <v>29</v>
      </c>
      <c r="C2022" t="s">
        <v>30</v>
      </c>
      <c r="D2022">
        <v>20</v>
      </c>
      <c r="E2022" t="s">
        <v>26</v>
      </c>
      <c r="F2022">
        <v>1</v>
      </c>
      <c r="G2022">
        <v>1</v>
      </c>
      <c r="H2022">
        <v>0</v>
      </c>
      <c r="I2022">
        <v>1</v>
      </c>
      <c r="J2022" s="4" t="s">
        <v>53</v>
      </c>
      <c r="K2022" t="str">
        <f t="shared" si="103"/>
        <v>1+0</v>
      </c>
      <c r="L2022">
        <f>VLOOKUP(A2022,'ZONE 1 PREMIUM'!$A$3:$M$16,13,0)</f>
        <v>6</v>
      </c>
      <c r="M2022">
        <f>VLOOKUP(D2022,DROPDOWN!B:C,2,0)</f>
        <v>8</v>
      </c>
      <c r="N2022" t="str">
        <f t="shared" si="104"/>
        <v>BR3:CJ16</v>
      </c>
      <c r="O2022" s="4">
        <f t="shared" ca="1" si="102"/>
        <v>25730.100000000002</v>
      </c>
    </row>
    <row r="2023" spans="1:15">
      <c r="A2023" s="2" t="s">
        <v>14</v>
      </c>
      <c r="B2023" t="s">
        <v>31</v>
      </c>
      <c r="C2023" t="s">
        <v>32</v>
      </c>
      <c r="D2023">
        <v>20</v>
      </c>
      <c r="E2023" t="s">
        <v>26</v>
      </c>
      <c r="F2023">
        <v>1</v>
      </c>
      <c r="G2023">
        <v>1</v>
      </c>
      <c r="H2023">
        <v>0</v>
      </c>
      <c r="I2023">
        <v>1</v>
      </c>
      <c r="J2023" s="4" t="s">
        <v>53</v>
      </c>
      <c r="K2023" t="str">
        <f t="shared" si="103"/>
        <v>1+0</v>
      </c>
      <c r="L2023">
        <f>VLOOKUP(A2023,'ZONE 1 PREMIUM'!$A$3:$M$16,13,0)</f>
        <v>7</v>
      </c>
      <c r="M2023">
        <f>VLOOKUP(D2023,DROPDOWN!B:C,2,0)</f>
        <v>8</v>
      </c>
      <c r="N2023" t="str">
        <f t="shared" si="104"/>
        <v>BR3:CJ16</v>
      </c>
      <c r="O2023" s="4">
        <f t="shared" ca="1" si="102"/>
        <v>29898.000000000004</v>
      </c>
    </row>
    <row r="2024" spans="1:15">
      <c r="A2024" s="2" t="s">
        <v>15</v>
      </c>
      <c r="B2024" t="s">
        <v>33</v>
      </c>
      <c r="C2024" t="s">
        <v>34</v>
      </c>
      <c r="D2024">
        <v>20</v>
      </c>
      <c r="E2024" t="s">
        <v>26</v>
      </c>
      <c r="F2024">
        <v>1</v>
      </c>
      <c r="G2024">
        <v>1</v>
      </c>
      <c r="H2024">
        <v>0</v>
      </c>
      <c r="I2024">
        <v>1</v>
      </c>
      <c r="J2024" s="4" t="s">
        <v>53</v>
      </c>
      <c r="K2024" t="str">
        <f t="shared" si="103"/>
        <v>1+0</v>
      </c>
      <c r="L2024">
        <f>VLOOKUP(A2024,'ZONE 1 PREMIUM'!$A$3:$M$16,13,0)</f>
        <v>8</v>
      </c>
      <c r="M2024">
        <f>VLOOKUP(D2024,DROPDOWN!B:C,2,0)</f>
        <v>8</v>
      </c>
      <c r="N2024" t="str">
        <f t="shared" si="104"/>
        <v>BR3:CJ16</v>
      </c>
      <c r="O2024" s="4">
        <f t="shared" ca="1" si="102"/>
        <v>37220.700000000004</v>
      </c>
    </row>
    <row r="2025" spans="1:15">
      <c r="A2025" s="2" t="s">
        <v>16</v>
      </c>
      <c r="B2025" t="s">
        <v>35</v>
      </c>
      <c r="C2025" t="s">
        <v>36</v>
      </c>
      <c r="D2025">
        <v>20</v>
      </c>
      <c r="E2025" t="s">
        <v>26</v>
      </c>
      <c r="F2025">
        <v>1</v>
      </c>
      <c r="G2025">
        <v>1</v>
      </c>
      <c r="H2025">
        <v>0</v>
      </c>
      <c r="I2025">
        <v>1</v>
      </c>
      <c r="J2025" s="4" t="s">
        <v>53</v>
      </c>
      <c r="K2025" t="str">
        <f t="shared" si="103"/>
        <v>1+0</v>
      </c>
      <c r="L2025">
        <f>VLOOKUP(A2025,'ZONE 1 PREMIUM'!$A$3:$M$16,13,0)</f>
        <v>9</v>
      </c>
      <c r="M2025">
        <f>VLOOKUP(D2025,DROPDOWN!B:C,2,0)</f>
        <v>8</v>
      </c>
      <c r="N2025" t="str">
        <f t="shared" si="104"/>
        <v>BR3:CJ16</v>
      </c>
      <c r="O2025" s="4">
        <f t="shared" ca="1" si="102"/>
        <v>49051.200000000004</v>
      </c>
    </row>
    <row r="2026" spans="1:15">
      <c r="A2026" s="2" t="s">
        <v>17</v>
      </c>
      <c r="B2026" t="s">
        <v>37</v>
      </c>
      <c r="C2026" t="s">
        <v>38</v>
      </c>
      <c r="D2026">
        <v>20</v>
      </c>
      <c r="E2026" t="s">
        <v>26</v>
      </c>
      <c r="F2026">
        <v>1</v>
      </c>
      <c r="G2026">
        <v>1</v>
      </c>
      <c r="H2026">
        <v>0</v>
      </c>
      <c r="I2026">
        <v>1</v>
      </c>
      <c r="J2026" s="4" t="s">
        <v>53</v>
      </c>
      <c r="K2026" t="str">
        <f t="shared" si="103"/>
        <v>1+0</v>
      </c>
      <c r="L2026">
        <f>VLOOKUP(A2026,'ZONE 1 PREMIUM'!$A$3:$M$16,13,0)</f>
        <v>10</v>
      </c>
      <c r="M2026">
        <f>VLOOKUP(D2026,DROPDOWN!B:C,2,0)</f>
        <v>8</v>
      </c>
      <c r="N2026" t="str">
        <f t="shared" si="104"/>
        <v>BR3:CJ16</v>
      </c>
      <c r="O2026" s="4">
        <f t="shared" ca="1" si="102"/>
        <v>66591.8</v>
      </c>
    </row>
    <row r="2027" spans="1:15">
      <c r="A2027" s="2" t="s">
        <v>18</v>
      </c>
      <c r="B2027" t="s">
        <v>39</v>
      </c>
      <c r="C2027" t="s">
        <v>40</v>
      </c>
      <c r="D2027">
        <v>20</v>
      </c>
      <c r="E2027" t="s">
        <v>26</v>
      </c>
      <c r="F2027">
        <v>1</v>
      </c>
      <c r="G2027">
        <v>1</v>
      </c>
      <c r="H2027">
        <v>0</v>
      </c>
      <c r="I2027">
        <v>1</v>
      </c>
      <c r="J2027" s="4" t="s">
        <v>53</v>
      </c>
      <c r="K2027" t="str">
        <f t="shared" si="103"/>
        <v>1+0</v>
      </c>
      <c r="L2027">
        <f>VLOOKUP(A2027,'ZONE 1 PREMIUM'!$A$3:$M$16,13,0)</f>
        <v>11</v>
      </c>
      <c r="M2027">
        <f>VLOOKUP(D2027,DROPDOWN!B:C,2,0)</f>
        <v>8</v>
      </c>
      <c r="N2027" t="str">
        <f t="shared" si="104"/>
        <v>BR3:CJ16</v>
      </c>
      <c r="O2027" s="4">
        <f t="shared" ca="1" si="102"/>
        <v>92244.900000000009</v>
      </c>
    </row>
    <row r="2028" spans="1:15">
      <c r="A2028" s="2" t="s">
        <v>19</v>
      </c>
      <c r="B2028" t="s">
        <v>41</v>
      </c>
      <c r="C2028" t="s">
        <v>42</v>
      </c>
      <c r="D2028">
        <v>20</v>
      </c>
      <c r="E2028" t="s">
        <v>26</v>
      </c>
      <c r="F2028">
        <v>1</v>
      </c>
      <c r="G2028">
        <v>1</v>
      </c>
      <c r="H2028">
        <v>0</v>
      </c>
      <c r="I2028">
        <v>1</v>
      </c>
      <c r="J2028" s="4" t="s">
        <v>53</v>
      </c>
      <c r="K2028" t="str">
        <f t="shared" si="103"/>
        <v>1+0</v>
      </c>
      <c r="L2028">
        <f>VLOOKUP(A2028,'ZONE 1 PREMIUM'!$A$3:$M$16,13,0)</f>
        <v>12</v>
      </c>
      <c r="M2028">
        <f>VLOOKUP(D2028,DROPDOWN!B:C,2,0)</f>
        <v>8</v>
      </c>
      <c r="N2028" t="str">
        <f t="shared" si="104"/>
        <v>BR3:CJ16</v>
      </c>
      <c r="O2028" s="4">
        <f t="shared" ca="1" si="102"/>
        <v>118048.70000000001</v>
      </c>
    </row>
    <row r="2029" spans="1:15">
      <c r="A2029" s="2" t="s">
        <v>20</v>
      </c>
      <c r="B2029" t="s">
        <v>43</v>
      </c>
      <c r="C2029" t="s">
        <v>44</v>
      </c>
      <c r="D2029">
        <v>20</v>
      </c>
      <c r="E2029" t="s">
        <v>26</v>
      </c>
      <c r="F2029">
        <v>1</v>
      </c>
      <c r="G2029">
        <v>1</v>
      </c>
      <c r="H2029">
        <v>0</v>
      </c>
      <c r="I2029">
        <v>1</v>
      </c>
      <c r="J2029" s="4" t="s">
        <v>53</v>
      </c>
      <c r="K2029" t="str">
        <f t="shared" si="103"/>
        <v>1+0</v>
      </c>
      <c r="L2029">
        <f>VLOOKUP(A2029,'ZONE 1 PREMIUM'!$A$3:$M$16,13,0)</f>
        <v>13</v>
      </c>
      <c r="M2029">
        <f>VLOOKUP(D2029,DROPDOWN!B:C,2,0)</f>
        <v>8</v>
      </c>
      <c r="N2029" t="str">
        <f t="shared" si="104"/>
        <v>BR3:CJ16</v>
      </c>
      <c r="O2029" s="4">
        <f t="shared" ca="1" si="102"/>
        <v>142014.40000000002</v>
      </c>
    </row>
    <row r="2030" spans="1:15">
      <c r="A2030" s="2" t="s">
        <v>21</v>
      </c>
      <c r="B2030" t="s">
        <v>22</v>
      </c>
      <c r="D2030">
        <v>20</v>
      </c>
      <c r="E2030" t="s">
        <v>26</v>
      </c>
      <c r="F2030">
        <v>1</v>
      </c>
      <c r="G2030">
        <v>1</v>
      </c>
      <c r="H2030">
        <v>0</v>
      </c>
      <c r="I2030">
        <v>1</v>
      </c>
      <c r="J2030" s="4" t="s">
        <v>53</v>
      </c>
      <c r="K2030" t="str">
        <f t="shared" si="103"/>
        <v>1+0</v>
      </c>
      <c r="L2030">
        <f>VLOOKUP(A2030,'ZONE 1 PREMIUM'!$A$3:$M$16,13,0)</f>
        <v>14</v>
      </c>
      <c r="M2030">
        <f>VLOOKUP(D2030,DROPDOWN!B:C,2,0)</f>
        <v>8</v>
      </c>
      <c r="N2030" t="str">
        <f t="shared" si="104"/>
        <v>BR3:CJ16</v>
      </c>
      <c r="O2030" s="4">
        <f t="shared" ca="1" si="102"/>
        <v>190946.80000000002</v>
      </c>
    </row>
    <row r="2031" spans="1:15">
      <c r="A2031" s="2" t="s">
        <v>11</v>
      </c>
      <c r="B2031" t="s">
        <v>45</v>
      </c>
      <c r="C2031" t="s">
        <v>25</v>
      </c>
      <c r="D2031">
        <v>20</v>
      </c>
      <c r="E2031" t="s">
        <v>46</v>
      </c>
      <c r="F2031">
        <v>2</v>
      </c>
      <c r="G2031">
        <v>1</v>
      </c>
      <c r="H2031">
        <v>1</v>
      </c>
      <c r="I2031">
        <v>1</v>
      </c>
      <c r="J2031" s="4" t="s">
        <v>53</v>
      </c>
      <c r="K2031" t="str">
        <f t="shared" si="103"/>
        <v>1+1</v>
      </c>
      <c r="L2031">
        <f>VLOOKUP(A2031,'ZONE 1 PREMIUM'!$A$4:$N$16,14,0)</f>
        <v>2</v>
      </c>
      <c r="M2031">
        <f>VLOOKUP(D2031,DROPDOWN!B:C,2,0)</f>
        <v>8</v>
      </c>
      <c r="N2031" t="str">
        <f t="shared" si="104"/>
        <v>BR20:CJ31</v>
      </c>
      <c r="O2031" s="4">
        <f t="shared" ca="1" si="102"/>
        <v>21839.4</v>
      </c>
    </row>
    <row r="2032" spans="1:15">
      <c r="A2032" s="2" t="s">
        <v>12</v>
      </c>
      <c r="B2032" t="s">
        <v>27</v>
      </c>
      <c r="C2032" t="s">
        <v>28</v>
      </c>
      <c r="D2032">
        <v>20</v>
      </c>
      <c r="E2032" t="s">
        <v>46</v>
      </c>
      <c r="F2032">
        <v>2</v>
      </c>
      <c r="G2032">
        <v>1</v>
      </c>
      <c r="H2032">
        <v>1</v>
      </c>
      <c r="I2032">
        <v>1</v>
      </c>
      <c r="J2032" s="4" t="s">
        <v>53</v>
      </c>
      <c r="K2032" t="str">
        <f t="shared" si="103"/>
        <v>1+1</v>
      </c>
      <c r="L2032">
        <f>VLOOKUP(A2032,'ZONE 1 PREMIUM'!$A$4:$N$16,14,0)</f>
        <v>3</v>
      </c>
      <c r="M2032">
        <f>VLOOKUP(D2032,DROPDOWN!B:C,2,0)</f>
        <v>8</v>
      </c>
      <c r="N2032" t="str">
        <f t="shared" si="104"/>
        <v>BR20:CJ31</v>
      </c>
      <c r="O2032" s="4">
        <f t="shared" ca="1" si="102"/>
        <v>24123.000000000004</v>
      </c>
    </row>
    <row r="2033" spans="1:15">
      <c r="A2033" s="2" t="s">
        <v>13</v>
      </c>
      <c r="B2033" t="s">
        <v>29</v>
      </c>
      <c r="C2033" t="s">
        <v>30</v>
      </c>
      <c r="D2033">
        <v>20</v>
      </c>
      <c r="E2033" t="s">
        <v>46</v>
      </c>
      <c r="F2033">
        <v>2</v>
      </c>
      <c r="G2033">
        <v>1</v>
      </c>
      <c r="H2033">
        <v>1</v>
      </c>
      <c r="I2033">
        <v>1</v>
      </c>
      <c r="J2033" s="4" t="s">
        <v>53</v>
      </c>
      <c r="K2033" t="str">
        <f t="shared" si="103"/>
        <v>1+1</v>
      </c>
      <c r="L2033">
        <f>VLOOKUP(A2033,'ZONE 1 PREMIUM'!$A$4:$N$16,14,0)</f>
        <v>4</v>
      </c>
      <c r="M2033">
        <f>VLOOKUP(D2033,DROPDOWN!B:C,2,0)</f>
        <v>8</v>
      </c>
      <c r="N2033" t="str">
        <f t="shared" si="104"/>
        <v>BR20:CJ31</v>
      </c>
      <c r="O2033" s="4">
        <f t="shared" ca="1" si="102"/>
        <v>27937.800000000003</v>
      </c>
    </row>
    <row r="2034" spans="1:15">
      <c r="A2034" s="2" t="s">
        <v>14</v>
      </c>
      <c r="B2034" t="s">
        <v>31</v>
      </c>
      <c r="C2034" t="s">
        <v>32</v>
      </c>
      <c r="D2034">
        <v>20</v>
      </c>
      <c r="E2034" t="s">
        <v>46</v>
      </c>
      <c r="F2034">
        <v>2</v>
      </c>
      <c r="G2034">
        <v>1</v>
      </c>
      <c r="H2034">
        <v>1</v>
      </c>
      <c r="I2034">
        <v>1</v>
      </c>
      <c r="J2034" s="4" t="s">
        <v>53</v>
      </c>
      <c r="K2034" t="str">
        <f t="shared" si="103"/>
        <v>1+1</v>
      </c>
      <c r="L2034">
        <f>VLOOKUP(A2034,'ZONE 1 PREMIUM'!$A$4:$N$16,14,0)</f>
        <v>5</v>
      </c>
      <c r="M2034">
        <f>VLOOKUP(D2034,DROPDOWN!B:C,2,0)</f>
        <v>8</v>
      </c>
      <c r="N2034" t="str">
        <f t="shared" si="104"/>
        <v>BR20:CJ31</v>
      </c>
      <c r="O2034" s="4">
        <f t="shared" ca="1" si="102"/>
        <v>32854.800000000003</v>
      </c>
    </row>
    <row r="2035" spans="1:15">
      <c r="A2035" s="2" t="s">
        <v>15</v>
      </c>
      <c r="B2035" t="s">
        <v>33</v>
      </c>
      <c r="C2035" t="s">
        <v>34</v>
      </c>
      <c r="D2035">
        <v>20</v>
      </c>
      <c r="E2035" t="s">
        <v>46</v>
      </c>
      <c r="F2035">
        <v>2</v>
      </c>
      <c r="G2035">
        <v>1</v>
      </c>
      <c r="H2035">
        <v>1</v>
      </c>
      <c r="I2035">
        <v>1</v>
      </c>
      <c r="J2035" s="4" t="s">
        <v>53</v>
      </c>
      <c r="K2035" t="str">
        <f t="shared" si="103"/>
        <v>1+1</v>
      </c>
      <c r="L2035">
        <f>VLOOKUP(A2035,'ZONE 1 PREMIUM'!$A$4:$N$16,14,0)</f>
        <v>6</v>
      </c>
      <c r="M2035">
        <f>VLOOKUP(D2035,DROPDOWN!B:C,2,0)</f>
        <v>8</v>
      </c>
      <c r="N2035" t="str">
        <f t="shared" si="104"/>
        <v>BR20:CJ31</v>
      </c>
      <c r="O2035" s="4">
        <f t="shared" ca="1" si="102"/>
        <v>40558.100000000006</v>
      </c>
    </row>
    <row r="2036" spans="1:15">
      <c r="A2036" s="2" t="s">
        <v>16</v>
      </c>
      <c r="B2036" t="s">
        <v>35</v>
      </c>
      <c r="C2036" t="s">
        <v>36</v>
      </c>
      <c r="D2036">
        <v>20</v>
      </c>
      <c r="E2036" t="s">
        <v>46</v>
      </c>
      <c r="F2036">
        <v>2</v>
      </c>
      <c r="G2036">
        <v>1</v>
      </c>
      <c r="H2036">
        <v>1</v>
      </c>
      <c r="I2036">
        <v>1</v>
      </c>
      <c r="J2036" s="4" t="s">
        <v>53</v>
      </c>
      <c r="K2036" t="str">
        <f t="shared" si="103"/>
        <v>1+1</v>
      </c>
      <c r="L2036">
        <f>VLOOKUP(A2036,'ZONE 1 PREMIUM'!$A$4:$N$16,14,0)</f>
        <v>7</v>
      </c>
      <c r="M2036">
        <f>VLOOKUP(D2036,DROPDOWN!B:C,2,0)</f>
        <v>8</v>
      </c>
      <c r="N2036" t="str">
        <f t="shared" si="104"/>
        <v>BR20:CJ31</v>
      </c>
      <c r="O2036" s="4">
        <f t="shared" ca="1" si="102"/>
        <v>52723.000000000007</v>
      </c>
    </row>
    <row r="2037" spans="1:15">
      <c r="A2037" s="2" t="s">
        <v>17</v>
      </c>
      <c r="B2037" t="s">
        <v>37</v>
      </c>
      <c r="C2037" t="s">
        <v>38</v>
      </c>
      <c r="D2037">
        <v>20</v>
      </c>
      <c r="E2037" t="s">
        <v>46</v>
      </c>
      <c r="F2037">
        <v>2</v>
      </c>
      <c r="G2037">
        <v>1</v>
      </c>
      <c r="H2037">
        <v>1</v>
      </c>
      <c r="I2037">
        <v>1</v>
      </c>
      <c r="J2037" s="4" t="s">
        <v>53</v>
      </c>
      <c r="K2037" t="str">
        <f t="shared" si="103"/>
        <v>1+1</v>
      </c>
      <c r="L2037">
        <f>VLOOKUP(A2037,'ZONE 1 PREMIUM'!$A$4:$N$16,14,0)</f>
        <v>8</v>
      </c>
      <c r="M2037">
        <f>VLOOKUP(D2037,DROPDOWN!B:C,2,0)</f>
        <v>8</v>
      </c>
      <c r="N2037" t="str">
        <f t="shared" si="104"/>
        <v>BR20:CJ31</v>
      </c>
      <c r="O2037" s="4">
        <f t="shared" ca="1" si="102"/>
        <v>70359.3</v>
      </c>
    </row>
    <row r="2038" spans="1:15">
      <c r="A2038" s="2" t="s">
        <v>18</v>
      </c>
      <c r="B2038" t="s">
        <v>39</v>
      </c>
      <c r="C2038" t="s">
        <v>40</v>
      </c>
      <c r="D2038">
        <v>20</v>
      </c>
      <c r="E2038" t="s">
        <v>46</v>
      </c>
      <c r="F2038">
        <v>2</v>
      </c>
      <c r="G2038">
        <v>1</v>
      </c>
      <c r="H2038">
        <v>1</v>
      </c>
      <c r="I2038">
        <v>1</v>
      </c>
      <c r="J2038" s="4" t="s">
        <v>53</v>
      </c>
      <c r="K2038" t="str">
        <f t="shared" si="103"/>
        <v>1+1</v>
      </c>
      <c r="L2038">
        <f>VLOOKUP(A2038,'ZONE 1 PREMIUM'!$A$4:$N$16,14,0)</f>
        <v>9</v>
      </c>
      <c r="M2038">
        <f>VLOOKUP(D2038,DROPDOWN!B:C,2,0)</f>
        <v>8</v>
      </c>
      <c r="N2038" t="str">
        <f t="shared" si="104"/>
        <v>BR20:CJ31</v>
      </c>
      <c r="O2038" s="4">
        <f t="shared" ca="1" si="102"/>
        <v>97087.1</v>
      </c>
    </row>
    <row r="2039" spans="1:15">
      <c r="A2039" s="2" t="s">
        <v>19</v>
      </c>
      <c r="B2039" t="s">
        <v>41</v>
      </c>
      <c r="C2039" t="s">
        <v>42</v>
      </c>
      <c r="D2039">
        <v>20</v>
      </c>
      <c r="E2039" t="s">
        <v>46</v>
      </c>
      <c r="F2039">
        <v>2</v>
      </c>
      <c r="G2039">
        <v>1</v>
      </c>
      <c r="H2039">
        <v>1</v>
      </c>
      <c r="I2039">
        <v>1</v>
      </c>
      <c r="J2039" s="4" t="s">
        <v>53</v>
      </c>
      <c r="K2039" t="str">
        <f t="shared" si="103"/>
        <v>1+1</v>
      </c>
      <c r="L2039">
        <f>VLOOKUP(A2039,'ZONE 1 PREMIUM'!$A$4:$N$16,14,0)</f>
        <v>10</v>
      </c>
      <c r="M2039">
        <f>VLOOKUP(D2039,DROPDOWN!B:C,2,0)</f>
        <v>8</v>
      </c>
      <c r="N2039" t="str">
        <f t="shared" si="104"/>
        <v>BR20:CJ31</v>
      </c>
      <c r="O2039" s="4">
        <f t="shared" ca="1" si="102"/>
        <v>122947.00000000001</v>
      </c>
    </row>
    <row r="2040" spans="1:15">
      <c r="A2040" s="2" t="s">
        <v>20</v>
      </c>
      <c r="B2040" t="s">
        <v>43</v>
      </c>
      <c r="C2040" t="s">
        <v>44</v>
      </c>
      <c r="D2040">
        <v>20</v>
      </c>
      <c r="E2040" t="s">
        <v>46</v>
      </c>
      <c r="F2040">
        <v>2</v>
      </c>
      <c r="G2040">
        <v>1</v>
      </c>
      <c r="H2040">
        <v>1</v>
      </c>
      <c r="I2040">
        <v>1</v>
      </c>
      <c r="J2040" s="4" t="s">
        <v>53</v>
      </c>
      <c r="K2040" t="str">
        <f t="shared" si="103"/>
        <v>1+1</v>
      </c>
      <c r="L2040">
        <f>VLOOKUP(A2040,'ZONE 1 PREMIUM'!$A$4:$N$16,14,0)</f>
        <v>11</v>
      </c>
      <c r="M2040">
        <f>VLOOKUP(D2040,DROPDOWN!B:C,2,0)</f>
        <v>8</v>
      </c>
      <c r="N2040" t="str">
        <f t="shared" si="104"/>
        <v>BR20:CJ31</v>
      </c>
      <c r="O2040" s="4">
        <f t="shared" ca="1" si="102"/>
        <v>145105.40000000002</v>
      </c>
    </row>
    <row r="2041" spans="1:15">
      <c r="A2041" s="2" t="s">
        <v>21</v>
      </c>
      <c r="B2041" t="s">
        <v>22</v>
      </c>
      <c r="D2041">
        <v>20</v>
      </c>
      <c r="E2041" t="s">
        <v>46</v>
      </c>
      <c r="F2041">
        <v>2</v>
      </c>
      <c r="G2041">
        <v>1</v>
      </c>
      <c r="H2041">
        <v>1</v>
      </c>
      <c r="I2041">
        <v>1</v>
      </c>
      <c r="J2041" s="4" t="s">
        <v>53</v>
      </c>
      <c r="K2041" t="str">
        <f t="shared" si="103"/>
        <v>1+1</v>
      </c>
      <c r="L2041">
        <f>VLOOKUP(A2041,'ZONE 1 PREMIUM'!$A$4:$N$16,14,0)</f>
        <v>12</v>
      </c>
      <c r="M2041">
        <f>VLOOKUP(D2041,DROPDOWN!B:C,2,0)</f>
        <v>8</v>
      </c>
      <c r="N2041" t="str">
        <f t="shared" si="104"/>
        <v>BR20:CJ31</v>
      </c>
      <c r="O2041" s="4">
        <f t="shared" ca="1" si="102"/>
        <v>196953.90000000002</v>
      </c>
    </row>
    <row r="2042" spans="1:15">
      <c r="A2042" s="2" t="s">
        <v>11</v>
      </c>
      <c r="B2042" t="s">
        <v>45</v>
      </c>
      <c r="C2042" t="s">
        <v>25</v>
      </c>
      <c r="D2042">
        <v>20</v>
      </c>
      <c r="E2042" t="s">
        <v>46</v>
      </c>
      <c r="F2042">
        <v>3</v>
      </c>
      <c r="G2042">
        <v>1</v>
      </c>
      <c r="H2042">
        <v>2</v>
      </c>
      <c r="I2042">
        <v>1</v>
      </c>
      <c r="J2042" s="4" t="s">
        <v>53</v>
      </c>
      <c r="K2042" t="str">
        <f t="shared" si="103"/>
        <v>1+2</v>
      </c>
      <c r="L2042">
        <f>VLOOKUP(A2042,'ZONE 1 PREMIUM'!$A$4:$N$16,14,0)</f>
        <v>2</v>
      </c>
      <c r="M2042">
        <f>VLOOKUP(D2042,DROPDOWN!B:C,2,0)</f>
        <v>8</v>
      </c>
      <c r="N2042" t="str">
        <f t="shared" si="104"/>
        <v>BR35:CJ46</v>
      </c>
      <c r="O2042" s="4">
        <f t="shared" ca="1" si="102"/>
        <v>28261.200000000001</v>
      </c>
    </row>
    <row r="2043" spans="1:15">
      <c r="A2043" s="2" t="s">
        <v>12</v>
      </c>
      <c r="B2043" t="s">
        <v>27</v>
      </c>
      <c r="C2043" t="s">
        <v>28</v>
      </c>
      <c r="D2043">
        <v>20</v>
      </c>
      <c r="E2043" t="s">
        <v>46</v>
      </c>
      <c r="F2043">
        <v>3</v>
      </c>
      <c r="G2043">
        <v>1</v>
      </c>
      <c r="H2043">
        <v>2</v>
      </c>
      <c r="I2043">
        <v>1</v>
      </c>
      <c r="J2043" s="4" t="s">
        <v>53</v>
      </c>
      <c r="K2043" t="str">
        <f t="shared" si="103"/>
        <v>1+2</v>
      </c>
      <c r="L2043">
        <f>VLOOKUP(A2043,'ZONE 1 PREMIUM'!$A$4:$N$16,14,0)</f>
        <v>3</v>
      </c>
      <c r="M2043">
        <f>VLOOKUP(D2043,DROPDOWN!B:C,2,0)</f>
        <v>8</v>
      </c>
      <c r="N2043" t="str">
        <f t="shared" si="104"/>
        <v>BR35:CJ46</v>
      </c>
      <c r="O2043" s="4">
        <f t="shared" ca="1" si="102"/>
        <v>30310.500000000004</v>
      </c>
    </row>
    <row r="2044" spans="1:15">
      <c r="A2044" s="2" t="s">
        <v>13</v>
      </c>
      <c r="B2044" t="s">
        <v>29</v>
      </c>
      <c r="C2044" t="s">
        <v>30</v>
      </c>
      <c r="D2044">
        <v>20</v>
      </c>
      <c r="E2044" t="s">
        <v>46</v>
      </c>
      <c r="F2044">
        <v>3</v>
      </c>
      <c r="G2044">
        <v>1</v>
      </c>
      <c r="H2044">
        <v>2</v>
      </c>
      <c r="I2044">
        <v>1</v>
      </c>
      <c r="J2044" s="4" t="s">
        <v>53</v>
      </c>
      <c r="K2044" t="str">
        <f t="shared" si="103"/>
        <v>1+2</v>
      </c>
      <c r="L2044">
        <f>VLOOKUP(A2044,'ZONE 1 PREMIUM'!$A$4:$N$16,14,0)</f>
        <v>4</v>
      </c>
      <c r="M2044">
        <f>VLOOKUP(D2044,DROPDOWN!B:C,2,0)</f>
        <v>8</v>
      </c>
      <c r="N2044" t="str">
        <f t="shared" si="104"/>
        <v>BR35:CJ46</v>
      </c>
      <c r="O2044" s="4">
        <f t="shared" ca="1" si="102"/>
        <v>35138.400000000001</v>
      </c>
    </row>
    <row r="2045" spans="1:15">
      <c r="A2045" s="2" t="s">
        <v>14</v>
      </c>
      <c r="B2045" t="s">
        <v>31</v>
      </c>
      <c r="C2045" t="s">
        <v>32</v>
      </c>
      <c r="D2045">
        <v>20</v>
      </c>
      <c r="E2045" t="s">
        <v>46</v>
      </c>
      <c r="F2045">
        <v>3</v>
      </c>
      <c r="G2045">
        <v>1</v>
      </c>
      <c r="H2045">
        <v>2</v>
      </c>
      <c r="I2045">
        <v>1</v>
      </c>
      <c r="J2045" s="4" t="s">
        <v>53</v>
      </c>
      <c r="K2045" t="str">
        <f t="shared" si="103"/>
        <v>1+2</v>
      </c>
      <c r="L2045">
        <f>VLOOKUP(A2045,'ZONE 1 PREMIUM'!$A$4:$N$16,14,0)</f>
        <v>5</v>
      </c>
      <c r="M2045">
        <f>VLOOKUP(D2045,DROPDOWN!B:C,2,0)</f>
        <v>8</v>
      </c>
      <c r="N2045" t="str">
        <f t="shared" si="104"/>
        <v>BR35:CJ46</v>
      </c>
      <c r="O2045" s="4">
        <f t="shared" ca="1" si="102"/>
        <v>39424</v>
      </c>
    </row>
    <row r="2046" spans="1:15">
      <c r="A2046" s="2" t="s">
        <v>15</v>
      </c>
      <c r="B2046" t="s">
        <v>33</v>
      </c>
      <c r="C2046" t="s">
        <v>34</v>
      </c>
      <c r="D2046">
        <v>20</v>
      </c>
      <c r="E2046" t="s">
        <v>46</v>
      </c>
      <c r="F2046">
        <v>3</v>
      </c>
      <c r="G2046">
        <v>1</v>
      </c>
      <c r="H2046">
        <v>2</v>
      </c>
      <c r="I2046">
        <v>1</v>
      </c>
      <c r="J2046" s="4" t="s">
        <v>53</v>
      </c>
      <c r="K2046" t="str">
        <f t="shared" si="103"/>
        <v>1+2</v>
      </c>
      <c r="L2046">
        <f>VLOOKUP(A2046,'ZONE 1 PREMIUM'!$A$4:$N$16,14,0)</f>
        <v>6</v>
      </c>
      <c r="M2046">
        <f>VLOOKUP(D2046,DROPDOWN!B:C,2,0)</f>
        <v>8</v>
      </c>
      <c r="N2046" t="str">
        <f t="shared" si="104"/>
        <v>BR35:CJ46</v>
      </c>
      <c r="O2046" s="4">
        <f t="shared" ca="1" si="102"/>
        <v>49362.500000000007</v>
      </c>
    </row>
    <row r="2047" spans="1:15">
      <c r="A2047" s="2" t="s">
        <v>16</v>
      </c>
      <c r="B2047" t="s">
        <v>35</v>
      </c>
      <c r="C2047" t="s">
        <v>36</v>
      </c>
      <c r="D2047">
        <v>20</v>
      </c>
      <c r="E2047" t="s">
        <v>46</v>
      </c>
      <c r="F2047">
        <v>3</v>
      </c>
      <c r="G2047">
        <v>1</v>
      </c>
      <c r="H2047">
        <v>2</v>
      </c>
      <c r="I2047">
        <v>1</v>
      </c>
      <c r="J2047" s="4" t="s">
        <v>53</v>
      </c>
      <c r="K2047" t="str">
        <f t="shared" si="103"/>
        <v>1+2</v>
      </c>
      <c r="L2047">
        <f>VLOOKUP(A2047,'ZONE 1 PREMIUM'!$A$4:$N$16,14,0)</f>
        <v>7</v>
      </c>
      <c r="M2047">
        <f>VLOOKUP(D2047,DROPDOWN!B:C,2,0)</f>
        <v>8</v>
      </c>
      <c r="N2047" t="str">
        <f t="shared" si="104"/>
        <v>BR35:CJ46</v>
      </c>
      <c r="O2047" s="4">
        <f t="shared" ca="1" si="102"/>
        <v>63657.000000000007</v>
      </c>
    </row>
    <row r="2048" spans="1:15">
      <c r="A2048" s="2" t="s">
        <v>17</v>
      </c>
      <c r="B2048" t="s">
        <v>37</v>
      </c>
      <c r="C2048" t="s">
        <v>38</v>
      </c>
      <c r="D2048">
        <v>20</v>
      </c>
      <c r="E2048" t="s">
        <v>46</v>
      </c>
      <c r="F2048">
        <v>3</v>
      </c>
      <c r="G2048">
        <v>1</v>
      </c>
      <c r="H2048">
        <v>2</v>
      </c>
      <c r="I2048">
        <v>1</v>
      </c>
      <c r="J2048" s="4" t="s">
        <v>53</v>
      </c>
      <c r="K2048" t="str">
        <f t="shared" si="103"/>
        <v>1+2</v>
      </c>
      <c r="L2048">
        <f>VLOOKUP(A2048,'ZONE 1 PREMIUM'!$A$4:$N$16,14,0)</f>
        <v>8</v>
      </c>
      <c r="M2048">
        <f>VLOOKUP(D2048,DROPDOWN!B:C,2,0)</f>
        <v>8</v>
      </c>
      <c r="N2048" t="str">
        <f t="shared" si="104"/>
        <v>BR35:CJ46</v>
      </c>
      <c r="O2048" s="4">
        <f t="shared" ca="1" si="102"/>
        <v>82144.700000000012</v>
      </c>
    </row>
    <row r="2049" spans="1:15">
      <c r="A2049" s="2" t="s">
        <v>18</v>
      </c>
      <c r="B2049" t="s">
        <v>39</v>
      </c>
      <c r="C2049" t="s">
        <v>40</v>
      </c>
      <c r="D2049">
        <v>20</v>
      </c>
      <c r="E2049" t="s">
        <v>46</v>
      </c>
      <c r="F2049">
        <v>3</v>
      </c>
      <c r="G2049">
        <v>1</v>
      </c>
      <c r="H2049">
        <v>2</v>
      </c>
      <c r="I2049">
        <v>1</v>
      </c>
      <c r="J2049" s="4" t="s">
        <v>53</v>
      </c>
      <c r="K2049" t="str">
        <f t="shared" si="103"/>
        <v>1+2</v>
      </c>
      <c r="L2049">
        <f>VLOOKUP(A2049,'ZONE 1 PREMIUM'!$A$4:$N$16,14,0)</f>
        <v>9</v>
      </c>
      <c r="M2049">
        <f>VLOOKUP(D2049,DROPDOWN!B:C,2,0)</f>
        <v>8</v>
      </c>
      <c r="N2049" t="str">
        <f t="shared" si="104"/>
        <v>BR35:CJ46</v>
      </c>
      <c r="O2049" s="4">
        <f t="shared" ca="1" si="102"/>
        <v>106716.50000000001</v>
      </c>
    </row>
    <row r="2050" spans="1:15">
      <c r="A2050" s="2" t="s">
        <v>19</v>
      </c>
      <c r="B2050" t="s">
        <v>41</v>
      </c>
      <c r="C2050" t="s">
        <v>42</v>
      </c>
      <c r="D2050">
        <v>20</v>
      </c>
      <c r="E2050" t="s">
        <v>46</v>
      </c>
      <c r="F2050">
        <v>3</v>
      </c>
      <c r="G2050">
        <v>1</v>
      </c>
      <c r="H2050">
        <v>2</v>
      </c>
      <c r="I2050">
        <v>1</v>
      </c>
      <c r="J2050" s="4" t="s">
        <v>53</v>
      </c>
      <c r="K2050" t="str">
        <f t="shared" si="103"/>
        <v>1+2</v>
      </c>
      <c r="L2050">
        <f>VLOOKUP(A2050,'ZONE 1 PREMIUM'!$A$4:$N$16,14,0)</f>
        <v>10</v>
      </c>
      <c r="M2050">
        <f>VLOOKUP(D2050,DROPDOWN!B:C,2,0)</f>
        <v>8</v>
      </c>
      <c r="N2050" t="str">
        <f t="shared" si="104"/>
        <v>BR35:CJ46</v>
      </c>
      <c r="O2050" s="4">
        <f t="shared" ref="O2050:O2113" ca="1" si="105">INDEX(INDIRECT(N2050),L2050,M2050)</f>
        <v>134713.70000000001</v>
      </c>
    </row>
    <row r="2051" spans="1:15">
      <c r="A2051" s="2" t="s">
        <v>20</v>
      </c>
      <c r="B2051" t="s">
        <v>43</v>
      </c>
      <c r="C2051" t="s">
        <v>44</v>
      </c>
      <c r="D2051">
        <v>20</v>
      </c>
      <c r="E2051" t="s">
        <v>46</v>
      </c>
      <c r="F2051">
        <v>3</v>
      </c>
      <c r="G2051">
        <v>1</v>
      </c>
      <c r="H2051">
        <v>2</v>
      </c>
      <c r="I2051">
        <v>1</v>
      </c>
      <c r="J2051" s="4" t="s">
        <v>53</v>
      </c>
      <c r="K2051" t="str">
        <f t="shared" si="103"/>
        <v>1+2</v>
      </c>
      <c r="L2051">
        <f>VLOOKUP(A2051,'ZONE 1 PREMIUM'!$A$4:$N$16,14,0)</f>
        <v>11</v>
      </c>
      <c r="M2051">
        <f>VLOOKUP(D2051,DROPDOWN!B:C,2,0)</f>
        <v>8</v>
      </c>
      <c r="N2051" t="str">
        <f t="shared" si="104"/>
        <v>BR35:CJ46</v>
      </c>
      <c r="O2051" s="4">
        <f t="shared" ca="1" si="105"/>
        <v>158966.5</v>
      </c>
    </row>
    <row r="2052" spans="1:15">
      <c r="A2052" s="2" t="s">
        <v>21</v>
      </c>
      <c r="B2052" t="s">
        <v>22</v>
      </c>
      <c r="D2052">
        <v>20</v>
      </c>
      <c r="E2052" t="s">
        <v>46</v>
      </c>
      <c r="F2052">
        <v>3</v>
      </c>
      <c r="G2052">
        <v>1</v>
      </c>
      <c r="H2052">
        <v>2</v>
      </c>
      <c r="I2052">
        <v>1</v>
      </c>
      <c r="J2052" s="4" t="s">
        <v>53</v>
      </c>
      <c r="K2052" t="str">
        <f t="shared" ref="K2052:K2115" si="106">G2052&amp;"+"&amp;H2052</f>
        <v>1+2</v>
      </c>
      <c r="L2052">
        <f>VLOOKUP(A2052,'ZONE 1 PREMIUM'!$A$4:$N$16,14,0)</f>
        <v>12</v>
      </c>
      <c r="M2052">
        <f>VLOOKUP(D2052,DROPDOWN!B:C,2,0)</f>
        <v>8</v>
      </c>
      <c r="N2052" t="str">
        <f t="shared" si="104"/>
        <v>BR35:CJ46</v>
      </c>
      <c r="O2052" s="4">
        <f t="shared" ca="1" si="105"/>
        <v>207391.80000000002</v>
      </c>
    </row>
    <row r="2053" spans="1:15">
      <c r="A2053" s="2" t="s">
        <v>11</v>
      </c>
      <c r="B2053" t="s">
        <v>45</v>
      </c>
      <c r="C2053" t="s">
        <v>25</v>
      </c>
      <c r="D2053">
        <v>20</v>
      </c>
      <c r="E2053" t="s">
        <v>46</v>
      </c>
      <c r="F2053">
        <v>4</v>
      </c>
      <c r="G2053">
        <v>1</v>
      </c>
      <c r="H2053">
        <v>3</v>
      </c>
      <c r="I2053">
        <v>1</v>
      </c>
      <c r="J2053" s="4" t="s">
        <v>53</v>
      </c>
      <c r="K2053" t="str">
        <f t="shared" si="106"/>
        <v>1+3</v>
      </c>
      <c r="L2053">
        <f>VLOOKUP(A2053,'ZONE 1 PREMIUM'!$A$4:$N$16,14,0)</f>
        <v>2</v>
      </c>
      <c r="M2053">
        <f>VLOOKUP(D2053,DROPDOWN!B:C,2,0)</f>
        <v>8</v>
      </c>
      <c r="N2053" t="str">
        <f t="shared" si="104"/>
        <v>BR50:CJ61</v>
      </c>
      <c r="O2053" s="4">
        <f t="shared" ca="1" si="105"/>
        <v>34681.9</v>
      </c>
    </row>
    <row r="2054" spans="1:15">
      <c r="A2054" s="2" t="s">
        <v>12</v>
      </c>
      <c r="B2054" t="s">
        <v>27</v>
      </c>
      <c r="C2054" t="s">
        <v>28</v>
      </c>
      <c r="D2054">
        <v>20</v>
      </c>
      <c r="E2054" t="s">
        <v>46</v>
      </c>
      <c r="F2054">
        <v>4</v>
      </c>
      <c r="G2054">
        <v>1</v>
      </c>
      <c r="H2054">
        <v>3</v>
      </c>
      <c r="I2054">
        <v>1</v>
      </c>
      <c r="J2054" s="4" t="s">
        <v>53</v>
      </c>
      <c r="K2054" t="str">
        <f t="shared" si="106"/>
        <v>1+3</v>
      </c>
      <c r="L2054">
        <f>VLOOKUP(A2054,'ZONE 1 PREMIUM'!$A$4:$N$16,14,0)</f>
        <v>3</v>
      </c>
      <c r="M2054">
        <f>VLOOKUP(D2054,DROPDOWN!B:C,2,0)</f>
        <v>8</v>
      </c>
      <c r="N2054" t="str">
        <f t="shared" si="104"/>
        <v>BR50:CJ61</v>
      </c>
      <c r="O2054" s="4">
        <f t="shared" ca="1" si="105"/>
        <v>36616.800000000003</v>
      </c>
    </row>
    <row r="2055" spans="1:15">
      <c r="A2055" s="2" t="s">
        <v>13</v>
      </c>
      <c r="B2055" t="s">
        <v>29</v>
      </c>
      <c r="C2055" t="s">
        <v>30</v>
      </c>
      <c r="D2055">
        <v>20</v>
      </c>
      <c r="E2055" t="s">
        <v>46</v>
      </c>
      <c r="F2055">
        <v>4</v>
      </c>
      <c r="G2055">
        <v>1</v>
      </c>
      <c r="H2055">
        <v>3</v>
      </c>
      <c r="I2055">
        <v>1</v>
      </c>
      <c r="J2055" s="4" t="s">
        <v>53</v>
      </c>
      <c r="K2055" t="str">
        <f t="shared" si="106"/>
        <v>1+3</v>
      </c>
      <c r="L2055">
        <f>VLOOKUP(A2055,'ZONE 1 PREMIUM'!$A$4:$N$16,14,0)</f>
        <v>4</v>
      </c>
      <c r="M2055">
        <f>VLOOKUP(D2055,DROPDOWN!B:C,2,0)</f>
        <v>8</v>
      </c>
      <c r="N2055" t="str">
        <f t="shared" si="104"/>
        <v>BR50:CJ61</v>
      </c>
      <c r="O2055" s="4">
        <f t="shared" ca="1" si="105"/>
        <v>42478.700000000004</v>
      </c>
    </row>
    <row r="2056" spans="1:15">
      <c r="A2056" s="2" t="s">
        <v>14</v>
      </c>
      <c r="B2056" t="s">
        <v>31</v>
      </c>
      <c r="C2056" t="s">
        <v>32</v>
      </c>
      <c r="D2056">
        <v>20</v>
      </c>
      <c r="E2056" t="s">
        <v>46</v>
      </c>
      <c r="F2056">
        <v>4</v>
      </c>
      <c r="G2056">
        <v>1</v>
      </c>
      <c r="H2056">
        <v>3</v>
      </c>
      <c r="I2056">
        <v>1</v>
      </c>
      <c r="J2056" s="4" t="s">
        <v>53</v>
      </c>
      <c r="K2056" t="str">
        <f t="shared" si="106"/>
        <v>1+3</v>
      </c>
      <c r="L2056">
        <f>VLOOKUP(A2056,'ZONE 1 PREMIUM'!$A$4:$N$16,14,0)</f>
        <v>5</v>
      </c>
      <c r="M2056">
        <f>VLOOKUP(D2056,DROPDOWN!B:C,2,0)</f>
        <v>8</v>
      </c>
      <c r="N2056" t="str">
        <f t="shared" si="104"/>
        <v>BR50:CJ61</v>
      </c>
      <c r="O2056" s="4">
        <f t="shared" ca="1" si="105"/>
        <v>47256.000000000007</v>
      </c>
    </row>
    <row r="2057" spans="1:15">
      <c r="A2057" s="2" t="s">
        <v>15</v>
      </c>
      <c r="B2057" t="s">
        <v>33</v>
      </c>
      <c r="C2057" t="s">
        <v>34</v>
      </c>
      <c r="D2057">
        <v>20</v>
      </c>
      <c r="E2057" t="s">
        <v>46</v>
      </c>
      <c r="F2057">
        <v>4</v>
      </c>
      <c r="G2057">
        <v>1</v>
      </c>
      <c r="H2057">
        <v>3</v>
      </c>
      <c r="I2057">
        <v>1</v>
      </c>
      <c r="J2057" s="4" t="s">
        <v>53</v>
      </c>
      <c r="K2057" t="str">
        <f t="shared" si="106"/>
        <v>1+3</v>
      </c>
      <c r="L2057">
        <f>VLOOKUP(A2057,'ZONE 1 PREMIUM'!$A$4:$N$16,14,0)</f>
        <v>6</v>
      </c>
      <c r="M2057">
        <f>VLOOKUP(D2057,DROPDOWN!B:C,2,0)</f>
        <v>8</v>
      </c>
      <c r="N2057" t="str">
        <f t="shared" si="104"/>
        <v>BR50:CJ61</v>
      </c>
      <c r="O2057" s="4">
        <f t="shared" ca="1" si="105"/>
        <v>58166.9</v>
      </c>
    </row>
    <row r="2058" spans="1:15">
      <c r="A2058" s="2" t="s">
        <v>16</v>
      </c>
      <c r="B2058" t="s">
        <v>35</v>
      </c>
      <c r="C2058" t="s">
        <v>36</v>
      </c>
      <c r="D2058">
        <v>20</v>
      </c>
      <c r="E2058" t="s">
        <v>46</v>
      </c>
      <c r="F2058">
        <v>4</v>
      </c>
      <c r="G2058">
        <v>1</v>
      </c>
      <c r="H2058">
        <v>3</v>
      </c>
      <c r="I2058">
        <v>1</v>
      </c>
      <c r="J2058" s="4" t="s">
        <v>53</v>
      </c>
      <c r="K2058" t="str">
        <f t="shared" si="106"/>
        <v>1+3</v>
      </c>
      <c r="L2058">
        <f>VLOOKUP(A2058,'ZONE 1 PREMIUM'!$A$4:$N$16,14,0)</f>
        <v>7</v>
      </c>
      <c r="M2058">
        <f>VLOOKUP(D2058,DROPDOWN!B:C,2,0)</f>
        <v>8</v>
      </c>
      <c r="N2058" t="str">
        <f t="shared" si="104"/>
        <v>BR50:CJ61</v>
      </c>
      <c r="O2058" s="4">
        <f t="shared" ca="1" si="105"/>
        <v>73471.200000000012</v>
      </c>
    </row>
    <row r="2059" spans="1:15">
      <c r="A2059" s="2" t="s">
        <v>17</v>
      </c>
      <c r="B2059" t="s">
        <v>37</v>
      </c>
      <c r="C2059" t="s">
        <v>38</v>
      </c>
      <c r="D2059">
        <v>20</v>
      </c>
      <c r="E2059" t="s">
        <v>46</v>
      </c>
      <c r="F2059">
        <v>4</v>
      </c>
      <c r="G2059">
        <v>1</v>
      </c>
      <c r="H2059">
        <v>3</v>
      </c>
      <c r="I2059">
        <v>1</v>
      </c>
      <c r="J2059" s="4" t="s">
        <v>53</v>
      </c>
      <c r="K2059" t="str">
        <f t="shared" si="106"/>
        <v>1+3</v>
      </c>
      <c r="L2059">
        <f>VLOOKUP(A2059,'ZONE 1 PREMIUM'!$A$4:$N$16,14,0)</f>
        <v>8</v>
      </c>
      <c r="M2059">
        <f>VLOOKUP(D2059,DROPDOWN!B:C,2,0)</f>
        <v>8</v>
      </c>
      <c r="N2059" t="str">
        <f t="shared" si="104"/>
        <v>BR50:CJ61</v>
      </c>
      <c r="O2059" s="4">
        <f t="shared" ca="1" si="105"/>
        <v>90876.500000000015</v>
      </c>
    </row>
    <row r="2060" spans="1:15">
      <c r="A2060" s="2" t="s">
        <v>18</v>
      </c>
      <c r="B2060" t="s">
        <v>39</v>
      </c>
      <c r="C2060" t="s">
        <v>40</v>
      </c>
      <c r="D2060">
        <v>20</v>
      </c>
      <c r="E2060" t="s">
        <v>46</v>
      </c>
      <c r="F2060">
        <v>4</v>
      </c>
      <c r="G2060">
        <v>1</v>
      </c>
      <c r="H2060">
        <v>3</v>
      </c>
      <c r="I2060">
        <v>1</v>
      </c>
      <c r="J2060" s="4" t="s">
        <v>53</v>
      </c>
      <c r="K2060" t="str">
        <f t="shared" si="106"/>
        <v>1+3</v>
      </c>
      <c r="L2060">
        <f>VLOOKUP(A2060,'ZONE 1 PREMIUM'!$A$4:$N$16,14,0)</f>
        <v>9</v>
      </c>
      <c r="M2060">
        <f>VLOOKUP(D2060,DROPDOWN!B:C,2,0)</f>
        <v>8</v>
      </c>
      <c r="N2060" t="str">
        <f t="shared" si="104"/>
        <v>BR50:CJ61</v>
      </c>
      <c r="O2060" s="4">
        <f t="shared" ca="1" si="105"/>
        <v>116340.40000000001</v>
      </c>
    </row>
    <row r="2061" spans="1:15">
      <c r="A2061" s="2" t="s">
        <v>19</v>
      </c>
      <c r="B2061" t="s">
        <v>41</v>
      </c>
      <c r="C2061" t="s">
        <v>42</v>
      </c>
      <c r="D2061">
        <v>20</v>
      </c>
      <c r="E2061" t="s">
        <v>46</v>
      </c>
      <c r="F2061">
        <v>4</v>
      </c>
      <c r="G2061">
        <v>1</v>
      </c>
      <c r="H2061">
        <v>3</v>
      </c>
      <c r="I2061">
        <v>1</v>
      </c>
      <c r="J2061" s="4" t="s">
        <v>53</v>
      </c>
      <c r="K2061" t="str">
        <f t="shared" si="106"/>
        <v>1+3</v>
      </c>
      <c r="L2061">
        <f>VLOOKUP(A2061,'ZONE 1 PREMIUM'!$A$4:$N$16,14,0)</f>
        <v>10</v>
      </c>
      <c r="M2061">
        <f>VLOOKUP(D2061,DROPDOWN!B:C,2,0)</f>
        <v>8</v>
      </c>
      <c r="N2061" t="str">
        <f t="shared" si="104"/>
        <v>BR50:CJ61</v>
      </c>
      <c r="O2061" s="4">
        <f t="shared" ca="1" si="105"/>
        <v>142540.20000000001</v>
      </c>
    </row>
    <row r="2062" spans="1:15">
      <c r="A2062" s="2" t="s">
        <v>20</v>
      </c>
      <c r="B2062" t="s">
        <v>43</v>
      </c>
      <c r="C2062" t="s">
        <v>44</v>
      </c>
      <c r="D2062">
        <v>20</v>
      </c>
      <c r="E2062" t="s">
        <v>46</v>
      </c>
      <c r="F2062">
        <v>4</v>
      </c>
      <c r="G2062">
        <v>1</v>
      </c>
      <c r="H2062">
        <v>3</v>
      </c>
      <c r="I2062">
        <v>1</v>
      </c>
      <c r="J2062" s="4" t="s">
        <v>53</v>
      </c>
      <c r="K2062" t="str">
        <f t="shared" si="106"/>
        <v>1+3</v>
      </c>
      <c r="L2062">
        <f>VLOOKUP(A2062,'ZONE 1 PREMIUM'!$A$4:$N$16,14,0)</f>
        <v>11</v>
      </c>
      <c r="M2062">
        <f>VLOOKUP(D2062,DROPDOWN!B:C,2,0)</f>
        <v>8</v>
      </c>
      <c r="N2062" t="str">
        <f t="shared" si="104"/>
        <v>BR50:CJ61</v>
      </c>
      <c r="O2062" s="4">
        <f t="shared" ca="1" si="105"/>
        <v>166419</v>
      </c>
    </row>
    <row r="2063" spans="1:15">
      <c r="A2063" s="2" t="s">
        <v>21</v>
      </c>
      <c r="B2063" t="s">
        <v>22</v>
      </c>
      <c r="D2063">
        <v>20</v>
      </c>
      <c r="E2063" t="s">
        <v>46</v>
      </c>
      <c r="F2063">
        <v>4</v>
      </c>
      <c r="G2063">
        <v>1</v>
      </c>
      <c r="H2063">
        <v>3</v>
      </c>
      <c r="I2063">
        <v>1</v>
      </c>
      <c r="J2063" s="4" t="s">
        <v>53</v>
      </c>
      <c r="K2063" t="str">
        <f t="shared" si="106"/>
        <v>1+3</v>
      </c>
      <c r="L2063">
        <f>VLOOKUP(A2063,'ZONE 1 PREMIUM'!$A$4:$N$16,14,0)</f>
        <v>12</v>
      </c>
      <c r="M2063">
        <f>VLOOKUP(D2063,DROPDOWN!B:C,2,0)</f>
        <v>8</v>
      </c>
      <c r="N2063" t="str">
        <f t="shared" si="104"/>
        <v>BR50:CJ61</v>
      </c>
      <c r="O2063" s="4">
        <f t="shared" ca="1" si="105"/>
        <v>215272.2</v>
      </c>
    </row>
    <row r="2064" spans="1:15">
      <c r="A2064" s="2" t="s">
        <v>11</v>
      </c>
      <c r="B2064" t="s">
        <v>45</v>
      </c>
      <c r="C2064" t="s">
        <v>25</v>
      </c>
      <c r="D2064">
        <v>20</v>
      </c>
      <c r="E2064" t="s">
        <v>46</v>
      </c>
      <c r="F2064">
        <v>5</v>
      </c>
      <c r="G2064">
        <v>1</v>
      </c>
      <c r="H2064">
        <v>4</v>
      </c>
      <c r="I2064">
        <v>1</v>
      </c>
      <c r="J2064" s="4" t="s">
        <v>53</v>
      </c>
      <c r="K2064" t="str">
        <f t="shared" si="106"/>
        <v>1+4</v>
      </c>
      <c r="L2064">
        <f>VLOOKUP(A2064,'ZONE 1 PREMIUM'!$A$4:$N$16,14,0)</f>
        <v>2</v>
      </c>
      <c r="M2064">
        <f>VLOOKUP(D2064,DROPDOWN!B:C,2,0)</f>
        <v>8</v>
      </c>
      <c r="N2064" t="str">
        <f t="shared" si="104"/>
        <v>BR65:CJ76</v>
      </c>
      <c r="O2064" s="4">
        <f t="shared" ca="1" si="105"/>
        <v>41103.700000000004</v>
      </c>
    </row>
    <row r="2065" spans="1:15">
      <c r="A2065" s="2" t="s">
        <v>12</v>
      </c>
      <c r="B2065" t="s">
        <v>27</v>
      </c>
      <c r="C2065" t="s">
        <v>28</v>
      </c>
      <c r="D2065">
        <v>20</v>
      </c>
      <c r="E2065" t="s">
        <v>46</v>
      </c>
      <c r="F2065">
        <v>5</v>
      </c>
      <c r="G2065">
        <v>1</v>
      </c>
      <c r="H2065">
        <v>4</v>
      </c>
      <c r="I2065">
        <v>1</v>
      </c>
      <c r="J2065" s="4" t="s">
        <v>53</v>
      </c>
      <c r="K2065" t="str">
        <f t="shared" si="106"/>
        <v>1+4</v>
      </c>
      <c r="L2065">
        <f>VLOOKUP(A2065,'ZONE 1 PREMIUM'!$A$4:$N$16,14,0)</f>
        <v>3</v>
      </c>
      <c r="M2065">
        <f>VLOOKUP(D2065,DROPDOWN!B:C,2,0)</f>
        <v>8</v>
      </c>
      <c r="N2065" t="str">
        <f t="shared" si="104"/>
        <v>BR65:CJ76</v>
      </c>
      <c r="O2065" s="4">
        <f t="shared" ca="1" si="105"/>
        <v>42924.200000000004</v>
      </c>
    </row>
    <row r="2066" spans="1:15">
      <c r="A2066" s="2" t="s">
        <v>13</v>
      </c>
      <c r="B2066" t="s">
        <v>29</v>
      </c>
      <c r="C2066" t="s">
        <v>30</v>
      </c>
      <c r="D2066">
        <v>20</v>
      </c>
      <c r="E2066" t="s">
        <v>46</v>
      </c>
      <c r="F2066">
        <v>5</v>
      </c>
      <c r="G2066">
        <v>1</v>
      </c>
      <c r="H2066">
        <v>4</v>
      </c>
      <c r="I2066">
        <v>1</v>
      </c>
      <c r="J2066" s="4" t="s">
        <v>53</v>
      </c>
      <c r="K2066" t="str">
        <f t="shared" si="106"/>
        <v>1+4</v>
      </c>
      <c r="L2066">
        <f>VLOOKUP(A2066,'ZONE 1 PREMIUM'!$A$4:$N$16,14,0)</f>
        <v>4</v>
      </c>
      <c r="M2066">
        <f>VLOOKUP(D2066,DROPDOWN!B:C,2,0)</f>
        <v>8</v>
      </c>
      <c r="N2066" t="str">
        <f t="shared" si="104"/>
        <v>BR65:CJ76</v>
      </c>
      <c r="O2066" s="4">
        <f t="shared" ca="1" si="105"/>
        <v>49817.9</v>
      </c>
    </row>
    <row r="2067" spans="1:15">
      <c r="A2067" s="2" t="s">
        <v>14</v>
      </c>
      <c r="B2067" t="s">
        <v>31</v>
      </c>
      <c r="C2067" t="s">
        <v>32</v>
      </c>
      <c r="D2067">
        <v>20</v>
      </c>
      <c r="E2067" t="s">
        <v>46</v>
      </c>
      <c r="F2067">
        <v>5</v>
      </c>
      <c r="G2067">
        <v>1</v>
      </c>
      <c r="H2067">
        <v>4</v>
      </c>
      <c r="I2067">
        <v>1</v>
      </c>
      <c r="J2067" s="4" t="s">
        <v>53</v>
      </c>
      <c r="K2067" t="str">
        <f t="shared" si="106"/>
        <v>1+4</v>
      </c>
      <c r="L2067">
        <f>VLOOKUP(A2067,'ZONE 1 PREMIUM'!$A$4:$N$16,14,0)</f>
        <v>5</v>
      </c>
      <c r="M2067">
        <f>VLOOKUP(D2067,DROPDOWN!B:C,2,0)</f>
        <v>8</v>
      </c>
      <c r="N2067" t="str">
        <f t="shared" si="104"/>
        <v>BR65:CJ76</v>
      </c>
      <c r="O2067" s="4">
        <f t="shared" ca="1" si="105"/>
        <v>55088.000000000007</v>
      </c>
    </row>
    <row r="2068" spans="1:15">
      <c r="A2068" s="2" t="s">
        <v>15</v>
      </c>
      <c r="B2068" t="s">
        <v>33</v>
      </c>
      <c r="C2068" t="s">
        <v>34</v>
      </c>
      <c r="D2068">
        <v>20</v>
      </c>
      <c r="E2068" t="s">
        <v>46</v>
      </c>
      <c r="F2068">
        <v>5</v>
      </c>
      <c r="G2068">
        <v>1</v>
      </c>
      <c r="H2068">
        <v>4</v>
      </c>
      <c r="I2068">
        <v>1</v>
      </c>
      <c r="J2068" s="4" t="s">
        <v>53</v>
      </c>
      <c r="K2068" t="str">
        <f t="shared" si="106"/>
        <v>1+4</v>
      </c>
      <c r="L2068">
        <f>VLOOKUP(A2068,'ZONE 1 PREMIUM'!$A$4:$N$16,14,0)</f>
        <v>6</v>
      </c>
      <c r="M2068">
        <f>VLOOKUP(D2068,DROPDOWN!B:C,2,0)</f>
        <v>8</v>
      </c>
      <c r="N2068" t="str">
        <f t="shared" si="104"/>
        <v>BR65:CJ76</v>
      </c>
      <c r="O2068" s="4">
        <f t="shared" ca="1" si="105"/>
        <v>66971.3</v>
      </c>
    </row>
    <row r="2069" spans="1:15">
      <c r="A2069" s="2" t="s">
        <v>16</v>
      </c>
      <c r="B2069" t="s">
        <v>35</v>
      </c>
      <c r="C2069" t="s">
        <v>36</v>
      </c>
      <c r="D2069">
        <v>20</v>
      </c>
      <c r="E2069" t="s">
        <v>46</v>
      </c>
      <c r="F2069">
        <v>5</v>
      </c>
      <c r="G2069">
        <v>1</v>
      </c>
      <c r="H2069">
        <v>4</v>
      </c>
      <c r="I2069">
        <v>1</v>
      </c>
      <c r="J2069" s="4" t="s">
        <v>53</v>
      </c>
      <c r="K2069" t="str">
        <f t="shared" si="106"/>
        <v>1+4</v>
      </c>
      <c r="L2069">
        <f>VLOOKUP(A2069,'ZONE 1 PREMIUM'!$A$4:$N$16,14,0)</f>
        <v>7</v>
      </c>
      <c r="M2069">
        <f>VLOOKUP(D2069,DROPDOWN!B:C,2,0)</f>
        <v>8</v>
      </c>
      <c r="N2069" t="str">
        <f t="shared" si="104"/>
        <v>BR65:CJ76</v>
      </c>
      <c r="O2069" s="4">
        <f t="shared" ca="1" si="105"/>
        <v>81675</v>
      </c>
    </row>
    <row r="2070" spans="1:15">
      <c r="A2070" s="2" t="s">
        <v>17</v>
      </c>
      <c r="B2070" t="s">
        <v>37</v>
      </c>
      <c r="C2070" t="s">
        <v>38</v>
      </c>
      <c r="D2070">
        <v>20</v>
      </c>
      <c r="E2070" t="s">
        <v>46</v>
      </c>
      <c r="F2070">
        <v>5</v>
      </c>
      <c r="G2070">
        <v>1</v>
      </c>
      <c r="H2070">
        <v>4</v>
      </c>
      <c r="I2070">
        <v>1</v>
      </c>
      <c r="J2070" s="4" t="s">
        <v>53</v>
      </c>
      <c r="K2070" t="str">
        <f t="shared" si="106"/>
        <v>1+4</v>
      </c>
      <c r="L2070">
        <f>VLOOKUP(A2070,'ZONE 1 PREMIUM'!$A$4:$N$16,14,0)</f>
        <v>8</v>
      </c>
      <c r="M2070">
        <f>VLOOKUP(D2070,DROPDOWN!B:C,2,0)</f>
        <v>8</v>
      </c>
      <c r="N2070" t="str">
        <f t="shared" si="104"/>
        <v>BR65:CJ76</v>
      </c>
      <c r="O2070" s="4">
        <f t="shared" ca="1" si="105"/>
        <v>98842.700000000012</v>
      </c>
    </row>
    <row r="2071" spans="1:15">
      <c r="A2071" s="2" t="s">
        <v>18</v>
      </c>
      <c r="B2071" t="s">
        <v>39</v>
      </c>
      <c r="C2071" t="s">
        <v>40</v>
      </c>
      <c r="D2071">
        <v>20</v>
      </c>
      <c r="E2071" t="s">
        <v>46</v>
      </c>
      <c r="F2071">
        <v>5</v>
      </c>
      <c r="G2071">
        <v>1</v>
      </c>
      <c r="H2071">
        <v>4</v>
      </c>
      <c r="I2071">
        <v>1</v>
      </c>
      <c r="J2071" s="4" t="s">
        <v>53</v>
      </c>
      <c r="K2071" t="str">
        <f t="shared" si="106"/>
        <v>1+4</v>
      </c>
      <c r="L2071">
        <f>VLOOKUP(A2071,'ZONE 1 PREMIUM'!$A$4:$N$16,14,0)</f>
        <v>9</v>
      </c>
      <c r="M2071">
        <f>VLOOKUP(D2071,DROPDOWN!B:C,2,0)</f>
        <v>8</v>
      </c>
      <c r="N2071" t="str">
        <f t="shared" si="104"/>
        <v>BR65:CJ76</v>
      </c>
      <c r="O2071" s="4">
        <f t="shared" ca="1" si="105"/>
        <v>124503.50000000001</v>
      </c>
    </row>
    <row r="2072" spans="1:15">
      <c r="A2072" s="2" t="s">
        <v>19</v>
      </c>
      <c r="B2072" t="s">
        <v>41</v>
      </c>
      <c r="C2072" t="s">
        <v>42</v>
      </c>
      <c r="D2072">
        <v>20</v>
      </c>
      <c r="E2072" t="s">
        <v>46</v>
      </c>
      <c r="F2072">
        <v>5</v>
      </c>
      <c r="G2072">
        <v>1</v>
      </c>
      <c r="H2072">
        <v>4</v>
      </c>
      <c r="I2072">
        <v>1</v>
      </c>
      <c r="J2072" s="4" t="s">
        <v>53</v>
      </c>
      <c r="K2072" t="str">
        <f t="shared" si="106"/>
        <v>1+4</v>
      </c>
      <c r="L2072">
        <f>VLOOKUP(A2072,'ZONE 1 PREMIUM'!$A$4:$N$16,14,0)</f>
        <v>10</v>
      </c>
      <c r="M2072">
        <f>VLOOKUP(D2072,DROPDOWN!B:C,2,0)</f>
        <v>8</v>
      </c>
      <c r="N2072" t="str">
        <f t="shared" si="104"/>
        <v>BR65:CJ76</v>
      </c>
      <c r="O2072" s="4">
        <f t="shared" ca="1" si="105"/>
        <v>150586.70000000001</v>
      </c>
    </row>
    <row r="2073" spans="1:15">
      <c r="A2073" s="2" t="s">
        <v>20</v>
      </c>
      <c r="B2073" t="s">
        <v>43</v>
      </c>
      <c r="C2073" t="s">
        <v>44</v>
      </c>
      <c r="D2073">
        <v>20</v>
      </c>
      <c r="E2073" t="s">
        <v>46</v>
      </c>
      <c r="F2073">
        <v>5</v>
      </c>
      <c r="G2073">
        <v>1</v>
      </c>
      <c r="H2073">
        <v>4</v>
      </c>
      <c r="I2073">
        <v>1</v>
      </c>
      <c r="J2073" s="4" t="s">
        <v>53</v>
      </c>
      <c r="K2073" t="str">
        <f t="shared" si="106"/>
        <v>1+4</v>
      </c>
      <c r="L2073">
        <f>VLOOKUP(A2073,'ZONE 1 PREMIUM'!$A$4:$N$16,14,0)</f>
        <v>11</v>
      </c>
      <c r="M2073">
        <f>VLOOKUP(D2073,DROPDOWN!B:C,2,0)</f>
        <v>8</v>
      </c>
      <c r="N2073" t="str">
        <f t="shared" si="104"/>
        <v>BR65:CJ76</v>
      </c>
      <c r="O2073" s="4">
        <f t="shared" ca="1" si="105"/>
        <v>174507.30000000002</v>
      </c>
    </row>
    <row r="2074" spans="1:15">
      <c r="A2074" s="2" t="s">
        <v>21</v>
      </c>
      <c r="B2074" t="s">
        <v>22</v>
      </c>
      <c r="D2074">
        <v>20</v>
      </c>
      <c r="E2074" t="s">
        <v>46</v>
      </c>
      <c r="F2074">
        <v>5</v>
      </c>
      <c r="G2074">
        <v>1</v>
      </c>
      <c r="H2074">
        <v>4</v>
      </c>
      <c r="I2074">
        <v>1</v>
      </c>
      <c r="J2074" s="4" t="s">
        <v>53</v>
      </c>
      <c r="K2074" t="str">
        <f t="shared" si="106"/>
        <v>1+4</v>
      </c>
      <c r="L2074">
        <f>VLOOKUP(A2074,'ZONE 1 PREMIUM'!$A$4:$N$16,14,0)</f>
        <v>12</v>
      </c>
      <c r="M2074">
        <f>VLOOKUP(D2074,DROPDOWN!B:C,2,0)</f>
        <v>8</v>
      </c>
      <c r="N2074" t="str">
        <f t="shared" si="104"/>
        <v>BR65:CJ76</v>
      </c>
      <c r="O2074" s="4">
        <f t="shared" ca="1" si="105"/>
        <v>223626.7</v>
      </c>
    </row>
    <row r="2075" spans="1:15">
      <c r="A2075" s="2" t="s">
        <v>11</v>
      </c>
      <c r="B2075" t="s">
        <v>45</v>
      </c>
      <c r="C2075" t="s">
        <v>25</v>
      </c>
      <c r="D2075">
        <v>20</v>
      </c>
      <c r="E2075" t="s">
        <v>46</v>
      </c>
      <c r="F2075">
        <v>2</v>
      </c>
      <c r="G2075">
        <v>2</v>
      </c>
      <c r="H2075">
        <v>0</v>
      </c>
      <c r="I2075">
        <v>1</v>
      </c>
      <c r="J2075" s="4" t="s">
        <v>53</v>
      </c>
      <c r="K2075" t="str">
        <f t="shared" si="106"/>
        <v>2+0</v>
      </c>
      <c r="L2075">
        <f>VLOOKUP(A2075,'ZONE 1 PREMIUM'!$A$4:$N$16,14,0)</f>
        <v>2</v>
      </c>
      <c r="M2075">
        <f>VLOOKUP(D2075,DROPDOWN!B:C,2,0)</f>
        <v>8</v>
      </c>
      <c r="N2075" t="str">
        <f t="shared" si="104"/>
        <v>BR81:CJ92</v>
      </c>
      <c r="O2075" s="4">
        <f t="shared" ca="1" si="105"/>
        <v>30532.7</v>
      </c>
    </row>
    <row r="2076" spans="1:15">
      <c r="A2076" s="2" t="s">
        <v>12</v>
      </c>
      <c r="B2076" t="s">
        <v>27</v>
      </c>
      <c r="C2076" t="s">
        <v>28</v>
      </c>
      <c r="D2076">
        <v>20</v>
      </c>
      <c r="E2076" t="s">
        <v>46</v>
      </c>
      <c r="F2076">
        <v>2</v>
      </c>
      <c r="G2076">
        <v>2</v>
      </c>
      <c r="H2076">
        <v>0</v>
      </c>
      <c r="I2076">
        <v>1</v>
      </c>
      <c r="J2076" s="4" t="s">
        <v>53</v>
      </c>
      <c r="K2076" t="str">
        <f t="shared" si="106"/>
        <v>2+0</v>
      </c>
      <c r="L2076">
        <f>VLOOKUP(A2076,'ZONE 1 PREMIUM'!$A$4:$N$16,14,0)</f>
        <v>3</v>
      </c>
      <c r="M2076">
        <f>VLOOKUP(D2076,DROPDOWN!B:C,2,0)</f>
        <v>8</v>
      </c>
      <c r="N2076" t="str">
        <f t="shared" si="104"/>
        <v>BR81:CJ92</v>
      </c>
      <c r="O2076" s="4">
        <f t="shared" ca="1" si="105"/>
        <v>34746.800000000003</v>
      </c>
    </row>
    <row r="2077" spans="1:15">
      <c r="A2077" s="2" t="s">
        <v>13</v>
      </c>
      <c r="B2077" t="s">
        <v>29</v>
      </c>
      <c r="C2077" t="s">
        <v>30</v>
      </c>
      <c r="D2077">
        <v>20</v>
      </c>
      <c r="E2077" t="s">
        <v>46</v>
      </c>
      <c r="F2077">
        <v>2</v>
      </c>
      <c r="G2077">
        <v>2</v>
      </c>
      <c r="H2077">
        <v>0</v>
      </c>
      <c r="I2077">
        <v>1</v>
      </c>
      <c r="J2077" s="4" t="s">
        <v>53</v>
      </c>
      <c r="K2077" t="str">
        <f t="shared" si="106"/>
        <v>2+0</v>
      </c>
      <c r="L2077">
        <f>VLOOKUP(A2077,'ZONE 1 PREMIUM'!$A$4:$N$16,14,0)</f>
        <v>4</v>
      </c>
      <c r="M2077">
        <f>VLOOKUP(D2077,DROPDOWN!B:C,2,0)</f>
        <v>8</v>
      </c>
      <c r="N2077" t="str">
        <f t="shared" si="104"/>
        <v>BR81:CJ92</v>
      </c>
      <c r="O2077" s="4">
        <f t="shared" ca="1" si="105"/>
        <v>38590.200000000004</v>
      </c>
    </row>
    <row r="2078" spans="1:15">
      <c r="A2078" s="2" t="s">
        <v>14</v>
      </c>
      <c r="B2078" t="s">
        <v>31</v>
      </c>
      <c r="C2078" t="s">
        <v>32</v>
      </c>
      <c r="D2078">
        <v>20</v>
      </c>
      <c r="E2078" t="s">
        <v>46</v>
      </c>
      <c r="F2078">
        <v>2</v>
      </c>
      <c r="G2078">
        <v>2</v>
      </c>
      <c r="H2078">
        <v>0</v>
      </c>
      <c r="I2078">
        <v>1</v>
      </c>
      <c r="J2078" s="4" t="s">
        <v>53</v>
      </c>
      <c r="K2078" t="str">
        <f t="shared" si="106"/>
        <v>2+0</v>
      </c>
      <c r="L2078">
        <f>VLOOKUP(A2078,'ZONE 1 PREMIUM'!$A$4:$N$16,14,0)</f>
        <v>5</v>
      </c>
      <c r="M2078">
        <f>VLOOKUP(D2078,DROPDOWN!B:C,2,0)</f>
        <v>8</v>
      </c>
      <c r="N2078" t="str">
        <f t="shared" si="104"/>
        <v>BR81:CJ92</v>
      </c>
      <c r="O2078" s="4">
        <f t="shared" ca="1" si="105"/>
        <v>44701.8</v>
      </c>
    </row>
    <row r="2079" spans="1:15">
      <c r="A2079" s="2" t="s">
        <v>15</v>
      </c>
      <c r="B2079" t="s">
        <v>33</v>
      </c>
      <c r="C2079" t="s">
        <v>34</v>
      </c>
      <c r="D2079">
        <v>20</v>
      </c>
      <c r="E2079" t="s">
        <v>46</v>
      </c>
      <c r="F2079">
        <v>2</v>
      </c>
      <c r="G2079">
        <v>2</v>
      </c>
      <c r="H2079">
        <v>0</v>
      </c>
      <c r="I2079">
        <v>1</v>
      </c>
      <c r="J2079" s="4" t="s">
        <v>53</v>
      </c>
      <c r="K2079" t="str">
        <f t="shared" si="106"/>
        <v>2+0</v>
      </c>
      <c r="L2079">
        <f>VLOOKUP(A2079,'ZONE 1 PREMIUM'!$A$4:$N$16,14,0)</f>
        <v>6</v>
      </c>
      <c r="M2079">
        <f>VLOOKUP(D2079,DROPDOWN!B:C,2,0)</f>
        <v>8</v>
      </c>
      <c r="N2079" t="str">
        <f t="shared" si="104"/>
        <v>BR81:CJ92</v>
      </c>
      <c r="O2079" s="4">
        <f t="shared" ca="1" si="105"/>
        <v>57292.4</v>
      </c>
    </row>
    <row r="2080" spans="1:15">
      <c r="A2080" s="2" t="s">
        <v>16</v>
      </c>
      <c r="B2080" t="s">
        <v>35</v>
      </c>
      <c r="C2080" t="s">
        <v>36</v>
      </c>
      <c r="D2080">
        <v>20</v>
      </c>
      <c r="E2080" t="s">
        <v>46</v>
      </c>
      <c r="F2080">
        <v>2</v>
      </c>
      <c r="G2080">
        <v>2</v>
      </c>
      <c r="H2080">
        <v>0</v>
      </c>
      <c r="I2080">
        <v>1</v>
      </c>
      <c r="J2080" s="4" t="s">
        <v>53</v>
      </c>
      <c r="K2080" t="str">
        <f t="shared" si="106"/>
        <v>2+0</v>
      </c>
      <c r="L2080">
        <f>VLOOKUP(A2080,'ZONE 1 PREMIUM'!$A$4:$N$16,14,0)</f>
        <v>7</v>
      </c>
      <c r="M2080">
        <f>VLOOKUP(D2080,DROPDOWN!B:C,2,0)</f>
        <v>8</v>
      </c>
      <c r="N2080" t="str">
        <f t="shared" si="104"/>
        <v>BR81:CJ92</v>
      </c>
      <c r="O2080" s="4">
        <f t="shared" ca="1" si="105"/>
        <v>75765.8</v>
      </c>
    </row>
    <row r="2081" spans="1:15">
      <c r="A2081" s="2" t="s">
        <v>17</v>
      </c>
      <c r="B2081" t="s">
        <v>37</v>
      </c>
      <c r="C2081" t="s">
        <v>38</v>
      </c>
      <c r="D2081">
        <v>20</v>
      </c>
      <c r="E2081" t="s">
        <v>46</v>
      </c>
      <c r="F2081">
        <v>2</v>
      </c>
      <c r="G2081">
        <v>2</v>
      </c>
      <c r="H2081">
        <v>0</v>
      </c>
      <c r="I2081">
        <v>1</v>
      </c>
      <c r="J2081" s="4" t="s">
        <v>53</v>
      </c>
      <c r="K2081" t="str">
        <f t="shared" si="106"/>
        <v>2+0</v>
      </c>
      <c r="L2081">
        <f>VLOOKUP(A2081,'ZONE 1 PREMIUM'!$A$4:$N$16,14,0)</f>
        <v>8</v>
      </c>
      <c r="M2081">
        <f>VLOOKUP(D2081,DROPDOWN!B:C,2,0)</f>
        <v>8</v>
      </c>
      <c r="N2081" t="str">
        <f t="shared" si="104"/>
        <v>BR81:CJ92</v>
      </c>
      <c r="O2081" s="4">
        <f t="shared" ca="1" si="105"/>
        <v>104490.1</v>
      </c>
    </row>
    <row r="2082" spans="1:15">
      <c r="A2082" s="2" t="s">
        <v>18</v>
      </c>
      <c r="B2082" t="s">
        <v>39</v>
      </c>
      <c r="C2082" t="s">
        <v>40</v>
      </c>
      <c r="D2082">
        <v>20</v>
      </c>
      <c r="E2082" t="s">
        <v>46</v>
      </c>
      <c r="F2082">
        <v>2</v>
      </c>
      <c r="G2082">
        <v>2</v>
      </c>
      <c r="H2082">
        <v>0</v>
      </c>
      <c r="I2082">
        <v>1</v>
      </c>
      <c r="J2082" s="4" t="s">
        <v>53</v>
      </c>
      <c r="K2082" t="str">
        <f t="shared" si="106"/>
        <v>2+0</v>
      </c>
      <c r="L2082">
        <f>VLOOKUP(A2082,'ZONE 1 PREMIUM'!$A$4:$N$16,14,0)</f>
        <v>9</v>
      </c>
      <c r="M2082">
        <f>VLOOKUP(D2082,DROPDOWN!B:C,2,0)</f>
        <v>8</v>
      </c>
      <c r="N2082" t="str">
        <f t="shared" ref="N2082:N2129" si="107">VLOOKUP(K2082,$CK$3:$CL$12,2,0)</f>
        <v>BR81:CJ92</v>
      </c>
      <c r="O2082" s="4">
        <f t="shared" ca="1" si="105"/>
        <v>147589.20000000001</v>
      </c>
    </row>
    <row r="2083" spans="1:15">
      <c r="A2083" s="2" t="s">
        <v>19</v>
      </c>
      <c r="B2083" t="s">
        <v>41</v>
      </c>
      <c r="C2083" t="s">
        <v>42</v>
      </c>
      <c r="D2083">
        <v>20</v>
      </c>
      <c r="E2083" t="s">
        <v>46</v>
      </c>
      <c r="F2083">
        <v>2</v>
      </c>
      <c r="G2083">
        <v>2</v>
      </c>
      <c r="H2083">
        <v>0</v>
      </c>
      <c r="I2083">
        <v>1</v>
      </c>
      <c r="J2083" s="4" t="s">
        <v>53</v>
      </c>
      <c r="K2083" t="str">
        <f t="shared" si="106"/>
        <v>2+0</v>
      </c>
      <c r="L2083">
        <f>VLOOKUP(A2083,'ZONE 1 PREMIUM'!$A$4:$N$16,14,0)</f>
        <v>10</v>
      </c>
      <c r="M2083">
        <f>VLOOKUP(D2083,DROPDOWN!B:C,2,0)</f>
        <v>8</v>
      </c>
      <c r="N2083" t="str">
        <f t="shared" si="107"/>
        <v>BR81:CJ92</v>
      </c>
      <c r="O2083" s="4">
        <f t="shared" ca="1" si="105"/>
        <v>204864.00000000003</v>
      </c>
    </row>
    <row r="2084" spans="1:15">
      <c r="A2084" s="2" t="s">
        <v>20</v>
      </c>
      <c r="B2084" t="s">
        <v>43</v>
      </c>
      <c r="C2084" t="s">
        <v>44</v>
      </c>
      <c r="D2084">
        <v>20</v>
      </c>
      <c r="E2084" t="s">
        <v>46</v>
      </c>
      <c r="F2084">
        <v>2</v>
      </c>
      <c r="G2084">
        <v>2</v>
      </c>
      <c r="H2084">
        <v>0</v>
      </c>
      <c r="I2084">
        <v>1</v>
      </c>
      <c r="J2084" s="4" t="s">
        <v>53</v>
      </c>
      <c r="K2084" t="str">
        <f t="shared" si="106"/>
        <v>2+0</v>
      </c>
      <c r="L2084">
        <f>VLOOKUP(A2084,'ZONE 1 PREMIUM'!$A$4:$N$16,14,0)</f>
        <v>11</v>
      </c>
      <c r="M2084">
        <f>VLOOKUP(D2084,DROPDOWN!B:C,2,0)</f>
        <v>8</v>
      </c>
      <c r="N2084" t="str">
        <f t="shared" si="107"/>
        <v>BR81:CJ92</v>
      </c>
      <c r="O2084" s="4">
        <f t="shared" ca="1" si="105"/>
        <v>253465.30000000002</v>
      </c>
    </row>
    <row r="2085" spans="1:15">
      <c r="A2085" s="2" t="s">
        <v>21</v>
      </c>
      <c r="B2085" t="s">
        <v>22</v>
      </c>
      <c r="D2085">
        <v>20</v>
      </c>
      <c r="E2085" t="s">
        <v>46</v>
      </c>
      <c r="F2085">
        <v>2</v>
      </c>
      <c r="G2085">
        <v>2</v>
      </c>
      <c r="H2085">
        <v>0</v>
      </c>
      <c r="I2085">
        <v>1</v>
      </c>
      <c r="J2085" s="4" t="s">
        <v>53</v>
      </c>
      <c r="K2085" t="str">
        <f t="shared" si="106"/>
        <v>2+0</v>
      </c>
      <c r="L2085">
        <f>VLOOKUP(A2085,'ZONE 1 PREMIUM'!$A$4:$N$16,14,0)</f>
        <v>12</v>
      </c>
      <c r="M2085">
        <f>VLOOKUP(D2085,DROPDOWN!B:C,2,0)</f>
        <v>8</v>
      </c>
      <c r="N2085" t="str">
        <f t="shared" si="107"/>
        <v>BR81:CJ92</v>
      </c>
      <c r="O2085" s="4">
        <f t="shared" ca="1" si="105"/>
        <v>324665</v>
      </c>
    </row>
    <row r="2086" spans="1:15">
      <c r="A2086" s="2" t="s">
        <v>11</v>
      </c>
      <c r="B2086" t="s">
        <v>45</v>
      </c>
      <c r="C2086" t="s">
        <v>25</v>
      </c>
      <c r="D2086">
        <v>20</v>
      </c>
      <c r="E2086" t="s">
        <v>46</v>
      </c>
      <c r="F2086">
        <v>3</v>
      </c>
      <c r="G2086">
        <v>2</v>
      </c>
      <c r="H2086">
        <v>1</v>
      </c>
      <c r="I2086">
        <v>1</v>
      </c>
      <c r="J2086" s="4" t="s">
        <v>53</v>
      </c>
      <c r="K2086" t="str">
        <f t="shared" si="106"/>
        <v>2+1</v>
      </c>
      <c r="L2086">
        <f>VLOOKUP(A2086,'ZONE 1 PREMIUM'!$A$4:$N$16,14,0)</f>
        <v>2</v>
      </c>
      <c r="M2086">
        <f>VLOOKUP(D2086,DROPDOWN!B:C,2,0)</f>
        <v>8</v>
      </c>
      <c r="N2086" t="str">
        <f t="shared" si="107"/>
        <v>BR98:CJ109</v>
      </c>
      <c r="O2086" s="4">
        <f t="shared" ca="1" si="105"/>
        <v>37105.200000000004</v>
      </c>
    </row>
    <row r="2087" spans="1:15">
      <c r="A2087" s="2" t="s">
        <v>12</v>
      </c>
      <c r="B2087" t="s">
        <v>27</v>
      </c>
      <c r="C2087" t="s">
        <v>28</v>
      </c>
      <c r="D2087">
        <v>20</v>
      </c>
      <c r="E2087" t="s">
        <v>46</v>
      </c>
      <c r="F2087">
        <v>3</v>
      </c>
      <c r="G2087">
        <v>2</v>
      </c>
      <c r="H2087">
        <v>1</v>
      </c>
      <c r="I2087">
        <v>1</v>
      </c>
      <c r="J2087" s="4" t="s">
        <v>53</v>
      </c>
      <c r="K2087" t="str">
        <f t="shared" si="106"/>
        <v>2+1</v>
      </c>
      <c r="L2087">
        <f>VLOOKUP(A2087,'ZONE 1 PREMIUM'!$A$4:$N$16,14,0)</f>
        <v>3</v>
      </c>
      <c r="M2087">
        <f>VLOOKUP(D2087,DROPDOWN!B:C,2,0)</f>
        <v>8</v>
      </c>
      <c r="N2087" t="str">
        <f t="shared" si="107"/>
        <v>BR98:CJ109</v>
      </c>
      <c r="O2087" s="4">
        <f t="shared" ca="1" si="105"/>
        <v>41206</v>
      </c>
    </row>
    <row r="2088" spans="1:15">
      <c r="A2088" s="2" t="s">
        <v>13</v>
      </c>
      <c r="B2088" t="s">
        <v>29</v>
      </c>
      <c r="C2088" t="s">
        <v>30</v>
      </c>
      <c r="D2088">
        <v>20</v>
      </c>
      <c r="E2088" t="s">
        <v>46</v>
      </c>
      <c r="F2088">
        <v>3</v>
      </c>
      <c r="G2088">
        <v>2</v>
      </c>
      <c r="H2088">
        <v>1</v>
      </c>
      <c r="I2088">
        <v>1</v>
      </c>
      <c r="J2088" s="4" t="s">
        <v>53</v>
      </c>
      <c r="K2088" t="str">
        <f t="shared" si="106"/>
        <v>2+1</v>
      </c>
      <c r="L2088">
        <f>VLOOKUP(A2088,'ZONE 1 PREMIUM'!$A$4:$N$16,14,0)</f>
        <v>4</v>
      </c>
      <c r="M2088">
        <f>VLOOKUP(D2088,DROPDOWN!B:C,2,0)</f>
        <v>8</v>
      </c>
      <c r="N2088" t="str">
        <f t="shared" si="107"/>
        <v>BR98:CJ109</v>
      </c>
      <c r="O2088" s="4">
        <f t="shared" ca="1" si="105"/>
        <v>46151.600000000006</v>
      </c>
    </row>
    <row r="2089" spans="1:15">
      <c r="A2089" s="2" t="s">
        <v>14</v>
      </c>
      <c r="B2089" t="s">
        <v>31</v>
      </c>
      <c r="C2089" t="s">
        <v>32</v>
      </c>
      <c r="D2089">
        <v>20</v>
      </c>
      <c r="E2089" t="s">
        <v>46</v>
      </c>
      <c r="F2089">
        <v>3</v>
      </c>
      <c r="G2089">
        <v>2</v>
      </c>
      <c r="H2089">
        <v>1</v>
      </c>
      <c r="I2089">
        <v>1</v>
      </c>
      <c r="J2089" s="4" t="s">
        <v>53</v>
      </c>
      <c r="K2089" t="str">
        <f t="shared" si="106"/>
        <v>2+1</v>
      </c>
      <c r="L2089">
        <f>VLOOKUP(A2089,'ZONE 1 PREMIUM'!$A$4:$N$16,14,0)</f>
        <v>5</v>
      </c>
      <c r="M2089">
        <f>VLOOKUP(D2089,DROPDOWN!B:C,2,0)</f>
        <v>8</v>
      </c>
      <c r="N2089" t="str">
        <f t="shared" si="107"/>
        <v>BR98:CJ109</v>
      </c>
      <c r="O2089" s="4">
        <f t="shared" ca="1" si="105"/>
        <v>52804.4</v>
      </c>
    </row>
    <row r="2090" spans="1:15">
      <c r="A2090" s="2" t="s">
        <v>15</v>
      </c>
      <c r="B2090" t="s">
        <v>33</v>
      </c>
      <c r="C2090" t="s">
        <v>34</v>
      </c>
      <c r="D2090">
        <v>20</v>
      </c>
      <c r="E2090" t="s">
        <v>46</v>
      </c>
      <c r="F2090">
        <v>3</v>
      </c>
      <c r="G2090">
        <v>2</v>
      </c>
      <c r="H2090">
        <v>1</v>
      </c>
      <c r="I2090">
        <v>1</v>
      </c>
      <c r="J2090" s="4" t="s">
        <v>53</v>
      </c>
      <c r="K2090" t="str">
        <f t="shared" si="106"/>
        <v>2+1</v>
      </c>
      <c r="L2090">
        <f>VLOOKUP(A2090,'ZONE 1 PREMIUM'!$A$4:$N$16,14,0)</f>
        <v>6</v>
      </c>
      <c r="M2090">
        <f>VLOOKUP(D2090,DROPDOWN!B:C,2,0)</f>
        <v>8</v>
      </c>
      <c r="N2090" t="str">
        <f t="shared" si="107"/>
        <v>BR98:CJ109</v>
      </c>
      <c r="O2090" s="4">
        <f t="shared" ca="1" si="105"/>
        <v>66426.8</v>
      </c>
    </row>
    <row r="2091" spans="1:15">
      <c r="A2091" s="2" t="s">
        <v>16</v>
      </c>
      <c r="B2091" t="s">
        <v>35</v>
      </c>
      <c r="C2091" t="s">
        <v>36</v>
      </c>
      <c r="D2091">
        <v>20</v>
      </c>
      <c r="E2091" t="s">
        <v>46</v>
      </c>
      <c r="F2091">
        <v>3</v>
      </c>
      <c r="G2091">
        <v>2</v>
      </c>
      <c r="H2091">
        <v>1</v>
      </c>
      <c r="I2091">
        <v>1</v>
      </c>
      <c r="J2091" s="4" t="s">
        <v>53</v>
      </c>
      <c r="K2091" t="str">
        <f t="shared" si="106"/>
        <v>2+1</v>
      </c>
      <c r="L2091">
        <f>VLOOKUP(A2091,'ZONE 1 PREMIUM'!$A$4:$N$16,14,0)</f>
        <v>7</v>
      </c>
      <c r="M2091">
        <f>VLOOKUP(D2091,DROPDOWN!B:C,2,0)</f>
        <v>8</v>
      </c>
      <c r="N2091" t="str">
        <f t="shared" si="107"/>
        <v>BR98:CJ109</v>
      </c>
      <c r="O2091" s="4">
        <f t="shared" ca="1" si="105"/>
        <v>87127.700000000012</v>
      </c>
    </row>
    <row r="2092" spans="1:15">
      <c r="A2092" s="2" t="s">
        <v>17</v>
      </c>
      <c r="B2092" t="s">
        <v>37</v>
      </c>
      <c r="C2092" t="s">
        <v>38</v>
      </c>
      <c r="D2092">
        <v>20</v>
      </c>
      <c r="E2092" t="s">
        <v>46</v>
      </c>
      <c r="F2092">
        <v>3</v>
      </c>
      <c r="G2092">
        <v>2</v>
      </c>
      <c r="H2092">
        <v>1</v>
      </c>
      <c r="I2092">
        <v>1</v>
      </c>
      <c r="J2092" s="4" t="s">
        <v>53</v>
      </c>
      <c r="K2092" t="str">
        <f t="shared" si="106"/>
        <v>2+1</v>
      </c>
      <c r="L2092">
        <f>VLOOKUP(A2092,'ZONE 1 PREMIUM'!$A$4:$N$16,14,0)</f>
        <v>8</v>
      </c>
      <c r="M2092">
        <f>VLOOKUP(D2092,DROPDOWN!B:C,2,0)</f>
        <v>8</v>
      </c>
      <c r="N2092" t="str">
        <f t="shared" si="107"/>
        <v>BR98:CJ109</v>
      </c>
      <c r="O2092" s="4">
        <f t="shared" ca="1" si="105"/>
        <v>116744.1</v>
      </c>
    </row>
    <row r="2093" spans="1:15">
      <c r="A2093" s="2" t="s">
        <v>18</v>
      </c>
      <c r="B2093" t="s">
        <v>39</v>
      </c>
      <c r="C2093" t="s">
        <v>40</v>
      </c>
      <c r="D2093">
        <v>20</v>
      </c>
      <c r="E2093" t="s">
        <v>46</v>
      </c>
      <c r="F2093">
        <v>3</v>
      </c>
      <c r="G2093">
        <v>2</v>
      </c>
      <c r="H2093">
        <v>1</v>
      </c>
      <c r="I2093">
        <v>1</v>
      </c>
      <c r="J2093" s="4" t="s">
        <v>53</v>
      </c>
      <c r="K2093" t="str">
        <f t="shared" si="106"/>
        <v>2+1</v>
      </c>
      <c r="L2093">
        <f>VLOOKUP(A2093,'ZONE 1 PREMIUM'!$A$4:$N$16,14,0)</f>
        <v>9</v>
      </c>
      <c r="M2093">
        <f>VLOOKUP(D2093,DROPDOWN!B:C,2,0)</f>
        <v>8</v>
      </c>
      <c r="N2093" t="str">
        <f t="shared" si="107"/>
        <v>BR98:CJ109</v>
      </c>
      <c r="O2093" s="4">
        <f t="shared" ca="1" si="105"/>
        <v>160065.40000000002</v>
      </c>
    </row>
    <row r="2094" spans="1:15">
      <c r="A2094" s="2" t="s">
        <v>19</v>
      </c>
      <c r="B2094" t="s">
        <v>41</v>
      </c>
      <c r="C2094" t="s">
        <v>42</v>
      </c>
      <c r="D2094">
        <v>20</v>
      </c>
      <c r="E2094" t="s">
        <v>46</v>
      </c>
      <c r="F2094">
        <v>3</v>
      </c>
      <c r="G2094">
        <v>2</v>
      </c>
      <c r="H2094">
        <v>1</v>
      </c>
      <c r="I2094">
        <v>1</v>
      </c>
      <c r="J2094" s="4" t="s">
        <v>53</v>
      </c>
      <c r="K2094" t="str">
        <f t="shared" si="106"/>
        <v>2+1</v>
      </c>
      <c r="L2094">
        <f>VLOOKUP(A2094,'ZONE 1 PREMIUM'!$A$4:$N$16,14,0)</f>
        <v>10</v>
      </c>
      <c r="M2094">
        <f>VLOOKUP(D2094,DROPDOWN!B:C,2,0)</f>
        <v>8</v>
      </c>
      <c r="N2094" t="str">
        <f t="shared" si="107"/>
        <v>BR98:CJ109</v>
      </c>
      <c r="O2094" s="4">
        <f t="shared" ca="1" si="105"/>
        <v>212776.30000000002</v>
      </c>
    </row>
    <row r="2095" spans="1:15">
      <c r="A2095" s="2" t="s">
        <v>20</v>
      </c>
      <c r="B2095" t="s">
        <v>43</v>
      </c>
      <c r="C2095" t="s">
        <v>44</v>
      </c>
      <c r="D2095">
        <v>20</v>
      </c>
      <c r="E2095" t="s">
        <v>46</v>
      </c>
      <c r="F2095">
        <v>3</v>
      </c>
      <c r="G2095">
        <v>2</v>
      </c>
      <c r="H2095">
        <v>1</v>
      </c>
      <c r="I2095">
        <v>1</v>
      </c>
      <c r="J2095" s="4" t="s">
        <v>53</v>
      </c>
      <c r="K2095" t="str">
        <f t="shared" si="106"/>
        <v>2+1</v>
      </c>
      <c r="L2095">
        <f>VLOOKUP(A2095,'ZONE 1 PREMIUM'!$A$4:$N$16,14,0)</f>
        <v>11</v>
      </c>
      <c r="M2095">
        <f>VLOOKUP(D2095,DROPDOWN!B:C,2,0)</f>
        <v>8</v>
      </c>
      <c r="N2095" t="str">
        <f t="shared" si="107"/>
        <v>BR98:CJ109</v>
      </c>
      <c r="O2095" s="4">
        <f t="shared" ca="1" si="105"/>
        <v>259712.2</v>
      </c>
    </row>
    <row r="2096" spans="1:15">
      <c r="A2096" s="2" t="s">
        <v>21</v>
      </c>
      <c r="B2096" t="s">
        <v>22</v>
      </c>
      <c r="D2096">
        <v>20</v>
      </c>
      <c r="E2096" t="s">
        <v>46</v>
      </c>
      <c r="F2096">
        <v>3</v>
      </c>
      <c r="G2096">
        <v>2</v>
      </c>
      <c r="H2096">
        <v>1</v>
      </c>
      <c r="I2096">
        <v>1</v>
      </c>
      <c r="J2096" s="4" t="s">
        <v>53</v>
      </c>
      <c r="K2096" t="str">
        <f t="shared" si="106"/>
        <v>2+1</v>
      </c>
      <c r="L2096">
        <f>VLOOKUP(A2096,'ZONE 1 PREMIUM'!$A$4:$N$16,14,0)</f>
        <v>12</v>
      </c>
      <c r="M2096">
        <f>VLOOKUP(D2096,DROPDOWN!B:C,2,0)</f>
        <v>8</v>
      </c>
      <c r="N2096" t="str">
        <f t="shared" si="107"/>
        <v>BR98:CJ109</v>
      </c>
      <c r="O2096" s="4">
        <f t="shared" ca="1" si="105"/>
        <v>330644.60000000003</v>
      </c>
    </row>
    <row r="2097" spans="1:15">
      <c r="A2097" s="2" t="s">
        <v>11</v>
      </c>
      <c r="B2097" t="s">
        <v>45</v>
      </c>
      <c r="C2097" t="s">
        <v>25</v>
      </c>
      <c r="D2097">
        <v>20</v>
      </c>
      <c r="E2097" t="s">
        <v>46</v>
      </c>
      <c r="F2097">
        <v>4</v>
      </c>
      <c r="G2097">
        <v>2</v>
      </c>
      <c r="H2097">
        <v>2</v>
      </c>
      <c r="I2097">
        <v>1</v>
      </c>
      <c r="J2097" s="4" t="s">
        <v>53</v>
      </c>
      <c r="K2097" t="str">
        <f t="shared" si="106"/>
        <v>2+2</v>
      </c>
      <c r="L2097">
        <f>VLOOKUP(A2097,'ZONE 1 PREMIUM'!$A$4:$N$16,14,0)</f>
        <v>2</v>
      </c>
      <c r="M2097">
        <f>VLOOKUP(D2097,DROPDOWN!B:C,2,0)</f>
        <v>8</v>
      </c>
      <c r="N2097" t="str">
        <f t="shared" si="107"/>
        <v>BR113:CJ124</v>
      </c>
      <c r="O2097" s="4">
        <f t="shared" ca="1" si="105"/>
        <v>43527</v>
      </c>
    </row>
    <row r="2098" spans="1:15">
      <c r="A2098" s="2" t="s">
        <v>12</v>
      </c>
      <c r="B2098" t="s">
        <v>27</v>
      </c>
      <c r="C2098" t="s">
        <v>28</v>
      </c>
      <c r="D2098">
        <v>20</v>
      </c>
      <c r="E2098" t="s">
        <v>46</v>
      </c>
      <c r="F2098">
        <v>4</v>
      </c>
      <c r="G2098">
        <v>2</v>
      </c>
      <c r="H2098">
        <v>2</v>
      </c>
      <c r="I2098">
        <v>1</v>
      </c>
      <c r="J2098" s="4" t="s">
        <v>53</v>
      </c>
      <c r="K2098" t="str">
        <f t="shared" si="106"/>
        <v>2+2</v>
      </c>
      <c r="L2098">
        <f>VLOOKUP(A2098,'ZONE 1 PREMIUM'!$A$4:$N$16,14,0)</f>
        <v>3</v>
      </c>
      <c r="M2098">
        <f>VLOOKUP(D2098,DROPDOWN!B:C,2,0)</f>
        <v>8</v>
      </c>
      <c r="N2098" t="str">
        <f t="shared" si="107"/>
        <v>BR113:CJ124</v>
      </c>
      <c r="O2098" s="4">
        <f t="shared" ca="1" si="105"/>
        <v>47512.3</v>
      </c>
    </row>
    <row r="2099" spans="1:15">
      <c r="A2099" s="2" t="s">
        <v>13</v>
      </c>
      <c r="B2099" t="s">
        <v>29</v>
      </c>
      <c r="C2099" t="s">
        <v>30</v>
      </c>
      <c r="D2099">
        <v>20</v>
      </c>
      <c r="E2099" t="s">
        <v>46</v>
      </c>
      <c r="F2099">
        <v>4</v>
      </c>
      <c r="G2099">
        <v>2</v>
      </c>
      <c r="H2099">
        <v>2</v>
      </c>
      <c r="I2099">
        <v>1</v>
      </c>
      <c r="J2099" s="4" t="s">
        <v>53</v>
      </c>
      <c r="K2099" t="str">
        <f t="shared" si="106"/>
        <v>2+2</v>
      </c>
      <c r="L2099">
        <f>VLOOKUP(A2099,'ZONE 1 PREMIUM'!$A$4:$N$16,14,0)</f>
        <v>4</v>
      </c>
      <c r="M2099">
        <f>VLOOKUP(D2099,DROPDOWN!B:C,2,0)</f>
        <v>8</v>
      </c>
      <c r="N2099" t="str">
        <f t="shared" si="107"/>
        <v>BR113:CJ124</v>
      </c>
      <c r="O2099" s="4">
        <f t="shared" ca="1" si="105"/>
        <v>53490.8</v>
      </c>
    </row>
    <row r="2100" spans="1:15">
      <c r="A2100" s="2" t="s">
        <v>14</v>
      </c>
      <c r="B2100" t="s">
        <v>31</v>
      </c>
      <c r="C2100" t="s">
        <v>32</v>
      </c>
      <c r="D2100">
        <v>20</v>
      </c>
      <c r="E2100" t="s">
        <v>46</v>
      </c>
      <c r="F2100">
        <v>4</v>
      </c>
      <c r="G2100">
        <v>2</v>
      </c>
      <c r="H2100">
        <v>2</v>
      </c>
      <c r="I2100">
        <v>1</v>
      </c>
      <c r="J2100" s="4" t="s">
        <v>53</v>
      </c>
      <c r="K2100" t="str">
        <f t="shared" si="106"/>
        <v>2+2</v>
      </c>
      <c r="L2100">
        <f>VLOOKUP(A2100,'ZONE 1 PREMIUM'!$A$4:$N$16,14,0)</f>
        <v>5</v>
      </c>
      <c r="M2100">
        <f>VLOOKUP(D2100,DROPDOWN!B:C,2,0)</f>
        <v>8</v>
      </c>
      <c r="N2100" t="str">
        <f t="shared" si="107"/>
        <v>BR113:CJ124</v>
      </c>
      <c r="O2100" s="4">
        <f t="shared" ca="1" si="105"/>
        <v>60637.500000000007</v>
      </c>
    </row>
    <row r="2101" spans="1:15">
      <c r="A2101" s="2" t="s">
        <v>15</v>
      </c>
      <c r="B2101" t="s">
        <v>33</v>
      </c>
      <c r="C2101" t="s">
        <v>34</v>
      </c>
      <c r="D2101">
        <v>20</v>
      </c>
      <c r="E2101" t="s">
        <v>46</v>
      </c>
      <c r="F2101">
        <v>4</v>
      </c>
      <c r="G2101">
        <v>2</v>
      </c>
      <c r="H2101">
        <v>2</v>
      </c>
      <c r="I2101">
        <v>1</v>
      </c>
      <c r="J2101" s="4" t="s">
        <v>53</v>
      </c>
      <c r="K2101" t="str">
        <f t="shared" si="106"/>
        <v>2+2</v>
      </c>
      <c r="L2101">
        <f>VLOOKUP(A2101,'ZONE 1 PREMIUM'!$A$4:$N$16,14,0)</f>
        <v>6</v>
      </c>
      <c r="M2101">
        <f>VLOOKUP(D2101,DROPDOWN!B:C,2,0)</f>
        <v>8</v>
      </c>
      <c r="N2101" t="str">
        <f t="shared" si="107"/>
        <v>BR113:CJ124</v>
      </c>
      <c r="O2101" s="4">
        <f t="shared" ca="1" si="105"/>
        <v>75231.200000000012</v>
      </c>
    </row>
    <row r="2102" spans="1:15">
      <c r="A2102" s="2" t="s">
        <v>16</v>
      </c>
      <c r="B2102" t="s">
        <v>35</v>
      </c>
      <c r="C2102" t="s">
        <v>36</v>
      </c>
      <c r="D2102">
        <v>20</v>
      </c>
      <c r="E2102" t="s">
        <v>46</v>
      </c>
      <c r="F2102">
        <v>4</v>
      </c>
      <c r="G2102">
        <v>2</v>
      </c>
      <c r="H2102">
        <v>2</v>
      </c>
      <c r="I2102">
        <v>1</v>
      </c>
      <c r="J2102" s="4" t="s">
        <v>53</v>
      </c>
      <c r="K2102" t="str">
        <f t="shared" si="106"/>
        <v>2+2</v>
      </c>
      <c r="L2102">
        <f>VLOOKUP(A2102,'ZONE 1 PREMIUM'!$A$4:$N$16,14,0)</f>
        <v>7</v>
      </c>
      <c r="M2102">
        <f>VLOOKUP(D2102,DROPDOWN!B:C,2,0)</f>
        <v>8</v>
      </c>
      <c r="N2102" t="str">
        <f t="shared" si="107"/>
        <v>BR113:CJ124</v>
      </c>
      <c r="O2102" s="4">
        <f t="shared" ca="1" si="105"/>
        <v>98061.700000000012</v>
      </c>
    </row>
    <row r="2103" spans="1:15">
      <c r="A2103" s="2" t="s">
        <v>17</v>
      </c>
      <c r="B2103" t="s">
        <v>37</v>
      </c>
      <c r="C2103" t="s">
        <v>38</v>
      </c>
      <c r="D2103">
        <v>20</v>
      </c>
      <c r="E2103" t="s">
        <v>46</v>
      </c>
      <c r="F2103">
        <v>4</v>
      </c>
      <c r="G2103">
        <v>2</v>
      </c>
      <c r="H2103">
        <v>2</v>
      </c>
      <c r="I2103">
        <v>1</v>
      </c>
      <c r="J2103" s="4" t="s">
        <v>53</v>
      </c>
      <c r="K2103" t="str">
        <f t="shared" si="106"/>
        <v>2+2</v>
      </c>
      <c r="L2103">
        <f>VLOOKUP(A2103,'ZONE 1 PREMIUM'!$A$4:$N$16,14,0)</f>
        <v>8</v>
      </c>
      <c r="M2103">
        <f>VLOOKUP(D2103,DROPDOWN!B:C,2,0)</f>
        <v>8</v>
      </c>
      <c r="N2103" t="str">
        <f t="shared" si="107"/>
        <v>BR113:CJ124</v>
      </c>
      <c r="O2103" s="4">
        <f t="shared" ca="1" si="105"/>
        <v>127051.1</v>
      </c>
    </row>
    <row r="2104" spans="1:15">
      <c r="A2104" s="2" t="s">
        <v>18</v>
      </c>
      <c r="B2104" t="s">
        <v>39</v>
      </c>
      <c r="C2104" t="s">
        <v>40</v>
      </c>
      <c r="D2104">
        <v>20</v>
      </c>
      <c r="E2104" t="s">
        <v>46</v>
      </c>
      <c r="F2104">
        <v>4</v>
      </c>
      <c r="G2104">
        <v>2</v>
      </c>
      <c r="H2104">
        <v>2</v>
      </c>
      <c r="I2104">
        <v>1</v>
      </c>
      <c r="J2104" s="4" t="s">
        <v>53</v>
      </c>
      <c r="K2104" t="str">
        <f t="shared" si="106"/>
        <v>2+2</v>
      </c>
      <c r="L2104">
        <f>VLOOKUP(A2104,'ZONE 1 PREMIUM'!$A$4:$N$16,14,0)</f>
        <v>9</v>
      </c>
      <c r="M2104">
        <f>VLOOKUP(D2104,DROPDOWN!B:C,2,0)</f>
        <v>8</v>
      </c>
      <c r="N2104" t="str">
        <f t="shared" si="107"/>
        <v>BR113:CJ124</v>
      </c>
      <c r="O2104" s="4">
        <f t="shared" ca="1" si="105"/>
        <v>168363.80000000002</v>
      </c>
    </row>
    <row r="2105" spans="1:15">
      <c r="A2105" s="2" t="s">
        <v>19</v>
      </c>
      <c r="B2105" t="s">
        <v>41</v>
      </c>
      <c r="C2105" t="s">
        <v>42</v>
      </c>
      <c r="D2105">
        <v>20</v>
      </c>
      <c r="E2105" t="s">
        <v>46</v>
      </c>
      <c r="F2105">
        <v>4</v>
      </c>
      <c r="G2105">
        <v>2</v>
      </c>
      <c r="H2105">
        <v>2</v>
      </c>
      <c r="I2105">
        <v>1</v>
      </c>
      <c r="J2105" s="4" t="s">
        <v>53</v>
      </c>
      <c r="K2105" t="str">
        <f t="shared" si="106"/>
        <v>2+2</v>
      </c>
      <c r="L2105">
        <f>VLOOKUP(A2105,'ZONE 1 PREMIUM'!$A$4:$N$16,14,0)</f>
        <v>10</v>
      </c>
      <c r="M2105">
        <f>VLOOKUP(D2105,DROPDOWN!B:C,2,0)</f>
        <v>8</v>
      </c>
      <c r="N2105" t="str">
        <f t="shared" si="107"/>
        <v>BR113:CJ124</v>
      </c>
      <c r="O2105" s="4">
        <f t="shared" ca="1" si="105"/>
        <v>216638.40000000002</v>
      </c>
    </row>
    <row r="2106" spans="1:15">
      <c r="A2106" s="2" t="s">
        <v>20</v>
      </c>
      <c r="B2106" t="s">
        <v>43</v>
      </c>
      <c r="C2106" t="s">
        <v>44</v>
      </c>
      <c r="D2106">
        <v>20</v>
      </c>
      <c r="E2106" t="s">
        <v>46</v>
      </c>
      <c r="F2106">
        <v>4</v>
      </c>
      <c r="G2106">
        <v>2</v>
      </c>
      <c r="H2106">
        <v>2</v>
      </c>
      <c r="I2106">
        <v>1</v>
      </c>
      <c r="J2106" s="4" t="s">
        <v>53</v>
      </c>
      <c r="K2106" t="str">
        <f t="shared" si="106"/>
        <v>2+2</v>
      </c>
      <c r="L2106">
        <f>VLOOKUP(A2106,'ZONE 1 PREMIUM'!$A$4:$N$16,14,0)</f>
        <v>11</v>
      </c>
      <c r="M2106">
        <f>VLOOKUP(D2106,DROPDOWN!B:C,2,0)</f>
        <v>8</v>
      </c>
      <c r="N2106" t="str">
        <f t="shared" si="107"/>
        <v>BR113:CJ124</v>
      </c>
      <c r="O2106" s="4">
        <f t="shared" ca="1" si="105"/>
        <v>264011</v>
      </c>
    </row>
    <row r="2107" spans="1:15">
      <c r="A2107" s="2" t="s">
        <v>21</v>
      </c>
      <c r="B2107" t="s">
        <v>22</v>
      </c>
      <c r="D2107">
        <v>20</v>
      </c>
      <c r="E2107" t="s">
        <v>46</v>
      </c>
      <c r="F2107">
        <v>4</v>
      </c>
      <c r="G2107">
        <v>2</v>
      </c>
      <c r="H2107">
        <v>2</v>
      </c>
      <c r="I2107">
        <v>1</v>
      </c>
      <c r="J2107" s="4" t="s">
        <v>53</v>
      </c>
      <c r="K2107" t="str">
        <f t="shared" si="106"/>
        <v>2+2</v>
      </c>
      <c r="L2107">
        <f>VLOOKUP(A2107,'ZONE 1 PREMIUM'!$A$4:$N$16,14,0)</f>
        <v>12</v>
      </c>
      <c r="M2107">
        <f>VLOOKUP(D2107,DROPDOWN!B:C,2,0)</f>
        <v>8</v>
      </c>
      <c r="N2107" t="str">
        <f t="shared" si="107"/>
        <v>BR113:CJ124</v>
      </c>
      <c r="O2107" s="4">
        <f t="shared" ca="1" si="105"/>
        <v>335156.80000000005</v>
      </c>
    </row>
    <row r="2108" spans="1:15">
      <c r="A2108" s="2" t="s">
        <v>11</v>
      </c>
      <c r="B2108" t="s">
        <v>45</v>
      </c>
      <c r="C2108" t="s">
        <v>25</v>
      </c>
      <c r="D2108">
        <v>20</v>
      </c>
      <c r="E2108" t="s">
        <v>46</v>
      </c>
      <c r="F2108">
        <v>5</v>
      </c>
      <c r="G2108">
        <v>2</v>
      </c>
      <c r="H2108">
        <v>3</v>
      </c>
      <c r="I2108">
        <v>1</v>
      </c>
      <c r="J2108" s="4" t="s">
        <v>53</v>
      </c>
      <c r="K2108" t="str">
        <f t="shared" si="106"/>
        <v>2+3</v>
      </c>
      <c r="L2108">
        <f>VLOOKUP(A2108,'ZONE 1 PREMIUM'!$A$4:$N$16,14,0)</f>
        <v>2</v>
      </c>
      <c r="M2108">
        <f>VLOOKUP(D2108,DROPDOWN!B:C,2,0)</f>
        <v>8</v>
      </c>
      <c r="N2108" t="str">
        <f t="shared" si="107"/>
        <v>BR128:CJ139</v>
      </c>
      <c r="O2108" s="4">
        <f t="shared" ca="1" si="105"/>
        <v>49948.800000000003</v>
      </c>
    </row>
    <row r="2109" spans="1:15">
      <c r="A2109" s="2" t="s">
        <v>12</v>
      </c>
      <c r="B2109" t="s">
        <v>27</v>
      </c>
      <c r="C2109" t="s">
        <v>28</v>
      </c>
      <c r="D2109">
        <v>20</v>
      </c>
      <c r="E2109" t="s">
        <v>46</v>
      </c>
      <c r="F2109">
        <v>5</v>
      </c>
      <c r="G2109">
        <v>2</v>
      </c>
      <c r="H2109">
        <v>3</v>
      </c>
      <c r="I2109">
        <v>1</v>
      </c>
      <c r="J2109" s="4" t="s">
        <v>53</v>
      </c>
      <c r="K2109" t="str">
        <f t="shared" si="106"/>
        <v>2+3</v>
      </c>
      <c r="L2109">
        <f>VLOOKUP(A2109,'ZONE 1 PREMIUM'!$A$4:$N$16,14,0)</f>
        <v>3</v>
      </c>
      <c r="M2109">
        <f>VLOOKUP(D2109,DROPDOWN!B:C,2,0)</f>
        <v>8</v>
      </c>
      <c r="N2109" t="str">
        <f t="shared" si="107"/>
        <v>BR128:CJ139</v>
      </c>
      <c r="O2109" s="4">
        <f t="shared" ca="1" si="105"/>
        <v>53819.700000000004</v>
      </c>
    </row>
    <row r="2110" spans="1:15">
      <c r="A2110" s="2" t="s">
        <v>13</v>
      </c>
      <c r="B2110" t="s">
        <v>29</v>
      </c>
      <c r="C2110" t="s">
        <v>30</v>
      </c>
      <c r="D2110">
        <v>20</v>
      </c>
      <c r="E2110" t="s">
        <v>46</v>
      </c>
      <c r="F2110">
        <v>5</v>
      </c>
      <c r="G2110">
        <v>2</v>
      </c>
      <c r="H2110">
        <v>3</v>
      </c>
      <c r="I2110">
        <v>1</v>
      </c>
      <c r="J2110" s="4" t="s">
        <v>53</v>
      </c>
      <c r="K2110" t="str">
        <f t="shared" si="106"/>
        <v>2+3</v>
      </c>
      <c r="L2110">
        <f>VLOOKUP(A2110,'ZONE 1 PREMIUM'!$A$4:$N$16,14,0)</f>
        <v>4</v>
      </c>
      <c r="M2110">
        <f>VLOOKUP(D2110,DROPDOWN!B:C,2,0)</f>
        <v>8</v>
      </c>
      <c r="N2110" t="str">
        <f t="shared" si="107"/>
        <v>BR128:CJ139</v>
      </c>
      <c r="O2110" s="4">
        <f t="shared" ca="1" si="105"/>
        <v>60831.100000000006</v>
      </c>
    </row>
    <row r="2111" spans="1:15">
      <c r="A2111" s="2" t="s">
        <v>14</v>
      </c>
      <c r="B2111" t="s">
        <v>31</v>
      </c>
      <c r="C2111" t="s">
        <v>32</v>
      </c>
      <c r="D2111">
        <v>20</v>
      </c>
      <c r="E2111" t="s">
        <v>46</v>
      </c>
      <c r="F2111">
        <v>5</v>
      </c>
      <c r="G2111">
        <v>2</v>
      </c>
      <c r="H2111">
        <v>3</v>
      </c>
      <c r="I2111">
        <v>1</v>
      </c>
      <c r="J2111" s="4" t="s">
        <v>53</v>
      </c>
      <c r="K2111" t="str">
        <f t="shared" si="106"/>
        <v>2+3</v>
      </c>
      <c r="L2111">
        <f>VLOOKUP(A2111,'ZONE 1 PREMIUM'!$A$4:$N$16,14,0)</f>
        <v>5</v>
      </c>
      <c r="M2111">
        <f>VLOOKUP(D2111,DROPDOWN!B:C,2,0)</f>
        <v>8</v>
      </c>
      <c r="N2111" t="str">
        <f t="shared" si="107"/>
        <v>BR128:CJ139</v>
      </c>
      <c r="O2111" s="4">
        <f t="shared" ca="1" si="105"/>
        <v>68469.5</v>
      </c>
    </row>
    <row r="2112" spans="1:15">
      <c r="A2112" s="2" t="s">
        <v>15</v>
      </c>
      <c r="B2112" t="s">
        <v>33</v>
      </c>
      <c r="C2112" t="s">
        <v>34</v>
      </c>
      <c r="D2112">
        <v>20</v>
      </c>
      <c r="E2112" t="s">
        <v>46</v>
      </c>
      <c r="F2112">
        <v>5</v>
      </c>
      <c r="G2112">
        <v>2</v>
      </c>
      <c r="H2112">
        <v>3</v>
      </c>
      <c r="I2112">
        <v>1</v>
      </c>
      <c r="J2112" s="4" t="s">
        <v>53</v>
      </c>
      <c r="K2112" t="str">
        <f t="shared" si="106"/>
        <v>2+3</v>
      </c>
      <c r="L2112">
        <f>VLOOKUP(A2112,'ZONE 1 PREMIUM'!$A$4:$N$16,14,0)</f>
        <v>6</v>
      </c>
      <c r="M2112">
        <f>VLOOKUP(D2112,DROPDOWN!B:C,2,0)</f>
        <v>8</v>
      </c>
      <c r="N2112" t="str">
        <f t="shared" si="107"/>
        <v>BR128:CJ139</v>
      </c>
      <c r="O2112" s="4">
        <f t="shared" ca="1" si="105"/>
        <v>84035.6</v>
      </c>
    </row>
    <row r="2113" spans="1:15">
      <c r="A2113" s="2" t="s">
        <v>16</v>
      </c>
      <c r="B2113" t="s">
        <v>35</v>
      </c>
      <c r="C2113" t="s">
        <v>36</v>
      </c>
      <c r="D2113">
        <v>20</v>
      </c>
      <c r="E2113" t="s">
        <v>46</v>
      </c>
      <c r="F2113">
        <v>5</v>
      </c>
      <c r="G2113">
        <v>2</v>
      </c>
      <c r="H2113">
        <v>3</v>
      </c>
      <c r="I2113">
        <v>1</v>
      </c>
      <c r="J2113" s="4" t="s">
        <v>53</v>
      </c>
      <c r="K2113" t="str">
        <f t="shared" si="106"/>
        <v>2+3</v>
      </c>
      <c r="L2113">
        <f>VLOOKUP(A2113,'ZONE 1 PREMIUM'!$A$4:$N$16,14,0)</f>
        <v>7</v>
      </c>
      <c r="M2113">
        <f>VLOOKUP(D2113,DROPDOWN!B:C,2,0)</f>
        <v>8</v>
      </c>
      <c r="N2113" t="str">
        <f t="shared" si="107"/>
        <v>BR128:CJ139</v>
      </c>
      <c r="O2113" s="4">
        <f t="shared" ca="1" si="105"/>
        <v>107033.3</v>
      </c>
    </row>
    <row r="2114" spans="1:15">
      <c r="A2114" s="2" t="s">
        <v>17</v>
      </c>
      <c r="B2114" t="s">
        <v>37</v>
      </c>
      <c r="C2114" t="s">
        <v>38</v>
      </c>
      <c r="D2114">
        <v>20</v>
      </c>
      <c r="E2114" t="s">
        <v>46</v>
      </c>
      <c r="F2114">
        <v>5</v>
      </c>
      <c r="G2114">
        <v>2</v>
      </c>
      <c r="H2114">
        <v>3</v>
      </c>
      <c r="I2114">
        <v>1</v>
      </c>
      <c r="J2114" s="4" t="s">
        <v>53</v>
      </c>
      <c r="K2114" t="str">
        <f t="shared" si="106"/>
        <v>2+3</v>
      </c>
      <c r="L2114">
        <f>VLOOKUP(A2114,'ZONE 1 PREMIUM'!$A$4:$N$16,14,0)</f>
        <v>8</v>
      </c>
      <c r="M2114">
        <f>VLOOKUP(D2114,DROPDOWN!B:C,2,0)</f>
        <v>8</v>
      </c>
      <c r="N2114" t="str">
        <f t="shared" si="107"/>
        <v>BR128:CJ139</v>
      </c>
      <c r="O2114" s="4">
        <f t="shared" ref="O2114:O2177" ca="1" si="108">INDEX(INDIRECT(N2114),L2114,M2114)</f>
        <v>135262.6</v>
      </c>
    </row>
    <row r="2115" spans="1:15">
      <c r="A2115" s="2" t="s">
        <v>18</v>
      </c>
      <c r="B2115" t="s">
        <v>39</v>
      </c>
      <c r="C2115" t="s">
        <v>40</v>
      </c>
      <c r="D2115">
        <v>20</v>
      </c>
      <c r="E2115" t="s">
        <v>46</v>
      </c>
      <c r="F2115">
        <v>5</v>
      </c>
      <c r="G2115">
        <v>2</v>
      </c>
      <c r="H2115">
        <v>3</v>
      </c>
      <c r="I2115">
        <v>1</v>
      </c>
      <c r="J2115" s="4" t="s">
        <v>53</v>
      </c>
      <c r="K2115" t="str">
        <f t="shared" si="106"/>
        <v>2+3</v>
      </c>
      <c r="L2115">
        <f>VLOOKUP(A2115,'ZONE 1 PREMIUM'!$A$4:$N$16,14,0)</f>
        <v>9</v>
      </c>
      <c r="M2115">
        <f>VLOOKUP(D2115,DROPDOWN!B:C,2,0)</f>
        <v>8</v>
      </c>
      <c r="N2115" t="str">
        <f t="shared" si="107"/>
        <v>BR128:CJ139</v>
      </c>
      <c r="O2115" s="4">
        <f t="shared" ca="1" si="108"/>
        <v>176514.80000000002</v>
      </c>
    </row>
    <row r="2116" spans="1:15">
      <c r="A2116" s="2" t="s">
        <v>19</v>
      </c>
      <c r="B2116" t="s">
        <v>41</v>
      </c>
      <c r="C2116" t="s">
        <v>42</v>
      </c>
      <c r="D2116">
        <v>20</v>
      </c>
      <c r="E2116" t="s">
        <v>46</v>
      </c>
      <c r="F2116">
        <v>5</v>
      </c>
      <c r="G2116">
        <v>2</v>
      </c>
      <c r="H2116">
        <v>3</v>
      </c>
      <c r="I2116">
        <v>1</v>
      </c>
      <c r="J2116" s="4" t="s">
        <v>53</v>
      </c>
      <c r="K2116" t="str">
        <f t="shared" ref="K2116:K2179" si="109">G2116&amp;"+"&amp;H2116</f>
        <v>2+3</v>
      </c>
      <c r="L2116">
        <f>VLOOKUP(A2116,'ZONE 1 PREMIUM'!$A$4:$N$16,14,0)</f>
        <v>10</v>
      </c>
      <c r="M2116">
        <f>VLOOKUP(D2116,DROPDOWN!B:C,2,0)</f>
        <v>8</v>
      </c>
      <c r="N2116" t="str">
        <f t="shared" si="107"/>
        <v>BR128:CJ139</v>
      </c>
      <c r="O2116" s="4">
        <f t="shared" ca="1" si="108"/>
        <v>224416.50000000003</v>
      </c>
    </row>
    <row r="2117" spans="1:15">
      <c r="A2117" s="2" t="s">
        <v>20</v>
      </c>
      <c r="B2117" t="s">
        <v>43</v>
      </c>
      <c r="C2117" t="s">
        <v>44</v>
      </c>
      <c r="D2117">
        <v>20</v>
      </c>
      <c r="E2117" t="s">
        <v>46</v>
      </c>
      <c r="F2117">
        <v>5</v>
      </c>
      <c r="G2117">
        <v>2</v>
      </c>
      <c r="H2117">
        <v>3</v>
      </c>
      <c r="I2117">
        <v>1</v>
      </c>
      <c r="J2117" s="4" t="s">
        <v>53</v>
      </c>
      <c r="K2117" t="str">
        <f t="shared" si="109"/>
        <v>2+3</v>
      </c>
      <c r="L2117">
        <f>VLOOKUP(A2117,'ZONE 1 PREMIUM'!$A$4:$N$16,14,0)</f>
        <v>11</v>
      </c>
      <c r="M2117">
        <f>VLOOKUP(D2117,DROPDOWN!B:C,2,0)</f>
        <v>8</v>
      </c>
      <c r="N2117" t="str">
        <f t="shared" si="107"/>
        <v>BR128:CJ139</v>
      </c>
      <c r="O2117" s="4">
        <f t="shared" ca="1" si="108"/>
        <v>272658.10000000003</v>
      </c>
    </row>
    <row r="2118" spans="1:15">
      <c r="A2118" s="2" t="s">
        <v>21</v>
      </c>
      <c r="B2118" t="s">
        <v>22</v>
      </c>
      <c r="D2118">
        <v>20</v>
      </c>
      <c r="E2118" t="s">
        <v>46</v>
      </c>
      <c r="F2118">
        <v>5</v>
      </c>
      <c r="G2118">
        <v>2</v>
      </c>
      <c r="H2118">
        <v>3</v>
      </c>
      <c r="I2118">
        <v>1</v>
      </c>
      <c r="J2118" s="4" t="s">
        <v>53</v>
      </c>
      <c r="K2118" t="str">
        <f t="shared" si="109"/>
        <v>2+3</v>
      </c>
      <c r="L2118">
        <f>VLOOKUP(A2118,'ZONE 1 PREMIUM'!$A$4:$N$16,14,0)</f>
        <v>12</v>
      </c>
      <c r="M2118">
        <f>VLOOKUP(D2118,DROPDOWN!B:C,2,0)</f>
        <v>8</v>
      </c>
      <c r="N2118" t="str">
        <f t="shared" si="107"/>
        <v>BR128:CJ139</v>
      </c>
      <c r="O2118" s="4">
        <f t="shared" ca="1" si="108"/>
        <v>344339.60000000003</v>
      </c>
    </row>
    <row r="2119" spans="1:15">
      <c r="A2119" s="2" t="s">
        <v>11</v>
      </c>
      <c r="B2119" t="s">
        <v>45</v>
      </c>
      <c r="C2119" t="s">
        <v>25</v>
      </c>
      <c r="D2119">
        <v>20</v>
      </c>
      <c r="E2119" t="s">
        <v>46</v>
      </c>
      <c r="F2119">
        <v>6</v>
      </c>
      <c r="G2119">
        <v>2</v>
      </c>
      <c r="H2119">
        <v>4</v>
      </c>
      <c r="I2119">
        <v>1</v>
      </c>
      <c r="J2119" s="4" t="s">
        <v>53</v>
      </c>
      <c r="K2119" t="str">
        <f t="shared" si="109"/>
        <v>2+4</v>
      </c>
      <c r="L2119">
        <f>VLOOKUP(A2119,'ZONE 1 PREMIUM'!$A$4:$N$16,14,0)</f>
        <v>2</v>
      </c>
      <c r="M2119">
        <f>VLOOKUP(D2119,DROPDOWN!B:C,2,0)</f>
        <v>8</v>
      </c>
      <c r="N2119" t="str">
        <f t="shared" si="107"/>
        <v>BR143:CJ154</v>
      </c>
      <c r="O2119" s="4">
        <f t="shared" ca="1" si="108"/>
        <v>56369.500000000007</v>
      </c>
    </row>
    <row r="2120" spans="1:15">
      <c r="A2120" s="2" t="s">
        <v>12</v>
      </c>
      <c r="B2120" t="s">
        <v>27</v>
      </c>
      <c r="C2120" t="s">
        <v>28</v>
      </c>
      <c r="D2120">
        <v>20</v>
      </c>
      <c r="E2120" t="s">
        <v>46</v>
      </c>
      <c r="F2120">
        <v>6</v>
      </c>
      <c r="G2120">
        <v>2</v>
      </c>
      <c r="H2120">
        <v>4</v>
      </c>
      <c r="I2120">
        <v>1</v>
      </c>
      <c r="J2120" s="4" t="s">
        <v>53</v>
      </c>
      <c r="K2120" t="str">
        <f t="shared" si="109"/>
        <v>2+4</v>
      </c>
      <c r="L2120">
        <f>VLOOKUP(A2120,'ZONE 1 PREMIUM'!$A$4:$N$16,14,0)</f>
        <v>3</v>
      </c>
      <c r="M2120">
        <f>VLOOKUP(D2120,DROPDOWN!B:C,2,0)</f>
        <v>8</v>
      </c>
      <c r="N2120" t="str">
        <f t="shared" si="107"/>
        <v>BR143:CJ154</v>
      </c>
      <c r="O2120" s="4">
        <f t="shared" ca="1" si="108"/>
        <v>60127.100000000006</v>
      </c>
    </row>
    <row r="2121" spans="1:15">
      <c r="A2121" s="2" t="s">
        <v>13</v>
      </c>
      <c r="B2121" t="s">
        <v>29</v>
      </c>
      <c r="C2121" t="s">
        <v>30</v>
      </c>
      <c r="D2121">
        <v>20</v>
      </c>
      <c r="E2121" t="s">
        <v>46</v>
      </c>
      <c r="F2121">
        <v>6</v>
      </c>
      <c r="G2121">
        <v>2</v>
      </c>
      <c r="H2121">
        <v>4</v>
      </c>
      <c r="I2121">
        <v>1</v>
      </c>
      <c r="J2121" s="4" t="s">
        <v>53</v>
      </c>
      <c r="K2121" t="str">
        <f t="shared" si="109"/>
        <v>2+4</v>
      </c>
      <c r="L2121">
        <f>VLOOKUP(A2121,'ZONE 1 PREMIUM'!$A$4:$N$16,14,0)</f>
        <v>4</v>
      </c>
      <c r="M2121">
        <f>VLOOKUP(D2121,DROPDOWN!B:C,2,0)</f>
        <v>8</v>
      </c>
      <c r="N2121" t="str">
        <f t="shared" si="107"/>
        <v>BR143:CJ154</v>
      </c>
      <c r="O2121" s="4">
        <f t="shared" ca="1" si="108"/>
        <v>68170.3</v>
      </c>
    </row>
    <row r="2122" spans="1:15">
      <c r="A2122" s="2" t="s">
        <v>14</v>
      </c>
      <c r="B2122" t="s">
        <v>31</v>
      </c>
      <c r="C2122" t="s">
        <v>32</v>
      </c>
      <c r="D2122">
        <v>20</v>
      </c>
      <c r="E2122" t="s">
        <v>46</v>
      </c>
      <c r="F2122">
        <v>6</v>
      </c>
      <c r="G2122">
        <v>2</v>
      </c>
      <c r="H2122">
        <v>4</v>
      </c>
      <c r="I2122">
        <v>1</v>
      </c>
      <c r="J2122" s="4" t="s">
        <v>53</v>
      </c>
      <c r="K2122" t="str">
        <f t="shared" si="109"/>
        <v>2+4</v>
      </c>
      <c r="L2122">
        <f>VLOOKUP(A2122,'ZONE 1 PREMIUM'!$A$4:$N$16,14,0)</f>
        <v>5</v>
      </c>
      <c r="M2122">
        <f>VLOOKUP(D2122,DROPDOWN!B:C,2,0)</f>
        <v>8</v>
      </c>
      <c r="N2122" t="str">
        <f t="shared" si="107"/>
        <v>BR143:CJ154</v>
      </c>
      <c r="O2122" s="4">
        <f t="shared" ca="1" si="108"/>
        <v>76301.5</v>
      </c>
    </row>
    <row r="2123" spans="1:15">
      <c r="A2123" s="2" t="s">
        <v>15</v>
      </c>
      <c r="B2123" t="s">
        <v>33</v>
      </c>
      <c r="C2123" t="s">
        <v>34</v>
      </c>
      <c r="D2123">
        <v>20</v>
      </c>
      <c r="E2123" t="s">
        <v>46</v>
      </c>
      <c r="F2123">
        <v>6</v>
      </c>
      <c r="G2123">
        <v>2</v>
      </c>
      <c r="H2123">
        <v>4</v>
      </c>
      <c r="I2123">
        <v>1</v>
      </c>
      <c r="J2123" s="4" t="s">
        <v>53</v>
      </c>
      <c r="K2123" t="str">
        <f t="shared" si="109"/>
        <v>2+4</v>
      </c>
      <c r="L2123">
        <f>VLOOKUP(A2123,'ZONE 1 PREMIUM'!$A$4:$N$16,14,0)</f>
        <v>6</v>
      </c>
      <c r="M2123">
        <f>VLOOKUP(D2123,DROPDOWN!B:C,2,0)</f>
        <v>8</v>
      </c>
      <c r="N2123" t="str">
        <f t="shared" si="107"/>
        <v>BR143:CJ154</v>
      </c>
      <c r="O2123" s="4">
        <f t="shared" ca="1" si="108"/>
        <v>92840.000000000015</v>
      </c>
    </row>
    <row r="2124" spans="1:15">
      <c r="A2124" s="2" t="s">
        <v>16</v>
      </c>
      <c r="B2124" t="s">
        <v>35</v>
      </c>
      <c r="C2124" t="s">
        <v>36</v>
      </c>
      <c r="D2124">
        <v>20</v>
      </c>
      <c r="E2124" t="s">
        <v>46</v>
      </c>
      <c r="F2124">
        <v>6</v>
      </c>
      <c r="G2124">
        <v>2</v>
      </c>
      <c r="H2124">
        <v>4</v>
      </c>
      <c r="I2124">
        <v>1</v>
      </c>
      <c r="J2124" s="4" t="s">
        <v>53</v>
      </c>
      <c r="K2124" t="str">
        <f t="shared" si="109"/>
        <v>2+4</v>
      </c>
      <c r="L2124">
        <f>VLOOKUP(A2124,'ZONE 1 PREMIUM'!$A$4:$N$16,14,0)</f>
        <v>7</v>
      </c>
      <c r="M2124">
        <f>VLOOKUP(D2124,DROPDOWN!B:C,2,0)</f>
        <v>8</v>
      </c>
      <c r="N2124" t="str">
        <f t="shared" si="107"/>
        <v>BR143:CJ154</v>
      </c>
      <c r="O2124" s="4">
        <f t="shared" ca="1" si="108"/>
        <v>115131.50000000001</v>
      </c>
    </row>
    <row r="2125" spans="1:15">
      <c r="A2125" s="2" t="s">
        <v>17</v>
      </c>
      <c r="B2125" t="s">
        <v>37</v>
      </c>
      <c r="C2125" t="s">
        <v>38</v>
      </c>
      <c r="D2125">
        <v>20</v>
      </c>
      <c r="E2125" t="s">
        <v>46</v>
      </c>
      <c r="F2125">
        <v>6</v>
      </c>
      <c r="G2125">
        <v>2</v>
      </c>
      <c r="H2125">
        <v>4</v>
      </c>
      <c r="I2125">
        <v>1</v>
      </c>
      <c r="J2125" s="4" t="s">
        <v>53</v>
      </c>
      <c r="K2125" t="str">
        <f t="shared" si="109"/>
        <v>2+4</v>
      </c>
      <c r="L2125">
        <f>VLOOKUP(A2125,'ZONE 1 PREMIUM'!$A$4:$N$16,14,0)</f>
        <v>8</v>
      </c>
      <c r="M2125">
        <f>VLOOKUP(D2125,DROPDOWN!B:C,2,0)</f>
        <v>8</v>
      </c>
      <c r="N2125" t="str">
        <f t="shared" si="107"/>
        <v>BR143:CJ154</v>
      </c>
      <c r="O2125" s="4">
        <f t="shared" ca="1" si="108"/>
        <v>143353.1</v>
      </c>
    </row>
    <row r="2126" spans="1:15">
      <c r="A2126" s="2" t="s">
        <v>18</v>
      </c>
      <c r="B2126" t="s">
        <v>39</v>
      </c>
      <c r="C2126" t="s">
        <v>40</v>
      </c>
      <c r="D2126">
        <v>20</v>
      </c>
      <c r="E2126" t="s">
        <v>46</v>
      </c>
      <c r="F2126">
        <v>6</v>
      </c>
      <c r="G2126">
        <v>2</v>
      </c>
      <c r="H2126">
        <v>4</v>
      </c>
      <c r="I2126">
        <v>1</v>
      </c>
      <c r="J2126" s="4" t="s">
        <v>53</v>
      </c>
      <c r="K2126" t="str">
        <f t="shared" si="109"/>
        <v>2+4</v>
      </c>
      <c r="L2126">
        <f>VLOOKUP(A2126,'ZONE 1 PREMIUM'!$A$4:$N$16,14,0)</f>
        <v>9</v>
      </c>
      <c r="M2126">
        <f>VLOOKUP(D2126,DROPDOWN!B:C,2,0)</f>
        <v>8</v>
      </c>
      <c r="N2126" t="str">
        <f t="shared" si="107"/>
        <v>BR143:CJ154</v>
      </c>
      <c r="O2126" s="4">
        <f t="shared" ca="1" si="108"/>
        <v>184296.2</v>
      </c>
    </row>
    <row r="2127" spans="1:15">
      <c r="A2127" s="2" t="s">
        <v>19</v>
      </c>
      <c r="B2127" t="s">
        <v>41</v>
      </c>
      <c r="C2127" t="s">
        <v>42</v>
      </c>
      <c r="D2127">
        <v>20</v>
      </c>
      <c r="E2127" t="s">
        <v>46</v>
      </c>
      <c r="F2127">
        <v>6</v>
      </c>
      <c r="G2127">
        <v>2</v>
      </c>
      <c r="H2127">
        <v>4</v>
      </c>
      <c r="I2127">
        <v>1</v>
      </c>
      <c r="J2127" s="4" t="s">
        <v>53</v>
      </c>
      <c r="K2127" t="str">
        <f t="shared" si="109"/>
        <v>2+4</v>
      </c>
      <c r="L2127">
        <f>VLOOKUP(A2127,'ZONE 1 PREMIUM'!$A$4:$N$16,14,0)</f>
        <v>10</v>
      </c>
      <c r="M2127">
        <f>VLOOKUP(D2127,DROPDOWN!B:C,2,0)</f>
        <v>8</v>
      </c>
      <c r="N2127" t="str">
        <f t="shared" si="107"/>
        <v>BR143:CJ154</v>
      </c>
      <c r="O2127" s="4">
        <f t="shared" ca="1" si="108"/>
        <v>233028.40000000002</v>
      </c>
    </row>
    <row r="2128" spans="1:15">
      <c r="A2128" s="2" t="s">
        <v>20</v>
      </c>
      <c r="B2128" t="s">
        <v>43</v>
      </c>
      <c r="C2128" t="s">
        <v>44</v>
      </c>
      <c r="D2128">
        <v>20</v>
      </c>
      <c r="E2128" t="s">
        <v>46</v>
      </c>
      <c r="F2128">
        <v>6</v>
      </c>
      <c r="G2128">
        <v>2</v>
      </c>
      <c r="H2128">
        <v>4</v>
      </c>
      <c r="I2128">
        <v>1</v>
      </c>
      <c r="J2128" s="4" t="s">
        <v>53</v>
      </c>
      <c r="K2128" t="str">
        <f t="shared" si="109"/>
        <v>2+4</v>
      </c>
      <c r="L2128">
        <f>VLOOKUP(A2128,'ZONE 1 PREMIUM'!$A$4:$N$16,14,0)</f>
        <v>11</v>
      </c>
      <c r="M2128">
        <f>VLOOKUP(D2128,DROPDOWN!B:C,2,0)</f>
        <v>8</v>
      </c>
      <c r="N2128" t="str">
        <f t="shared" si="107"/>
        <v>BR143:CJ154</v>
      </c>
      <c r="O2128" s="4">
        <f t="shared" ca="1" si="108"/>
        <v>280671.60000000003</v>
      </c>
    </row>
    <row r="2129" spans="1:15">
      <c r="A2129" s="2" t="s">
        <v>21</v>
      </c>
      <c r="B2129" t="s">
        <v>22</v>
      </c>
      <c r="D2129">
        <v>20</v>
      </c>
      <c r="E2129" t="s">
        <v>46</v>
      </c>
      <c r="F2129">
        <v>6</v>
      </c>
      <c r="G2129">
        <v>2</v>
      </c>
      <c r="H2129">
        <v>4</v>
      </c>
      <c r="I2129">
        <v>1</v>
      </c>
      <c r="J2129" s="4" t="s">
        <v>53</v>
      </c>
      <c r="K2129" t="str">
        <f t="shared" si="109"/>
        <v>2+4</v>
      </c>
      <c r="L2129">
        <f>VLOOKUP(A2129,'ZONE 1 PREMIUM'!$A$4:$N$16,14,0)</f>
        <v>12</v>
      </c>
      <c r="M2129">
        <f>VLOOKUP(D2129,DROPDOWN!B:C,2,0)</f>
        <v>8</v>
      </c>
      <c r="N2129" t="str">
        <f t="shared" si="107"/>
        <v>BR143:CJ154</v>
      </c>
      <c r="O2129" s="4">
        <f t="shared" ca="1" si="108"/>
        <v>351022.10000000003</v>
      </c>
    </row>
    <row r="2130" spans="1:15">
      <c r="A2130" s="2" t="s">
        <v>9</v>
      </c>
      <c r="B2130" t="s">
        <v>47</v>
      </c>
      <c r="C2130" t="s">
        <v>48</v>
      </c>
      <c r="D2130">
        <v>20</v>
      </c>
      <c r="E2130" t="s">
        <v>26</v>
      </c>
      <c r="F2130">
        <v>1</v>
      </c>
      <c r="H2130">
        <v>1</v>
      </c>
      <c r="I2130">
        <v>1</v>
      </c>
      <c r="J2130" s="4" t="s">
        <v>54</v>
      </c>
      <c r="K2130" t="str">
        <f t="shared" si="109"/>
        <v>+1</v>
      </c>
      <c r="N2130" t="e">
        <f t="shared" ref="N2130:N2193" si="110">VLOOKUP(K2130,$DH$4:$DI$13,2,0)</f>
        <v>#N/A</v>
      </c>
      <c r="O2130" s="13">
        <v>4106.716725417079</v>
      </c>
    </row>
    <row r="2131" spans="1:15">
      <c r="A2131" s="2" t="s">
        <v>10</v>
      </c>
      <c r="B2131" t="s">
        <v>49</v>
      </c>
      <c r="C2131" t="s">
        <v>50</v>
      </c>
      <c r="D2131">
        <v>20</v>
      </c>
      <c r="E2131" t="s">
        <v>26</v>
      </c>
      <c r="F2131">
        <v>1</v>
      </c>
      <c r="G2131">
        <v>1</v>
      </c>
      <c r="H2131">
        <v>0</v>
      </c>
      <c r="I2131">
        <v>1</v>
      </c>
      <c r="J2131" s="4" t="s">
        <v>54</v>
      </c>
      <c r="K2131" t="str">
        <f t="shared" si="109"/>
        <v>1+0</v>
      </c>
      <c r="L2131">
        <f>VLOOKUP(A2131,'ZONE 1 PREMIUM'!$A$3:$M$16,13,0)</f>
        <v>3</v>
      </c>
      <c r="M2131">
        <f>VLOOKUP(D2131,DROPDOWN!B:C,2,0)</f>
        <v>8</v>
      </c>
      <c r="N2131" t="str">
        <f t="shared" si="110"/>
        <v>CO3:DG16</v>
      </c>
      <c r="O2131" s="4">
        <f t="shared" ca="1" si="108"/>
        <v>6542.18</v>
      </c>
    </row>
    <row r="2132" spans="1:15">
      <c r="A2132" s="2" t="s">
        <v>11</v>
      </c>
      <c r="B2132" t="s">
        <v>45</v>
      </c>
      <c r="C2132" t="s">
        <v>25</v>
      </c>
      <c r="D2132">
        <v>20</v>
      </c>
      <c r="E2132" t="s">
        <v>26</v>
      </c>
      <c r="F2132">
        <v>1</v>
      </c>
      <c r="G2132">
        <v>1</v>
      </c>
      <c r="H2132">
        <v>0</v>
      </c>
      <c r="I2132">
        <v>1</v>
      </c>
      <c r="J2132" s="4" t="s">
        <v>54</v>
      </c>
      <c r="K2132" t="str">
        <f t="shared" si="109"/>
        <v>1+0</v>
      </c>
      <c r="L2132">
        <f>VLOOKUP(A2132,'ZONE 1 PREMIUM'!$A$3:$M$16,13,0)</f>
        <v>4</v>
      </c>
      <c r="M2132">
        <f>VLOOKUP(D2132,DROPDOWN!B:C,2,0)</f>
        <v>8</v>
      </c>
      <c r="N2132" t="str">
        <f t="shared" si="110"/>
        <v>CO3:DG16</v>
      </c>
      <c r="O2132" s="4">
        <f t="shared" ca="1" si="108"/>
        <v>17880.36</v>
      </c>
    </row>
    <row r="2133" spans="1:15">
      <c r="A2133" s="2" t="s">
        <v>12</v>
      </c>
      <c r="B2133" t="s">
        <v>27</v>
      </c>
      <c r="C2133" t="s">
        <v>28</v>
      </c>
      <c r="D2133">
        <v>20</v>
      </c>
      <c r="E2133" t="s">
        <v>26</v>
      </c>
      <c r="F2133">
        <v>1</v>
      </c>
      <c r="G2133">
        <v>1</v>
      </c>
      <c r="H2133">
        <v>0</v>
      </c>
      <c r="I2133">
        <v>1</v>
      </c>
      <c r="J2133" s="4" t="s">
        <v>54</v>
      </c>
      <c r="K2133" t="str">
        <f t="shared" si="109"/>
        <v>1+0</v>
      </c>
      <c r="L2133">
        <f>VLOOKUP(A2133,'ZONE 1 PREMIUM'!$A$3:$M$16,13,0)</f>
        <v>5</v>
      </c>
      <c r="M2133">
        <f>VLOOKUP(D2133,DROPDOWN!B:C,2,0)</f>
        <v>8</v>
      </c>
      <c r="N2133" t="str">
        <f t="shared" si="110"/>
        <v>CO3:DG16</v>
      </c>
      <c r="O2133" s="4">
        <f t="shared" ca="1" si="108"/>
        <v>20519.25</v>
      </c>
    </row>
    <row r="2134" spans="1:15">
      <c r="A2134" s="2" t="s">
        <v>13</v>
      </c>
      <c r="B2134" t="s">
        <v>29</v>
      </c>
      <c r="C2134" t="s">
        <v>30</v>
      </c>
      <c r="D2134">
        <v>20</v>
      </c>
      <c r="E2134" t="s">
        <v>26</v>
      </c>
      <c r="F2134">
        <v>1</v>
      </c>
      <c r="G2134">
        <v>1</v>
      </c>
      <c r="H2134">
        <v>0</v>
      </c>
      <c r="I2134">
        <v>1</v>
      </c>
      <c r="J2134" s="4" t="s">
        <v>54</v>
      </c>
      <c r="K2134" t="str">
        <f t="shared" si="109"/>
        <v>1+0</v>
      </c>
      <c r="L2134">
        <f>VLOOKUP(A2134,'ZONE 1 PREMIUM'!$A$3:$M$16,13,0)</f>
        <v>6</v>
      </c>
      <c r="M2134">
        <f>VLOOKUP(D2134,DROPDOWN!B:C,2,0)</f>
        <v>8</v>
      </c>
      <c r="N2134" t="str">
        <f t="shared" si="110"/>
        <v>CO3:DG16</v>
      </c>
      <c r="O2134" s="4">
        <f t="shared" ca="1" si="108"/>
        <v>23694.420000000002</v>
      </c>
    </row>
    <row r="2135" spans="1:15">
      <c r="A2135" s="2" t="s">
        <v>14</v>
      </c>
      <c r="B2135" t="s">
        <v>31</v>
      </c>
      <c r="C2135" t="s">
        <v>32</v>
      </c>
      <c r="D2135">
        <v>20</v>
      </c>
      <c r="E2135" t="s">
        <v>26</v>
      </c>
      <c r="F2135">
        <v>1</v>
      </c>
      <c r="G2135">
        <v>1</v>
      </c>
      <c r="H2135">
        <v>0</v>
      </c>
      <c r="I2135">
        <v>1</v>
      </c>
      <c r="J2135" s="4" t="s">
        <v>54</v>
      </c>
      <c r="K2135" t="str">
        <f t="shared" si="109"/>
        <v>1+0</v>
      </c>
      <c r="L2135">
        <f>VLOOKUP(A2135,'ZONE 1 PREMIUM'!$A$3:$M$16,13,0)</f>
        <v>7</v>
      </c>
      <c r="M2135">
        <f>VLOOKUP(D2135,DROPDOWN!B:C,2,0)</f>
        <v>8</v>
      </c>
      <c r="N2135" t="str">
        <f t="shared" si="110"/>
        <v>CO3:DG16</v>
      </c>
      <c r="O2135" s="4">
        <f t="shared" ca="1" si="108"/>
        <v>27526.86</v>
      </c>
    </row>
    <row r="2136" spans="1:15">
      <c r="A2136" s="2" t="s">
        <v>15</v>
      </c>
      <c r="B2136" t="s">
        <v>33</v>
      </c>
      <c r="C2136" t="s">
        <v>34</v>
      </c>
      <c r="D2136">
        <v>20</v>
      </c>
      <c r="E2136" t="s">
        <v>26</v>
      </c>
      <c r="F2136">
        <v>1</v>
      </c>
      <c r="G2136">
        <v>1</v>
      </c>
      <c r="H2136">
        <v>0</v>
      </c>
      <c r="I2136">
        <v>1</v>
      </c>
      <c r="J2136" s="4" t="s">
        <v>54</v>
      </c>
      <c r="K2136" t="str">
        <f t="shared" si="109"/>
        <v>1+0</v>
      </c>
      <c r="L2136">
        <f>VLOOKUP(A2136,'ZONE 1 PREMIUM'!$A$3:$M$16,13,0)</f>
        <v>8</v>
      </c>
      <c r="M2136">
        <f>VLOOKUP(D2136,DROPDOWN!B:C,2,0)</f>
        <v>8</v>
      </c>
      <c r="N2136" t="str">
        <f t="shared" si="110"/>
        <v>CO3:DG16</v>
      </c>
      <c r="O2136" s="4">
        <f t="shared" ca="1" si="108"/>
        <v>34270.69</v>
      </c>
    </row>
    <row r="2137" spans="1:15">
      <c r="A2137" s="2" t="s">
        <v>16</v>
      </c>
      <c r="B2137" t="s">
        <v>35</v>
      </c>
      <c r="C2137" t="s">
        <v>36</v>
      </c>
      <c r="D2137">
        <v>20</v>
      </c>
      <c r="E2137" t="s">
        <v>26</v>
      </c>
      <c r="F2137">
        <v>1</v>
      </c>
      <c r="G2137">
        <v>1</v>
      </c>
      <c r="H2137">
        <v>0</v>
      </c>
      <c r="I2137">
        <v>1</v>
      </c>
      <c r="J2137" s="4" t="s">
        <v>54</v>
      </c>
      <c r="K2137" t="str">
        <f t="shared" si="109"/>
        <v>1+0</v>
      </c>
      <c r="L2137">
        <f>VLOOKUP(A2137,'ZONE 1 PREMIUM'!$A$3:$M$16,13,0)</f>
        <v>9</v>
      </c>
      <c r="M2137">
        <f>VLOOKUP(D2137,DROPDOWN!B:C,2,0)</f>
        <v>8</v>
      </c>
      <c r="N2137" t="str">
        <f t="shared" si="110"/>
        <v>CO3:DG16</v>
      </c>
      <c r="O2137" s="4">
        <f t="shared" ca="1" si="108"/>
        <v>45148.890000000007</v>
      </c>
    </row>
    <row r="2138" spans="1:15">
      <c r="A2138" s="2" t="s">
        <v>17</v>
      </c>
      <c r="B2138" t="s">
        <v>37</v>
      </c>
      <c r="C2138" t="s">
        <v>38</v>
      </c>
      <c r="D2138">
        <v>20</v>
      </c>
      <c r="E2138" t="s">
        <v>26</v>
      </c>
      <c r="F2138">
        <v>1</v>
      </c>
      <c r="G2138">
        <v>1</v>
      </c>
      <c r="H2138">
        <v>0</v>
      </c>
      <c r="I2138">
        <v>1</v>
      </c>
      <c r="J2138" s="4" t="s">
        <v>54</v>
      </c>
      <c r="K2138" t="str">
        <f t="shared" si="109"/>
        <v>1+0</v>
      </c>
      <c r="L2138">
        <f>VLOOKUP(A2138,'ZONE 1 PREMIUM'!$A$3:$M$16,13,0)</f>
        <v>10</v>
      </c>
      <c r="M2138">
        <f>VLOOKUP(D2138,DROPDOWN!B:C,2,0)</f>
        <v>8</v>
      </c>
      <c r="N2138" t="str">
        <f t="shared" si="110"/>
        <v>CO3:DG16</v>
      </c>
      <c r="O2138" s="4">
        <f t="shared" ca="1" si="108"/>
        <v>61292.880000000005</v>
      </c>
    </row>
    <row r="2139" spans="1:15">
      <c r="A2139" s="2" t="s">
        <v>18</v>
      </c>
      <c r="B2139" t="s">
        <v>39</v>
      </c>
      <c r="C2139" t="s">
        <v>40</v>
      </c>
      <c r="D2139">
        <v>20</v>
      </c>
      <c r="E2139" t="s">
        <v>26</v>
      </c>
      <c r="F2139">
        <v>1</v>
      </c>
      <c r="G2139">
        <v>1</v>
      </c>
      <c r="H2139">
        <v>0</v>
      </c>
      <c r="I2139">
        <v>1</v>
      </c>
      <c r="J2139" s="4" t="s">
        <v>54</v>
      </c>
      <c r="K2139" t="str">
        <f t="shared" si="109"/>
        <v>1+0</v>
      </c>
      <c r="L2139">
        <f>VLOOKUP(A2139,'ZONE 1 PREMIUM'!$A$3:$M$16,13,0)</f>
        <v>11</v>
      </c>
      <c r="M2139">
        <f>VLOOKUP(D2139,DROPDOWN!B:C,2,0)</f>
        <v>8</v>
      </c>
      <c r="N2139" t="str">
        <f t="shared" si="110"/>
        <v>CO3:DG16</v>
      </c>
      <c r="O2139" s="4">
        <f t="shared" ca="1" si="108"/>
        <v>84881.57</v>
      </c>
    </row>
    <row r="2140" spans="1:15">
      <c r="A2140" s="2" t="s">
        <v>19</v>
      </c>
      <c r="B2140" t="s">
        <v>41</v>
      </c>
      <c r="C2140" t="s">
        <v>42</v>
      </c>
      <c r="D2140">
        <v>20</v>
      </c>
      <c r="E2140" t="s">
        <v>26</v>
      </c>
      <c r="F2140">
        <v>1</v>
      </c>
      <c r="G2140">
        <v>1</v>
      </c>
      <c r="H2140">
        <v>0</v>
      </c>
      <c r="I2140">
        <v>1</v>
      </c>
      <c r="J2140" s="4" t="s">
        <v>54</v>
      </c>
      <c r="K2140" t="str">
        <f t="shared" si="109"/>
        <v>1+0</v>
      </c>
      <c r="L2140">
        <f>VLOOKUP(A2140,'ZONE 1 PREMIUM'!$A$3:$M$16,13,0)</f>
        <v>12</v>
      </c>
      <c r="M2140">
        <f>VLOOKUP(D2140,DROPDOWN!B:C,2,0)</f>
        <v>8</v>
      </c>
      <c r="N2140" t="str">
        <f t="shared" si="110"/>
        <v>CO3:DG16</v>
      </c>
      <c r="O2140" s="4">
        <f t="shared" ca="1" si="108"/>
        <v>108611.96</v>
      </c>
    </row>
    <row r="2141" spans="1:15">
      <c r="A2141" s="2" t="s">
        <v>20</v>
      </c>
      <c r="B2141" t="s">
        <v>43</v>
      </c>
      <c r="C2141" t="s">
        <v>44</v>
      </c>
      <c r="D2141">
        <v>20</v>
      </c>
      <c r="E2141" t="s">
        <v>26</v>
      </c>
      <c r="F2141">
        <v>1</v>
      </c>
      <c r="G2141">
        <v>1</v>
      </c>
      <c r="H2141">
        <v>0</v>
      </c>
      <c r="I2141">
        <v>1</v>
      </c>
      <c r="J2141" s="4" t="s">
        <v>54</v>
      </c>
      <c r="K2141" t="str">
        <f t="shared" si="109"/>
        <v>1+0</v>
      </c>
      <c r="L2141">
        <f>VLOOKUP(A2141,'ZONE 1 PREMIUM'!$A$3:$M$16,13,0)</f>
        <v>13</v>
      </c>
      <c r="M2141">
        <f>VLOOKUP(D2141,DROPDOWN!B:C,2,0)</f>
        <v>8</v>
      </c>
      <c r="N2141" t="str">
        <f t="shared" si="110"/>
        <v>CO3:DG16</v>
      </c>
      <c r="O2141" s="4">
        <f t="shared" ca="1" si="108"/>
        <v>130649.58000000002</v>
      </c>
    </row>
    <row r="2142" spans="1:15">
      <c r="A2142" s="2" t="s">
        <v>21</v>
      </c>
      <c r="B2142" t="s">
        <v>22</v>
      </c>
      <c r="D2142">
        <v>20</v>
      </c>
      <c r="E2142" t="s">
        <v>26</v>
      </c>
      <c r="F2142">
        <v>1</v>
      </c>
      <c r="G2142">
        <v>1</v>
      </c>
      <c r="H2142">
        <v>0</v>
      </c>
      <c r="I2142">
        <v>1</v>
      </c>
      <c r="J2142" s="4" t="s">
        <v>54</v>
      </c>
      <c r="K2142" t="str">
        <f t="shared" si="109"/>
        <v>1+0</v>
      </c>
      <c r="L2142">
        <f>VLOOKUP(A2142,'ZONE 1 PREMIUM'!$A$3:$M$16,13,0)</f>
        <v>14</v>
      </c>
      <c r="M2142">
        <f>VLOOKUP(D2142,DROPDOWN!B:C,2,0)</f>
        <v>8</v>
      </c>
      <c r="N2142" t="str">
        <f t="shared" si="110"/>
        <v>CO3:DG16</v>
      </c>
      <c r="O2142" s="4">
        <f t="shared" ca="1" si="108"/>
        <v>175643.69</v>
      </c>
    </row>
    <row r="2143" spans="1:15">
      <c r="A2143" s="2" t="s">
        <v>11</v>
      </c>
      <c r="B2143" t="s">
        <v>45</v>
      </c>
      <c r="C2143" t="s">
        <v>25</v>
      </c>
      <c r="D2143">
        <v>20</v>
      </c>
      <c r="E2143" t="s">
        <v>46</v>
      </c>
      <c r="F2143">
        <v>2</v>
      </c>
      <c r="G2143">
        <v>1</v>
      </c>
      <c r="H2143">
        <v>1</v>
      </c>
      <c r="I2143">
        <v>1</v>
      </c>
      <c r="J2143" s="4" t="s">
        <v>54</v>
      </c>
      <c r="K2143" t="str">
        <f t="shared" si="109"/>
        <v>1+1</v>
      </c>
      <c r="L2143">
        <f>VLOOKUP(A2143,'ZONE 1 PREMIUM'!$A$4:$N$16,14,0)</f>
        <v>2</v>
      </c>
      <c r="M2143">
        <f>VLOOKUP(D2143,DROPDOWN!B:C,2,0)</f>
        <v>8</v>
      </c>
      <c r="N2143" t="str">
        <f t="shared" si="110"/>
        <v>CO20:DG31</v>
      </c>
      <c r="O2143" s="4">
        <f t="shared" ca="1" si="108"/>
        <v>20113.77</v>
      </c>
    </row>
    <row r="2144" spans="1:15">
      <c r="A2144" s="2" t="s">
        <v>12</v>
      </c>
      <c r="B2144" t="s">
        <v>27</v>
      </c>
      <c r="C2144" t="s">
        <v>28</v>
      </c>
      <c r="D2144">
        <v>20</v>
      </c>
      <c r="E2144" t="s">
        <v>46</v>
      </c>
      <c r="F2144">
        <v>2</v>
      </c>
      <c r="G2144">
        <v>1</v>
      </c>
      <c r="H2144">
        <v>1</v>
      </c>
      <c r="I2144">
        <v>1</v>
      </c>
      <c r="J2144" s="4" t="s">
        <v>54</v>
      </c>
      <c r="K2144" t="str">
        <f t="shared" si="109"/>
        <v>1+1</v>
      </c>
      <c r="L2144">
        <f>VLOOKUP(A2144,'ZONE 1 PREMIUM'!$A$4:$N$16,14,0)</f>
        <v>3</v>
      </c>
      <c r="M2144">
        <f>VLOOKUP(D2144,DROPDOWN!B:C,2,0)</f>
        <v>8</v>
      </c>
      <c r="N2144" t="str">
        <f t="shared" si="110"/>
        <v>CO20:DG31</v>
      </c>
      <c r="O2144" s="4">
        <f t="shared" ca="1" si="108"/>
        <v>22224.010000000002</v>
      </c>
    </row>
    <row r="2145" spans="1:15">
      <c r="A2145" s="2" t="s">
        <v>13</v>
      </c>
      <c r="B2145" t="s">
        <v>29</v>
      </c>
      <c r="C2145" t="s">
        <v>30</v>
      </c>
      <c r="D2145">
        <v>20</v>
      </c>
      <c r="E2145" t="s">
        <v>46</v>
      </c>
      <c r="F2145">
        <v>2</v>
      </c>
      <c r="G2145">
        <v>1</v>
      </c>
      <c r="H2145">
        <v>1</v>
      </c>
      <c r="I2145">
        <v>1</v>
      </c>
      <c r="J2145" s="4" t="s">
        <v>54</v>
      </c>
      <c r="K2145" t="str">
        <f t="shared" si="109"/>
        <v>1+1</v>
      </c>
      <c r="L2145">
        <f>VLOOKUP(A2145,'ZONE 1 PREMIUM'!$A$4:$N$16,14,0)</f>
        <v>4</v>
      </c>
      <c r="M2145">
        <f>VLOOKUP(D2145,DROPDOWN!B:C,2,0)</f>
        <v>8</v>
      </c>
      <c r="N2145" t="str">
        <f t="shared" si="110"/>
        <v>CO20:DG31</v>
      </c>
      <c r="O2145" s="4">
        <f t="shared" ca="1" si="108"/>
        <v>25734.9</v>
      </c>
    </row>
    <row r="2146" spans="1:15">
      <c r="A2146" s="2" t="s">
        <v>14</v>
      </c>
      <c r="B2146" t="s">
        <v>31</v>
      </c>
      <c r="C2146" t="s">
        <v>32</v>
      </c>
      <c r="D2146">
        <v>20</v>
      </c>
      <c r="E2146" t="s">
        <v>46</v>
      </c>
      <c r="F2146">
        <v>2</v>
      </c>
      <c r="G2146">
        <v>1</v>
      </c>
      <c r="H2146">
        <v>1</v>
      </c>
      <c r="I2146">
        <v>1</v>
      </c>
      <c r="J2146" s="4" t="s">
        <v>54</v>
      </c>
      <c r="K2146" t="str">
        <f t="shared" si="109"/>
        <v>1+1</v>
      </c>
      <c r="L2146">
        <f>VLOOKUP(A2146,'ZONE 1 PREMIUM'!$A$4:$N$16,14,0)</f>
        <v>5</v>
      </c>
      <c r="M2146">
        <f>VLOOKUP(D2146,DROPDOWN!B:C,2,0)</f>
        <v>8</v>
      </c>
      <c r="N2146" t="str">
        <f t="shared" si="110"/>
        <v>CO20:DG31</v>
      </c>
      <c r="O2146" s="4">
        <f t="shared" ca="1" si="108"/>
        <v>30260.58</v>
      </c>
    </row>
    <row r="2147" spans="1:15">
      <c r="A2147" s="2" t="s">
        <v>15</v>
      </c>
      <c r="B2147" t="s">
        <v>33</v>
      </c>
      <c r="C2147" t="s">
        <v>34</v>
      </c>
      <c r="D2147">
        <v>20</v>
      </c>
      <c r="E2147" t="s">
        <v>46</v>
      </c>
      <c r="F2147">
        <v>2</v>
      </c>
      <c r="G2147">
        <v>1</v>
      </c>
      <c r="H2147">
        <v>1</v>
      </c>
      <c r="I2147">
        <v>1</v>
      </c>
      <c r="J2147" s="4" t="s">
        <v>54</v>
      </c>
      <c r="K2147" t="str">
        <f t="shared" si="109"/>
        <v>1+1</v>
      </c>
      <c r="L2147">
        <f>VLOOKUP(A2147,'ZONE 1 PREMIUM'!$A$4:$N$16,14,0)</f>
        <v>6</v>
      </c>
      <c r="M2147">
        <f>VLOOKUP(D2147,DROPDOWN!B:C,2,0)</f>
        <v>8</v>
      </c>
      <c r="N2147" t="str">
        <f t="shared" si="110"/>
        <v>CO20:DG31</v>
      </c>
      <c r="O2147" s="4">
        <f t="shared" ca="1" si="108"/>
        <v>37354.300000000003</v>
      </c>
    </row>
    <row r="2148" spans="1:15">
      <c r="A2148" s="2" t="s">
        <v>16</v>
      </c>
      <c r="B2148" t="s">
        <v>35</v>
      </c>
      <c r="C2148" t="s">
        <v>36</v>
      </c>
      <c r="D2148">
        <v>20</v>
      </c>
      <c r="E2148" t="s">
        <v>46</v>
      </c>
      <c r="F2148">
        <v>2</v>
      </c>
      <c r="G2148">
        <v>1</v>
      </c>
      <c r="H2148">
        <v>1</v>
      </c>
      <c r="I2148">
        <v>1</v>
      </c>
      <c r="J2148" s="4" t="s">
        <v>54</v>
      </c>
      <c r="K2148" t="str">
        <f t="shared" si="109"/>
        <v>1+1</v>
      </c>
      <c r="L2148">
        <f>VLOOKUP(A2148,'ZONE 1 PREMIUM'!$A$4:$N$16,14,0)</f>
        <v>7</v>
      </c>
      <c r="M2148">
        <f>VLOOKUP(D2148,DROPDOWN!B:C,2,0)</f>
        <v>8</v>
      </c>
      <c r="N2148" t="str">
        <f t="shared" si="110"/>
        <v>CO20:DG31</v>
      </c>
      <c r="O2148" s="4">
        <f t="shared" ca="1" si="108"/>
        <v>48545.33</v>
      </c>
    </row>
    <row r="2149" spans="1:15">
      <c r="A2149" s="2" t="s">
        <v>17</v>
      </c>
      <c r="B2149" t="s">
        <v>37</v>
      </c>
      <c r="C2149" t="s">
        <v>38</v>
      </c>
      <c r="D2149">
        <v>20</v>
      </c>
      <c r="E2149" t="s">
        <v>46</v>
      </c>
      <c r="F2149">
        <v>2</v>
      </c>
      <c r="G2149">
        <v>1</v>
      </c>
      <c r="H2149">
        <v>1</v>
      </c>
      <c r="I2149">
        <v>1</v>
      </c>
      <c r="J2149" s="4" t="s">
        <v>54</v>
      </c>
      <c r="K2149" t="str">
        <f t="shared" si="109"/>
        <v>1+1</v>
      </c>
      <c r="L2149">
        <f>VLOOKUP(A2149,'ZONE 1 PREMIUM'!$A$4:$N$16,14,0)</f>
        <v>8</v>
      </c>
      <c r="M2149">
        <f>VLOOKUP(D2149,DROPDOWN!B:C,2,0)</f>
        <v>8</v>
      </c>
      <c r="N2149" t="str">
        <f t="shared" si="110"/>
        <v>CO20:DG31</v>
      </c>
      <c r="O2149" s="4">
        <f t="shared" ca="1" si="108"/>
        <v>64778.700000000004</v>
      </c>
    </row>
    <row r="2150" spans="1:15">
      <c r="A2150" s="2" t="s">
        <v>18</v>
      </c>
      <c r="B2150" t="s">
        <v>39</v>
      </c>
      <c r="C2150" t="s">
        <v>40</v>
      </c>
      <c r="D2150">
        <v>20</v>
      </c>
      <c r="E2150" t="s">
        <v>46</v>
      </c>
      <c r="F2150">
        <v>2</v>
      </c>
      <c r="G2150">
        <v>1</v>
      </c>
      <c r="H2150">
        <v>1</v>
      </c>
      <c r="I2150">
        <v>1</v>
      </c>
      <c r="J2150" s="4" t="s">
        <v>54</v>
      </c>
      <c r="K2150" t="str">
        <f t="shared" si="109"/>
        <v>1+1</v>
      </c>
      <c r="L2150">
        <f>VLOOKUP(A2150,'ZONE 1 PREMIUM'!$A$4:$N$16,14,0)</f>
        <v>9</v>
      </c>
      <c r="M2150">
        <f>VLOOKUP(D2150,DROPDOWN!B:C,2,0)</f>
        <v>8</v>
      </c>
      <c r="N2150" t="str">
        <f t="shared" si="110"/>
        <v>CO20:DG31</v>
      </c>
      <c r="O2150" s="4">
        <f t="shared" ca="1" si="108"/>
        <v>89358.200000000012</v>
      </c>
    </row>
    <row r="2151" spans="1:15">
      <c r="A2151" s="2" t="s">
        <v>19</v>
      </c>
      <c r="B2151" t="s">
        <v>41</v>
      </c>
      <c r="C2151" t="s">
        <v>42</v>
      </c>
      <c r="D2151">
        <v>20</v>
      </c>
      <c r="E2151" t="s">
        <v>46</v>
      </c>
      <c r="F2151">
        <v>2</v>
      </c>
      <c r="G2151">
        <v>1</v>
      </c>
      <c r="H2151">
        <v>1</v>
      </c>
      <c r="I2151">
        <v>1</v>
      </c>
      <c r="J2151" s="4" t="s">
        <v>54</v>
      </c>
      <c r="K2151" t="str">
        <f t="shared" si="109"/>
        <v>1+1</v>
      </c>
      <c r="L2151">
        <f>VLOOKUP(A2151,'ZONE 1 PREMIUM'!$A$4:$N$16,14,0)</f>
        <v>10</v>
      </c>
      <c r="M2151">
        <f>VLOOKUP(D2151,DROPDOWN!B:C,2,0)</f>
        <v>8</v>
      </c>
      <c r="N2151" t="str">
        <f t="shared" si="110"/>
        <v>CO20:DG31</v>
      </c>
      <c r="O2151" s="4">
        <f t="shared" ca="1" si="108"/>
        <v>113137.64000000001</v>
      </c>
    </row>
    <row r="2152" spans="1:15">
      <c r="A2152" s="2" t="s">
        <v>20</v>
      </c>
      <c r="B2152" t="s">
        <v>43</v>
      </c>
      <c r="C2152" t="s">
        <v>44</v>
      </c>
      <c r="D2152">
        <v>20</v>
      </c>
      <c r="E2152" t="s">
        <v>46</v>
      </c>
      <c r="F2152">
        <v>2</v>
      </c>
      <c r="G2152">
        <v>1</v>
      </c>
      <c r="H2152">
        <v>1</v>
      </c>
      <c r="I2152">
        <v>1</v>
      </c>
      <c r="J2152" s="4" t="s">
        <v>54</v>
      </c>
      <c r="K2152" t="str">
        <f t="shared" si="109"/>
        <v>1+1</v>
      </c>
      <c r="L2152">
        <f>VLOOKUP(A2152,'ZONE 1 PREMIUM'!$A$4:$N$16,14,0)</f>
        <v>11</v>
      </c>
      <c r="M2152">
        <f>VLOOKUP(D2152,DROPDOWN!B:C,2,0)</f>
        <v>8</v>
      </c>
      <c r="N2152" t="str">
        <f t="shared" si="110"/>
        <v>CO20:DG31</v>
      </c>
      <c r="O2152" s="4">
        <f t="shared" ca="1" si="108"/>
        <v>133513.01</v>
      </c>
    </row>
    <row r="2153" spans="1:15">
      <c r="A2153" s="2" t="s">
        <v>21</v>
      </c>
      <c r="B2153" t="s">
        <v>22</v>
      </c>
      <c r="D2153">
        <v>20</v>
      </c>
      <c r="E2153" t="s">
        <v>46</v>
      </c>
      <c r="F2153">
        <v>2</v>
      </c>
      <c r="G2153">
        <v>1</v>
      </c>
      <c r="H2153">
        <v>1</v>
      </c>
      <c r="I2153">
        <v>1</v>
      </c>
      <c r="J2153" s="4" t="s">
        <v>54</v>
      </c>
      <c r="K2153" t="str">
        <f t="shared" si="109"/>
        <v>1+1</v>
      </c>
      <c r="L2153">
        <f>VLOOKUP(A2153,'ZONE 1 PREMIUM'!$A$4:$N$16,14,0)</f>
        <v>12</v>
      </c>
      <c r="M2153">
        <f>VLOOKUP(D2153,DROPDOWN!B:C,2,0)</f>
        <v>8</v>
      </c>
      <c r="N2153" t="str">
        <f t="shared" si="110"/>
        <v>CO20:DG31</v>
      </c>
      <c r="O2153" s="4">
        <f t="shared" ca="1" si="108"/>
        <v>181192.88</v>
      </c>
    </row>
    <row r="2154" spans="1:15">
      <c r="A2154" s="2" t="s">
        <v>11</v>
      </c>
      <c r="B2154" t="s">
        <v>45</v>
      </c>
      <c r="C2154" t="s">
        <v>25</v>
      </c>
      <c r="D2154">
        <v>20</v>
      </c>
      <c r="E2154" t="s">
        <v>46</v>
      </c>
      <c r="F2154">
        <v>3</v>
      </c>
      <c r="G2154">
        <v>1</v>
      </c>
      <c r="H2154">
        <v>2</v>
      </c>
      <c r="I2154">
        <v>1</v>
      </c>
      <c r="J2154" s="4" t="s">
        <v>54</v>
      </c>
      <c r="K2154" t="str">
        <f t="shared" si="109"/>
        <v>1+2</v>
      </c>
      <c r="L2154">
        <f>VLOOKUP(A2154,'ZONE 1 PREMIUM'!$A$4:$N$16,14,0)</f>
        <v>2</v>
      </c>
      <c r="M2154">
        <f>VLOOKUP(D2154,DROPDOWN!B:C,2,0)</f>
        <v>8</v>
      </c>
      <c r="N2154" t="str">
        <f t="shared" si="110"/>
        <v>CO35:DG46</v>
      </c>
      <c r="O2154" s="4">
        <f t="shared" ca="1" si="108"/>
        <v>26018.300000000003</v>
      </c>
    </row>
    <row r="2155" spans="1:15">
      <c r="A2155" s="2" t="s">
        <v>12</v>
      </c>
      <c r="B2155" t="s">
        <v>27</v>
      </c>
      <c r="C2155" t="s">
        <v>28</v>
      </c>
      <c r="D2155">
        <v>20</v>
      </c>
      <c r="E2155" t="s">
        <v>46</v>
      </c>
      <c r="F2155">
        <v>3</v>
      </c>
      <c r="G2155">
        <v>1</v>
      </c>
      <c r="H2155">
        <v>2</v>
      </c>
      <c r="I2155">
        <v>1</v>
      </c>
      <c r="J2155" s="4" t="s">
        <v>54</v>
      </c>
      <c r="K2155" t="str">
        <f t="shared" si="109"/>
        <v>1+2</v>
      </c>
      <c r="L2155">
        <f>VLOOKUP(A2155,'ZONE 1 PREMIUM'!$A$4:$N$16,14,0)</f>
        <v>3</v>
      </c>
      <c r="M2155">
        <f>VLOOKUP(D2155,DROPDOWN!B:C,2,0)</f>
        <v>8</v>
      </c>
      <c r="N2155" t="str">
        <f t="shared" si="110"/>
        <v>CO35:DG46</v>
      </c>
      <c r="O2155" s="4">
        <f t="shared" ca="1" si="108"/>
        <v>27912.720000000001</v>
      </c>
    </row>
    <row r="2156" spans="1:15">
      <c r="A2156" s="2" t="s">
        <v>13</v>
      </c>
      <c r="B2156" t="s">
        <v>29</v>
      </c>
      <c r="C2156" t="s">
        <v>30</v>
      </c>
      <c r="D2156">
        <v>20</v>
      </c>
      <c r="E2156" t="s">
        <v>46</v>
      </c>
      <c r="F2156">
        <v>3</v>
      </c>
      <c r="G2156">
        <v>1</v>
      </c>
      <c r="H2156">
        <v>2</v>
      </c>
      <c r="I2156">
        <v>1</v>
      </c>
      <c r="J2156" s="4" t="s">
        <v>54</v>
      </c>
      <c r="K2156" t="str">
        <f t="shared" si="109"/>
        <v>1+2</v>
      </c>
      <c r="L2156">
        <f>VLOOKUP(A2156,'ZONE 1 PREMIUM'!$A$4:$N$16,14,0)</f>
        <v>4</v>
      </c>
      <c r="M2156">
        <f>VLOOKUP(D2156,DROPDOWN!B:C,2,0)</f>
        <v>8</v>
      </c>
      <c r="N2156" t="str">
        <f t="shared" si="110"/>
        <v>CO35:DG46</v>
      </c>
      <c r="O2156" s="4">
        <f t="shared" ca="1" si="108"/>
        <v>32356.65</v>
      </c>
    </row>
    <row r="2157" spans="1:15">
      <c r="A2157" s="2" t="s">
        <v>14</v>
      </c>
      <c r="B2157" t="s">
        <v>31</v>
      </c>
      <c r="C2157" t="s">
        <v>32</v>
      </c>
      <c r="D2157">
        <v>20</v>
      </c>
      <c r="E2157" t="s">
        <v>46</v>
      </c>
      <c r="F2157">
        <v>3</v>
      </c>
      <c r="G2157">
        <v>1</v>
      </c>
      <c r="H2157">
        <v>2</v>
      </c>
      <c r="I2157">
        <v>1</v>
      </c>
      <c r="J2157" s="4" t="s">
        <v>54</v>
      </c>
      <c r="K2157" t="str">
        <f t="shared" si="109"/>
        <v>1+2</v>
      </c>
      <c r="L2157">
        <f>VLOOKUP(A2157,'ZONE 1 PREMIUM'!$A$4:$N$16,14,0)</f>
        <v>5</v>
      </c>
      <c r="M2157">
        <f>VLOOKUP(D2157,DROPDOWN!B:C,2,0)</f>
        <v>8</v>
      </c>
      <c r="N2157" t="str">
        <f t="shared" si="110"/>
        <v>CO35:DG46</v>
      </c>
      <c r="O2157" s="4">
        <f t="shared" ca="1" si="108"/>
        <v>36299.18</v>
      </c>
    </row>
    <row r="2158" spans="1:15">
      <c r="A2158" s="2" t="s">
        <v>15</v>
      </c>
      <c r="B2158" t="s">
        <v>33</v>
      </c>
      <c r="C2158" t="s">
        <v>34</v>
      </c>
      <c r="D2158">
        <v>20</v>
      </c>
      <c r="E2158" t="s">
        <v>46</v>
      </c>
      <c r="F2158">
        <v>3</v>
      </c>
      <c r="G2158">
        <v>1</v>
      </c>
      <c r="H2158">
        <v>2</v>
      </c>
      <c r="I2158">
        <v>1</v>
      </c>
      <c r="J2158" s="4" t="s">
        <v>54</v>
      </c>
      <c r="K2158" t="str">
        <f t="shared" si="109"/>
        <v>1+2</v>
      </c>
      <c r="L2158">
        <f>VLOOKUP(A2158,'ZONE 1 PREMIUM'!$A$4:$N$16,14,0)</f>
        <v>6</v>
      </c>
      <c r="M2158">
        <f>VLOOKUP(D2158,DROPDOWN!B:C,2,0)</f>
        <v>8</v>
      </c>
      <c r="N2158" t="str">
        <f t="shared" si="110"/>
        <v>CO35:DG46</v>
      </c>
      <c r="O2158" s="4">
        <f t="shared" ca="1" si="108"/>
        <v>45449.73</v>
      </c>
    </row>
    <row r="2159" spans="1:15">
      <c r="A2159" s="2" t="s">
        <v>16</v>
      </c>
      <c r="B2159" t="s">
        <v>35</v>
      </c>
      <c r="C2159" t="s">
        <v>36</v>
      </c>
      <c r="D2159">
        <v>20</v>
      </c>
      <c r="E2159" t="s">
        <v>46</v>
      </c>
      <c r="F2159">
        <v>3</v>
      </c>
      <c r="G2159">
        <v>1</v>
      </c>
      <c r="H2159">
        <v>2</v>
      </c>
      <c r="I2159">
        <v>1</v>
      </c>
      <c r="J2159" s="4" t="s">
        <v>54</v>
      </c>
      <c r="K2159" t="str">
        <f t="shared" si="109"/>
        <v>1+2</v>
      </c>
      <c r="L2159">
        <f>VLOOKUP(A2159,'ZONE 1 PREMIUM'!$A$4:$N$16,14,0)</f>
        <v>7</v>
      </c>
      <c r="M2159">
        <f>VLOOKUP(D2159,DROPDOWN!B:C,2,0)</f>
        <v>8</v>
      </c>
      <c r="N2159" t="str">
        <f t="shared" si="110"/>
        <v>CO35:DG46</v>
      </c>
      <c r="O2159" s="4">
        <f t="shared" ca="1" si="108"/>
        <v>58599.490000000005</v>
      </c>
    </row>
    <row r="2160" spans="1:15">
      <c r="A2160" s="2" t="s">
        <v>17</v>
      </c>
      <c r="B2160" t="s">
        <v>37</v>
      </c>
      <c r="C2160" t="s">
        <v>38</v>
      </c>
      <c r="D2160">
        <v>20</v>
      </c>
      <c r="E2160" t="s">
        <v>46</v>
      </c>
      <c r="F2160">
        <v>3</v>
      </c>
      <c r="G2160">
        <v>1</v>
      </c>
      <c r="H2160">
        <v>2</v>
      </c>
      <c r="I2160">
        <v>1</v>
      </c>
      <c r="J2160" s="4" t="s">
        <v>54</v>
      </c>
      <c r="K2160" t="str">
        <f t="shared" si="109"/>
        <v>1+2</v>
      </c>
      <c r="L2160">
        <f>VLOOKUP(A2160,'ZONE 1 PREMIUM'!$A$4:$N$16,14,0)</f>
        <v>8</v>
      </c>
      <c r="M2160">
        <f>VLOOKUP(D2160,DROPDOWN!B:C,2,0)</f>
        <v>8</v>
      </c>
      <c r="N2160" t="str">
        <f t="shared" si="110"/>
        <v>CO35:DG46</v>
      </c>
      <c r="O2160" s="4">
        <f t="shared" ca="1" si="108"/>
        <v>75615.48000000001</v>
      </c>
    </row>
    <row r="2161" spans="1:15">
      <c r="A2161" s="2" t="s">
        <v>18</v>
      </c>
      <c r="B2161" t="s">
        <v>39</v>
      </c>
      <c r="C2161" t="s">
        <v>40</v>
      </c>
      <c r="D2161">
        <v>20</v>
      </c>
      <c r="E2161" t="s">
        <v>46</v>
      </c>
      <c r="F2161">
        <v>3</v>
      </c>
      <c r="G2161">
        <v>1</v>
      </c>
      <c r="H2161">
        <v>2</v>
      </c>
      <c r="I2161">
        <v>1</v>
      </c>
      <c r="J2161" s="4" t="s">
        <v>54</v>
      </c>
      <c r="K2161" t="str">
        <f t="shared" si="109"/>
        <v>1+2</v>
      </c>
      <c r="L2161">
        <f>VLOOKUP(A2161,'ZONE 1 PREMIUM'!$A$4:$N$16,14,0)</f>
        <v>9</v>
      </c>
      <c r="M2161">
        <f>VLOOKUP(D2161,DROPDOWN!B:C,2,0)</f>
        <v>8</v>
      </c>
      <c r="N2161" t="str">
        <f t="shared" si="110"/>
        <v>CO35:DG46</v>
      </c>
      <c r="O2161" s="4">
        <f t="shared" ca="1" si="108"/>
        <v>98211.180000000008</v>
      </c>
    </row>
    <row r="2162" spans="1:15">
      <c r="A2162" s="2" t="s">
        <v>19</v>
      </c>
      <c r="B2162" t="s">
        <v>41</v>
      </c>
      <c r="C2162" t="s">
        <v>42</v>
      </c>
      <c r="D2162">
        <v>20</v>
      </c>
      <c r="E2162" t="s">
        <v>46</v>
      </c>
      <c r="F2162">
        <v>3</v>
      </c>
      <c r="G2162">
        <v>1</v>
      </c>
      <c r="H2162">
        <v>2</v>
      </c>
      <c r="I2162">
        <v>1</v>
      </c>
      <c r="J2162" s="4" t="s">
        <v>54</v>
      </c>
      <c r="K2162" t="str">
        <f t="shared" si="109"/>
        <v>1+2</v>
      </c>
      <c r="L2162">
        <f>VLOOKUP(A2162,'ZONE 1 PREMIUM'!$A$4:$N$16,14,0)</f>
        <v>10</v>
      </c>
      <c r="M2162">
        <f>VLOOKUP(D2162,DROPDOWN!B:C,2,0)</f>
        <v>8</v>
      </c>
      <c r="N2162" t="str">
        <f t="shared" si="110"/>
        <v>CO35:DG46</v>
      </c>
      <c r="O2162" s="4">
        <f t="shared" ca="1" si="108"/>
        <v>123956.98000000001</v>
      </c>
    </row>
    <row r="2163" spans="1:15">
      <c r="A2163" s="2" t="s">
        <v>20</v>
      </c>
      <c r="B2163" t="s">
        <v>43</v>
      </c>
      <c r="C2163" t="s">
        <v>44</v>
      </c>
      <c r="D2163">
        <v>20</v>
      </c>
      <c r="E2163" t="s">
        <v>46</v>
      </c>
      <c r="F2163">
        <v>3</v>
      </c>
      <c r="G2163">
        <v>1</v>
      </c>
      <c r="H2163">
        <v>2</v>
      </c>
      <c r="I2163">
        <v>1</v>
      </c>
      <c r="J2163" s="4" t="s">
        <v>54</v>
      </c>
      <c r="K2163" t="str">
        <f t="shared" si="109"/>
        <v>1+2</v>
      </c>
      <c r="L2163">
        <f>VLOOKUP(A2163,'ZONE 1 PREMIUM'!$A$4:$N$16,14,0)</f>
        <v>11</v>
      </c>
      <c r="M2163">
        <f>VLOOKUP(D2163,DROPDOWN!B:C,2,0)</f>
        <v>8</v>
      </c>
      <c r="N2163" t="str">
        <f t="shared" si="110"/>
        <v>CO35:DG46</v>
      </c>
      <c r="O2163" s="4">
        <f t="shared" ca="1" si="108"/>
        <v>146259.47</v>
      </c>
    </row>
    <row r="2164" spans="1:15">
      <c r="A2164" s="2" t="s">
        <v>21</v>
      </c>
      <c r="B2164" t="s">
        <v>22</v>
      </c>
      <c r="D2164">
        <v>20</v>
      </c>
      <c r="E2164" t="s">
        <v>46</v>
      </c>
      <c r="F2164">
        <v>3</v>
      </c>
      <c r="G2164">
        <v>1</v>
      </c>
      <c r="H2164">
        <v>2</v>
      </c>
      <c r="I2164">
        <v>1</v>
      </c>
      <c r="J2164" s="4" t="s">
        <v>54</v>
      </c>
      <c r="K2164" t="str">
        <f t="shared" si="109"/>
        <v>1+2</v>
      </c>
      <c r="L2164">
        <f>VLOOKUP(A2164,'ZONE 1 PREMIUM'!$A$4:$N$16,14,0)</f>
        <v>12</v>
      </c>
      <c r="M2164">
        <f>VLOOKUP(D2164,DROPDOWN!B:C,2,0)</f>
        <v>8</v>
      </c>
      <c r="N2164" t="str">
        <f t="shared" si="110"/>
        <v>CO35:DG46</v>
      </c>
      <c r="O2164" s="4">
        <f t="shared" ca="1" si="108"/>
        <v>190789.24000000002</v>
      </c>
    </row>
    <row r="2165" spans="1:15">
      <c r="A2165" s="2" t="s">
        <v>11</v>
      </c>
      <c r="B2165" t="s">
        <v>45</v>
      </c>
      <c r="C2165" t="s">
        <v>25</v>
      </c>
      <c r="D2165">
        <v>20</v>
      </c>
      <c r="E2165" t="s">
        <v>46</v>
      </c>
      <c r="F2165">
        <v>4</v>
      </c>
      <c r="G2165">
        <v>1</v>
      </c>
      <c r="H2165">
        <v>3</v>
      </c>
      <c r="I2165">
        <v>1</v>
      </c>
      <c r="J2165" s="4" t="s">
        <v>54</v>
      </c>
      <c r="K2165" t="str">
        <f t="shared" si="109"/>
        <v>1+3</v>
      </c>
      <c r="L2165">
        <f>VLOOKUP(A2165,'ZONE 1 PREMIUM'!$A$4:$N$16,14,0)</f>
        <v>2</v>
      </c>
      <c r="M2165">
        <f>VLOOKUP(D2165,DROPDOWN!B:C,2,0)</f>
        <v>8</v>
      </c>
      <c r="N2165" t="str">
        <f t="shared" si="110"/>
        <v>CO50:DG61</v>
      </c>
      <c r="O2165" s="4">
        <f t="shared" ca="1" si="108"/>
        <v>31922.83</v>
      </c>
    </row>
    <row r="2166" spans="1:15">
      <c r="A2166" s="2" t="s">
        <v>12</v>
      </c>
      <c r="B2166" t="s">
        <v>27</v>
      </c>
      <c r="C2166" t="s">
        <v>28</v>
      </c>
      <c r="D2166">
        <v>20</v>
      </c>
      <c r="E2166" t="s">
        <v>46</v>
      </c>
      <c r="F2166">
        <v>4</v>
      </c>
      <c r="G2166">
        <v>1</v>
      </c>
      <c r="H2166">
        <v>3</v>
      </c>
      <c r="I2166">
        <v>1</v>
      </c>
      <c r="J2166" s="4" t="s">
        <v>54</v>
      </c>
      <c r="K2166" t="str">
        <f t="shared" si="109"/>
        <v>1+3</v>
      </c>
      <c r="L2166">
        <f>VLOOKUP(A2166,'ZONE 1 PREMIUM'!$A$4:$N$16,14,0)</f>
        <v>3</v>
      </c>
      <c r="M2166">
        <f>VLOOKUP(D2166,DROPDOWN!B:C,2,0)</f>
        <v>8</v>
      </c>
      <c r="N2166" t="str">
        <f t="shared" si="110"/>
        <v>CO50:DG61</v>
      </c>
      <c r="O2166" s="4">
        <f t="shared" ca="1" si="108"/>
        <v>33712.61</v>
      </c>
    </row>
    <row r="2167" spans="1:15">
      <c r="A2167" s="2" t="s">
        <v>13</v>
      </c>
      <c r="B2167" t="s">
        <v>29</v>
      </c>
      <c r="C2167" t="s">
        <v>30</v>
      </c>
      <c r="D2167">
        <v>20</v>
      </c>
      <c r="E2167" t="s">
        <v>46</v>
      </c>
      <c r="F2167">
        <v>4</v>
      </c>
      <c r="G2167">
        <v>1</v>
      </c>
      <c r="H2167">
        <v>3</v>
      </c>
      <c r="I2167">
        <v>1</v>
      </c>
      <c r="J2167" s="4" t="s">
        <v>54</v>
      </c>
      <c r="K2167" t="str">
        <f t="shared" si="109"/>
        <v>1+3</v>
      </c>
      <c r="L2167">
        <f>VLOOKUP(A2167,'ZONE 1 PREMIUM'!$A$4:$N$16,14,0)</f>
        <v>4</v>
      </c>
      <c r="M2167">
        <f>VLOOKUP(D2167,DROPDOWN!B:C,2,0)</f>
        <v>8</v>
      </c>
      <c r="N2167" t="str">
        <f t="shared" si="110"/>
        <v>CO50:DG61</v>
      </c>
      <c r="O2167" s="4">
        <f t="shared" ca="1" si="108"/>
        <v>39104.840000000004</v>
      </c>
    </row>
    <row r="2168" spans="1:15">
      <c r="A2168" s="2" t="s">
        <v>14</v>
      </c>
      <c r="B2168" t="s">
        <v>31</v>
      </c>
      <c r="C2168" t="s">
        <v>32</v>
      </c>
      <c r="D2168">
        <v>20</v>
      </c>
      <c r="E2168" t="s">
        <v>46</v>
      </c>
      <c r="F2168">
        <v>4</v>
      </c>
      <c r="G2168">
        <v>1</v>
      </c>
      <c r="H2168">
        <v>3</v>
      </c>
      <c r="I2168">
        <v>1</v>
      </c>
      <c r="J2168" s="4" t="s">
        <v>54</v>
      </c>
      <c r="K2168" t="str">
        <f t="shared" si="109"/>
        <v>1+3</v>
      </c>
      <c r="L2168">
        <f>VLOOKUP(A2168,'ZONE 1 PREMIUM'!$A$4:$N$16,14,0)</f>
        <v>5</v>
      </c>
      <c r="M2168">
        <f>VLOOKUP(D2168,DROPDOWN!B:C,2,0)</f>
        <v>8</v>
      </c>
      <c r="N2168" t="str">
        <f t="shared" si="110"/>
        <v>CO50:DG61</v>
      </c>
      <c r="O2168" s="4">
        <f t="shared" ca="1" si="108"/>
        <v>43500.810000000005</v>
      </c>
    </row>
    <row r="2169" spans="1:15">
      <c r="A2169" s="2" t="s">
        <v>15</v>
      </c>
      <c r="B2169" t="s">
        <v>33</v>
      </c>
      <c r="C2169" t="s">
        <v>34</v>
      </c>
      <c r="D2169">
        <v>20</v>
      </c>
      <c r="E2169" t="s">
        <v>46</v>
      </c>
      <c r="F2169">
        <v>4</v>
      </c>
      <c r="G2169">
        <v>1</v>
      </c>
      <c r="H2169">
        <v>3</v>
      </c>
      <c r="I2169">
        <v>1</v>
      </c>
      <c r="J2169" s="4" t="s">
        <v>54</v>
      </c>
      <c r="K2169" t="str">
        <f t="shared" si="109"/>
        <v>1+3</v>
      </c>
      <c r="L2169">
        <f>VLOOKUP(A2169,'ZONE 1 PREMIUM'!$A$4:$N$16,14,0)</f>
        <v>6</v>
      </c>
      <c r="M2169">
        <f>VLOOKUP(D2169,DROPDOWN!B:C,2,0)</f>
        <v>8</v>
      </c>
      <c r="N2169" t="str">
        <f t="shared" si="110"/>
        <v>CO50:DG61</v>
      </c>
      <c r="O2169" s="4">
        <f t="shared" ca="1" si="108"/>
        <v>53546.250000000007</v>
      </c>
    </row>
    <row r="2170" spans="1:15">
      <c r="A2170" s="2" t="s">
        <v>16</v>
      </c>
      <c r="B2170" t="s">
        <v>35</v>
      </c>
      <c r="C2170" t="s">
        <v>36</v>
      </c>
      <c r="D2170">
        <v>20</v>
      </c>
      <c r="E2170" t="s">
        <v>46</v>
      </c>
      <c r="F2170">
        <v>4</v>
      </c>
      <c r="G2170">
        <v>1</v>
      </c>
      <c r="H2170">
        <v>3</v>
      </c>
      <c r="I2170">
        <v>1</v>
      </c>
      <c r="J2170" s="4" t="s">
        <v>54</v>
      </c>
      <c r="K2170" t="str">
        <f t="shared" si="109"/>
        <v>1+3</v>
      </c>
      <c r="L2170">
        <f>VLOOKUP(A2170,'ZONE 1 PREMIUM'!$A$4:$N$16,14,0)</f>
        <v>7</v>
      </c>
      <c r="M2170">
        <f>VLOOKUP(D2170,DROPDOWN!B:C,2,0)</f>
        <v>8</v>
      </c>
      <c r="N2170" t="str">
        <f t="shared" si="110"/>
        <v>CO50:DG61</v>
      </c>
      <c r="O2170" s="4">
        <f t="shared" ca="1" si="108"/>
        <v>67622.510000000009</v>
      </c>
    </row>
    <row r="2171" spans="1:15">
      <c r="A2171" s="2" t="s">
        <v>17</v>
      </c>
      <c r="B2171" t="s">
        <v>37</v>
      </c>
      <c r="C2171" t="s">
        <v>38</v>
      </c>
      <c r="D2171">
        <v>20</v>
      </c>
      <c r="E2171" t="s">
        <v>46</v>
      </c>
      <c r="F2171">
        <v>4</v>
      </c>
      <c r="G2171">
        <v>1</v>
      </c>
      <c r="H2171">
        <v>3</v>
      </c>
      <c r="I2171">
        <v>1</v>
      </c>
      <c r="J2171" s="4" t="s">
        <v>54</v>
      </c>
      <c r="K2171" t="str">
        <f t="shared" si="109"/>
        <v>1+3</v>
      </c>
      <c r="L2171">
        <f>VLOOKUP(A2171,'ZONE 1 PREMIUM'!$A$4:$N$16,14,0)</f>
        <v>8</v>
      </c>
      <c r="M2171">
        <f>VLOOKUP(D2171,DROPDOWN!B:C,2,0)</f>
        <v>8</v>
      </c>
      <c r="N2171" t="str">
        <f t="shared" si="110"/>
        <v>CO50:DG61</v>
      </c>
      <c r="O2171" s="4">
        <f t="shared" ca="1" si="108"/>
        <v>83643.33</v>
      </c>
    </row>
    <row r="2172" spans="1:15">
      <c r="A2172" s="2" t="s">
        <v>18</v>
      </c>
      <c r="B2172" t="s">
        <v>39</v>
      </c>
      <c r="C2172" t="s">
        <v>40</v>
      </c>
      <c r="D2172">
        <v>20</v>
      </c>
      <c r="E2172" t="s">
        <v>46</v>
      </c>
      <c r="F2172">
        <v>4</v>
      </c>
      <c r="G2172">
        <v>1</v>
      </c>
      <c r="H2172">
        <v>3</v>
      </c>
      <c r="I2172">
        <v>1</v>
      </c>
      <c r="J2172" s="4" t="s">
        <v>54</v>
      </c>
      <c r="K2172" t="str">
        <f t="shared" si="109"/>
        <v>1+3</v>
      </c>
      <c r="L2172">
        <f>VLOOKUP(A2172,'ZONE 1 PREMIUM'!$A$4:$N$16,14,0)</f>
        <v>9</v>
      </c>
      <c r="M2172">
        <f>VLOOKUP(D2172,DROPDOWN!B:C,2,0)</f>
        <v>8</v>
      </c>
      <c r="N2172" t="str">
        <f t="shared" si="110"/>
        <v>CO50:DG61</v>
      </c>
      <c r="O2172" s="4">
        <f t="shared" ca="1" si="108"/>
        <v>107058.71</v>
      </c>
    </row>
    <row r="2173" spans="1:15">
      <c r="A2173" s="2" t="s">
        <v>19</v>
      </c>
      <c r="B2173" t="s">
        <v>41</v>
      </c>
      <c r="C2173" t="s">
        <v>42</v>
      </c>
      <c r="D2173">
        <v>20</v>
      </c>
      <c r="E2173" t="s">
        <v>46</v>
      </c>
      <c r="F2173">
        <v>4</v>
      </c>
      <c r="G2173">
        <v>1</v>
      </c>
      <c r="H2173">
        <v>3</v>
      </c>
      <c r="I2173">
        <v>1</v>
      </c>
      <c r="J2173" s="4" t="s">
        <v>54</v>
      </c>
      <c r="K2173" t="str">
        <f t="shared" si="109"/>
        <v>1+3</v>
      </c>
      <c r="L2173">
        <f>VLOOKUP(A2173,'ZONE 1 PREMIUM'!$A$4:$N$16,14,0)</f>
        <v>10</v>
      </c>
      <c r="M2173">
        <f>VLOOKUP(D2173,DROPDOWN!B:C,2,0)</f>
        <v>8</v>
      </c>
      <c r="N2173" t="str">
        <f t="shared" si="110"/>
        <v>CO50:DG61</v>
      </c>
      <c r="O2173" s="4">
        <f t="shared" ca="1" si="108"/>
        <v>131150.98000000001</v>
      </c>
    </row>
    <row r="2174" spans="1:15">
      <c r="A2174" s="2" t="s">
        <v>20</v>
      </c>
      <c r="B2174" t="s">
        <v>43</v>
      </c>
      <c r="C2174" t="s">
        <v>44</v>
      </c>
      <c r="D2174">
        <v>20</v>
      </c>
      <c r="E2174" t="s">
        <v>46</v>
      </c>
      <c r="F2174">
        <v>4</v>
      </c>
      <c r="G2174">
        <v>1</v>
      </c>
      <c r="H2174">
        <v>3</v>
      </c>
      <c r="I2174">
        <v>1</v>
      </c>
      <c r="J2174" s="4" t="s">
        <v>54</v>
      </c>
      <c r="K2174" t="str">
        <f t="shared" si="109"/>
        <v>1+3</v>
      </c>
      <c r="L2174">
        <f>VLOOKUP(A2174,'ZONE 1 PREMIUM'!$A$4:$N$16,14,0)</f>
        <v>11</v>
      </c>
      <c r="M2174">
        <f>VLOOKUP(D2174,DROPDOWN!B:C,2,0)</f>
        <v>8</v>
      </c>
      <c r="N2174" t="str">
        <f t="shared" si="110"/>
        <v>CO50:DG61</v>
      </c>
      <c r="O2174" s="4">
        <f t="shared" ca="1" si="108"/>
        <v>153110.12000000002</v>
      </c>
    </row>
    <row r="2175" spans="1:15">
      <c r="A2175" s="2" t="s">
        <v>21</v>
      </c>
      <c r="B2175" t="s">
        <v>22</v>
      </c>
      <c r="D2175">
        <v>20</v>
      </c>
      <c r="E2175" t="s">
        <v>46</v>
      </c>
      <c r="F2175">
        <v>4</v>
      </c>
      <c r="G2175">
        <v>1</v>
      </c>
      <c r="H2175">
        <v>3</v>
      </c>
      <c r="I2175">
        <v>1</v>
      </c>
      <c r="J2175" s="4" t="s">
        <v>54</v>
      </c>
      <c r="K2175" t="str">
        <f t="shared" si="109"/>
        <v>1+3</v>
      </c>
      <c r="L2175">
        <f>VLOOKUP(A2175,'ZONE 1 PREMIUM'!$A$4:$N$16,14,0)</f>
        <v>12</v>
      </c>
      <c r="M2175">
        <f>VLOOKUP(D2175,DROPDOWN!B:C,2,0)</f>
        <v>8</v>
      </c>
      <c r="N2175" t="str">
        <f t="shared" si="110"/>
        <v>CO50:DG61</v>
      </c>
      <c r="O2175" s="4">
        <f t="shared" ca="1" si="108"/>
        <v>198032.29</v>
      </c>
    </row>
    <row r="2176" spans="1:15">
      <c r="A2176" s="2" t="s">
        <v>11</v>
      </c>
      <c r="B2176" t="s">
        <v>45</v>
      </c>
      <c r="C2176" t="s">
        <v>25</v>
      </c>
      <c r="D2176">
        <v>20</v>
      </c>
      <c r="E2176" t="s">
        <v>46</v>
      </c>
      <c r="F2176">
        <v>5</v>
      </c>
      <c r="G2176">
        <v>1</v>
      </c>
      <c r="H2176">
        <v>4</v>
      </c>
      <c r="I2176">
        <v>1</v>
      </c>
      <c r="J2176" s="4" t="s">
        <v>54</v>
      </c>
      <c r="K2176" t="str">
        <f t="shared" si="109"/>
        <v>1+4</v>
      </c>
      <c r="L2176">
        <f>VLOOKUP(A2176,'ZONE 1 PREMIUM'!$A$4:$N$16,14,0)</f>
        <v>2</v>
      </c>
      <c r="M2176">
        <f>VLOOKUP(D2176,DROPDOWN!B:C,2,0)</f>
        <v>8</v>
      </c>
      <c r="N2176" t="str">
        <f t="shared" si="110"/>
        <v>CO65:DG76</v>
      </c>
      <c r="O2176" s="4">
        <f t="shared" ca="1" si="108"/>
        <v>37828.450000000004</v>
      </c>
    </row>
    <row r="2177" spans="1:15">
      <c r="A2177" s="2" t="s">
        <v>12</v>
      </c>
      <c r="B2177" t="s">
        <v>27</v>
      </c>
      <c r="C2177" t="s">
        <v>28</v>
      </c>
      <c r="D2177">
        <v>20</v>
      </c>
      <c r="E2177" t="s">
        <v>46</v>
      </c>
      <c r="F2177">
        <v>5</v>
      </c>
      <c r="G2177">
        <v>1</v>
      </c>
      <c r="H2177">
        <v>4</v>
      </c>
      <c r="I2177">
        <v>1</v>
      </c>
      <c r="J2177" s="4" t="s">
        <v>54</v>
      </c>
      <c r="K2177" t="str">
        <f t="shared" si="109"/>
        <v>1+4</v>
      </c>
      <c r="L2177">
        <f>VLOOKUP(A2177,'ZONE 1 PREMIUM'!$A$4:$N$16,14,0)</f>
        <v>3</v>
      </c>
      <c r="M2177">
        <f>VLOOKUP(D2177,DROPDOWN!B:C,2,0)</f>
        <v>8</v>
      </c>
      <c r="N2177" t="str">
        <f t="shared" si="110"/>
        <v>CO65:DG76</v>
      </c>
      <c r="O2177" s="4">
        <f t="shared" ca="1" si="108"/>
        <v>39512.5</v>
      </c>
    </row>
    <row r="2178" spans="1:15">
      <c r="A2178" s="2" t="s">
        <v>13</v>
      </c>
      <c r="B2178" t="s">
        <v>29</v>
      </c>
      <c r="C2178" t="s">
        <v>30</v>
      </c>
      <c r="D2178">
        <v>20</v>
      </c>
      <c r="E2178" t="s">
        <v>46</v>
      </c>
      <c r="F2178">
        <v>5</v>
      </c>
      <c r="G2178">
        <v>1</v>
      </c>
      <c r="H2178">
        <v>4</v>
      </c>
      <c r="I2178">
        <v>1</v>
      </c>
      <c r="J2178" s="4" t="s">
        <v>54</v>
      </c>
      <c r="K2178" t="str">
        <f t="shared" si="109"/>
        <v>1+4</v>
      </c>
      <c r="L2178">
        <f>VLOOKUP(A2178,'ZONE 1 PREMIUM'!$A$4:$N$16,14,0)</f>
        <v>4</v>
      </c>
      <c r="M2178">
        <f>VLOOKUP(D2178,DROPDOWN!B:C,2,0)</f>
        <v>8</v>
      </c>
      <c r="N2178" t="str">
        <f t="shared" si="110"/>
        <v>CO65:DG76</v>
      </c>
      <c r="O2178" s="4">
        <f t="shared" ref="O2178:O2241" ca="1" si="111">INDEX(INDIRECT(N2178),L2178,M2178)</f>
        <v>45854.12</v>
      </c>
    </row>
    <row r="2179" spans="1:15">
      <c r="A2179" s="2" t="s">
        <v>14</v>
      </c>
      <c r="B2179" t="s">
        <v>31</v>
      </c>
      <c r="C2179" t="s">
        <v>32</v>
      </c>
      <c r="D2179">
        <v>20</v>
      </c>
      <c r="E2179" t="s">
        <v>46</v>
      </c>
      <c r="F2179">
        <v>5</v>
      </c>
      <c r="G2179">
        <v>1</v>
      </c>
      <c r="H2179">
        <v>4</v>
      </c>
      <c r="I2179">
        <v>1</v>
      </c>
      <c r="J2179" s="4" t="s">
        <v>54</v>
      </c>
      <c r="K2179" t="str">
        <f t="shared" si="109"/>
        <v>1+4</v>
      </c>
      <c r="L2179">
        <f>VLOOKUP(A2179,'ZONE 1 PREMIUM'!$A$4:$N$16,14,0)</f>
        <v>5</v>
      </c>
      <c r="M2179">
        <f>VLOOKUP(D2179,DROPDOWN!B:C,2,0)</f>
        <v>8</v>
      </c>
      <c r="N2179" t="str">
        <f t="shared" si="110"/>
        <v>CO65:DG76</v>
      </c>
      <c r="O2179" s="4">
        <f t="shared" ca="1" si="111"/>
        <v>50702.44</v>
      </c>
    </row>
    <row r="2180" spans="1:15">
      <c r="A2180" s="2" t="s">
        <v>15</v>
      </c>
      <c r="B2180" t="s">
        <v>33</v>
      </c>
      <c r="C2180" t="s">
        <v>34</v>
      </c>
      <c r="D2180">
        <v>20</v>
      </c>
      <c r="E2180" t="s">
        <v>46</v>
      </c>
      <c r="F2180">
        <v>5</v>
      </c>
      <c r="G2180">
        <v>1</v>
      </c>
      <c r="H2180">
        <v>4</v>
      </c>
      <c r="I2180">
        <v>1</v>
      </c>
      <c r="J2180" s="4" t="s">
        <v>54</v>
      </c>
      <c r="K2180" t="str">
        <f t="shared" ref="K2180:K2243" si="112">G2180&amp;"+"&amp;H2180</f>
        <v>1+4</v>
      </c>
      <c r="L2180">
        <f>VLOOKUP(A2180,'ZONE 1 PREMIUM'!$A$4:$N$16,14,0)</f>
        <v>6</v>
      </c>
      <c r="M2180">
        <f>VLOOKUP(D2180,DROPDOWN!B:C,2,0)</f>
        <v>8</v>
      </c>
      <c r="N2180" t="str">
        <f t="shared" si="110"/>
        <v>CO65:DG76</v>
      </c>
      <c r="O2180" s="4">
        <f t="shared" ca="1" si="111"/>
        <v>61641.680000000008</v>
      </c>
    </row>
    <row r="2181" spans="1:15">
      <c r="A2181" s="2" t="s">
        <v>16</v>
      </c>
      <c r="B2181" t="s">
        <v>35</v>
      </c>
      <c r="C2181" t="s">
        <v>36</v>
      </c>
      <c r="D2181">
        <v>20</v>
      </c>
      <c r="E2181" t="s">
        <v>46</v>
      </c>
      <c r="F2181">
        <v>5</v>
      </c>
      <c r="G2181">
        <v>1</v>
      </c>
      <c r="H2181">
        <v>4</v>
      </c>
      <c r="I2181">
        <v>1</v>
      </c>
      <c r="J2181" s="4" t="s">
        <v>54</v>
      </c>
      <c r="K2181" t="str">
        <f t="shared" si="112"/>
        <v>1+4</v>
      </c>
      <c r="L2181">
        <f>VLOOKUP(A2181,'ZONE 1 PREMIUM'!$A$4:$N$16,14,0)</f>
        <v>7</v>
      </c>
      <c r="M2181">
        <f>VLOOKUP(D2181,DROPDOWN!B:C,2,0)</f>
        <v>8</v>
      </c>
      <c r="N2181" t="str">
        <f t="shared" si="110"/>
        <v>CO65:DG76</v>
      </c>
      <c r="O2181" s="4">
        <f t="shared" ca="1" si="111"/>
        <v>75164.22</v>
      </c>
    </row>
    <row r="2182" spans="1:15">
      <c r="A2182" s="2" t="s">
        <v>17</v>
      </c>
      <c r="B2182" t="s">
        <v>37</v>
      </c>
      <c r="C2182" t="s">
        <v>38</v>
      </c>
      <c r="D2182">
        <v>20</v>
      </c>
      <c r="E2182" t="s">
        <v>46</v>
      </c>
      <c r="F2182">
        <v>5</v>
      </c>
      <c r="G2182">
        <v>1</v>
      </c>
      <c r="H2182">
        <v>4</v>
      </c>
      <c r="I2182">
        <v>1</v>
      </c>
      <c r="J2182" s="4" t="s">
        <v>54</v>
      </c>
      <c r="K2182" t="str">
        <f t="shared" si="112"/>
        <v>1+4</v>
      </c>
      <c r="L2182">
        <f>VLOOKUP(A2182,'ZONE 1 PREMIUM'!$A$4:$N$16,14,0)</f>
        <v>8</v>
      </c>
      <c r="M2182">
        <f>VLOOKUP(D2182,DROPDOWN!B:C,2,0)</f>
        <v>8</v>
      </c>
      <c r="N2182" t="str">
        <f t="shared" si="110"/>
        <v>CO65:DG76</v>
      </c>
      <c r="O2182" s="4">
        <f t="shared" ca="1" si="111"/>
        <v>90965.950000000012</v>
      </c>
    </row>
    <row r="2183" spans="1:15">
      <c r="A2183" s="2" t="s">
        <v>18</v>
      </c>
      <c r="B2183" t="s">
        <v>39</v>
      </c>
      <c r="C2183" t="s">
        <v>40</v>
      </c>
      <c r="D2183">
        <v>20</v>
      </c>
      <c r="E2183" t="s">
        <v>46</v>
      </c>
      <c r="F2183">
        <v>5</v>
      </c>
      <c r="G2183">
        <v>1</v>
      </c>
      <c r="H2183">
        <v>4</v>
      </c>
      <c r="I2183">
        <v>1</v>
      </c>
      <c r="J2183" s="4" t="s">
        <v>54</v>
      </c>
      <c r="K2183" t="str">
        <f t="shared" si="112"/>
        <v>1+4</v>
      </c>
      <c r="L2183">
        <f>VLOOKUP(A2183,'ZONE 1 PREMIUM'!$A$4:$N$16,14,0)</f>
        <v>9</v>
      </c>
      <c r="M2183">
        <f>VLOOKUP(D2183,DROPDOWN!B:C,2,0)</f>
        <v>8</v>
      </c>
      <c r="N2183" t="str">
        <f t="shared" si="110"/>
        <v>CO65:DG76</v>
      </c>
      <c r="O2183" s="4">
        <f t="shared" ca="1" si="111"/>
        <v>114563.36000000002</v>
      </c>
    </row>
    <row r="2184" spans="1:15">
      <c r="A2184" s="2" t="s">
        <v>19</v>
      </c>
      <c r="B2184" t="s">
        <v>41</v>
      </c>
      <c r="C2184" t="s">
        <v>42</v>
      </c>
      <c r="D2184">
        <v>20</v>
      </c>
      <c r="E2184" t="s">
        <v>46</v>
      </c>
      <c r="F2184">
        <v>5</v>
      </c>
      <c r="G2184">
        <v>1</v>
      </c>
      <c r="H2184">
        <v>4</v>
      </c>
      <c r="I2184">
        <v>1</v>
      </c>
      <c r="J2184" s="4" t="s">
        <v>54</v>
      </c>
      <c r="K2184" t="str">
        <f t="shared" si="112"/>
        <v>1+4</v>
      </c>
      <c r="L2184">
        <f>VLOOKUP(A2184,'ZONE 1 PREMIUM'!$A$4:$N$16,14,0)</f>
        <v>10</v>
      </c>
      <c r="M2184">
        <f>VLOOKUP(D2184,DROPDOWN!B:C,2,0)</f>
        <v>8</v>
      </c>
      <c r="N2184" t="str">
        <f t="shared" si="110"/>
        <v>CO65:DG76</v>
      </c>
      <c r="O2184" s="4">
        <f t="shared" ca="1" si="111"/>
        <v>138548.81</v>
      </c>
    </row>
    <row r="2185" spans="1:15">
      <c r="A2185" s="2" t="s">
        <v>20</v>
      </c>
      <c r="B2185" t="s">
        <v>43</v>
      </c>
      <c r="C2185" t="s">
        <v>44</v>
      </c>
      <c r="D2185">
        <v>20</v>
      </c>
      <c r="E2185" t="s">
        <v>46</v>
      </c>
      <c r="F2185">
        <v>5</v>
      </c>
      <c r="G2185">
        <v>1</v>
      </c>
      <c r="H2185">
        <v>4</v>
      </c>
      <c r="I2185">
        <v>1</v>
      </c>
      <c r="J2185" s="4" t="s">
        <v>54</v>
      </c>
      <c r="K2185" t="str">
        <f t="shared" si="112"/>
        <v>1+4</v>
      </c>
      <c r="L2185">
        <f>VLOOKUP(A2185,'ZONE 1 PREMIUM'!$A$4:$N$16,14,0)</f>
        <v>11</v>
      </c>
      <c r="M2185">
        <f>VLOOKUP(D2185,DROPDOWN!B:C,2,0)</f>
        <v>8</v>
      </c>
      <c r="N2185" t="str">
        <f t="shared" si="110"/>
        <v>CO65:DG76</v>
      </c>
      <c r="O2185" s="4">
        <f t="shared" ca="1" si="111"/>
        <v>160545.01</v>
      </c>
    </row>
    <row r="2186" spans="1:15">
      <c r="A2186" s="2" t="s">
        <v>21</v>
      </c>
      <c r="B2186" t="s">
        <v>22</v>
      </c>
      <c r="D2186">
        <v>20</v>
      </c>
      <c r="E2186" t="s">
        <v>46</v>
      </c>
      <c r="F2186">
        <v>5</v>
      </c>
      <c r="G2186">
        <v>1</v>
      </c>
      <c r="H2186">
        <v>4</v>
      </c>
      <c r="I2186">
        <v>1</v>
      </c>
      <c r="J2186" s="4" t="s">
        <v>54</v>
      </c>
      <c r="K2186" t="str">
        <f t="shared" si="112"/>
        <v>1+4</v>
      </c>
      <c r="L2186">
        <f>VLOOKUP(A2186,'ZONE 1 PREMIUM'!$A$4:$N$16,14,0)</f>
        <v>12</v>
      </c>
      <c r="M2186">
        <f>VLOOKUP(D2186,DROPDOWN!B:C,2,0)</f>
        <v>8</v>
      </c>
      <c r="N2186" t="str">
        <f t="shared" si="110"/>
        <v>CO65:DG76</v>
      </c>
      <c r="O2186" s="4">
        <f t="shared" ca="1" si="111"/>
        <v>205713.52000000002</v>
      </c>
    </row>
    <row r="2187" spans="1:15">
      <c r="A2187" s="2" t="s">
        <v>11</v>
      </c>
      <c r="B2187" t="s">
        <v>45</v>
      </c>
      <c r="C2187" t="s">
        <v>25</v>
      </c>
      <c r="D2187">
        <v>20</v>
      </c>
      <c r="E2187" t="s">
        <v>46</v>
      </c>
      <c r="F2187">
        <v>2</v>
      </c>
      <c r="G2187">
        <v>2</v>
      </c>
      <c r="H2187">
        <v>0</v>
      </c>
      <c r="I2187">
        <v>1</v>
      </c>
      <c r="J2187" s="4" t="s">
        <v>54</v>
      </c>
      <c r="K2187" t="str">
        <f t="shared" si="112"/>
        <v>2+0</v>
      </c>
      <c r="L2187">
        <f>VLOOKUP(A2187,'ZONE 1 PREMIUM'!$A$4:$N$16,14,0)</f>
        <v>2</v>
      </c>
      <c r="M2187">
        <f>VLOOKUP(D2187,DROPDOWN!B:C,2,0)</f>
        <v>8</v>
      </c>
      <c r="N2187" t="str">
        <f t="shared" si="110"/>
        <v>CO81:DG92</v>
      </c>
      <c r="O2187" s="4">
        <f t="shared" ca="1" si="111"/>
        <v>28125.27</v>
      </c>
    </row>
    <row r="2188" spans="1:15">
      <c r="A2188" s="2" t="s">
        <v>12</v>
      </c>
      <c r="B2188" t="s">
        <v>27</v>
      </c>
      <c r="C2188" t="s">
        <v>28</v>
      </c>
      <c r="D2188">
        <v>20</v>
      </c>
      <c r="E2188" t="s">
        <v>46</v>
      </c>
      <c r="F2188">
        <v>2</v>
      </c>
      <c r="G2188">
        <v>2</v>
      </c>
      <c r="H2188">
        <v>0</v>
      </c>
      <c r="I2188">
        <v>1</v>
      </c>
      <c r="J2188" s="4" t="s">
        <v>54</v>
      </c>
      <c r="K2188" t="str">
        <f t="shared" si="112"/>
        <v>2+0</v>
      </c>
      <c r="L2188">
        <f>VLOOKUP(A2188,'ZONE 1 PREMIUM'!$A$4:$N$16,14,0)</f>
        <v>3</v>
      </c>
      <c r="M2188">
        <f>VLOOKUP(D2188,DROPDOWN!B:C,2,0)</f>
        <v>8</v>
      </c>
      <c r="N2188" t="str">
        <f t="shared" si="110"/>
        <v>CO81:DG92</v>
      </c>
      <c r="O2188" s="4">
        <f t="shared" ca="1" si="111"/>
        <v>32019.840000000004</v>
      </c>
    </row>
    <row r="2189" spans="1:15">
      <c r="A2189" s="2" t="s">
        <v>13</v>
      </c>
      <c r="B2189" t="s">
        <v>29</v>
      </c>
      <c r="C2189" t="s">
        <v>30</v>
      </c>
      <c r="D2189">
        <v>20</v>
      </c>
      <c r="E2189" t="s">
        <v>46</v>
      </c>
      <c r="F2189">
        <v>2</v>
      </c>
      <c r="G2189">
        <v>2</v>
      </c>
      <c r="H2189">
        <v>0</v>
      </c>
      <c r="I2189">
        <v>1</v>
      </c>
      <c r="J2189" s="4" t="s">
        <v>54</v>
      </c>
      <c r="K2189" t="str">
        <f t="shared" si="112"/>
        <v>2+0</v>
      </c>
      <c r="L2189">
        <f>VLOOKUP(A2189,'ZONE 1 PREMIUM'!$A$4:$N$16,14,0)</f>
        <v>4</v>
      </c>
      <c r="M2189">
        <f>VLOOKUP(D2189,DROPDOWN!B:C,2,0)</f>
        <v>8</v>
      </c>
      <c r="N2189" t="str">
        <f t="shared" si="110"/>
        <v>CO81:DG92</v>
      </c>
      <c r="O2189" s="4">
        <f t="shared" ca="1" si="111"/>
        <v>35555.800000000003</v>
      </c>
    </row>
    <row r="2190" spans="1:15">
      <c r="A2190" s="2" t="s">
        <v>14</v>
      </c>
      <c r="B2190" t="s">
        <v>31</v>
      </c>
      <c r="C2190" t="s">
        <v>32</v>
      </c>
      <c r="D2190">
        <v>20</v>
      </c>
      <c r="E2190" t="s">
        <v>46</v>
      </c>
      <c r="F2190">
        <v>2</v>
      </c>
      <c r="G2190">
        <v>2</v>
      </c>
      <c r="H2190">
        <v>0</v>
      </c>
      <c r="I2190">
        <v>1</v>
      </c>
      <c r="J2190" s="4" t="s">
        <v>54</v>
      </c>
      <c r="K2190" t="str">
        <f t="shared" si="112"/>
        <v>2+0</v>
      </c>
      <c r="L2190">
        <f>VLOOKUP(A2190,'ZONE 1 PREMIUM'!$A$4:$N$16,14,0)</f>
        <v>5</v>
      </c>
      <c r="M2190">
        <f>VLOOKUP(D2190,DROPDOWN!B:C,2,0)</f>
        <v>8</v>
      </c>
      <c r="N2190" t="str">
        <f t="shared" si="110"/>
        <v>CO81:DG92</v>
      </c>
      <c r="O2190" s="4">
        <f t="shared" ca="1" si="111"/>
        <v>41174.75</v>
      </c>
    </row>
    <row r="2191" spans="1:15">
      <c r="A2191" s="2" t="s">
        <v>15</v>
      </c>
      <c r="B2191" t="s">
        <v>33</v>
      </c>
      <c r="C2191" t="s">
        <v>34</v>
      </c>
      <c r="D2191">
        <v>20</v>
      </c>
      <c r="E2191" t="s">
        <v>46</v>
      </c>
      <c r="F2191">
        <v>2</v>
      </c>
      <c r="G2191">
        <v>2</v>
      </c>
      <c r="H2191">
        <v>0</v>
      </c>
      <c r="I2191">
        <v>1</v>
      </c>
      <c r="J2191" s="4" t="s">
        <v>54</v>
      </c>
      <c r="K2191" t="str">
        <f t="shared" si="112"/>
        <v>2+0</v>
      </c>
      <c r="L2191">
        <f>VLOOKUP(A2191,'ZONE 1 PREMIUM'!$A$4:$N$16,14,0)</f>
        <v>6</v>
      </c>
      <c r="M2191">
        <f>VLOOKUP(D2191,DROPDOWN!B:C,2,0)</f>
        <v>8</v>
      </c>
      <c r="N2191" t="str">
        <f t="shared" si="110"/>
        <v>CO81:DG92</v>
      </c>
      <c r="O2191" s="4">
        <f t="shared" ca="1" si="111"/>
        <v>52765.810000000005</v>
      </c>
    </row>
    <row r="2192" spans="1:15">
      <c r="A2192" s="2" t="s">
        <v>16</v>
      </c>
      <c r="B2192" t="s">
        <v>35</v>
      </c>
      <c r="C2192" t="s">
        <v>36</v>
      </c>
      <c r="D2192">
        <v>20</v>
      </c>
      <c r="E2192" t="s">
        <v>46</v>
      </c>
      <c r="F2192">
        <v>2</v>
      </c>
      <c r="G2192">
        <v>2</v>
      </c>
      <c r="H2192">
        <v>0</v>
      </c>
      <c r="I2192">
        <v>1</v>
      </c>
      <c r="J2192" s="4" t="s">
        <v>54</v>
      </c>
      <c r="K2192" t="str">
        <f t="shared" si="112"/>
        <v>2+0</v>
      </c>
      <c r="L2192">
        <f>VLOOKUP(A2192,'ZONE 1 PREMIUM'!$A$4:$N$16,14,0)</f>
        <v>7</v>
      </c>
      <c r="M2192">
        <f>VLOOKUP(D2192,DROPDOWN!B:C,2,0)</f>
        <v>8</v>
      </c>
      <c r="N2192" t="str">
        <f t="shared" si="110"/>
        <v>CO81:DG92</v>
      </c>
      <c r="O2192" s="4">
        <f t="shared" ca="1" si="111"/>
        <v>69758.91</v>
      </c>
    </row>
    <row r="2193" spans="1:15">
      <c r="A2193" s="2" t="s">
        <v>17</v>
      </c>
      <c r="B2193" t="s">
        <v>37</v>
      </c>
      <c r="C2193" t="s">
        <v>38</v>
      </c>
      <c r="D2193">
        <v>20</v>
      </c>
      <c r="E2193" t="s">
        <v>46</v>
      </c>
      <c r="F2193">
        <v>2</v>
      </c>
      <c r="G2193">
        <v>2</v>
      </c>
      <c r="H2193">
        <v>0</v>
      </c>
      <c r="I2193">
        <v>1</v>
      </c>
      <c r="J2193" s="4" t="s">
        <v>54</v>
      </c>
      <c r="K2193" t="str">
        <f t="shared" si="112"/>
        <v>2+0</v>
      </c>
      <c r="L2193">
        <f>VLOOKUP(A2193,'ZONE 1 PREMIUM'!$A$4:$N$16,14,0)</f>
        <v>8</v>
      </c>
      <c r="M2193">
        <f>VLOOKUP(D2193,DROPDOWN!B:C,2,0)</f>
        <v>8</v>
      </c>
      <c r="N2193" t="str">
        <f t="shared" si="110"/>
        <v>CO81:DG92</v>
      </c>
      <c r="O2193" s="4">
        <f t="shared" ca="1" si="111"/>
        <v>96191.41</v>
      </c>
    </row>
    <row r="2194" spans="1:15">
      <c r="A2194" s="2" t="s">
        <v>18</v>
      </c>
      <c r="B2194" t="s">
        <v>39</v>
      </c>
      <c r="C2194" t="s">
        <v>40</v>
      </c>
      <c r="D2194">
        <v>20</v>
      </c>
      <c r="E2194" t="s">
        <v>46</v>
      </c>
      <c r="F2194">
        <v>2</v>
      </c>
      <c r="G2194">
        <v>2</v>
      </c>
      <c r="H2194">
        <v>0</v>
      </c>
      <c r="I2194">
        <v>1</v>
      </c>
      <c r="J2194" s="4" t="s">
        <v>54</v>
      </c>
      <c r="K2194" t="str">
        <f t="shared" si="112"/>
        <v>2+0</v>
      </c>
      <c r="L2194">
        <f>VLOOKUP(A2194,'ZONE 1 PREMIUM'!$A$4:$N$16,14,0)</f>
        <v>9</v>
      </c>
      <c r="M2194">
        <f>VLOOKUP(D2194,DROPDOWN!B:C,2,0)</f>
        <v>8</v>
      </c>
      <c r="N2194" t="str">
        <f t="shared" ref="N2194:N2241" si="113">VLOOKUP(K2194,$DH$4:$DI$13,2,0)</f>
        <v>CO81:DG92</v>
      </c>
      <c r="O2194" s="4">
        <f t="shared" ca="1" si="111"/>
        <v>135832.53</v>
      </c>
    </row>
    <row r="2195" spans="1:15">
      <c r="A2195" s="2" t="s">
        <v>19</v>
      </c>
      <c r="B2195" t="s">
        <v>41</v>
      </c>
      <c r="C2195" t="s">
        <v>42</v>
      </c>
      <c r="D2195">
        <v>20</v>
      </c>
      <c r="E2195" t="s">
        <v>46</v>
      </c>
      <c r="F2195">
        <v>2</v>
      </c>
      <c r="G2195">
        <v>2</v>
      </c>
      <c r="H2195">
        <v>0</v>
      </c>
      <c r="I2195">
        <v>1</v>
      </c>
      <c r="J2195" s="4" t="s">
        <v>54</v>
      </c>
      <c r="K2195" t="str">
        <f t="shared" si="112"/>
        <v>2+0</v>
      </c>
      <c r="L2195">
        <f>VLOOKUP(A2195,'ZONE 1 PREMIUM'!$A$4:$N$16,14,0)</f>
        <v>10</v>
      </c>
      <c r="M2195">
        <f>VLOOKUP(D2195,DROPDOWN!B:C,2,0)</f>
        <v>8</v>
      </c>
      <c r="N2195" t="str">
        <f t="shared" si="113"/>
        <v>CO81:DG92</v>
      </c>
      <c r="O2195" s="4">
        <f t="shared" ca="1" si="111"/>
        <v>188502.42</v>
      </c>
    </row>
    <row r="2196" spans="1:15">
      <c r="A2196" s="2" t="s">
        <v>20</v>
      </c>
      <c r="B2196" t="s">
        <v>43</v>
      </c>
      <c r="C2196" t="s">
        <v>44</v>
      </c>
      <c r="D2196">
        <v>20</v>
      </c>
      <c r="E2196" t="s">
        <v>46</v>
      </c>
      <c r="F2196">
        <v>2</v>
      </c>
      <c r="G2196">
        <v>2</v>
      </c>
      <c r="H2196">
        <v>0</v>
      </c>
      <c r="I2196">
        <v>1</v>
      </c>
      <c r="J2196" s="4" t="s">
        <v>54</v>
      </c>
      <c r="K2196" t="str">
        <f t="shared" si="112"/>
        <v>2+0</v>
      </c>
      <c r="L2196">
        <f>VLOOKUP(A2196,'ZONE 1 PREMIUM'!$A$4:$N$16,14,0)</f>
        <v>11</v>
      </c>
      <c r="M2196">
        <f>VLOOKUP(D2196,DROPDOWN!B:C,2,0)</f>
        <v>8</v>
      </c>
      <c r="N2196" t="str">
        <f t="shared" si="113"/>
        <v>CO81:DG92</v>
      </c>
      <c r="O2196" s="4">
        <f t="shared" ca="1" si="111"/>
        <v>233193.51</v>
      </c>
    </row>
    <row r="2197" spans="1:15">
      <c r="A2197" s="2" t="s">
        <v>21</v>
      </c>
      <c r="B2197" t="s">
        <v>22</v>
      </c>
      <c r="D2197">
        <v>20</v>
      </c>
      <c r="E2197" t="s">
        <v>46</v>
      </c>
      <c r="F2197">
        <v>2</v>
      </c>
      <c r="G2197">
        <v>2</v>
      </c>
      <c r="H2197">
        <v>0</v>
      </c>
      <c r="I2197">
        <v>1</v>
      </c>
      <c r="J2197" s="4" t="s">
        <v>54</v>
      </c>
      <c r="K2197" t="str">
        <f t="shared" si="112"/>
        <v>2+0</v>
      </c>
      <c r="L2197">
        <f>VLOOKUP(A2197,'ZONE 1 PREMIUM'!$A$4:$N$16,14,0)</f>
        <v>12</v>
      </c>
      <c r="M2197">
        <f>VLOOKUP(D2197,DROPDOWN!B:C,2,0)</f>
        <v>8</v>
      </c>
      <c r="N2197" t="str">
        <f t="shared" si="113"/>
        <v>CO81:DG92</v>
      </c>
      <c r="O2197" s="4">
        <f t="shared" ca="1" si="111"/>
        <v>298661.09000000003</v>
      </c>
    </row>
    <row r="2198" spans="1:15">
      <c r="A2198" s="2" t="s">
        <v>11</v>
      </c>
      <c r="B2198" t="s">
        <v>45</v>
      </c>
      <c r="C2198" t="s">
        <v>25</v>
      </c>
      <c r="D2198">
        <v>20</v>
      </c>
      <c r="E2198" t="s">
        <v>46</v>
      </c>
      <c r="F2198">
        <v>3</v>
      </c>
      <c r="G2198">
        <v>2</v>
      </c>
      <c r="H2198">
        <v>1</v>
      </c>
      <c r="I2198">
        <v>1</v>
      </c>
      <c r="J2198" s="4" t="s">
        <v>54</v>
      </c>
      <c r="K2198" t="str">
        <f t="shared" si="112"/>
        <v>2+1</v>
      </c>
      <c r="L2198">
        <f>VLOOKUP(A2198,'ZONE 1 PREMIUM'!$A$4:$N$16,14,0)</f>
        <v>2</v>
      </c>
      <c r="M2198">
        <f>VLOOKUP(D2198,DROPDOWN!B:C,2,0)</f>
        <v>8</v>
      </c>
      <c r="N2198" t="str">
        <f t="shared" si="113"/>
        <v>CO98:DG109</v>
      </c>
      <c r="O2198" s="4">
        <f t="shared" ca="1" si="111"/>
        <v>34176.950000000004</v>
      </c>
    </row>
    <row r="2199" spans="1:15">
      <c r="A2199" s="2" t="s">
        <v>12</v>
      </c>
      <c r="B2199" t="s">
        <v>27</v>
      </c>
      <c r="C2199" t="s">
        <v>28</v>
      </c>
      <c r="D2199">
        <v>20</v>
      </c>
      <c r="E2199" t="s">
        <v>46</v>
      </c>
      <c r="F2199">
        <v>3</v>
      </c>
      <c r="G2199">
        <v>2</v>
      </c>
      <c r="H2199">
        <v>1</v>
      </c>
      <c r="I2199">
        <v>1</v>
      </c>
      <c r="J2199" s="4" t="s">
        <v>54</v>
      </c>
      <c r="K2199" t="str">
        <f t="shared" si="112"/>
        <v>2+1</v>
      </c>
      <c r="L2199">
        <f>VLOOKUP(A2199,'ZONE 1 PREMIUM'!$A$4:$N$16,14,0)</f>
        <v>3</v>
      </c>
      <c r="M2199">
        <f>VLOOKUP(D2199,DROPDOWN!B:C,2,0)</f>
        <v>8</v>
      </c>
      <c r="N2199" t="str">
        <f t="shared" si="113"/>
        <v>CO98:DG109</v>
      </c>
      <c r="O2199" s="4">
        <f t="shared" ca="1" si="111"/>
        <v>37965.79</v>
      </c>
    </row>
    <row r="2200" spans="1:15">
      <c r="A2200" s="2" t="s">
        <v>13</v>
      </c>
      <c r="B2200" t="s">
        <v>29</v>
      </c>
      <c r="C2200" t="s">
        <v>30</v>
      </c>
      <c r="D2200">
        <v>20</v>
      </c>
      <c r="E2200" t="s">
        <v>46</v>
      </c>
      <c r="F2200">
        <v>3</v>
      </c>
      <c r="G2200">
        <v>2</v>
      </c>
      <c r="H2200">
        <v>1</v>
      </c>
      <c r="I2200">
        <v>1</v>
      </c>
      <c r="J2200" s="4" t="s">
        <v>54</v>
      </c>
      <c r="K2200" t="str">
        <f t="shared" si="112"/>
        <v>2+1</v>
      </c>
      <c r="L2200">
        <f>VLOOKUP(A2200,'ZONE 1 PREMIUM'!$A$4:$N$16,14,0)</f>
        <v>4</v>
      </c>
      <c r="M2200">
        <f>VLOOKUP(D2200,DROPDOWN!B:C,2,0)</f>
        <v>8</v>
      </c>
      <c r="N2200" t="str">
        <f t="shared" si="113"/>
        <v>CO98:DG109</v>
      </c>
      <c r="O2200" s="4">
        <f t="shared" ca="1" si="111"/>
        <v>42517.630000000005</v>
      </c>
    </row>
    <row r="2201" spans="1:15">
      <c r="A2201" s="2" t="s">
        <v>14</v>
      </c>
      <c r="B2201" t="s">
        <v>31</v>
      </c>
      <c r="C2201" t="s">
        <v>32</v>
      </c>
      <c r="D2201">
        <v>20</v>
      </c>
      <c r="E2201" t="s">
        <v>46</v>
      </c>
      <c r="F2201">
        <v>3</v>
      </c>
      <c r="G2201">
        <v>2</v>
      </c>
      <c r="H2201">
        <v>1</v>
      </c>
      <c r="I2201">
        <v>1</v>
      </c>
      <c r="J2201" s="4" t="s">
        <v>54</v>
      </c>
      <c r="K2201" t="str">
        <f t="shared" si="112"/>
        <v>2+1</v>
      </c>
      <c r="L2201">
        <f>VLOOKUP(A2201,'ZONE 1 PREMIUM'!$A$4:$N$16,14,0)</f>
        <v>5</v>
      </c>
      <c r="M2201">
        <f>VLOOKUP(D2201,DROPDOWN!B:C,2,0)</f>
        <v>8</v>
      </c>
      <c r="N2201" t="str">
        <f t="shared" si="113"/>
        <v>CO98:DG109</v>
      </c>
      <c r="O2201" s="4">
        <f t="shared" ca="1" si="111"/>
        <v>48637.98</v>
      </c>
    </row>
    <row r="2202" spans="1:15">
      <c r="A2202" s="2" t="s">
        <v>15</v>
      </c>
      <c r="B2202" t="s">
        <v>33</v>
      </c>
      <c r="C2202" t="s">
        <v>34</v>
      </c>
      <c r="D2202">
        <v>20</v>
      </c>
      <c r="E2202" t="s">
        <v>46</v>
      </c>
      <c r="F2202">
        <v>3</v>
      </c>
      <c r="G2202">
        <v>2</v>
      </c>
      <c r="H2202">
        <v>1</v>
      </c>
      <c r="I2202">
        <v>1</v>
      </c>
      <c r="J2202" s="4" t="s">
        <v>54</v>
      </c>
      <c r="K2202" t="str">
        <f t="shared" si="112"/>
        <v>2+1</v>
      </c>
      <c r="L2202">
        <f>VLOOKUP(A2202,'ZONE 1 PREMIUM'!$A$4:$N$16,14,0)</f>
        <v>6</v>
      </c>
      <c r="M2202">
        <f>VLOOKUP(D2202,DROPDOWN!B:C,2,0)</f>
        <v>8</v>
      </c>
      <c r="N2202" t="str">
        <f t="shared" si="113"/>
        <v>CO98:DG109</v>
      </c>
      <c r="O2202" s="4">
        <f t="shared" ca="1" si="111"/>
        <v>61179.520000000004</v>
      </c>
    </row>
    <row r="2203" spans="1:15">
      <c r="A2203" s="2" t="s">
        <v>16</v>
      </c>
      <c r="B2203" t="s">
        <v>35</v>
      </c>
      <c r="C2203" t="s">
        <v>36</v>
      </c>
      <c r="D2203">
        <v>20</v>
      </c>
      <c r="E2203" t="s">
        <v>46</v>
      </c>
      <c r="F2203">
        <v>3</v>
      </c>
      <c r="G2203">
        <v>2</v>
      </c>
      <c r="H2203">
        <v>1</v>
      </c>
      <c r="I2203">
        <v>1</v>
      </c>
      <c r="J2203" s="4" t="s">
        <v>54</v>
      </c>
      <c r="K2203" t="str">
        <f t="shared" si="112"/>
        <v>2+1</v>
      </c>
      <c r="L2203">
        <f>VLOOKUP(A2203,'ZONE 1 PREMIUM'!$A$4:$N$16,14,0)</f>
        <v>7</v>
      </c>
      <c r="M2203">
        <f>VLOOKUP(D2203,DROPDOWN!B:C,2,0)</f>
        <v>8</v>
      </c>
      <c r="N2203" t="str">
        <f t="shared" si="113"/>
        <v>CO98:DG109</v>
      </c>
      <c r="O2203" s="4">
        <f t="shared" ca="1" si="111"/>
        <v>80226.180000000008</v>
      </c>
    </row>
    <row r="2204" spans="1:15">
      <c r="A2204" s="2" t="s">
        <v>17</v>
      </c>
      <c r="B2204" t="s">
        <v>37</v>
      </c>
      <c r="C2204" t="s">
        <v>38</v>
      </c>
      <c r="D2204">
        <v>20</v>
      </c>
      <c r="E2204" t="s">
        <v>46</v>
      </c>
      <c r="F2204">
        <v>3</v>
      </c>
      <c r="G2204">
        <v>2</v>
      </c>
      <c r="H2204">
        <v>1</v>
      </c>
      <c r="I2204">
        <v>1</v>
      </c>
      <c r="J2204" s="4" t="s">
        <v>54</v>
      </c>
      <c r="K2204" t="str">
        <f t="shared" si="112"/>
        <v>2+1</v>
      </c>
      <c r="L2204">
        <f>VLOOKUP(A2204,'ZONE 1 PREMIUM'!$A$4:$N$16,14,0)</f>
        <v>8</v>
      </c>
      <c r="M2204">
        <f>VLOOKUP(D2204,DROPDOWN!B:C,2,0)</f>
        <v>8</v>
      </c>
      <c r="N2204" t="str">
        <f t="shared" si="113"/>
        <v>CO98:DG109</v>
      </c>
      <c r="O2204" s="4">
        <f t="shared" ca="1" si="111"/>
        <v>107480.54000000001</v>
      </c>
    </row>
    <row r="2205" spans="1:15">
      <c r="A2205" s="2" t="s">
        <v>18</v>
      </c>
      <c r="B2205" t="s">
        <v>39</v>
      </c>
      <c r="C2205" t="s">
        <v>40</v>
      </c>
      <c r="D2205">
        <v>20</v>
      </c>
      <c r="E2205" t="s">
        <v>46</v>
      </c>
      <c r="F2205">
        <v>3</v>
      </c>
      <c r="G2205">
        <v>2</v>
      </c>
      <c r="H2205">
        <v>1</v>
      </c>
      <c r="I2205">
        <v>1</v>
      </c>
      <c r="J2205" s="4" t="s">
        <v>54</v>
      </c>
      <c r="K2205" t="str">
        <f t="shared" si="112"/>
        <v>2+1</v>
      </c>
      <c r="L2205">
        <f>VLOOKUP(A2205,'ZONE 1 PREMIUM'!$A$4:$N$16,14,0)</f>
        <v>9</v>
      </c>
      <c r="M2205">
        <f>VLOOKUP(D2205,DROPDOWN!B:C,2,0)</f>
        <v>8</v>
      </c>
      <c r="N2205" t="str">
        <f t="shared" si="113"/>
        <v>CO98:DG109</v>
      </c>
      <c r="O2205" s="4">
        <f t="shared" ca="1" si="111"/>
        <v>147326.58000000002</v>
      </c>
    </row>
    <row r="2206" spans="1:15">
      <c r="A2206" s="2" t="s">
        <v>19</v>
      </c>
      <c r="B2206" t="s">
        <v>41</v>
      </c>
      <c r="C2206" t="s">
        <v>42</v>
      </c>
      <c r="D2206">
        <v>20</v>
      </c>
      <c r="E2206" t="s">
        <v>46</v>
      </c>
      <c r="F2206">
        <v>3</v>
      </c>
      <c r="G2206">
        <v>2</v>
      </c>
      <c r="H2206">
        <v>1</v>
      </c>
      <c r="I2206">
        <v>1</v>
      </c>
      <c r="J2206" s="4" t="s">
        <v>54</v>
      </c>
      <c r="K2206" t="str">
        <f t="shared" si="112"/>
        <v>2+1</v>
      </c>
      <c r="L2206">
        <f>VLOOKUP(A2206,'ZONE 1 PREMIUM'!$A$4:$N$16,14,0)</f>
        <v>10</v>
      </c>
      <c r="M2206">
        <f>VLOOKUP(D2206,DROPDOWN!B:C,2,0)</f>
        <v>8</v>
      </c>
      <c r="N2206" t="str">
        <f t="shared" si="113"/>
        <v>CO98:DG109</v>
      </c>
      <c r="O2206" s="4">
        <f t="shared" ca="1" si="111"/>
        <v>195797.79</v>
      </c>
    </row>
    <row r="2207" spans="1:15">
      <c r="A2207" s="2" t="s">
        <v>20</v>
      </c>
      <c r="B2207" t="s">
        <v>43</v>
      </c>
      <c r="C2207" t="s">
        <v>44</v>
      </c>
      <c r="D2207">
        <v>20</v>
      </c>
      <c r="E2207" t="s">
        <v>46</v>
      </c>
      <c r="F2207">
        <v>3</v>
      </c>
      <c r="G2207">
        <v>2</v>
      </c>
      <c r="H2207">
        <v>1</v>
      </c>
      <c r="I2207">
        <v>1</v>
      </c>
      <c r="J2207" s="4" t="s">
        <v>54</v>
      </c>
      <c r="K2207" t="str">
        <f t="shared" si="112"/>
        <v>2+1</v>
      </c>
      <c r="L2207">
        <f>VLOOKUP(A2207,'ZONE 1 PREMIUM'!$A$4:$N$16,14,0)</f>
        <v>11</v>
      </c>
      <c r="M2207">
        <f>VLOOKUP(D2207,DROPDOWN!B:C,2,0)</f>
        <v>8</v>
      </c>
      <c r="N2207" t="str">
        <f t="shared" si="113"/>
        <v>CO98:DG109</v>
      </c>
      <c r="O2207" s="4">
        <f t="shared" ca="1" si="111"/>
        <v>238957.43000000002</v>
      </c>
    </row>
    <row r="2208" spans="1:15">
      <c r="A2208" s="2" t="s">
        <v>21</v>
      </c>
      <c r="B2208" t="s">
        <v>22</v>
      </c>
      <c r="D2208">
        <v>20</v>
      </c>
      <c r="E2208" t="s">
        <v>46</v>
      </c>
      <c r="F2208">
        <v>3</v>
      </c>
      <c r="G2208">
        <v>2</v>
      </c>
      <c r="H2208">
        <v>1</v>
      </c>
      <c r="I2208">
        <v>1</v>
      </c>
      <c r="J2208" s="4" t="s">
        <v>54</v>
      </c>
      <c r="K2208" t="str">
        <f t="shared" si="112"/>
        <v>2+1</v>
      </c>
      <c r="L2208">
        <f>VLOOKUP(A2208,'ZONE 1 PREMIUM'!$A$4:$N$16,14,0)</f>
        <v>12</v>
      </c>
      <c r="M2208">
        <f>VLOOKUP(D2208,DROPDOWN!B:C,2,0)</f>
        <v>8</v>
      </c>
      <c r="N2208" t="str">
        <f t="shared" si="113"/>
        <v>CO98:DG109</v>
      </c>
      <c r="O2208" s="4">
        <f t="shared" ca="1" si="111"/>
        <v>304180.85000000003</v>
      </c>
    </row>
    <row r="2209" spans="1:15">
      <c r="A2209" s="2" t="s">
        <v>11</v>
      </c>
      <c r="B2209" t="s">
        <v>45</v>
      </c>
      <c r="C2209" t="s">
        <v>25</v>
      </c>
      <c r="D2209">
        <v>20</v>
      </c>
      <c r="E2209" t="s">
        <v>46</v>
      </c>
      <c r="F2209">
        <v>4</v>
      </c>
      <c r="G2209">
        <v>2</v>
      </c>
      <c r="H2209">
        <v>2</v>
      </c>
      <c r="I2209">
        <v>1</v>
      </c>
      <c r="J2209" s="4" t="s">
        <v>54</v>
      </c>
      <c r="K2209" t="str">
        <f t="shared" si="112"/>
        <v>2+2</v>
      </c>
      <c r="L2209">
        <f>VLOOKUP(A2209,'ZONE 1 PREMIUM'!$A$4:$N$16,14,0)</f>
        <v>2</v>
      </c>
      <c r="M2209">
        <f>VLOOKUP(D2209,DROPDOWN!B:C,2,0)</f>
        <v>8</v>
      </c>
      <c r="N2209" t="str">
        <f t="shared" si="113"/>
        <v>CO113:DG124</v>
      </c>
      <c r="O2209" s="4">
        <f t="shared" ca="1" si="111"/>
        <v>40081.480000000003</v>
      </c>
    </row>
    <row r="2210" spans="1:15">
      <c r="A2210" s="2" t="s">
        <v>12</v>
      </c>
      <c r="B2210" t="s">
        <v>27</v>
      </c>
      <c r="C2210" t="s">
        <v>28</v>
      </c>
      <c r="D2210">
        <v>20</v>
      </c>
      <c r="E2210" t="s">
        <v>46</v>
      </c>
      <c r="F2210">
        <v>4</v>
      </c>
      <c r="G2210">
        <v>2</v>
      </c>
      <c r="H2210">
        <v>2</v>
      </c>
      <c r="I2210">
        <v>1</v>
      </c>
      <c r="J2210" s="4" t="s">
        <v>54</v>
      </c>
      <c r="K2210" t="str">
        <f t="shared" si="112"/>
        <v>2+2</v>
      </c>
      <c r="L2210">
        <f>VLOOKUP(A2210,'ZONE 1 PREMIUM'!$A$4:$N$16,14,0)</f>
        <v>3</v>
      </c>
      <c r="M2210">
        <f>VLOOKUP(D2210,DROPDOWN!B:C,2,0)</f>
        <v>8</v>
      </c>
      <c r="N2210" t="str">
        <f t="shared" si="113"/>
        <v>CO113:DG124</v>
      </c>
      <c r="O2210" s="4">
        <f t="shared" ca="1" si="111"/>
        <v>43765.68</v>
      </c>
    </row>
    <row r="2211" spans="1:15">
      <c r="A2211" s="2" t="s">
        <v>13</v>
      </c>
      <c r="B2211" t="s">
        <v>29</v>
      </c>
      <c r="C2211" t="s">
        <v>30</v>
      </c>
      <c r="D2211">
        <v>20</v>
      </c>
      <c r="E2211" t="s">
        <v>46</v>
      </c>
      <c r="F2211">
        <v>4</v>
      </c>
      <c r="G2211">
        <v>2</v>
      </c>
      <c r="H2211">
        <v>2</v>
      </c>
      <c r="I2211">
        <v>1</v>
      </c>
      <c r="J2211" s="4" t="s">
        <v>54</v>
      </c>
      <c r="K2211" t="str">
        <f t="shared" si="112"/>
        <v>2+2</v>
      </c>
      <c r="L2211">
        <f>VLOOKUP(A2211,'ZONE 1 PREMIUM'!$A$4:$N$16,14,0)</f>
        <v>4</v>
      </c>
      <c r="M2211">
        <f>VLOOKUP(D2211,DROPDOWN!B:C,2,0)</f>
        <v>8</v>
      </c>
      <c r="N2211" t="str">
        <f t="shared" si="113"/>
        <v>CO113:DG124</v>
      </c>
      <c r="O2211" s="4">
        <f t="shared" ca="1" si="111"/>
        <v>49266.91</v>
      </c>
    </row>
    <row r="2212" spans="1:15">
      <c r="A2212" s="2" t="s">
        <v>14</v>
      </c>
      <c r="B2212" t="s">
        <v>31</v>
      </c>
      <c r="C2212" t="s">
        <v>32</v>
      </c>
      <c r="D2212">
        <v>20</v>
      </c>
      <c r="E2212" t="s">
        <v>46</v>
      </c>
      <c r="F2212">
        <v>4</v>
      </c>
      <c r="G2212">
        <v>2</v>
      </c>
      <c r="H2212">
        <v>2</v>
      </c>
      <c r="I2212">
        <v>1</v>
      </c>
      <c r="J2212" s="4" t="s">
        <v>54</v>
      </c>
      <c r="K2212" t="str">
        <f t="shared" si="112"/>
        <v>2+2</v>
      </c>
      <c r="L2212">
        <f>VLOOKUP(A2212,'ZONE 1 PREMIUM'!$A$4:$N$16,14,0)</f>
        <v>5</v>
      </c>
      <c r="M2212">
        <f>VLOOKUP(D2212,DROPDOWN!B:C,2,0)</f>
        <v>8</v>
      </c>
      <c r="N2212" t="str">
        <f t="shared" si="113"/>
        <v>CO113:DG124</v>
      </c>
      <c r="O2212" s="4">
        <f t="shared" ca="1" si="111"/>
        <v>55840.700000000004</v>
      </c>
    </row>
    <row r="2213" spans="1:15">
      <c r="A2213" s="2" t="s">
        <v>15</v>
      </c>
      <c r="B2213" t="s">
        <v>33</v>
      </c>
      <c r="C2213" t="s">
        <v>34</v>
      </c>
      <c r="D2213">
        <v>20</v>
      </c>
      <c r="E2213" t="s">
        <v>46</v>
      </c>
      <c r="F2213">
        <v>4</v>
      </c>
      <c r="G2213">
        <v>2</v>
      </c>
      <c r="H2213">
        <v>2</v>
      </c>
      <c r="I2213">
        <v>1</v>
      </c>
      <c r="J2213" s="4" t="s">
        <v>54</v>
      </c>
      <c r="K2213" t="str">
        <f t="shared" si="112"/>
        <v>2+2</v>
      </c>
      <c r="L2213">
        <f>VLOOKUP(A2213,'ZONE 1 PREMIUM'!$A$4:$N$16,14,0)</f>
        <v>6</v>
      </c>
      <c r="M2213">
        <f>VLOOKUP(D2213,DROPDOWN!B:C,2,0)</f>
        <v>8</v>
      </c>
      <c r="N2213" t="str">
        <f t="shared" si="113"/>
        <v>CO113:DG124</v>
      </c>
      <c r="O2213" s="4">
        <f t="shared" ca="1" si="111"/>
        <v>69276.040000000008</v>
      </c>
    </row>
    <row r="2214" spans="1:15">
      <c r="A2214" s="2" t="s">
        <v>16</v>
      </c>
      <c r="B2214" t="s">
        <v>35</v>
      </c>
      <c r="C2214" t="s">
        <v>36</v>
      </c>
      <c r="D2214">
        <v>20</v>
      </c>
      <c r="E2214" t="s">
        <v>46</v>
      </c>
      <c r="F2214">
        <v>4</v>
      </c>
      <c r="G2214">
        <v>2</v>
      </c>
      <c r="H2214">
        <v>2</v>
      </c>
      <c r="I2214">
        <v>1</v>
      </c>
      <c r="J2214" s="4" t="s">
        <v>54</v>
      </c>
      <c r="K2214" t="str">
        <f t="shared" si="112"/>
        <v>2+2</v>
      </c>
      <c r="L2214">
        <f>VLOOKUP(A2214,'ZONE 1 PREMIUM'!$A$4:$N$16,14,0)</f>
        <v>7</v>
      </c>
      <c r="M2214">
        <f>VLOOKUP(D2214,DROPDOWN!B:C,2,0)</f>
        <v>8</v>
      </c>
      <c r="N2214" t="str">
        <f t="shared" si="113"/>
        <v>CO113:DG124</v>
      </c>
      <c r="O2214" s="4">
        <f t="shared" ca="1" si="111"/>
        <v>90280.340000000011</v>
      </c>
    </row>
    <row r="2215" spans="1:15">
      <c r="A2215" s="2" t="s">
        <v>17</v>
      </c>
      <c r="B2215" t="s">
        <v>37</v>
      </c>
      <c r="C2215" t="s">
        <v>38</v>
      </c>
      <c r="D2215">
        <v>20</v>
      </c>
      <c r="E2215" t="s">
        <v>46</v>
      </c>
      <c r="F2215">
        <v>4</v>
      </c>
      <c r="G2215">
        <v>2</v>
      </c>
      <c r="H2215">
        <v>2</v>
      </c>
      <c r="I2215">
        <v>1</v>
      </c>
      <c r="J2215" s="4" t="s">
        <v>54</v>
      </c>
      <c r="K2215" t="str">
        <f t="shared" si="112"/>
        <v>2+2</v>
      </c>
      <c r="L2215">
        <f>VLOOKUP(A2215,'ZONE 1 PREMIUM'!$A$4:$N$16,14,0)</f>
        <v>8</v>
      </c>
      <c r="M2215">
        <f>VLOOKUP(D2215,DROPDOWN!B:C,2,0)</f>
        <v>8</v>
      </c>
      <c r="N2215" t="str">
        <f t="shared" si="113"/>
        <v>CO113:DG124</v>
      </c>
      <c r="O2215" s="4">
        <f t="shared" ca="1" si="111"/>
        <v>116957.00000000001</v>
      </c>
    </row>
    <row r="2216" spans="1:15">
      <c r="A2216" s="2" t="s">
        <v>18</v>
      </c>
      <c r="B2216" t="s">
        <v>39</v>
      </c>
      <c r="C2216" t="s">
        <v>40</v>
      </c>
      <c r="D2216">
        <v>20</v>
      </c>
      <c r="E2216" t="s">
        <v>46</v>
      </c>
      <c r="F2216">
        <v>4</v>
      </c>
      <c r="G2216">
        <v>2</v>
      </c>
      <c r="H2216">
        <v>2</v>
      </c>
      <c r="I2216">
        <v>1</v>
      </c>
      <c r="J2216" s="4" t="s">
        <v>54</v>
      </c>
      <c r="K2216" t="str">
        <f t="shared" si="112"/>
        <v>2+2</v>
      </c>
      <c r="L2216">
        <f>VLOOKUP(A2216,'ZONE 1 PREMIUM'!$A$4:$N$16,14,0)</f>
        <v>9</v>
      </c>
      <c r="M2216">
        <f>VLOOKUP(D2216,DROPDOWN!B:C,2,0)</f>
        <v>8</v>
      </c>
      <c r="N2216" t="str">
        <f t="shared" si="113"/>
        <v>CO113:DG124</v>
      </c>
      <c r="O2216" s="4">
        <f t="shared" ca="1" si="111"/>
        <v>154954.40000000002</v>
      </c>
    </row>
    <row r="2217" spans="1:15">
      <c r="A2217" s="2" t="s">
        <v>19</v>
      </c>
      <c r="B2217" t="s">
        <v>41</v>
      </c>
      <c r="C2217" t="s">
        <v>42</v>
      </c>
      <c r="D2217">
        <v>20</v>
      </c>
      <c r="E2217" t="s">
        <v>46</v>
      </c>
      <c r="F2217">
        <v>4</v>
      </c>
      <c r="G2217">
        <v>2</v>
      </c>
      <c r="H2217">
        <v>2</v>
      </c>
      <c r="I2217">
        <v>1</v>
      </c>
      <c r="J2217" s="4" t="s">
        <v>54</v>
      </c>
      <c r="K2217" t="str">
        <f t="shared" si="112"/>
        <v>2+2</v>
      </c>
      <c r="L2217">
        <f>VLOOKUP(A2217,'ZONE 1 PREMIUM'!$A$4:$N$16,14,0)</f>
        <v>10</v>
      </c>
      <c r="M2217">
        <f>VLOOKUP(D2217,DROPDOWN!B:C,2,0)</f>
        <v>8</v>
      </c>
      <c r="N2217" t="str">
        <f t="shared" si="113"/>
        <v>CO113:DG124</v>
      </c>
      <c r="O2217" s="4">
        <f t="shared" ca="1" si="111"/>
        <v>199344.65000000002</v>
      </c>
    </row>
    <row r="2218" spans="1:15">
      <c r="A2218" s="2" t="s">
        <v>20</v>
      </c>
      <c r="B2218" t="s">
        <v>43</v>
      </c>
      <c r="C2218" t="s">
        <v>44</v>
      </c>
      <c r="D2218">
        <v>20</v>
      </c>
      <c r="E2218" t="s">
        <v>46</v>
      </c>
      <c r="F2218">
        <v>4</v>
      </c>
      <c r="G2218">
        <v>2</v>
      </c>
      <c r="H2218">
        <v>2</v>
      </c>
      <c r="I2218">
        <v>1</v>
      </c>
      <c r="J2218" s="4" t="s">
        <v>54</v>
      </c>
      <c r="K2218" t="str">
        <f t="shared" si="112"/>
        <v>2+2</v>
      </c>
      <c r="L2218">
        <f>VLOOKUP(A2218,'ZONE 1 PREMIUM'!$A$4:$N$16,14,0)</f>
        <v>11</v>
      </c>
      <c r="M2218">
        <f>VLOOKUP(D2218,DROPDOWN!B:C,2,0)</f>
        <v>8</v>
      </c>
      <c r="N2218" t="str">
        <f t="shared" si="113"/>
        <v>CO113:DG124</v>
      </c>
      <c r="O2218" s="4">
        <f t="shared" ca="1" si="111"/>
        <v>242906.50000000003</v>
      </c>
    </row>
    <row r="2219" spans="1:15">
      <c r="A2219" s="2" t="s">
        <v>21</v>
      </c>
      <c r="B2219" t="s">
        <v>22</v>
      </c>
      <c r="D2219">
        <v>20</v>
      </c>
      <c r="E2219" t="s">
        <v>46</v>
      </c>
      <c r="F2219">
        <v>4</v>
      </c>
      <c r="G2219">
        <v>2</v>
      </c>
      <c r="H2219">
        <v>2</v>
      </c>
      <c r="I2219">
        <v>1</v>
      </c>
      <c r="J2219" s="4" t="s">
        <v>54</v>
      </c>
      <c r="K2219" t="str">
        <f t="shared" si="112"/>
        <v>2+2</v>
      </c>
      <c r="L2219">
        <f>VLOOKUP(A2219,'ZONE 1 PREMIUM'!$A$4:$N$16,14,0)</f>
        <v>12</v>
      </c>
      <c r="M2219">
        <f>VLOOKUP(D2219,DROPDOWN!B:C,2,0)</f>
        <v>8</v>
      </c>
      <c r="N2219" t="str">
        <f t="shared" si="113"/>
        <v>CO113:DG124</v>
      </c>
      <c r="O2219" s="4">
        <f t="shared" ca="1" si="111"/>
        <v>308327.21000000002</v>
      </c>
    </row>
    <row r="2220" spans="1:15">
      <c r="A2220" s="2" t="s">
        <v>11</v>
      </c>
      <c r="B2220" t="s">
        <v>45</v>
      </c>
      <c r="C2220" t="s">
        <v>25</v>
      </c>
      <c r="D2220">
        <v>20</v>
      </c>
      <c r="E2220" t="s">
        <v>46</v>
      </c>
      <c r="F2220">
        <v>5</v>
      </c>
      <c r="G2220">
        <v>2</v>
      </c>
      <c r="H2220">
        <v>3</v>
      </c>
      <c r="I2220">
        <v>1</v>
      </c>
      <c r="J2220" s="4" t="s">
        <v>54</v>
      </c>
      <c r="K2220" t="str">
        <f t="shared" si="112"/>
        <v>2+3</v>
      </c>
      <c r="L2220">
        <f>VLOOKUP(A2220,'ZONE 1 PREMIUM'!$A$4:$N$16,14,0)</f>
        <v>2</v>
      </c>
      <c r="M2220">
        <f>VLOOKUP(D2220,DROPDOWN!B:C,2,0)</f>
        <v>8</v>
      </c>
      <c r="N2220" t="str">
        <f t="shared" si="113"/>
        <v>CO128:DG139</v>
      </c>
      <c r="O2220" s="4">
        <f t="shared" ca="1" si="111"/>
        <v>45986.01</v>
      </c>
    </row>
    <row r="2221" spans="1:15">
      <c r="A2221" s="2" t="s">
        <v>12</v>
      </c>
      <c r="B2221" t="s">
        <v>27</v>
      </c>
      <c r="C2221" t="s">
        <v>28</v>
      </c>
      <c r="D2221">
        <v>20</v>
      </c>
      <c r="E2221" t="s">
        <v>46</v>
      </c>
      <c r="F2221">
        <v>5</v>
      </c>
      <c r="G2221">
        <v>2</v>
      </c>
      <c r="H2221">
        <v>3</v>
      </c>
      <c r="I2221">
        <v>1</v>
      </c>
      <c r="J2221" s="4" t="s">
        <v>54</v>
      </c>
      <c r="K2221" t="str">
        <f t="shared" si="112"/>
        <v>2+3</v>
      </c>
      <c r="L2221">
        <f>VLOOKUP(A2221,'ZONE 1 PREMIUM'!$A$4:$N$16,14,0)</f>
        <v>3</v>
      </c>
      <c r="M2221">
        <f>VLOOKUP(D2221,DROPDOWN!B:C,2,0)</f>
        <v>8</v>
      </c>
      <c r="N2221" t="str">
        <f t="shared" si="113"/>
        <v>CO128:DG139</v>
      </c>
      <c r="O2221" s="4">
        <f t="shared" ca="1" si="111"/>
        <v>49564.480000000003</v>
      </c>
    </row>
    <row r="2222" spans="1:15">
      <c r="A2222" s="2" t="s">
        <v>13</v>
      </c>
      <c r="B2222" t="s">
        <v>29</v>
      </c>
      <c r="C2222" t="s">
        <v>30</v>
      </c>
      <c r="D2222">
        <v>20</v>
      </c>
      <c r="E2222" t="s">
        <v>46</v>
      </c>
      <c r="F2222">
        <v>5</v>
      </c>
      <c r="G2222">
        <v>2</v>
      </c>
      <c r="H2222">
        <v>3</v>
      </c>
      <c r="I2222">
        <v>1</v>
      </c>
      <c r="J2222" s="4" t="s">
        <v>54</v>
      </c>
      <c r="K2222" t="str">
        <f t="shared" si="112"/>
        <v>2+3</v>
      </c>
      <c r="L2222">
        <f>VLOOKUP(A2222,'ZONE 1 PREMIUM'!$A$4:$N$16,14,0)</f>
        <v>4</v>
      </c>
      <c r="M2222">
        <f>VLOOKUP(D2222,DROPDOWN!B:C,2,0)</f>
        <v>8</v>
      </c>
      <c r="N2222" t="str">
        <f t="shared" si="113"/>
        <v>CO128:DG139</v>
      </c>
      <c r="O2222" s="4">
        <f t="shared" ca="1" si="111"/>
        <v>56016.19</v>
      </c>
    </row>
    <row r="2223" spans="1:15">
      <c r="A2223" s="2" t="s">
        <v>14</v>
      </c>
      <c r="B2223" t="s">
        <v>31</v>
      </c>
      <c r="C2223" t="s">
        <v>32</v>
      </c>
      <c r="D2223">
        <v>20</v>
      </c>
      <c r="E2223" t="s">
        <v>46</v>
      </c>
      <c r="F2223">
        <v>5</v>
      </c>
      <c r="G2223">
        <v>2</v>
      </c>
      <c r="H2223">
        <v>3</v>
      </c>
      <c r="I2223">
        <v>1</v>
      </c>
      <c r="J2223" s="4" t="s">
        <v>54</v>
      </c>
      <c r="K2223" t="str">
        <f t="shared" si="112"/>
        <v>2+3</v>
      </c>
      <c r="L2223">
        <f>VLOOKUP(A2223,'ZONE 1 PREMIUM'!$A$4:$N$16,14,0)</f>
        <v>5</v>
      </c>
      <c r="M2223">
        <f>VLOOKUP(D2223,DROPDOWN!B:C,2,0)</f>
        <v>8</v>
      </c>
      <c r="N2223" t="str">
        <f t="shared" si="113"/>
        <v>CO128:DG139</v>
      </c>
      <c r="O2223" s="4">
        <f t="shared" ca="1" si="111"/>
        <v>63042.33</v>
      </c>
    </row>
    <row r="2224" spans="1:15">
      <c r="A2224" s="2" t="s">
        <v>15</v>
      </c>
      <c r="B2224" t="s">
        <v>33</v>
      </c>
      <c r="C2224" t="s">
        <v>34</v>
      </c>
      <c r="D2224">
        <v>20</v>
      </c>
      <c r="E2224" t="s">
        <v>46</v>
      </c>
      <c r="F2224">
        <v>5</v>
      </c>
      <c r="G2224">
        <v>2</v>
      </c>
      <c r="H2224">
        <v>3</v>
      </c>
      <c r="I2224">
        <v>1</v>
      </c>
      <c r="J2224" s="4" t="s">
        <v>54</v>
      </c>
      <c r="K2224" t="str">
        <f t="shared" si="112"/>
        <v>2+3</v>
      </c>
      <c r="L2224">
        <f>VLOOKUP(A2224,'ZONE 1 PREMIUM'!$A$4:$N$16,14,0)</f>
        <v>6</v>
      </c>
      <c r="M2224">
        <f>VLOOKUP(D2224,DROPDOWN!B:C,2,0)</f>
        <v>8</v>
      </c>
      <c r="N2224" t="str">
        <f t="shared" si="113"/>
        <v>CO128:DG139</v>
      </c>
      <c r="O2224" s="4">
        <f t="shared" ca="1" si="111"/>
        <v>77371.47</v>
      </c>
    </row>
    <row r="2225" spans="1:15">
      <c r="A2225" s="2" t="s">
        <v>16</v>
      </c>
      <c r="B2225" t="s">
        <v>35</v>
      </c>
      <c r="C2225" t="s">
        <v>36</v>
      </c>
      <c r="D2225">
        <v>20</v>
      </c>
      <c r="E2225" t="s">
        <v>46</v>
      </c>
      <c r="F2225">
        <v>5</v>
      </c>
      <c r="G2225">
        <v>2</v>
      </c>
      <c r="H2225">
        <v>3</v>
      </c>
      <c r="I2225">
        <v>1</v>
      </c>
      <c r="J2225" s="4" t="s">
        <v>54</v>
      </c>
      <c r="K2225" t="str">
        <f t="shared" si="112"/>
        <v>2+3</v>
      </c>
      <c r="L2225">
        <f>VLOOKUP(A2225,'ZONE 1 PREMIUM'!$A$4:$N$16,14,0)</f>
        <v>7</v>
      </c>
      <c r="M2225">
        <f>VLOOKUP(D2225,DROPDOWN!B:C,2,0)</f>
        <v>8</v>
      </c>
      <c r="N2225" t="str">
        <f t="shared" si="113"/>
        <v>CO128:DG139</v>
      </c>
      <c r="O2225" s="4">
        <f t="shared" ca="1" si="111"/>
        <v>98527.280000000013</v>
      </c>
    </row>
    <row r="2226" spans="1:15">
      <c r="A2226" s="2" t="s">
        <v>17</v>
      </c>
      <c r="B2226" t="s">
        <v>37</v>
      </c>
      <c r="C2226" t="s">
        <v>38</v>
      </c>
      <c r="D2226">
        <v>20</v>
      </c>
      <c r="E2226" t="s">
        <v>46</v>
      </c>
      <c r="F2226">
        <v>5</v>
      </c>
      <c r="G2226">
        <v>2</v>
      </c>
      <c r="H2226">
        <v>3</v>
      </c>
      <c r="I2226">
        <v>1</v>
      </c>
      <c r="J2226" s="4" t="s">
        <v>54</v>
      </c>
      <c r="K2226" t="str">
        <f t="shared" si="112"/>
        <v>2+3</v>
      </c>
      <c r="L2226">
        <f>VLOOKUP(A2226,'ZONE 1 PREMIUM'!$A$4:$N$16,14,0)</f>
        <v>8</v>
      </c>
      <c r="M2226">
        <f>VLOOKUP(D2226,DROPDOWN!B:C,2,0)</f>
        <v>8</v>
      </c>
      <c r="N2226" t="str">
        <f t="shared" si="113"/>
        <v>CO128:DG139</v>
      </c>
      <c r="O2226" s="4">
        <f t="shared" ca="1" si="111"/>
        <v>124504.16</v>
      </c>
    </row>
    <row r="2227" spans="1:15">
      <c r="A2227" s="2" t="s">
        <v>18</v>
      </c>
      <c r="B2227" t="s">
        <v>39</v>
      </c>
      <c r="C2227" t="s">
        <v>40</v>
      </c>
      <c r="D2227">
        <v>20</v>
      </c>
      <c r="E2227" t="s">
        <v>46</v>
      </c>
      <c r="F2227">
        <v>5</v>
      </c>
      <c r="G2227">
        <v>2</v>
      </c>
      <c r="H2227">
        <v>3</v>
      </c>
      <c r="I2227">
        <v>1</v>
      </c>
      <c r="J2227" s="4" t="s">
        <v>54</v>
      </c>
      <c r="K2227" t="str">
        <f t="shared" si="112"/>
        <v>2+3</v>
      </c>
      <c r="L2227">
        <f>VLOOKUP(A2227,'ZONE 1 PREMIUM'!$A$4:$N$16,14,0)</f>
        <v>9</v>
      </c>
      <c r="M2227">
        <f>VLOOKUP(D2227,DROPDOWN!B:C,2,0)</f>
        <v>8</v>
      </c>
      <c r="N2227" t="str">
        <f t="shared" si="113"/>
        <v>CO128:DG139</v>
      </c>
      <c r="O2227" s="4">
        <f t="shared" ca="1" si="111"/>
        <v>162447.06</v>
      </c>
    </row>
    <row r="2228" spans="1:15">
      <c r="A2228" s="2" t="s">
        <v>19</v>
      </c>
      <c r="B2228" t="s">
        <v>41</v>
      </c>
      <c r="C2228" t="s">
        <v>42</v>
      </c>
      <c r="D2228">
        <v>20</v>
      </c>
      <c r="E2228" t="s">
        <v>46</v>
      </c>
      <c r="F2228">
        <v>5</v>
      </c>
      <c r="G2228">
        <v>2</v>
      </c>
      <c r="H2228">
        <v>3</v>
      </c>
      <c r="I2228">
        <v>1</v>
      </c>
      <c r="J2228" s="4" t="s">
        <v>54</v>
      </c>
      <c r="K2228" t="str">
        <f t="shared" si="112"/>
        <v>2+3</v>
      </c>
      <c r="L2228">
        <f>VLOOKUP(A2228,'ZONE 1 PREMIUM'!$A$4:$N$16,14,0)</f>
        <v>10</v>
      </c>
      <c r="M2228">
        <f>VLOOKUP(D2228,DROPDOWN!B:C,2,0)</f>
        <v>8</v>
      </c>
      <c r="N2228" t="str">
        <f t="shared" si="113"/>
        <v>CO128:DG139</v>
      </c>
      <c r="O2228" s="4">
        <f t="shared" ca="1" si="111"/>
        <v>206493.96000000002</v>
      </c>
    </row>
    <row r="2229" spans="1:15">
      <c r="A2229" s="2" t="s">
        <v>20</v>
      </c>
      <c r="B2229" t="s">
        <v>43</v>
      </c>
      <c r="C2229" t="s">
        <v>44</v>
      </c>
      <c r="D2229">
        <v>20</v>
      </c>
      <c r="E2229" t="s">
        <v>46</v>
      </c>
      <c r="F2229">
        <v>5</v>
      </c>
      <c r="G2229">
        <v>2</v>
      </c>
      <c r="H2229">
        <v>3</v>
      </c>
      <c r="I2229">
        <v>1</v>
      </c>
      <c r="J2229" s="4" t="s">
        <v>54</v>
      </c>
      <c r="K2229" t="str">
        <f t="shared" si="112"/>
        <v>2+3</v>
      </c>
      <c r="L2229">
        <f>VLOOKUP(A2229,'ZONE 1 PREMIUM'!$A$4:$N$16,14,0)</f>
        <v>11</v>
      </c>
      <c r="M2229">
        <f>VLOOKUP(D2229,DROPDOWN!B:C,2,0)</f>
        <v>8</v>
      </c>
      <c r="N2229" t="str">
        <f t="shared" si="113"/>
        <v>CO128:DG139</v>
      </c>
      <c r="O2229" s="4">
        <f t="shared" ca="1" si="111"/>
        <v>250855.87000000002</v>
      </c>
    </row>
    <row r="2230" spans="1:15">
      <c r="A2230" s="2" t="s">
        <v>21</v>
      </c>
      <c r="B2230" t="s">
        <v>22</v>
      </c>
      <c r="D2230">
        <v>20</v>
      </c>
      <c r="E2230" t="s">
        <v>46</v>
      </c>
      <c r="F2230">
        <v>5</v>
      </c>
      <c r="G2230">
        <v>2</v>
      </c>
      <c r="H2230">
        <v>3</v>
      </c>
      <c r="I2230">
        <v>1</v>
      </c>
      <c r="J2230" s="4" t="s">
        <v>54</v>
      </c>
      <c r="K2230" t="str">
        <f t="shared" si="112"/>
        <v>2+3</v>
      </c>
      <c r="L2230">
        <f>VLOOKUP(A2230,'ZONE 1 PREMIUM'!$A$4:$N$16,14,0)</f>
        <v>12</v>
      </c>
      <c r="M2230">
        <f>VLOOKUP(D2230,DROPDOWN!B:C,2,0)</f>
        <v>8</v>
      </c>
      <c r="N2230" t="str">
        <f t="shared" si="113"/>
        <v>CO128:DG139</v>
      </c>
      <c r="O2230" s="4">
        <f t="shared" ca="1" si="111"/>
        <v>316769.26</v>
      </c>
    </row>
    <row r="2231" spans="1:15">
      <c r="A2231" s="2" t="s">
        <v>11</v>
      </c>
      <c r="B2231" t="s">
        <v>45</v>
      </c>
      <c r="C2231" t="s">
        <v>25</v>
      </c>
      <c r="D2231">
        <v>20</v>
      </c>
      <c r="E2231" t="s">
        <v>46</v>
      </c>
      <c r="F2231">
        <v>6</v>
      </c>
      <c r="G2231">
        <v>2</v>
      </c>
      <c r="H2231">
        <v>4</v>
      </c>
      <c r="I2231">
        <v>1</v>
      </c>
      <c r="J2231" s="4" t="s">
        <v>54</v>
      </c>
      <c r="K2231" t="str">
        <f t="shared" si="112"/>
        <v>2+4</v>
      </c>
      <c r="L2231">
        <f>VLOOKUP(A2231,'ZONE 1 PREMIUM'!$A$4:$N$16,14,0)</f>
        <v>2</v>
      </c>
      <c r="M2231">
        <f>VLOOKUP(D2231,DROPDOWN!B:C,2,0)</f>
        <v>8</v>
      </c>
      <c r="N2231" t="str">
        <f t="shared" si="113"/>
        <v>CO143:DG154</v>
      </c>
      <c r="O2231" s="4">
        <f t="shared" ca="1" si="111"/>
        <v>51890.54</v>
      </c>
    </row>
    <row r="2232" spans="1:15">
      <c r="A2232" s="2" t="s">
        <v>12</v>
      </c>
      <c r="B2232" t="s">
        <v>27</v>
      </c>
      <c r="C2232" t="s">
        <v>28</v>
      </c>
      <c r="D2232">
        <v>20</v>
      </c>
      <c r="E2232" t="s">
        <v>46</v>
      </c>
      <c r="F2232">
        <v>6</v>
      </c>
      <c r="G2232">
        <v>2</v>
      </c>
      <c r="H2232">
        <v>4</v>
      </c>
      <c r="I2232">
        <v>1</v>
      </c>
      <c r="J2232" s="4" t="s">
        <v>54</v>
      </c>
      <c r="K2232" t="str">
        <f t="shared" si="112"/>
        <v>2+4</v>
      </c>
      <c r="L2232">
        <f>VLOOKUP(A2232,'ZONE 1 PREMIUM'!$A$4:$N$16,14,0)</f>
        <v>3</v>
      </c>
      <c r="M2232">
        <f>VLOOKUP(D2232,DROPDOWN!B:C,2,0)</f>
        <v>8</v>
      </c>
      <c r="N2232" t="str">
        <f t="shared" si="113"/>
        <v>CO143:DG154</v>
      </c>
      <c r="O2232" s="4">
        <f t="shared" ca="1" si="111"/>
        <v>55364.37</v>
      </c>
    </row>
    <row r="2233" spans="1:15">
      <c r="A2233" s="2" t="s">
        <v>13</v>
      </c>
      <c r="B2233" t="s">
        <v>29</v>
      </c>
      <c r="C2233" t="s">
        <v>30</v>
      </c>
      <c r="D2233">
        <v>20</v>
      </c>
      <c r="E2233" t="s">
        <v>46</v>
      </c>
      <c r="F2233">
        <v>6</v>
      </c>
      <c r="G2233">
        <v>2</v>
      </c>
      <c r="H2233">
        <v>4</v>
      </c>
      <c r="I2233">
        <v>1</v>
      </c>
      <c r="J2233" s="4" t="s">
        <v>54</v>
      </c>
      <c r="K2233" t="str">
        <f t="shared" si="112"/>
        <v>2+4</v>
      </c>
      <c r="L2233">
        <f>VLOOKUP(A2233,'ZONE 1 PREMIUM'!$A$4:$N$16,14,0)</f>
        <v>4</v>
      </c>
      <c r="M2233">
        <f>VLOOKUP(D2233,DROPDOWN!B:C,2,0)</f>
        <v>8</v>
      </c>
      <c r="N2233" t="str">
        <f t="shared" si="113"/>
        <v>CO143:DG154</v>
      </c>
      <c r="O2233" s="4">
        <f t="shared" ca="1" si="111"/>
        <v>62765.47</v>
      </c>
    </row>
    <row r="2234" spans="1:15">
      <c r="A2234" s="2" t="s">
        <v>14</v>
      </c>
      <c r="B2234" t="s">
        <v>31</v>
      </c>
      <c r="C2234" t="s">
        <v>32</v>
      </c>
      <c r="D2234">
        <v>20</v>
      </c>
      <c r="E2234" t="s">
        <v>46</v>
      </c>
      <c r="F2234">
        <v>6</v>
      </c>
      <c r="G2234">
        <v>2</v>
      </c>
      <c r="H2234">
        <v>4</v>
      </c>
      <c r="I2234">
        <v>1</v>
      </c>
      <c r="J2234" s="4" t="s">
        <v>54</v>
      </c>
      <c r="K2234" t="str">
        <f t="shared" si="112"/>
        <v>2+4</v>
      </c>
      <c r="L2234">
        <f>VLOOKUP(A2234,'ZONE 1 PREMIUM'!$A$4:$N$16,14,0)</f>
        <v>5</v>
      </c>
      <c r="M2234">
        <f>VLOOKUP(D2234,DROPDOWN!B:C,2,0)</f>
        <v>8</v>
      </c>
      <c r="N2234" t="str">
        <f t="shared" si="113"/>
        <v>CO143:DG154</v>
      </c>
      <c r="O2234" s="4">
        <f t="shared" ca="1" si="111"/>
        <v>70243.960000000006</v>
      </c>
    </row>
    <row r="2235" spans="1:15">
      <c r="A2235" s="2" t="s">
        <v>15</v>
      </c>
      <c r="B2235" t="s">
        <v>33</v>
      </c>
      <c r="C2235" t="s">
        <v>34</v>
      </c>
      <c r="D2235">
        <v>20</v>
      </c>
      <c r="E2235" t="s">
        <v>46</v>
      </c>
      <c r="F2235">
        <v>6</v>
      </c>
      <c r="G2235">
        <v>2</v>
      </c>
      <c r="H2235">
        <v>4</v>
      </c>
      <c r="I2235">
        <v>1</v>
      </c>
      <c r="J2235" s="4" t="s">
        <v>54</v>
      </c>
      <c r="K2235" t="str">
        <f t="shared" si="112"/>
        <v>2+4</v>
      </c>
      <c r="L2235">
        <f>VLOOKUP(A2235,'ZONE 1 PREMIUM'!$A$4:$N$16,14,0)</f>
        <v>6</v>
      </c>
      <c r="M2235">
        <f>VLOOKUP(D2235,DROPDOWN!B:C,2,0)</f>
        <v>8</v>
      </c>
      <c r="N2235" t="str">
        <f t="shared" si="113"/>
        <v>CO143:DG154</v>
      </c>
      <c r="O2235" s="4">
        <f t="shared" ca="1" si="111"/>
        <v>85467.99</v>
      </c>
    </row>
    <row r="2236" spans="1:15">
      <c r="A2236" s="2" t="s">
        <v>16</v>
      </c>
      <c r="B2236" t="s">
        <v>35</v>
      </c>
      <c r="C2236" t="s">
        <v>36</v>
      </c>
      <c r="D2236">
        <v>20</v>
      </c>
      <c r="E2236" t="s">
        <v>46</v>
      </c>
      <c r="F2236">
        <v>6</v>
      </c>
      <c r="G2236">
        <v>2</v>
      </c>
      <c r="H2236">
        <v>4</v>
      </c>
      <c r="I2236">
        <v>1</v>
      </c>
      <c r="J2236" s="4" t="s">
        <v>54</v>
      </c>
      <c r="K2236" t="str">
        <f t="shared" si="112"/>
        <v>2+4</v>
      </c>
      <c r="L2236">
        <f>VLOOKUP(A2236,'ZONE 1 PREMIUM'!$A$4:$N$16,14,0)</f>
        <v>7</v>
      </c>
      <c r="M2236">
        <f>VLOOKUP(D2236,DROPDOWN!B:C,2,0)</f>
        <v>8</v>
      </c>
      <c r="N2236" t="str">
        <f t="shared" si="113"/>
        <v>CO143:DG154</v>
      </c>
      <c r="O2236" s="4">
        <f t="shared" ca="1" si="111"/>
        <v>105971.98000000001</v>
      </c>
    </row>
    <row r="2237" spans="1:15">
      <c r="A2237" s="2" t="s">
        <v>17</v>
      </c>
      <c r="B2237" t="s">
        <v>37</v>
      </c>
      <c r="C2237" t="s">
        <v>38</v>
      </c>
      <c r="D2237">
        <v>20</v>
      </c>
      <c r="E2237" t="s">
        <v>46</v>
      </c>
      <c r="F2237">
        <v>6</v>
      </c>
      <c r="G2237">
        <v>2</v>
      </c>
      <c r="H2237">
        <v>4</v>
      </c>
      <c r="I2237">
        <v>1</v>
      </c>
      <c r="J2237" s="4" t="s">
        <v>54</v>
      </c>
      <c r="K2237" t="str">
        <f t="shared" si="112"/>
        <v>2+4</v>
      </c>
      <c r="L2237">
        <f>VLOOKUP(A2237,'ZONE 1 PREMIUM'!$A$4:$N$16,14,0)</f>
        <v>8</v>
      </c>
      <c r="M2237">
        <f>VLOOKUP(D2237,DROPDOWN!B:C,2,0)</f>
        <v>8</v>
      </c>
      <c r="N2237" t="str">
        <f t="shared" si="113"/>
        <v>CO143:DG154</v>
      </c>
      <c r="O2237" s="4">
        <f t="shared" ca="1" si="111"/>
        <v>131941.23000000001</v>
      </c>
    </row>
    <row r="2238" spans="1:15">
      <c r="A2238" s="2" t="s">
        <v>18</v>
      </c>
      <c r="B2238" t="s">
        <v>39</v>
      </c>
      <c r="C2238" t="s">
        <v>40</v>
      </c>
      <c r="D2238">
        <v>20</v>
      </c>
      <c r="E2238" t="s">
        <v>46</v>
      </c>
      <c r="F2238">
        <v>6</v>
      </c>
      <c r="G2238">
        <v>2</v>
      </c>
      <c r="H2238">
        <v>4</v>
      </c>
      <c r="I2238">
        <v>1</v>
      </c>
      <c r="J2238" s="4" t="s">
        <v>54</v>
      </c>
      <c r="K2238" t="str">
        <f t="shared" si="112"/>
        <v>2+4</v>
      </c>
      <c r="L2238">
        <f>VLOOKUP(A2238,'ZONE 1 PREMIUM'!$A$4:$N$16,14,0)</f>
        <v>9</v>
      </c>
      <c r="M2238">
        <f>VLOOKUP(D2238,DROPDOWN!B:C,2,0)</f>
        <v>8</v>
      </c>
      <c r="N2238" t="str">
        <f t="shared" si="113"/>
        <v>CO143:DG154</v>
      </c>
      <c r="O2238" s="4">
        <f t="shared" ca="1" si="111"/>
        <v>169598.55000000002</v>
      </c>
    </row>
    <row r="2239" spans="1:15">
      <c r="A2239" s="2" t="s">
        <v>19</v>
      </c>
      <c r="B2239" t="s">
        <v>41</v>
      </c>
      <c r="C2239" t="s">
        <v>42</v>
      </c>
      <c r="D2239">
        <v>20</v>
      </c>
      <c r="E2239" t="s">
        <v>46</v>
      </c>
      <c r="F2239">
        <v>6</v>
      </c>
      <c r="G2239">
        <v>2</v>
      </c>
      <c r="H2239">
        <v>4</v>
      </c>
      <c r="I2239">
        <v>1</v>
      </c>
      <c r="J2239" s="4" t="s">
        <v>54</v>
      </c>
      <c r="K2239" t="str">
        <f t="shared" si="112"/>
        <v>2+4</v>
      </c>
      <c r="L2239">
        <f>VLOOKUP(A2239,'ZONE 1 PREMIUM'!$A$4:$N$16,14,0)</f>
        <v>10</v>
      </c>
      <c r="M2239">
        <f>VLOOKUP(D2239,DROPDOWN!B:C,2,0)</f>
        <v>8</v>
      </c>
      <c r="N2239" t="str">
        <f t="shared" si="113"/>
        <v>CO143:DG154</v>
      </c>
      <c r="O2239" s="4">
        <f t="shared" ca="1" si="111"/>
        <v>214410.63</v>
      </c>
    </row>
    <row r="2240" spans="1:15">
      <c r="A2240" s="2" t="s">
        <v>20</v>
      </c>
      <c r="B2240" t="s">
        <v>43</v>
      </c>
      <c r="C2240" t="s">
        <v>44</v>
      </c>
      <c r="D2240">
        <v>20</v>
      </c>
      <c r="E2240" t="s">
        <v>46</v>
      </c>
      <c r="F2240">
        <v>6</v>
      </c>
      <c r="G2240">
        <v>2</v>
      </c>
      <c r="H2240">
        <v>4</v>
      </c>
      <c r="I2240">
        <v>1</v>
      </c>
      <c r="J2240" s="4" t="s">
        <v>54</v>
      </c>
      <c r="K2240" t="str">
        <f t="shared" si="112"/>
        <v>2+4</v>
      </c>
      <c r="L2240">
        <f>VLOOKUP(A2240,'ZONE 1 PREMIUM'!$A$4:$N$16,14,0)</f>
        <v>11</v>
      </c>
      <c r="M2240">
        <f>VLOOKUP(D2240,DROPDOWN!B:C,2,0)</f>
        <v>8</v>
      </c>
      <c r="N2240" t="str">
        <f t="shared" si="113"/>
        <v>CO143:DG154</v>
      </c>
      <c r="O2240" s="4">
        <f t="shared" ca="1" si="111"/>
        <v>258223.18000000002</v>
      </c>
    </row>
    <row r="2241" spans="1:15">
      <c r="A2241" s="2" t="s">
        <v>21</v>
      </c>
      <c r="B2241" t="s">
        <v>22</v>
      </c>
      <c r="D2241">
        <v>20</v>
      </c>
      <c r="E2241" t="s">
        <v>46</v>
      </c>
      <c r="F2241">
        <v>6</v>
      </c>
      <c r="G2241">
        <v>2</v>
      </c>
      <c r="H2241">
        <v>4</v>
      </c>
      <c r="I2241">
        <v>1</v>
      </c>
      <c r="J2241" s="4" t="s">
        <v>54</v>
      </c>
      <c r="K2241" t="str">
        <f t="shared" si="112"/>
        <v>2+4</v>
      </c>
      <c r="L2241">
        <f>VLOOKUP(A2241,'ZONE 1 PREMIUM'!$A$4:$N$16,14,0)</f>
        <v>12</v>
      </c>
      <c r="M2241">
        <f>VLOOKUP(D2241,DROPDOWN!B:C,2,0)</f>
        <v>8</v>
      </c>
      <c r="N2241" t="str">
        <f t="shared" si="113"/>
        <v>CO143:DG154</v>
      </c>
      <c r="O2241" s="4">
        <f t="shared" ca="1" si="111"/>
        <v>322911.41000000003</v>
      </c>
    </row>
    <row r="2242" spans="1:15">
      <c r="A2242" s="2" t="s">
        <v>9</v>
      </c>
      <c r="B2242" t="s">
        <v>47</v>
      </c>
      <c r="C2242" t="s">
        <v>48</v>
      </c>
      <c r="D2242">
        <v>25</v>
      </c>
      <c r="E2242" t="s">
        <v>26</v>
      </c>
      <c r="F2242">
        <v>1</v>
      </c>
      <c r="H2242">
        <v>1</v>
      </c>
      <c r="I2242">
        <v>1</v>
      </c>
      <c r="J2242" s="4" t="s">
        <v>52</v>
      </c>
      <c r="K2242" t="str">
        <f t="shared" si="112"/>
        <v>+1</v>
      </c>
      <c r="L2242">
        <f>VLOOKUP(A2242,'ZONE 1 PREMIUM'!$A$3:$M$16,13,0)</f>
        <v>2</v>
      </c>
      <c r="M2242">
        <f>VLOOKUP(D2242,DROPDOWN!B:C,2,0)</f>
        <v>9</v>
      </c>
      <c r="N2242" t="e">
        <f t="shared" ref="N2242:N2305" si="114">VLOOKUP(K2242,$AQ$3:$AR$12,2,0)</f>
        <v>#N/A</v>
      </c>
      <c r="O2242" s="13">
        <v>5252.5661524387806</v>
      </c>
    </row>
    <row r="2243" spans="1:15">
      <c r="A2243" s="2" t="s">
        <v>10</v>
      </c>
      <c r="B2243" t="s">
        <v>49</v>
      </c>
      <c r="C2243" t="s">
        <v>50</v>
      </c>
      <c r="D2243">
        <v>25</v>
      </c>
      <c r="E2243" t="s">
        <v>26</v>
      </c>
      <c r="F2243">
        <v>1</v>
      </c>
      <c r="G2243">
        <v>1</v>
      </c>
      <c r="H2243">
        <v>0</v>
      </c>
      <c r="I2243">
        <v>1</v>
      </c>
      <c r="J2243" s="4" t="s">
        <v>52</v>
      </c>
      <c r="K2243" t="str">
        <f t="shared" si="112"/>
        <v>1+0</v>
      </c>
      <c r="L2243">
        <f>VLOOKUP(A2243,'ZONE 1 PREMIUM'!$A$3:$M$16,13,0)</f>
        <v>3</v>
      </c>
      <c r="M2243">
        <f>VLOOKUP(D2243,DROPDOWN!B:C,2,0)</f>
        <v>9</v>
      </c>
      <c r="N2243" t="str">
        <f t="shared" si="114"/>
        <v>X3:AP16</v>
      </c>
      <c r="O2243" s="4">
        <f t="shared" ref="O2243:O2305" ca="1" si="115">INDEX(INDIRECT(N2243),L2243,M2243)</f>
        <v>9294.2999999999993</v>
      </c>
    </row>
    <row r="2244" spans="1:15">
      <c r="A2244" s="2" t="s">
        <v>11</v>
      </c>
      <c r="B2244" t="s">
        <v>45</v>
      </c>
      <c r="C2244" t="s">
        <v>25</v>
      </c>
      <c r="D2244">
        <v>25</v>
      </c>
      <c r="E2244" t="s">
        <v>26</v>
      </c>
      <c r="F2244">
        <v>1</v>
      </c>
      <c r="G2244">
        <v>1</v>
      </c>
      <c r="H2244">
        <v>0</v>
      </c>
      <c r="I2244">
        <v>1</v>
      </c>
      <c r="J2244" s="4" t="s">
        <v>52</v>
      </c>
      <c r="K2244" t="str">
        <f t="shared" ref="K2244:K2307" si="116">G2244&amp;"+"&amp;H2244</f>
        <v>1+0</v>
      </c>
      <c r="L2244">
        <f>VLOOKUP(A2244,'ZONE 1 PREMIUM'!$A$3:$M$16,13,0)</f>
        <v>4</v>
      </c>
      <c r="M2244">
        <f>VLOOKUP(D2244,DROPDOWN!B:C,2,0)</f>
        <v>9</v>
      </c>
      <c r="N2244" t="str">
        <f t="shared" si="114"/>
        <v>X3:AP16</v>
      </c>
      <c r="O2244" s="4">
        <f t="shared" ca="1" si="115"/>
        <v>25618.55</v>
      </c>
    </row>
    <row r="2245" spans="1:15">
      <c r="A2245" s="2" t="s">
        <v>12</v>
      </c>
      <c r="B2245" t="s">
        <v>27</v>
      </c>
      <c r="C2245" t="s">
        <v>28</v>
      </c>
      <c r="D2245">
        <v>25</v>
      </c>
      <c r="E2245" t="s">
        <v>26</v>
      </c>
      <c r="F2245">
        <v>1</v>
      </c>
      <c r="G2245">
        <v>1</v>
      </c>
      <c r="H2245">
        <v>0</v>
      </c>
      <c r="I2245">
        <v>1</v>
      </c>
      <c r="J2245" s="4" t="s">
        <v>52</v>
      </c>
      <c r="K2245" t="str">
        <f t="shared" si="116"/>
        <v>1+0</v>
      </c>
      <c r="L2245">
        <f>VLOOKUP(A2245,'ZONE 1 PREMIUM'!$A$3:$M$16,13,0)</f>
        <v>5</v>
      </c>
      <c r="M2245">
        <f>VLOOKUP(D2245,DROPDOWN!B:C,2,0)</f>
        <v>9</v>
      </c>
      <c r="N2245" t="str">
        <f t="shared" si="114"/>
        <v>X3:AP16</v>
      </c>
      <c r="O2245" s="4">
        <f t="shared" ca="1" si="115"/>
        <v>29242.199999999997</v>
      </c>
    </row>
    <row r="2246" spans="1:15">
      <c r="A2246" s="2" t="s">
        <v>13</v>
      </c>
      <c r="B2246" t="s">
        <v>29</v>
      </c>
      <c r="C2246" t="s">
        <v>30</v>
      </c>
      <c r="D2246">
        <v>25</v>
      </c>
      <c r="E2246" t="s">
        <v>26</v>
      </c>
      <c r="F2246">
        <v>1</v>
      </c>
      <c r="G2246">
        <v>1</v>
      </c>
      <c r="H2246">
        <v>0</v>
      </c>
      <c r="I2246">
        <v>1</v>
      </c>
      <c r="J2246" s="4" t="s">
        <v>52</v>
      </c>
      <c r="K2246" t="str">
        <f t="shared" si="116"/>
        <v>1+0</v>
      </c>
      <c r="L2246">
        <f>VLOOKUP(A2246,'ZONE 1 PREMIUM'!$A$3:$M$16,13,0)</f>
        <v>6</v>
      </c>
      <c r="M2246">
        <f>VLOOKUP(D2246,DROPDOWN!B:C,2,0)</f>
        <v>9</v>
      </c>
      <c r="N2246" t="str">
        <f t="shared" si="114"/>
        <v>X3:AP16</v>
      </c>
      <c r="O2246" s="4">
        <f t="shared" ca="1" si="115"/>
        <v>33800.799999999996</v>
      </c>
    </row>
    <row r="2247" spans="1:15">
      <c r="A2247" s="2" t="s">
        <v>14</v>
      </c>
      <c r="B2247" t="s">
        <v>31</v>
      </c>
      <c r="C2247" t="s">
        <v>32</v>
      </c>
      <c r="D2247">
        <v>25</v>
      </c>
      <c r="E2247" t="s">
        <v>26</v>
      </c>
      <c r="F2247">
        <v>1</v>
      </c>
      <c r="G2247">
        <v>1</v>
      </c>
      <c r="H2247">
        <v>0</v>
      </c>
      <c r="I2247">
        <v>1</v>
      </c>
      <c r="J2247" s="4" t="s">
        <v>52</v>
      </c>
      <c r="K2247" t="str">
        <f t="shared" si="116"/>
        <v>1+0</v>
      </c>
      <c r="L2247">
        <f>VLOOKUP(A2247,'ZONE 1 PREMIUM'!$A$3:$M$16,13,0)</f>
        <v>7</v>
      </c>
      <c r="M2247">
        <f>VLOOKUP(D2247,DROPDOWN!B:C,2,0)</f>
        <v>9</v>
      </c>
      <c r="N2247" t="str">
        <f t="shared" si="114"/>
        <v>X3:AP16</v>
      </c>
      <c r="O2247" s="4">
        <f t="shared" ca="1" si="115"/>
        <v>39175.899999999994</v>
      </c>
    </row>
    <row r="2248" spans="1:15">
      <c r="A2248" s="2" t="s">
        <v>15</v>
      </c>
      <c r="B2248" t="s">
        <v>33</v>
      </c>
      <c r="C2248" t="s">
        <v>34</v>
      </c>
      <c r="D2248">
        <v>25</v>
      </c>
      <c r="E2248" t="s">
        <v>26</v>
      </c>
      <c r="F2248">
        <v>1</v>
      </c>
      <c r="G2248">
        <v>1</v>
      </c>
      <c r="H2248">
        <v>0</v>
      </c>
      <c r="I2248">
        <v>1</v>
      </c>
      <c r="J2248" s="4" t="s">
        <v>52</v>
      </c>
      <c r="K2248" t="str">
        <f t="shared" si="116"/>
        <v>1+0</v>
      </c>
      <c r="L2248">
        <f>VLOOKUP(A2248,'ZONE 1 PREMIUM'!$A$3:$M$16,13,0)</f>
        <v>8</v>
      </c>
      <c r="M2248">
        <f>VLOOKUP(D2248,DROPDOWN!B:C,2,0)</f>
        <v>9</v>
      </c>
      <c r="N2248" t="str">
        <f t="shared" si="114"/>
        <v>X3:AP16</v>
      </c>
      <c r="O2248" s="4">
        <f t="shared" ca="1" si="115"/>
        <v>48817.499999999993</v>
      </c>
    </row>
    <row r="2249" spans="1:15">
      <c r="A2249" s="2" t="s">
        <v>16</v>
      </c>
      <c r="B2249" t="s">
        <v>35</v>
      </c>
      <c r="C2249" t="s">
        <v>36</v>
      </c>
      <c r="D2249">
        <v>25</v>
      </c>
      <c r="E2249" t="s">
        <v>26</v>
      </c>
      <c r="F2249">
        <v>1</v>
      </c>
      <c r="G2249">
        <v>1</v>
      </c>
      <c r="H2249">
        <v>0</v>
      </c>
      <c r="I2249">
        <v>1</v>
      </c>
      <c r="J2249" s="4" t="s">
        <v>52</v>
      </c>
      <c r="K2249" t="str">
        <f t="shared" si="116"/>
        <v>1+0</v>
      </c>
      <c r="L2249">
        <f>VLOOKUP(A2249,'ZONE 1 PREMIUM'!$A$3:$M$16,13,0)</f>
        <v>9</v>
      </c>
      <c r="M2249">
        <f>VLOOKUP(D2249,DROPDOWN!B:C,2,0)</f>
        <v>9</v>
      </c>
      <c r="N2249" t="str">
        <f t="shared" si="114"/>
        <v>X3:AP16</v>
      </c>
      <c r="O2249" s="4">
        <f t="shared" ca="1" si="115"/>
        <v>64483.95</v>
      </c>
    </row>
    <row r="2250" spans="1:15">
      <c r="A2250" s="2" t="s">
        <v>17</v>
      </c>
      <c r="B2250" t="s">
        <v>37</v>
      </c>
      <c r="C2250" t="s">
        <v>38</v>
      </c>
      <c r="D2250">
        <v>25</v>
      </c>
      <c r="E2250" t="s">
        <v>26</v>
      </c>
      <c r="F2250">
        <v>1</v>
      </c>
      <c r="G2250">
        <v>1</v>
      </c>
      <c r="H2250">
        <v>0</v>
      </c>
      <c r="I2250">
        <v>1</v>
      </c>
      <c r="J2250" s="4" t="s">
        <v>52</v>
      </c>
      <c r="K2250" t="str">
        <f t="shared" si="116"/>
        <v>1+0</v>
      </c>
      <c r="L2250">
        <f>VLOOKUP(A2250,'ZONE 1 PREMIUM'!$A$3:$M$16,13,0)</f>
        <v>10</v>
      </c>
      <c r="M2250">
        <f>VLOOKUP(D2250,DROPDOWN!B:C,2,0)</f>
        <v>9</v>
      </c>
      <c r="N2250" t="str">
        <f t="shared" si="114"/>
        <v>X3:AP16</v>
      </c>
      <c r="O2250" s="4">
        <f t="shared" ca="1" si="115"/>
        <v>86599.599999999991</v>
      </c>
    </row>
    <row r="2251" spans="1:15">
      <c r="A2251" s="2" t="s">
        <v>18</v>
      </c>
      <c r="B2251" t="s">
        <v>39</v>
      </c>
      <c r="C2251" t="s">
        <v>40</v>
      </c>
      <c r="D2251">
        <v>25</v>
      </c>
      <c r="E2251" t="s">
        <v>26</v>
      </c>
      <c r="F2251">
        <v>1</v>
      </c>
      <c r="G2251">
        <v>1</v>
      </c>
      <c r="H2251">
        <v>0</v>
      </c>
      <c r="I2251">
        <v>1</v>
      </c>
      <c r="J2251" s="4" t="s">
        <v>52</v>
      </c>
      <c r="K2251" t="str">
        <f t="shared" si="116"/>
        <v>1+0</v>
      </c>
      <c r="L2251">
        <f>VLOOKUP(A2251,'ZONE 1 PREMIUM'!$A$3:$M$16,13,0)</f>
        <v>11</v>
      </c>
      <c r="M2251">
        <f>VLOOKUP(D2251,DROPDOWN!B:C,2,0)</f>
        <v>9</v>
      </c>
      <c r="N2251" t="str">
        <f t="shared" si="114"/>
        <v>X3:AP16</v>
      </c>
      <c r="O2251" s="4">
        <f t="shared" ca="1" si="115"/>
        <v>119781.7</v>
      </c>
    </row>
    <row r="2252" spans="1:15">
      <c r="A2252" s="2" t="s">
        <v>19</v>
      </c>
      <c r="B2252" t="s">
        <v>41</v>
      </c>
      <c r="C2252" t="s">
        <v>42</v>
      </c>
      <c r="D2252">
        <v>25</v>
      </c>
      <c r="E2252" t="s">
        <v>26</v>
      </c>
      <c r="F2252">
        <v>1</v>
      </c>
      <c r="G2252">
        <v>1</v>
      </c>
      <c r="H2252">
        <v>0</v>
      </c>
      <c r="I2252">
        <v>1</v>
      </c>
      <c r="J2252" s="4" t="s">
        <v>52</v>
      </c>
      <c r="K2252" t="str">
        <f t="shared" si="116"/>
        <v>1+0</v>
      </c>
      <c r="L2252">
        <f>VLOOKUP(A2252,'ZONE 1 PREMIUM'!$A$3:$M$16,13,0)</f>
        <v>12</v>
      </c>
      <c r="M2252">
        <f>VLOOKUP(D2252,DROPDOWN!B:C,2,0)</f>
        <v>9</v>
      </c>
      <c r="N2252" t="str">
        <f t="shared" si="114"/>
        <v>X3:AP16</v>
      </c>
      <c r="O2252" s="4">
        <f t="shared" ca="1" si="115"/>
        <v>155968.75</v>
      </c>
    </row>
    <row r="2253" spans="1:15">
      <c r="A2253" s="2" t="s">
        <v>20</v>
      </c>
      <c r="B2253" t="s">
        <v>43</v>
      </c>
      <c r="C2253" t="s">
        <v>44</v>
      </c>
      <c r="D2253">
        <v>25</v>
      </c>
      <c r="E2253" t="s">
        <v>26</v>
      </c>
      <c r="F2253">
        <v>1</v>
      </c>
      <c r="G2253">
        <v>1</v>
      </c>
      <c r="H2253">
        <v>0</v>
      </c>
      <c r="I2253">
        <v>1</v>
      </c>
      <c r="J2253" s="4" t="s">
        <v>52</v>
      </c>
      <c r="K2253" t="str">
        <f t="shared" si="116"/>
        <v>1+0</v>
      </c>
      <c r="L2253">
        <f>VLOOKUP(A2253,'ZONE 1 PREMIUM'!$A$3:$M$16,13,0)</f>
        <v>13</v>
      </c>
      <c r="M2253">
        <f>VLOOKUP(D2253,DROPDOWN!B:C,2,0)</f>
        <v>9</v>
      </c>
      <c r="N2253" t="str">
        <f t="shared" si="114"/>
        <v>X3:AP16</v>
      </c>
      <c r="O2253" s="4">
        <f t="shared" ca="1" si="115"/>
        <v>187923.8</v>
      </c>
    </row>
    <row r="2254" spans="1:15">
      <c r="A2254" s="2" t="s">
        <v>21</v>
      </c>
      <c r="B2254" t="s">
        <v>22</v>
      </c>
      <c r="D2254">
        <v>25</v>
      </c>
      <c r="E2254" t="s">
        <v>26</v>
      </c>
      <c r="F2254">
        <v>1</v>
      </c>
      <c r="G2254">
        <v>1</v>
      </c>
      <c r="H2254">
        <v>0</v>
      </c>
      <c r="I2254">
        <v>1</v>
      </c>
      <c r="J2254" s="4" t="s">
        <v>52</v>
      </c>
      <c r="K2254" t="str">
        <f t="shared" si="116"/>
        <v>1+0</v>
      </c>
      <c r="L2254">
        <f>VLOOKUP(A2254,'ZONE 1 PREMIUM'!$A$3:$M$16,13,0)</f>
        <v>14</v>
      </c>
      <c r="M2254">
        <f>VLOOKUP(D2254,DROPDOWN!B:C,2,0)</f>
        <v>9</v>
      </c>
      <c r="N2254" t="str">
        <f t="shared" si="114"/>
        <v>X3:AP16</v>
      </c>
      <c r="O2254" s="4">
        <f t="shared" ca="1" si="115"/>
        <v>253096.59999999998</v>
      </c>
    </row>
    <row r="2255" spans="1:15">
      <c r="A2255" s="2" t="s">
        <v>11</v>
      </c>
      <c r="B2255" t="s">
        <v>45</v>
      </c>
      <c r="C2255" t="s">
        <v>25</v>
      </c>
      <c r="D2255">
        <v>25</v>
      </c>
      <c r="E2255" t="s">
        <v>46</v>
      </c>
      <c r="F2255">
        <v>2</v>
      </c>
      <c r="G2255">
        <v>1</v>
      </c>
      <c r="H2255">
        <v>1</v>
      </c>
      <c r="I2255">
        <v>1</v>
      </c>
      <c r="J2255" s="4" t="s">
        <v>52</v>
      </c>
      <c r="K2255" t="str">
        <f t="shared" si="116"/>
        <v>1+1</v>
      </c>
      <c r="L2255">
        <f>VLOOKUP(A2255,'ZONE 1 PREMIUM'!$A$4:$N$16,14,0)</f>
        <v>2</v>
      </c>
      <c r="M2255">
        <f>VLOOKUP(D2255,DROPDOWN!B:C,2,0)</f>
        <v>9</v>
      </c>
      <c r="N2255" t="str">
        <f t="shared" si="114"/>
        <v>X20:AP31</v>
      </c>
      <c r="O2255" s="4">
        <f t="shared" ca="1" si="115"/>
        <v>28694.799999999999</v>
      </c>
    </row>
    <row r="2256" spans="1:15">
      <c r="A2256" s="2" t="s">
        <v>12</v>
      </c>
      <c r="B2256" t="s">
        <v>27</v>
      </c>
      <c r="C2256" t="s">
        <v>28</v>
      </c>
      <c r="D2256">
        <v>25</v>
      </c>
      <c r="E2256" t="s">
        <v>46</v>
      </c>
      <c r="F2256">
        <v>2</v>
      </c>
      <c r="G2256">
        <v>1</v>
      </c>
      <c r="H2256">
        <v>1</v>
      </c>
      <c r="I2256">
        <v>1</v>
      </c>
      <c r="J2256" s="4" t="s">
        <v>52</v>
      </c>
      <c r="K2256" t="str">
        <f t="shared" si="116"/>
        <v>1+1</v>
      </c>
      <c r="L2256">
        <f>VLOOKUP(A2256,'ZONE 1 PREMIUM'!$A$4:$N$16,14,0)</f>
        <v>3</v>
      </c>
      <c r="M2256">
        <f>VLOOKUP(D2256,DROPDOWN!B:C,2,0)</f>
        <v>9</v>
      </c>
      <c r="N2256" t="str">
        <f t="shared" si="114"/>
        <v>X20:AP31</v>
      </c>
      <c r="O2256" s="4">
        <f t="shared" ca="1" si="115"/>
        <v>31580.149999999998</v>
      </c>
    </row>
    <row r="2257" spans="1:15">
      <c r="A2257" s="2" t="s">
        <v>13</v>
      </c>
      <c r="B2257" t="s">
        <v>29</v>
      </c>
      <c r="C2257" t="s">
        <v>30</v>
      </c>
      <c r="D2257">
        <v>25</v>
      </c>
      <c r="E2257" t="s">
        <v>46</v>
      </c>
      <c r="F2257">
        <v>2</v>
      </c>
      <c r="G2257">
        <v>1</v>
      </c>
      <c r="H2257">
        <v>1</v>
      </c>
      <c r="I2257">
        <v>1</v>
      </c>
      <c r="J2257" s="4" t="s">
        <v>52</v>
      </c>
      <c r="K2257" t="str">
        <f t="shared" si="116"/>
        <v>1+1</v>
      </c>
      <c r="L2257">
        <f>VLOOKUP(A2257,'ZONE 1 PREMIUM'!$A$4:$N$16,14,0)</f>
        <v>4</v>
      </c>
      <c r="M2257">
        <f>VLOOKUP(D2257,DROPDOWN!B:C,2,0)</f>
        <v>9</v>
      </c>
      <c r="N2257" t="str">
        <f t="shared" si="114"/>
        <v>X20:AP31</v>
      </c>
      <c r="O2257" s="4">
        <f t="shared" ca="1" si="115"/>
        <v>36626.35</v>
      </c>
    </row>
    <row r="2258" spans="1:15">
      <c r="A2258" s="2" t="s">
        <v>14</v>
      </c>
      <c r="B2258" t="s">
        <v>31</v>
      </c>
      <c r="C2258" t="s">
        <v>32</v>
      </c>
      <c r="D2258">
        <v>25</v>
      </c>
      <c r="E2258" t="s">
        <v>46</v>
      </c>
      <c r="F2258">
        <v>2</v>
      </c>
      <c r="G2258">
        <v>1</v>
      </c>
      <c r="H2258">
        <v>1</v>
      </c>
      <c r="I2258">
        <v>1</v>
      </c>
      <c r="J2258" s="4" t="s">
        <v>52</v>
      </c>
      <c r="K2258" t="str">
        <f t="shared" si="116"/>
        <v>1+1</v>
      </c>
      <c r="L2258">
        <f>VLOOKUP(A2258,'ZONE 1 PREMIUM'!$A$4:$N$16,14,0)</f>
        <v>5</v>
      </c>
      <c r="M2258">
        <f>VLOOKUP(D2258,DROPDOWN!B:C,2,0)</f>
        <v>9</v>
      </c>
      <c r="N2258" t="str">
        <f t="shared" si="114"/>
        <v>X20:AP31</v>
      </c>
      <c r="O2258" s="4">
        <f t="shared" ca="1" si="115"/>
        <v>43018.049999999996</v>
      </c>
    </row>
    <row r="2259" spans="1:15">
      <c r="A2259" s="2" t="s">
        <v>15</v>
      </c>
      <c r="B2259" t="s">
        <v>33</v>
      </c>
      <c r="C2259" t="s">
        <v>34</v>
      </c>
      <c r="D2259">
        <v>25</v>
      </c>
      <c r="E2259" t="s">
        <v>46</v>
      </c>
      <c r="F2259">
        <v>2</v>
      </c>
      <c r="G2259">
        <v>1</v>
      </c>
      <c r="H2259">
        <v>1</v>
      </c>
      <c r="I2259">
        <v>1</v>
      </c>
      <c r="J2259" s="4" t="s">
        <v>52</v>
      </c>
      <c r="K2259" t="str">
        <f t="shared" si="116"/>
        <v>1+1</v>
      </c>
      <c r="L2259">
        <f>VLOOKUP(A2259,'ZONE 1 PREMIUM'!$A$4:$N$16,14,0)</f>
        <v>6</v>
      </c>
      <c r="M2259">
        <f>VLOOKUP(D2259,DROPDOWN!B:C,2,0)</f>
        <v>9</v>
      </c>
      <c r="N2259" t="str">
        <f t="shared" si="114"/>
        <v>X20:AP31</v>
      </c>
      <c r="O2259" s="4">
        <f t="shared" ca="1" si="115"/>
        <v>53171.399999999994</v>
      </c>
    </row>
    <row r="2260" spans="1:15">
      <c r="A2260" s="2" t="s">
        <v>16</v>
      </c>
      <c r="B2260" t="s">
        <v>35</v>
      </c>
      <c r="C2260" t="s">
        <v>36</v>
      </c>
      <c r="D2260">
        <v>25</v>
      </c>
      <c r="E2260" t="s">
        <v>46</v>
      </c>
      <c r="F2260">
        <v>2</v>
      </c>
      <c r="G2260">
        <v>1</v>
      </c>
      <c r="H2260">
        <v>1</v>
      </c>
      <c r="I2260">
        <v>1</v>
      </c>
      <c r="J2260" s="4" t="s">
        <v>52</v>
      </c>
      <c r="K2260" t="str">
        <f t="shared" si="116"/>
        <v>1+1</v>
      </c>
      <c r="L2260">
        <f>VLOOKUP(A2260,'ZONE 1 PREMIUM'!$A$4:$N$16,14,0)</f>
        <v>7</v>
      </c>
      <c r="M2260">
        <f>VLOOKUP(D2260,DROPDOWN!B:C,2,0)</f>
        <v>9</v>
      </c>
      <c r="N2260" t="str">
        <f t="shared" si="114"/>
        <v>X20:AP31</v>
      </c>
      <c r="O2260" s="4">
        <f t="shared" ca="1" si="115"/>
        <v>69278.299999999988</v>
      </c>
    </row>
    <row r="2261" spans="1:15">
      <c r="A2261" s="2" t="s">
        <v>17</v>
      </c>
      <c r="B2261" t="s">
        <v>37</v>
      </c>
      <c r="C2261" t="s">
        <v>38</v>
      </c>
      <c r="D2261">
        <v>25</v>
      </c>
      <c r="E2261" t="s">
        <v>46</v>
      </c>
      <c r="F2261">
        <v>2</v>
      </c>
      <c r="G2261">
        <v>1</v>
      </c>
      <c r="H2261">
        <v>1</v>
      </c>
      <c r="I2261">
        <v>1</v>
      </c>
      <c r="J2261" s="4" t="s">
        <v>52</v>
      </c>
      <c r="K2261" t="str">
        <f t="shared" si="116"/>
        <v>1+1</v>
      </c>
      <c r="L2261">
        <f>VLOOKUP(A2261,'ZONE 1 PREMIUM'!$A$4:$N$16,14,0)</f>
        <v>8</v>
      </c>
      <c r="M2261">
        <f>VLOOKUP(D2261,DROPDOWN!B:C,2,0)</f>
        <v>9</v>
      </c>
      <c r="N2261" t="str">
        <f t="shared" si="114"/>
        <v>X20:AP31</v>
      </c>
      <c r="O2261" s="4">
        <f t="shared" ca="1" si="115"/>
        <v>91646.95</v>
      </c>
    </row>
    <row r="2262" spans="1:15">
      <c r="A2262" s="2" t="s">
        <v>18</v>
      </c>
      <c r="B2262" t="s">
        <v>39</v>
      </c>
      <c r="C2262" t="s">
        <v>40</v>
      </c>
      <c r="D2262">
        <v>25</v>
      </c>
      <c r="E2262" t="s">
        <v>46</v>
      </c>
      <c r="F2262">
        <v>2</v>
      </c>
      <c r="G2262">
        <v>1</v>
      </c>
      <c r="H2262">
        <v>1</v>
      </c>
      <c r="I2262">
        <v>1</v>
      </c>
      <c r="J2262" s="4" t="s">
        <v>52</v>
      </c>
      <c r="K2262" t="str">
        <f t="shared" si="116"/>
        <v>1+1</v>
      </c>
      <c r="L2262">
        <f>VLOOKUP(A2262,'ZONE 1 PREMIUM'!$A$4:$N$16,14,0)</f>
        <v>9</v>
      </c>
      <c r="M2262">
        <f>VLOOKUP(D2262,DROPDOWN!B:C,2,0)</f>
        <v>9</v>
      </c>
      <c r="N2262" t="str">
        <f t="shared" si="114"/>
        <v>X20:AP31</v>
      </c>
      <c r="O2262" s="4">
        <f t="shared" ca="1" si="115"/>
        <v>126257.34999999999</v>
      </c>
    </row>
    <row r="2263" spans="1:15">
      <c r="A2263" s="2" t="s">
        <v>19</v>
      </c>
      <c r="B2263" t="s">
        <v>41</v>
      </c>
      <c r="C2263" t="s">
        <v>42</v>
      </c>
      <c r="D2263">
        <v>25</v>
      </c>
      <c r="E2263" t="s">
        <v>46</v>
      </c>
      <c r="F2263">
        <v>2</v>
      </c>
      <c r="G2263">
        <v>1</v>
      </c>
      <c r="H2263">
        <v>1</v>
      </c>
      <c r="I2263">
        <v>1</v>
      </c>
      <c r="J2263" s="4" t="s">
        <v>52</v>
      </c>
      <c r="K2263" t="str">
        <f t="shared" si="116"/>
        <v>1+1</v>
      </c>
      <c r="L2263">
        <f>VLOOKUP(A2263,'ZONE 1 PREMIUM'!$A$4:$N$16,14,0)</f>
        <v>10</v>
      </c>
      <c r="M2263">
        <f>VLOOKUP(D2263,DROPDOWN!B:C,2,0)</f>
        <v>9</v>
      </c>
      <c r="N2263" t="str">
        <f t="shared" si="114"/>
        <v>X20:AP31</v>
      </c>
      <c r="O2263" s="4">
        <f t="shared" ca="1" si="115"/>
        <v>162363.9</v>
      </c>
    </row>
    <row r="2264" spans="1:15">
      <c r="A2264" s="2" t="s">
        <v>20</v>
      </c>
      <c r="B2264" t="s">
        <v>43</v>
      </c>
      <c r="C2264" t="s">
        <v>44</v>
      </c>
      <c r="D2264">
        <v>25</v>
      </c>
      <c r="E2264" t="s">
        <v>46</v>
      </c>
      <c r="F2264">
        <v>2</v>
      </c>
      <c r="G2264">
        <v>1</v>
      </c>
      <c r="H2264">
        <v>1</v>
      </c>
      <c r="I2264">
        <v>1</v>
      </c>
      <c r="J2264" s="4" t="s">
        <v>52</v>
      </c>
      <c r="K2264" t="str">
        <f t="shared" si="116"/>
        <v>1+1</v>
      </c>
      <c r="L2264">
        <f>VLOOKUP(A2264,'ZONE 1 PREMIUM'!$A$4:$N$16,14,0)</f>
        <v>11</v>
      </c>
      <c r="M2264">
        <f>VLOOKUP(D2264,DROPDOWN!B:C,2,0)</f>
        <v>9</v>
      </c>
      <c r="N2264" t="str">
        <f t="shared" si="114"/>
        <v>X20:AP31</v>
      </c>
      <c r="O2264" s="4">
        <f t="shared" ca="1" si="115"/>
        <v>191910.84999999998</v>
      </c>
    </row>
    <row r="2265" spans="1:15">
      <c r="A2265" s="2" t="s">
        <v>21</v>
      </c>
      <c r="B2265" t="s">
        <v>22</v>
      </c>
      <c r="D2265">
        <v>25</v>
      </c>
      <c r="E2265" t="s">
        <v>46</v>
      </c>
      <c r="F2265">
        <v>2</v>
      </c>
      <c r="G2265">
        <v>1</v>
      </c>
      <c r="H2265">
        <v>1</v>
      </c>
      <c r="I2265">
        <v>1</v>
      </c>
      <c r="J2265" s="4" t="s">
        <v>52</v>
      </c>
      <c r="K2265" t="str">
        <f t="shared" si="116"/>
        <v>1+1</v>
      </c>
      <c r="L2265">
        <f>VLOOKUP(A2265,'ZONE 1 PREMIUM'!$A$4:$N$16,14,0)</f>
        <v>12</v>
      </c>
      <c r="M2265">
        <f>VLOOKUP(D2265,DROPDOWN!B:C,2,0)</f>
        <v>9</v>
      </c>
      <c r="N2265" t="str">
        <f t="shared" si="114"/>
        <v>X20:AP31</v>
      </c>
      <c r="O2265" s="4">
        <f t="shared" ca="1" si="115"/>
        <v>260923.49999999997</v>
      </c>
    </row>
    <row r="2266" spans="1:15">
      <c r="A2266" s="2" t="s">
        <v>11</v>
      </c>
      <c r="B2266" t="s">
        <v>45</v>
      </c>
      <c r="C2266" t="s">
        <v>25</v>
      </c>
      <c r="D2266">
        <v>25</v>
      </c>
      <c r="E2266" t="s">
        <v>46</v>
      </c>
      <c r="F2266">
        <v>3</v>
      </c>
      <c r="G2266">
        <v>1</v>
      </c>
      <c r="H2266">
        <v>2</v>
      </c>
      <c r="I2266">
        <v>1</v>
      </c>
      <c r="J2266" s="4" t="s">
        <v>52</v>
      </c>
      <c r="K2266" t="str">
        <f t="shared" si="116"/>
        <v>1+2</v>
      </c>
      <c r="L2266">
        <f>VLOOKUP(A2266,'ZONE 1 PREMIUM'!$A$4:$N$16,14,0)</f>
        <v>2</v>
      </c>
      <c r="M2266">
        <f>VLOOKUP(D2266,DROPDOWN!B:C,2,0)</f>
        <v>9</v>
      </c>
      <c r="N2266" t="str">
        <f t="shared" si="114"/>
        <v>X35:AP46</v>
      </c>
      <c r="O2266" s="4">
        <f t="shared" ca="1" si="115"/>
        <v>37113.949999999997</v>
      </c>
    </row>
    <row r="2267" spans="1:15">
      <c r="A2267" s="2" t="s">
        <v>12</v>
      </c>
      <c r="B2267" t="s">
        <v>27</v>
      </c>
      <c r="C2267" t="s">
        <v>28</v>
      </c>
      <c r="D2267">
        <v>25</v>
      </c>
      <c r="E2267" t="s">
        <v>46</v>
      </c>
      <c r="F2267">
        <v>3</v>
      </c>
      <c r="G2267">
        <v>1</v>
      </c>
      <c r="H2267">
        <v>2</v>
      </c>
      <c r="I2267">
        <v>1</v>
      </c>
      <c r="J2267" s="4" t="s">
        <v>52</v>
      </c>
      <c r="K2267" t="str">
        <f t="shared" si="116"/>
        <v>1+2</v>
      </c>
      <c r="L2267">
        <f>VLOOKUP(A2267,'ZONE 1 PREMIUM'!$A$4:$N$16,14,0)</f>
        <v>3</v>
      </c>
      <c r="M2267">
        <f>VLOOKUP(D2267,DROPDOWN!B:C,2,0)</f>
        <v>9</v>
      </c>
      <c r="N2267" t="str">
        <f t="shared" si="114"/>
        <v>X35:AP46</v>
      </c>
      <c r="O2267" s="4">
        <f t="shared" ca="1" si="115"/>
        <v>39693.399999999994</v>
      </c>
    </row>
    <row r="2268" spans="1:15">
      <c r="A2268" s="2" t="s">
        <v>13</v>
      </c>
      <c r="B2268" t="s">
        <v>29</v>
      </c>
      <c r="C2268" t="s">
        <v>30</v>
      </c>
      <c r="D2268">
        <v>25</v>
      </c>
      <c r="E2268" t="s">
        <v>46</v>
      </c>
      <c r="F2268">
        <v>3</v>
      </c>
      <c r="G2268">
        <v>1</v>
      </c>
      <c r="H2268">
        <v>2</v>
      </c>
      <c r="I2268">
        <v>1</v>
      </c>
      <c r="J2268" s="4" t="s">
        <v>52</v>
      </c>
      <c r="K2268" t="str">
        <f t="shared" si="116"/>
        <v>1+2</v>
      </c>
      <c r="L2268">
        <f>VLOOKUP(A2268,'ZONE 1 PREMIUM'!$A$4:$N$16,14,0)</f>
        <v>4</v>
      </c>
      <c r="M2268">
        <f>VLOOKUP(D2268,DROPDOWN!B:C,2,0)</f>
        <v>9</v>
      </c>
      <c r="N2268" t="str">
        <f t="shared" si="114"/>
        <v>X35:AP46</v>
      </c>
      <c r="O2268" s="4">
        <f t="shared" ca="1" si="115"/>
        <v>46105.799999999996</v>
      </c>
    </row>
    <row r="2269" spans="1:15">
      <c r="A2269" s="2" t="s">
        <v>14</v>
      </c>
      <c r="B2269" t="s">
        <v>31</v>
      </c>
      <c r="C2269" t="s">
        <v>32</v>
      </c>
      <c r="D2269">
        <v>25</v>
      </c>
      <c r="E2269" t="s">
        <v>46</v>
      </c>
      <c r="F2269">
        <v>3</v>
      </c>
      <c r="G2269">
        <v>1</v>
      </c>
      <c r="H2269">
        <v>2</v>
      </c>
      <c r="I2269">
        <v>1</v>
      </c>
      <c r="J2269" s="4" t="s">
        <v>52</v>
      </c>
      <c r="K2269" t="str">
        <f t="shared" si="116"/>
        <v>1+2</v>
      </c>
      <c r="L2269">
        <f>VLOOKUP(A2269,'ZONE 1 PREMIUM'!$A$4:$N$16,14,0)</f>
        <v>5</v>
      </c>
      <c r="M2269">
        <f>VLOOKUP(D2269,DROPDOWN!B:C,2,0)</f>
        <v>9</v>
      </c>
      <c r="N2269" t="str">
        <f t="shared" si="114"/>
        <v>X35:AP46</v>
      </c>
      <c r="O2269" s="4">
        <f t="shared" ca="1" si="115"/>
        <v>51698.249999999993</v>
      </c>
    </row>
    <row r="2270" spans="1:15">
      <c r="A2270" s="2" t="s">
        <v>15</v>
      </c>
      <c r="B2270" t="s">
        <v>33</v>
      </c>
      <c r="C2270" t="s">
        <v>34</v>
      </c>
      <c r="D2270">
        <v>25</v>
      </c>
      <c r="E2270" t="s">
        <v>46</v>
      </c>
      <c r="F2270">
        <v>3</v>
      </c>
      <c r="G2270">
        <v>1</v>
      </c>
      <c r="H2270">
        <v>2</v>
      </c>
      <c r="I2270">
        <v>1</v>
      </c>
      <c r="J2270" s="4" t="s">
        <v>52</v>
      </c>
      <c r="K2270" t="str">
        <f t="shared" si="116"/>
        <v>1+2</v>
      </c>
      <c r="L2270">
        <f>VLOOKUP(A2270,'ZONE 1 PREMIUM'!$A$4:$N$16,14,0)</f>
        <v>6</v>
      </c>
      <c r="M2270">
        <f>VLOOKUP(D2270,DROPDOWN!B:C,2,0)</f>
        <v>9</v>
      </c>
      <c r="N2270" t="str">
        <f t="shared" si="114"/>
        <v>X35:AP46</v>
      </c>
      <c r="O2270" s="4">
        <f t="shared" ca="1" si="115"/>
        <v>64813.999999999993</v>
      </c>
    </row>
    <row r="2271" spans="1:15">
      <c r="A2271" s="2" t="s">
        <v>16</v>
      </c>
      <c r="B2271" t="s">
        <v>35</v>
      </c>
      <c r="C2271" t="s">
        <v>36</v>
      </c>
      <c r="D2271">
        <v>25</v>
      </c>
      <c r="E2271" t="s">
        <v>46</v>
      </c>
      <c r="F2271">
        <v>3</v>
      </c>
      <c r="G2271">
        <v>1</v>
      </c>
      <c r="H2271">
        <v>2</v>
      </c>
      <c r="I2271">
        <v>1</v>
      </c>
      <c r="J2271" s="4" t="s">
        <v>52</v>
      </c>
      <c r="K2271" t="str">
        <f t="shared" si="116"/>
        <v>1+2</v>
      </c>
      <c r="L2271">
        <f>VLOOKUP(A2271,'ZONE 1 PREMIUM'!$A$4:$N$16,14,0)</f>
        <v>7</v>
      </c>
      <c r="M2271">
        <f>VLOOKUP(D2271,DROPDOWN!B:C,2,0)</f>
        <v>9</v>
      </c>
      <c r="N2271" t="str">
        <f t="shared" si="114"/>
        <v>X35:AP46</v>
      </c>
      <c r="O2271" s="4">
        <f t="shared" ca="1" si="115"/>
        <v>83761.399999999994</v>
      </c>
    </row>
    <row r="2272" spans="1:15">
      <c r="A2272" s="2" t="s">
        <v>17</v>
      </c>
      <c r="B2272" t="s">
        <v>37</v>
      </c>
      <c r="C2272" t="s">
        <v>38</v>
      </c>
      <c r="D2272">
        <v>25</v>
      </c>
      <c r="E2272" t="s">
        <v>46</v>
      </c>
      <c r="F2272">
        <v>3</v>
      </c>
      <c r="G2272">
        <v>1</v>
      </c>
      <c r="H2272">
        <v>2</v>
      </c>
      <c r="I2272">
        <v>1</v>
      </c>
      <c r="J2272" s="4" t="s">
        <v>52</v>
      </c>
      <c r="K2272" t="str">
        <f t="shared" si="116"/>
        <v>1+2</v>
      </c>
      <c r="L2272">
        <f>VLOOKUP(A2272,'ZONE 1 PREMIUM'!$A$4:$N$16,14,0)</f>
        <v>8</v>
      </c>
      <c r="M2272">
        <f>VLOOKUP(D2272,DROPDOWN!B:C,2,0)</f>
        <v>9</v>
      </c>
      <c r="N2272" t="str">
        <f t="shared" si="114"/>
        <v>X35:AP46</v>
      </c>
      <c r="O2272" s="4">
        <f t="shared" ca="1" si="115"/>
        <v>107266.24999999999</v>
      </c>
    </row>
    <row r="2273" spans="1:15">
      <c r="A2273" s="2" t="s">
        <v>18</v>
      </c>
      <c r="B2273" t="s">
        <v>39</v>
      </c>
      <c r="C2273" t="s">
        <v>40</v>
      </c>
      <c r="D2273">
        <v>25</v>
      </c>
      <c r="E2273" t="s">
        <v>46</v>
      </c>
      <c r="F2273">
        <v>3</v>
      </c>
      <c r="G2273">
        <v>1</v>
      </c>
      <c r="H2273">
        <v>2</v>
      </c>
      <c r="I2273">
        <v>1</v>
      </c>
      <c r="J2273" s="4" t="s">
        <v>52</v>
      </c>
      <c r="K2273" t="str">
        <f t="shared" si="116"/>
        <v>1+2</v>
      </c>
      <c r="L2273">
        <f>VLOOKUP(A2273,'ZONE 1 PREMIUM'!$A$4:$N$16,14,0)</f>
        <v>9</v>
      </c>
      <c r="M2273">
        <f>VLOOKUP(D2273,DROPDOWN!B:C,2,0)</f>
        <v>9</v>
      </c>
      <c r="N2273" t="str">
        <f t="shared" si="114"/>
        <v>X35:AP46</v>
      </c>
      <c r="O2273" s="4">
        <f t="shared" ca="1" si="115"/>
        <v>139082.15</v>
      </c>
    </row>
    <row r="2274" spans="1:15">
      <c r="A2274" s="2" t="s">
        <v>19</v>
      </c>
      <c r="B2274" t="s">
        <v>41</v>
      </c>
      <c r="C2274" t="s">
        <v>42</v>
      </c>
      <c r="D2274">
        <v>25</v>
      </c>
      <c r="E2274" t="s">
        <v>46</v>
      </c>
      <c r="F2274">
        <v>3</v>
      </c>
      <c r="G2274">
        <v>1</v>
      </c>
      <c r="H2274">
        <v>2</v>
      </c>
      <c r="I2274">
        <v>1</v>
      </c>
      <c r="J2274" s="4" t="s">
        <v>52</v>
      </c>
      <c r="K2274" t="str">
        <f t="shared" si="116"/>
        <v>1+2</v>
      </c>
      <c r="L2274">
        <f>VLOOKUP(A2274,'ZONE 1 PREMIUM'!$A$4:$N$16,14,0)</f>
        <v>10</v>
      </c>
      <c r="M2274">
        <f>VLOOKUP(D2274,DROPDOWN!B:C,2,0)</f>
        <v>9</v>
      </c>
      <c r="N2274" t="str">
        <f t="shared" si="114"/>
        <v>X35:AP46</v>
      </c>
      <c r="O2274" s="4">
        <f t="shared" ca="1" si="115"/>
        <v>177971.69999999998</v>
      </c>
    </row>
    <row r="2275" spans="1:15">
      <c r="A2275" s="2" t="s">
        <v>20</v>
      </c>
      <c r="B2275" t="s">
        <v>43</v>
      </c>
      <c r="C2275" t="s">
        <v>44</v>
      </c>
      <c r="D2275">
        <v>25</v>
      </c>
      <c r="E2275" t="s">
        <v>46</v>
      </c>
      <c r="F2275">
        <v>3</v>
      </c>
      <c r="G2275">
        <v>1</v>
      </c>
      <c r="H2275">
        <v>2</v>
      </c>
      <c r="I2275">
        <v>1</v>
      </c>
      <c r="J2275" s="4" t="s">
        <v>52</v>
      </c>
      <c r="K2275" t="str">
        <f t="shared" si="116"/>
        <v>1+2</v>
      </c>
      <c r="L2275">
        <f>VLOOKUP(A2275,'ZONE 1 PREMIUM'!$A$4:$N$16,14,0)</f>
        <v>11</v>
      </c>
      <c r="M2275">
        <f>VLOOKUP(D2275,DROPDOWN!B:C,2,0)</f>
        <v>9</v>
      </c>
      <c r="N2275" t="str">
        <f t="shared" si="114"/>
        <v>X35:AP46</v>
      </c>
      <c r="O2275" s="4">
        <f t="shared" ca="1" si="115"/>
        <v>210290.15</v>
      </c>
    </row>
    <row r="2276" spans="1:15">
      <c r="A2276" s="2" t="s">
        <v>21</v>
      </c>
      <c r="B2276" t="s">
        <v>22</v>
      </c>
      <c r="D2276">
        <v>25</v>
      </c>
      <c r="E2276" t="s">
        <v>46</v>
      </c>
      <c r="F2276">
        <v>3</v>
      </c>
      <c r="G2276">
        <v>1</v>
      </c>
      <c r="H2276">
        <v>2</v>
      </c>
      <c r="I2276">
        <v>1</v>
      </c>
      <c r="J2276" s="4" t="s">
        <v>52</v>
      </c>
      <c r="K2276" t="str">
        <f t="shared" si="116"/>
        <v>1+2</v>
      </c>
      <c r="L2276">
        <f>VLOOKUP(A2276,'ZONE 1 PREMIUM'!$A$4:$N$16,14,0)</f>
        <v>12</v>
      </c>
      <c r="M2276">
        <f>VLOOKUP(D2276,DROPDOWN!B:C,2,0)</f>
        <v>9</v>
      </c>
      <c r="N2276" t="str">
        <f t="shared" si="114"/>
        <v>X35:AP46</v>
      </c>
      <c r="O2276" s="4">
        <f t="shared" ca="1" si="115"/>
        <v>274769.5</v>
      </c>
    </row>
    <row r="2277" spans="1:15">
      <c r="A2277" s="2" t="s">
        <v>11</v>
      </c>
      <c r="B2277" t="s">
        <v>45</v>
      </c>
      <c r="C2277" t="s">
        <v>25</v>
      </c>
      <c r="D2277">
        <v>25</v>
      </c>
      <c r="E2277" t="s">
        <v>46</v>
      </c>
      <c r="F2277">
        <v>4</v>
      </c>
      <c r="G2277">
        <v>1</v>
      </c>
      <c r="H2277">
        <v>3</v>
      </c>
      <c r="I2277">
        <v>1</v>
      </c>
      <c r="J2277" s="4" t="s">
        <v>52</v>
      </c>
      <c r="K2277" t="str">
        <f t="shared" si="116"/>
        <v>1+3</v>
      </c>
      <c r="L2277">
        <f>VLOOKUP(A2277,'ZONE 1 PREMIUM'!$A$4:$N$16,14,0)</f>
        <v>2</v>
      </c>
      <c r="M2277">
        <f>VLOOKUP(D2277,DROPDOWN!B:C,2,0)</f>
        <v>9</v>
      </c>
      <c r="N2277" t="str">
        <f t="shared" si="114"/>
        <v>X50:AP61</v>
      </c>
      <c r="O2277" s="4">
        <f t="shared" ca="1" si="115"/>
        <v>45534.25</v>
      </c>
    </row>
    <row r="2278" spans="1:15">
      <c r="A2278" s="2" t="s">
        <v>12</v>
      </c>
      <c r="B2278" t="s">
        <v>27</v>
      </c>
      <c r="C2278" t="s">
        <v>28</v>
      </c>
      <c r="D2278">
        <v>25</v>
      </c>
      <c r="E2278" t="s">
        <v>46</v>
      </c>
      <c r="F2278">
        <v>4</v>
      </c>
      <c r="G2278">
        <v>1</v>
      </c>
      <c r="H2278">
        <v>3</v>
      </c>
      <c r="I2278">
        <v>1</v>
      </c>
      <c r="J2278" s="4" t="s">
        <v>52</v>
      </c>
      <c r="K2278" t="str">
        <f t="shared" si="116"/>
        <v>1+3</v>
      </c>
      <c r="L2278">
        <f>VLOOKUP(A2278,'ZONE 1 PREMIUM'!$A$4:$N$16,14,0)</f>
        <v>3</v>
      </c>
      <c r="M2278">
        <f>VLOOKUP(D2278,DROPDOWN!B:C,2,0)</f>
        <v>9</v>
      </c>
      <c r="N2278" t="str">
        <f t="shared" si="114"/>
        <v>X50:AP61</v>
      </c>
      <c r="O2278" s="4">
        <f t="shared" ca="1" si="115"/>
        <v>47963.049999999996</v>
      </c>
    </row>
    <row r="2279" spans="1:15">
      <c r="A2279" s="2" t="s">
        <v>13</v>
      </c>
      <c r="B2279" t="s">
        <v>29</v>
      </c>
      <c r="C2279" t="s">
        <v>30</v>
      </c>
      <c r="D2279">
        <v>25</v>
      </c>
      <c r="E2279" t="s">
        <v>46</v>
      </c>
      <c r="F2279">
        <v>4</v>
      </c>
      <c r="G2279">
        <v>1</v>
      </c>
      <c r="H2279">
        <v>3</v>
      </c>
      <c r="I2279">
        <v>1</v>
      </c>
      <c r="J2279" s="4" t="s">
        <v>52</v>
      </c>
      <c r="K2279" t="str">
        <f t="shared" si="116"/>
        <v>1+3</v>
      </c>
      <c r="L2279">
        <f>VLOOKUP(A2279,'ZONE 1 PREMIUM'!$A$4:$N$16,14,0)</f>
        <v>4</v>
      </c>
      <c r="M2279">
        <f>VLOOKUP(D2279,DROPDOWN!B:C,2,0)</f>
        <v>9</v>
      </c>
      <c r="N2279" t="str">
        <f t="shared" si="114"/>
        <v>X50:AP61</v>
      </c>
      <c r="O2279" s="4">
        <f t="shared" ca="1" si="115"/>
        <v>55766.95</v>
      </c>
    </row>
    <row r="2280" spans="1:15">
      <c r="A2280" s="2" t="s">
        <v>14</v>
      </c>
      <c r="B2280" t="s">
        <v>31</v>
      </c>
      <c r="C2280" t="s">
        <v>32</v>
      </c>
      <c r="D2280">
        <v>25</v>
      </c>
      <c r="E2280" t="s">
        <v>46</v>
      </c>
      <c r="F2280">
        <v>4</v>
      </c>
      <c r="G2280">
        <v>1</v>
      </c>
      <c r="H2280">
        <v>3</v>
      </c>
      <c r="I2280">
        <v>1</v>
      </c>
      <c r="J2280" s="4" t="s">
        <v>52</v>
      </c>
      <c r="K2280" t="str">
        <f t="shared" si="116"/>
        <v>1+3</v>
      </c>
      <c r="L2280">
        <f>VLOOKUP(A2280,'ZONE 1 PREMIUM'!$A$4:$N$16,14,0)</f>
        <v>5</v>
      </c>
      <c r="M2280">
        <f>VLOOKUP(D2280,DROPDOWN!B:C,2,0)</f>
        <v>9</v>
      </c>
      <c r="N2280" t="str">
        <f t="shared" si="114"/>
        <v>X50:AP61</v>
      </c>
      <c r="O2280" s="4">
        <f t="shared" ca="1" si="115"/>
        <v>62034.45</v>
      </c>
    </row>
    <row r="2281" spans="1:15">
      <c r="A2281" s="2" t="s">
        <v>15</v>
      </c>
      <c r="B2281" t="s">
        <v>33</v>
      </c>
      <c r="C2281" t="s">
        <v>34</v>
      </c>
      <c r="D2281">
        <v>25</v>
      </c>
      <c r="E2281" t="s">
        <v>46</v>
      </c>
      <c r="F2281">
        <v>4</v>
      </c>
      <c r="G2281">
        <v>1</v>
      </c>
      <c r="H2281">
        <v>3</v>
      </c>
      <c r="I2281">
        <v>1</v>
      </c>
      <c r="J2281" s="4" t="s">
        <v>52</v>
      </c>
      <c r="K2281" t="str">
        <f t="shared" si="116"/>
        <v>1+3</v>
      </c>
      <c r="L2281">
        <f>VLOOKUP(A2281,'ZONE 1 PREMIUM'!$A$4:$N$16,14,0)</f>
        <v>6</v>
      </c>
      <c r="M2281">
        <f>VLOOKUP(D2281,DROPDOWN!B:C,2,0)</f>
        <v>9</v>
      </c>
      <c r="N2281" t="str">
        <f t="shared" si="114"/>
        <v>X50:AP61</v>
      </c>
      <c r="O2281" s="4">
        <f t="shared" ca="1" si="115"/>
        <v>76455.45</v>
      </c>
    </row>
    <row r="2282" spans="1:15">
      <c r="A2282" s="2" t="s">
        <v>16</v>
      </c>
      <c r="B2282" t="s">
        <v>35</v>
      </c>
      <c r="C2282" t="s">
        <v>36</v>
      </c>
      <c r="D2282">
        <v>25</v>
      </c>
      <c r="E2282" t="s">
        <v>46</v>
      </c>
      <c r="F2282">
        <v>4</v>
      </c>
      <c r="G2282">
        <v>1</v>
      </c>
      <c r="H2282">
        <v>3</v>
      </c>
      <c r="I2282">
        <v>1</v>
      </c>
      <c r="J2282" s="4" t="s">
        <v>52</v>
      </c>
      <c r="K2282" t="str">
        <f t="shared" si="116"/>
        <v>1+3</v>
      </c>
      <c r="L2282">
        <f>VLOOKUP(A2282,'ZONE 1 PREMIUM'!$A$4:$N$16,14,0)</f>
        <v>7</v>
      </c>
      <c r="M2282">
        <f>VLOOKUP(D2282,DROPDOWN!B:C,2,0)</f>
        <v>9</v>
      </c>
      <c r="N2282" t="str">
        <f t="shared" si="114"/>
        <v>X50:AP61</v>
      </c>
      <c r="O2282" s="4">
        <f t="shared" ca="1" si="115"/>
        <v>96771.349999999991</v>
      </c>
    </row>
    <row r="2283" spans="1:15">
      <c r="A2283" s="2" t="s">
        <v>17</v>
      </c>
      <c r="B2283" t="s">
        <v>37</v>
      </c>
      <c r="C2283" t="s">
        <v>38</v>
      </c>
      <c r="D2283">
        <v>25</v>
      </c>
      <c r="E2283" t="s">
        <v>46</v>
      </c>
      <c r="F2283">
        <v>4</v>
      </c>
      <c r="G2283">
        <v>1</v>
      </c>
      <c r="H2283">
        <v>3</v>
      </c>
      <c r="I2283">
        <v>1</v>
      </c>
      <c r="J2283" s="4" t="s">
        <v>52</v>
      </c>
      <c r="K2283" t="str">
        <f t="shared" si="116"/>
        <v>1+3</v>
      </c>
      <c r="L2283">
        <f>VLOOKUP(A2283,'ZONE 1 PREMIUM'!$A$4:$N$16,14,0)</f>
        <v>8</v>
      </c>
      <c r="M2283">
        <f>VLOOKUP(D2283,DROPDOWN!B:C,2,0)</f>
        <v>9</v>
      </c>
      <c r="N2283" t="str">
        <f t="shared" si="114"/>
        <v>X50:AP61</v>
      </c>
      <c r="O2283" s="4">
        <f t="shared" ca="1" si="115"/>
        <v>118892.74999999999</v>
      </c>
    </row>
    <row r="2284" spans="1:15">
      <c r="A2284" s="2" t="s">
        <v>18</v>
      </c>
      <c r="B2284" t="s">
        <v>39</v>
      </c>
      <c r="C2284" t="s">
        <v>40</v>
      </c>
      <c r="D2284">
        <v>25</v>
      </c>
      <c r="E2284" t="s">
        <v>46</v>
      </c>
      <c r="F2284">
        <v>4</v>
      </c>
      <c r="G2284">
        <v>1</v>
      </c>
      <c r="H2284">
        <v>3</v>
      </c>
      <c r="I2284">
        <v>1</v>
      </c>
      <c r="J2284" s="4" t="s">
        <v>52</v>
      </c>
      <c r="K2284" t="str">
        <f t="shared" si="116"/>
        <v>1+3</v>
      </c>
      <c r="L2284">
        <f>VLOOKUP(A2284,'ZONE 1 PREMIUM'!$A$4:$N$16,14,0)</f>
        <v>9</v>
      </c>
      <c r="M2284">
        <f>VLOOKUP(D2284,DROPDOWN!B:C,2,0)</f>
        <v>9</v>
      </c>
      <c r="N2284" t="str">
        <f t="shared" si="114"/>
        <v>X50:AP61</v>
      </c>
      <c r="O2284" s="4">
        <f t="shared" ca="1" si="115"/>
        <v>151886.25</v>
      </c>
    </row>
    <row r="2285" spans="1:15">
      <c r="A2285" s="2" t="s">
        <v>19</v>
      </c>
      <c r="B2285" t="s">
        <v>41</v>
      </c>
      <c r="C2285" t="s">
        <v>42</v>
      </c>
      <c r="D2285">
        <v>25</v>
      </c>
      <c r="E2285" t="s">
        <v>46</v>
      </c>
      <c r="F2285">
        <v>4</v>
      </c>
      <c r="G2285">
        <v>1</v>
      </c>
      <c r="H2285">
        <v>3</v>
      </c>
      <c r="I2285">
        <v>1</v>
      </c>
      <c r="J2285" s="4" t="s">
        <v>52</v>
      </c>
      <c r="K2285" t="str">
        <f t="shared" si="116"/>
        <v>1+3</v>
      </c>
      <c r="L2285">
        <f>VLOOKUP(A2285,'ZONE 1 PREMIUM'!$A$4:$N$16,14,0)</f>
        <v>10</v>
      </c>
      <c r="M2285">
        <f>VLOOKUP(D2285,DROPDOWN!B:C,2,0)</f>
        <v>9</v>
      </c>
      <c r="N2285" t="str">
        <f t="shared" si="114"/>
        <v>X50:AP61</v>
      </c>
      <c r="O2285" s="4">
        <f t="shared" ca="1" si="115"/>
        <v>188371.15</v>
      </c>
    </row>
    <row r="2286" spans="1:15">
      <c r="A2286" s="2" t="s">
        <v>20</v>
      </c>
      <c r="B2286" t="s">
        <v>43</v>
      </c>
      <c r="C2286" t="s">
        <v>44</v>
      </c>
      <c r="D2286">
        <v>25</v>
      </c>
      <c r="E2286" t="s">
        <v>46</v>
      </c>
      <c r="F2286">
        <v>4</v>
      </c>
      <c r="G2286">
        <v>1</v>
      </c>
      <c r="H2286">
        <v>3</v>
      </c>
      <c r="I2286">
        <v>1</v>
      </c>
      <c r="J2286" s="4" t="s">
        <v>52</v>
      </c>
      <c r="K2286" t="str">
        <f t="shared" si="116"/>
        <v>1+3</v>
      </c>
      <c r="L2286">
        <f>VLOOKUP(A2286,'ZONE 1 PREMIUM'!$A$4:$N$16,14,0)</f>
        <v>11</v>
      </c>
      <c r="M2286">
        <f>VLOOKUP(D2286,DROPDOWN!B:C,2,0)</f>
        <v>9</v>
      </c>
      <c r="N2286" t="str">
        <f t="shared" si="114"/>
        <v>X50:AP61</v>
      </c>
      <c r="O2286" s="4">
        <f t="shared" ca="1" si="115"/>
        <v>220191.65</v>
      </c>
    </row>
    <row r="2287" spans="1:15">
      <c r="A2287" s="2" t="s">
        <v>21</v>
      </c>
      <c r="B2287" t="s">
        <v>22</v>
      </c>
      <c r="D2287">
        <v>25</v>
      </c>
      <c r="E2287" t="s">
        <v>46</v>
      </c>
      <c r="F2287">
        <v>4</v>
      </c>
      <c r="G2287">
        <v>1</v>
      </c>
      <c r="H2287">
        <v>3</v>
      </c>
      <c r="I2287">
        <v>1</v>
      </c>
      <c r="J2287" s="4" t="s">
        <v>52</v>
      </c>
      <c r="K2287" t="str">
        <f t="shared" si="116"/>
        <v>1+3</v>
      </c>
      <c r="L2287">
        <f>VLOOKUP(A2287,'ZONE 1 PREMIUM'!$A$4:$N$16,14,0)</f>
        <v>12</v>
      </c>
      <c r="M2287">
        <f>VLOOKUP(D2287,DROPDOWN!B:C,2,0)</f>
        <v>9</v>
      </c>
      <c r="N2287" t="str">
        <f t="shared" si="114"/>
        <v>X50:AP61</v>
      </c>
      <c r="O2287" s="4">
        <f t="shared" ca="1" si="115"/>
        <v>285227.59999999998</v>
      </c>
    </row>
    <row r="2288" spans="1:15">
      <c r="A2288" s="2" t="s">
        <v>11</v>
      </c>
      <c r="B2288" t="s">
        <v>45</v>
      </c>
      <c r="C2288" t="s">
        <v>25</v>
      </c>
      <c r="D2288">
        <v>25</v>
      </c>
      <c r="E2288" t="s">
        <v>46</v>
      </c>
      <c r="F2288">
        <v>5</v>
      </c>
      <c r="G2288">
        <v>1</v>
      </c>
      <c r="H2288">
        <v>4</v>
      </c>
      <c r="I2288">
        <v>1</v>
      </c>
      <c r="J2288" s="4" t="s">
        <v>52</v>
      </c>
      <c r="K2288" t="str">
        <f t="shared" si="116"/>
        <v>1+4</v>
      </c>
      <c r="L2288">
        <f>VLOOKUP(A2288,'ZONE 1 PREMIUM'!$A$4:$N$16,14,0)</f>
        <v>2</v>
      </c>
      <c r="M2288">
        <f>VLOOKUP(D2288,DROPDOWN!B:C,2,0)</f>
        <v>9</v>
      </c>
      <c r="N2288" t="str">
        <f t="shared" si="114"/>
        <v>X65:AP76</v>
      </c>
      <c r="O2288" s="4">
        <f t="shared" ca="1" si="115"/>
        <v>53953.399999999994</v>
      </c>
    </row>
    <row r="2289" spans="1:15">
      <c r="A2289" s="2" t="s">
        <v>12</v>
      </c>
      <c r="B2289" t="s">
        <v>27</v>
      </c>
      <c r="C2289" t="s">
        <v>28</v>
      </c>
      <c r="D2289">
        <v>25</v>
      </c>
      <c r="E2289" t="s">
        <v>46</v>
      </c>
      <c r="F2289">
        <v>5</v>
      </c>
      <c r="G2289">
        <v>1</v>
      </c>
      <c r="H2289">
        <v>4</v>
      </c>
      <c r="I2289">
        <v>1</v>
      </c>
      <c r="J2289" s="4" t="s">
        <v>52</v>
      </c>
      <c r="K2289" t="str">
        <f t="shared" si="116"/>
        <v>1+4</v>
      </c>
      <c r="L2289">
        <f>VLOOKUP(A2289,'ZONE 1 PREMIUM'!$A$4:$N$16,14,0)</f>
        <v>3</v>
      </c>
      <c r="M2289">
        <f>VLOOKUP(D2289,DROPDOWN!B:C,2,0)</f>
        <v>9</v>
      </c>
      <c r="N2289" t="str">
        <f t="shared" si="114"/>
        <v>X65:AP76</v>
      </c>
      <c r="O2289" s="4">
        <f t="shared" ca="1" si="115"/>
        <v>56233.85</v>
      </c>
    </row>
    <row r="2290" spans="1:15">
      <c r="A2290" s="2" t="s">
        <v>13</v>
      </c>
      <c r="B2290" t="s">
        <v>29</v>
      </c>
      <c r="C2290" t="s">
        <v>30</v>
      </c>
      <c r="D2290">
        <v>25</v>
      </c>
      <c r="E2290" t="s">
        <v>46</v>
      </c>
      <c r="F2290">
        <v>5</v>
      </c>
      <c r="G2290">
        <v>1</v>
      </c>
      <c r="H2290">
        <v>4</v>
      </c>
      <c r="I2290">
        <v>1</v>
      </c>
      <c r="J2290" s="4" t="s">
        <v>52</v>
      </c>
      <c r="K2290" t="str">
        <f t="shared" si="116"/>
        <v>1+4</v>
      </c>
      <c r="L2290">
        <f>VLOOKUP(A2290,'ZONE 1 PREMIUM'!$A$4:$N$16,14,0)</f>
        <v>4</v>
      </c>
      <c r="M2290">
        <f>VLOOKUP(D2290,DROPDOWN!B:C,2,0)</f>
        <v>9</v>
      </c>
      <c r="N2290" t="str">
        <f t="shared" si="114"/>
        <v>X65:AP76</v>
      </c>
      <c r="O2290" s="4">
        <f t="shared" ca="1" si="115"/>
        <v>65429.249999999993</v>
      </c>
    </row>
    <row r="2291" spans="1:15">
      <c r="A2291" s="2" t="s">
        <v>14</v>
      </c>
      <c r="B2291" t="s">
        <v>31</v>
      </c>
      <c r="C2291" t="s">
        <v>32</v>
      </c>
      <c r="D2291">
        <v>25</v>
      </c>
      <c r="E2291" t="s">
        <v>46</v>
      </c>
      <c r="F2291">
        <v>5</v>
      </c>
      <c r="G2291">
        <v>1</v>
      </c>
      <c r="H2291">
        <v>4</v>
      </c>
      <c r="I2291">
        <v>1</v>
      </c>
      <c r="J2291" s="4" t="s">
        <v>52</v>
      </c>
      <c r="K2291" t="str">
        <f t="shared" si="116"/>
        <v>1+4</v>
      </c>
      <c r="L2291">
        <f>VLOOKUP(A2291,'ZONE 1 PREMIUM'!$A$4:$N$16,14,0)</f>
        <v>5</v>
      </c>
      <c r="M2291">
        <f>VLOOKUP(D2291,DROPDOWN!B:C,2,0)</f>
        <v>9</v>
      </c>
      <c r="N2291" t="str">
        <f t="shared" si="114"/>
        <v>X65:AP76</v>
      </c>
      <c r="O2291" s="4">
        <f t="shared" ca="1" si="115"/>
        <v>72369.5</v>
      </c>
    </row>
    <row r="2292" spans="1:15">
      <c r="A2292" s="2" t="s">
        <v>15</v>
      </c>
      <c r="B2292" t="s">
        <v>33</v>
      </c>
      <c r="C2292" t="s">
        <v>34</v>
      </c>
      <c r="D2292">
        <v>25</v>
      </c>
      <c r="E2292" t="s">
        <v>46</v>
      </c>
      <c r="F2292">
        <v>5</v>
      </c>
      <c r="G2292">
        <v>1</v>
      </c>
      <c r="H2292">
        <v>4</v>
      </c>
      <c r="I2292">
        <v>1</v>
      </c>
      <c r="J2292" s="4" t="s">
        <v>52</v>
      </c>
      <c r="K2292" t="str">
        <f t="shared" si="116"/>
        <v>1+4</v>
      </c>
      <c r="L2292">
        <f>VLOOKUP(A2292,'ZONE 1 PREMIUM'!$A$4:$N$16,14,0)</f>
        <v>6</v>
      </c>
      <c r="M2292">
        <f>VLOOKUP(D2292,DROPDOWN!B:C,2,0)</f>
        <v>9</v>
      </c>
      <c r="N2292" t="str">
        <f t="shared" si="114"/>
        <v>X65:AP76</v>
      </c>
      <c r="O2292" s="4">
        <f t="shared" ca="1" si="115"/>
        <v>88096.9</v>
      </c>
    </row>
    <row r="2293" spans="1:15">
      <c r="A2293" s="2" t="s">
        <v>16</v>
      </c>
      <c r="B2293" t="s">
        <v>35</v>
      </c>
      <c r="C2293" t="s">
        <v>36</v>
      </c>
      <c r="D2293">
        <v>25</v>
      </c>
      <c r="E2293" t="s">
        <v>46</v>
      </c>
      <c r="F2293">
        <v>5</v>
      </c>
      <c r="G2293">
        <v>1</v>
      </c>
      <c r="H2293">
        <v>4</v>
      </c>
      <c r="I2293">
        <v>1</v>
      </c>
      <c r="J2293" s="4" t="s">
        <v>52</v>
      </c>
      <c r="K2293" t="str">
        <f t="shared" si="116"/>
        <v>1+4</v>
      </c>
      <c r="L2293">
        <f>VLOOKUP(A2293,'ZONE 1 PREMIUM'!$A$4:$N$16,14,0)</f>
        <v>7</v>
      </c>
      <c r="M2293">
        <f>VLOOKUP(D2293,DROPDOWN!B:C,2,0)</f>
        <v>9</v>
      </c>
      <c r="N2293" t="str">
        <f t="shared" si="114"/>
        <v>X65:AP76</v>
      </c>
      <c r="O2293" s="4">
        <f t="shared" ca="1" si="115"/>
        <v>107656.09999999999</v>
      </c>
    </row>
    <row r="2294" spans="1:15">
      <c r="A2294" s="2" t="s">
        <v>17</v>
      </c>
      <c r="B2294" t="s">
        <v>37</v>
      </c>
      <c r="C2294" t="s">
        <v>38</v>
      </c>
      <c r="D2294">
        <v>25</v>
      </c>
      <c r="E2294" t="s">
        <v>46</v>
      </c>
      <c r="F2294">
        <v>5</v>
      </c>
      <c r="G2294">
        <v>1</v>
      </c>
      <c r="H2294">
        <v>4</v>
      </c>
      <c r="I2294">
        <v>1</v>
      </c>
      <c r="J2294" s="4" t="s">
        <v>52</v>
      </c>
      <c r="K2294" t="str">
        <f t="shared" si="116"/>
        <v>1+4</v>
      </c>
      <c r="L2294">
        <f>VLOOKUP(A2294,'ZONE 1 PREMIUM'!$A$4:$N$16,14,0)</f>
        <v>8</v>
      </c>
      <c r="M2294">
        <f>VLOOKUP(D2294,DROPDOWN!B:C,2,0)</f>
        <v>9</v>
      </c>
      <c r="N2294" t="str">
        <f t="shared" si="114"/>
        <v>X65:AP76</v>
      </c>
      <c r="O2294" s="4">
        <f t="shared" ca="1" si="115"/>
        <v>129502.65</v>
      </c>
    </row>
    <row r="2295" spans="1:15">
      <c r="A2295" s="2" t="s">
        <v>18</v>
      </c>
      <c r="B2295" t="s">
        <v>39</v>
      </c>
      <c r="C2295" t="s">
        <v>40</v>
      </c>
      <c r="D2295">
        <v>25</v>
      </c>
      <c r="E2295" t="s">
        <v>46</v>
      </c>
      <c r="F2295">
        <v>5</v>
      </c>
      <c r="G2295">
        <v>1</v>
      </c>
      <c r="H2295">
        <v>4</v>
      </c>
      <c r="I2295">
        <v>1</v>
      </c>
      <c r="J2295" s="4" t="s">
        <v>52</v>
      </c>
      <c r="K2295" t="str">
        <f t="shared" si="116"/>
        <v>1+4</v>
      </c>
      <c r="L2295">
        <f>VLOOKUP(A2295,'ZONE 1 PREMIUM'!$A$4:$N$16,14,0)</f>
        <v>9</v>
      </c>
      <c r="M2295">
        <f>VLOOKUP(D2295,DROPDOWN!B:C,2,0)</f>
        <v>9</v>
      </c>
      <c r="N2295" t="str">
        <f t="shared" si="114"/>
        <v>X65:AP76</v>
      </c>
      <c r="O2295" s="4">
        <f t="shared" ca="1" si="115"/>
        <v>162772.15</v>
      </c>
    </row>
    <row r="2296" spans="1:15">
      <c r="A2296" s="2" t="s">
        <v>19</v>
      </c>
      <c r="B2296" t="s">
        <v>41</v>
      </c>
      <c r="C2296" t="s">
        <v>42</v>
      </c>
      <c r="D2296">
        <v>25</v>
      </c>
      <c r="E2296" t="s">
        <v>46</v>
      </c>
      <c r="F2296">
        <v>5</v>
      </c>
      <c r="G2296">
        <v>1</v>
      </c>
      <c r="H2296">
        <v>4</v>
      </c>
      <c r="I2296">
        <v>1</v>
      </c>
      <c r="J2296" s="4" t="s">
        <v>52</v>
      </c>
      <c r="K2296" t="str">
        <f t="shared" si="116"/>
        <v>1+4</v>
      </c>
      <c r="L2296">
        <f>VLOOKUP(A2296,'ZONE 1 PREMIUM'!$A$4:$N$16,14,0)</f>
        <v>10</v>
      </c>
      <c r="M2296">
        <f>VLOOKUP(D2296,DROPDOWN!B:C,2,0)</f>
        <v>9</v>
      </c>
      <c r="N2296" t="str">
        <f t="shared" si="114"/>
        <v>X65:AP76</v>
      </c>
      <c r="O2296" s="4">
        <f t="shared" ca="1" si="115"/>
        <v>199060.4</v>
      </c>
    </row>
    <row r="2297" spans="1:15">
      <c r="A2297" s="2" t="s">
        <v>20</v>
      </c>
      <c r="B2297" t="s">
        <v>43</v>
      </c>
      <c r="C2297" t="s">
        <v>44</v>
      </c>
      <c r="D2297">
        <v>25</v>
      </c>
      <c r="E2297" t="s">
        <v>46</v>
      </c>
      <c r="F2297">
        <v>5</v>
      </c>
      <c r="G2297">
        <v>1</v>
      </c>
      <c r="H2297">
        <v>4</v>
      </c>
      <c r="I2297">
        <v>1</v>
      </c>
      <c r="J2297" s="4" t="s">
        <v>52</v>
      </c>
      <c r="K2297" t="str">
        <f t="shared" si="116"/>
        <v>1+4</v>
      </c>
      <c r="L2297">
        <f>VLOOKUP(A2297,'ZONE 1 PREMIUM'!$A$4:$N$16,14,0)</f>
        <v>11</v>
      </c>
      <c r="M2297">
        <f>VLOOKUP(D2297,DROPDOWN!B:C,2,0)</f>
        <v>9</v>
      </c>
      <c r="N2297" t="str">
        <f t="shared" si="114"/>
        <v>X65:AP76</v>
      </c>
      <c r="O2297" s="4">
        <f t="shared" ca="1" si="115"/>
        <v>230930.34999999998</v>
      </c>
    </row>
    <row r="2298" spans="1:15">
      <c r="A2298" s="2" t="s">
        <v>21</v>
      </c>
      <c r="B2298" t="s">
        <v>22</v>
      </c>
      <c r="D2298">
        <v>25</v>
      </c>
      <c r="E2298" t="s">
        <v>46</v>
      </c>
      <c r="F2298">
        <v>5</v>
      </c>
      <c r="G2298">
        <v>1</v>
      </c>
      <c r="H2298">
        <v>4</v>
      </c>
      <c r="I2298">
        <v>1</v>
      </c>
      <c r="J2298" s="4" t="s">
        <v>52</v>
      </c>
      <c r="K2298" t="str">
        <f t="shared" si="116"/>
        <v>1+4</v>
      </c>
      <c r="L2298">
        <f>VLOOKUP(A2298,'ZONE 1 PREMIUM'!$A$4:$N$16,14,0)</f>
        <v>12</v>
      </c>
      <c r="M2298">
        <f>VLOOKUP(D2298,DROPDOWN!B:C,2,0)</f>
        <v>9</v>
      </c>
      <c r="N2298" t="str">
        <f t="shared" si="114"/>
        <v>X65:AP76</v>
      </c>
      <c r="O2298" s="4">
        <f t="shared" ca="1" si="115"/>
        <v>296313.59999999998</v>
      </c>
    </row>
    <row r="2299" spans="1:15">
      <c r="A2299" s="2" t="s">
        <v>11</v>
      </c>
      <c r="B2299" t="s">
        <v>45</v>
      </c>
      <c r="C2299" t="s">
        <v>25</v>
      </c>
      <c r="D2299">
        <v>25</v>
      </c>
      <c r="E2299" t="s">
        <v>46</v>
      </c>
      <c r="F2299">
        <v>2</v>
      </c>
      <c r="G2299">
        <v>2</v>
      </c>
      <c r="H2299">
        <v>0</v>
      </c>
      <c r="I2299">
        <v>1</v>
      </c>
      <c r="J2299" s="4" t="s">
        <v>52</v>
      </c>
      <c r="K2299" t="str">
        <f t="shared" si="116"/>
        <v>2+0</v>
      </c>
      <c r="L2299">
        <f>VLOOKUP(A2299,'ZONE 1 PREMIUM'!$A$4:$N$16,14,0)</f>
        <v>2</v>
      </c>
      <c r="M2299">
        <f>VLOOKUP(D2299,DROPDOWN!B:C,2,0)</f>
        <v>9</v>
      </c>
      <c r="N2299" t="str">
        <f t="shared" si="114"/>
        <v>X81:AP92</v>
      </c>
      <c r="O2299" s="4">
        <f t="shared" ca="1" si="115"/>
        <v>40223.549999999996</v>
      </c>
    </row>
    <row r="2300" spans="1:15">
      <c r="A2300" s="2" t="s">
        <v>12</v>
      </c>
      <c r="B2300" t="s">
        <v>27</v>
      </c>
      <c r="C2300" t="s">
        <v>28</v>
      </c>
      <c r="D2300">
        <v>25</v>
      </c>
      <c r="E2300" t="s">
        <v>46</v>
      </c>
      <c r="F2300">
        <v>2</v>
      </c>
      <c r="G2300">
        <v>2</v>
      </c>
      <c r="H2300">
        <v>0</v>
      </c>
      <c r="I2300">
        <v>1</v>
      </c>
      <c r="J2300" s="4" t="s">
        <v>52</v>
      </c>
      <c r="K2300" t="str">
        <f t="shared" si="116"/>
        <v>2+0</v>
      </c>
      <c r="L2300">
        <f>VLOOKUP(A2300,'ZONE 1 PREMIUM'!$A$4:$N$16,14,0)</f>
        <v>3</v>
      </c>
      <c r="M2300">
        <f>VLOOKUP(D2300,DROPDOWN!B:C,2,0)</f>
        <v>9</v>
      </c>
      <c r="N2300" t="str">
        <f t="shared" si="114"/>
        <v>X81:AP92</v>
      </c>
      <c r="O2300" s="4">
        <f t="shared" ca="1" si="115"/>
        <v>45548.049999999996</v>
      </c>
    </row>
    <row r="2301" spans="1:15">
      <c r="A2301" s="2" t="s">
        <v>13</v>
      </c>
      <c r="B2301" t="s">
        <v>29</v>
      </c>
      <c r="C2301" t="s">
        <v>30</v>
      </c>
      <c r="D2301">
        <v>25</v>
      </c>
      <c r="E2301" t="s">
        <v>46</v>
      </c>
      <c r="F2301">
        <v>2</v>
      </c>
      <c r="G2301">
        <v>2</v>
      </c>
      <c r="H2301">
        <v>0</v>
      </c>
      <c r="I2301">
        <v>1</v>
      </c>
      <c r="J2301" s="4" t="s">
        <v>52</v>
      </c>
      <c r="K2301" t="str">
        <f t="shared" si="116"/>
        <v>2+0</v>
      </c>
      <c r="L2301">
        <f>VLOOKUP(A2301,'ZONE 1 PREMIUM'!$A$4:$N$16,14,0)</f>
        <v>4</v>
      </c>
      <c r="M2301">
        <f>VLOOKUP(D2301,DROPDOWN!B:C,2,0)</f>
        <v>9</v>
      </c>
      <c r="N2301" t="str">
        <f t="shared" si="114"/>
        <v>X81:AP92</v>
      </c>
      <c r="O2301" s="4">
        <f t="shared" ca="1" si="115"/>
        <v>50602.299999999996</v>
      </c>
    </row>
    <row r="2302" spans="1:15">
      <c r="A2302" s="2" t="s">
        <v>14</v>
      </c>
      <c r="B2302" t="s">
        <v>31</v>
      </c>
      <c r="C2302" t="s">
        <v>32</v>
      </c>
      <c r="D2302">
        <v>25</v>
      </c>
      <c r="E2302" t="s">
        <v>46</v>
      </c>
      <c r="F2302">
        <v>2</v>
      </c>
      <c r="G2302">
        <v>2</v>
      </c>
      <c r="H2302">
        <v>0</v>
      </c>
      <c r="I2302">
        <v>1</v>
      </c>
      <c r="J2302" s="4" t="s">
        <v>52</v>
      </c>
      <c r="K2302" t="str">
        <f t="shared" si="116"/>
        <v>2+0</v>
      </c>
      <c r="L2302">
        <f>VLOOKUP(A2302,'ZONE 1 PREMIUM'!$A$4:$N$16,14,0)</f>
        <v>5</v>
      </c>
      <c r="M2302">
        <f>VLOOKUP(D2302,DROPDOWN!B:C,2,0)</f>
        <v>9</v>
      </c>
      <c r="N2302" t="str">
        <f t="shared" si="114"/>
        <v>X81:AP92</v>
      </c>
      <c r="O2302" s="4">
        <f t="shared" ca="1" si="115"/>
        <v>58541.899999999994</v>
      </c>
    </row>
    <row r="2303" spans="1:15">
      <c r="A2303" s="2" t="s">
        <v>15</v>
      </c>
      <c r="B2303" t="s">
        <v>33</v>
      </c>
      <c r="C2303" t="s">
        <v>34</v>
      </c>
      <c r="D2303">
        <v>25</v>
      </c>
      <c r="E2303" t="s">
        <v>46</v>
      </c>
      <c r="F2303">
        <v>2</v>
      </c>
      <c r="G2303">
        <v>2</v>
      </c>
      <c r="H2303">
        <v>0</v>
      </c>
      <c r="I2303">
        <v>1</v>
      </c>
      <c r="J2303" s="4" t="s">
        <v>52</v>
      </c>
      <c r="K2303" t="str">
        <f t="shared" si="116"/>
        <v>2+0</v>
      </c>
      <c r="L2303">
        <f>VLOOKUP(A2303,'ZONE 1 PREMIUM'!$A$4:$N$16,14,0)</f>
        <v>6</v>
      </c>
      <c r="M2303">
        <f>VLOOKUP(D2303,DROPDOWN!B:C,2,0)</f>
        <v>9</v>
      </c>
      <c r="N2303" t="str">
        <f t="shared" si="114"/>
        <v>X81:AP92</v>
      </c>
      <c r="O2303" s="4">
        <f t="shared" ca="1" si="115"/>
        <v>75045.549999999988</v>
      </c>
    </row>
    <row r="2304" spans="1:15">
      <c r="A2304" s="2" t="s">
        <v>16</v>
      </c>
      <c r="B2304" t="s">
        <v>35</v>
      </c>
      <c r="C2304" t="s">
        <v>36</v>
      </c>
      <c r="D2304">
        <v>25</v>
      </c>
      <c r="E2304" t="s">
        <v>46</v>
      </c>
      <c r="F2304">
        <v>2</v>
      </c>
      <c r="G2304">
        <v>2</v>
      </c>
      <c r="H2304">
        <v>0</v>
      </c>
      <c r="I2304">
        <v>1</v>
      </c>
      <c r="J2304" s="4" t="s">
        <v>52</v>
      </c>
      <c r="K2304" t="str">
        <f t="shared" si="116"/>
        <v>2+0</v>
      </c>
      <c r="L2304">
        <f>VLOOKUP(A2304,'ZONE 1 PREMIUM'!$A$4:$N$16,14,0)</f>
        <v>7</v>
      </c>
      <c r="M2304">
        <f>VLOOKUP(D2304,DROPDOWN!B:C,2,0)</f>
        <v>9</v>
      </c>
      <c r="N2304" t="str">
        <f t="shared" si="114"/>
        <v>X81:AP92</v>
      </c>
      <c r="O2304" s="4">
        <f t="shared" ca="1" si="115"/>
        <v>99460.049999999988</v>
      </c>
    </row>
    <row r="2305" spans="1:15">
      <c r="A2305" s="2" t="s">
        <v>17</v>
      </c>
      <c r="B2305" t="s">
        <v>37</v>
      </c>
      <c r="C2305" t="s">
        <v>38</v>
      </c>
      <c r="D2305">
        <v>25</v>
      </c>
      <c r="E2305" t="s">
        <v>46</v>
      </c>
      <c r="F2305">
        <v>2</v>
      </c>
      <c r="G2305">
        <v>2</v>
      </c>
      <c r="H2305">
        <v>0</v>
      </c>
      <c r="I2305">
        <v>1</v>
      </c>
      <c r="J2305" s="4" t="s">
        <v>52</v>
      </c>
      <c r="K2305" t="str">
        <f t="shared" si="116"/>
        <v>2+0</v>
      </c>
      <c r="L2305">
        <f>VLOOKUP(A2305,'ZONE 1 PREMIUM'!$A$4:$N$16,14,0)</f>
        <v>8</v>
      </c>
      <c r="M2305">
        <f>VLOOKUP(D2305,DROPDOWN!B:C,2,0)</f>
        <v>9</v>
      </c>
      <c r="N2305" t="str">
        <f t="shared" si="114"/>
        <v>X81:AP92</v>
      </c>
      <c r="O2305" s="4">
        <f t="shared" ca="1" si="115"/>
        <v>136216.34999999998</v>
      </c>
    </row>
    <row r="2306" spans="1:15">
      <c r="A2306" s="2" t="s">
        <v>18</v>
      </c>
      <c r="B2306" t="s">
        <v>39</v>
      </c>
      <c r="C2306" t="s">
        <v>40</v>
      </c>
      <c r="D2306">
        <v>25</v>
      </c>
      <c r="E2306" t="s">
        <v>46</v>
      </c>
      <c r="F2306">
        <v>2</v>
      </c>
      <c r="G2306">
        <v>2</v>
      </c>
      <c r="H2306">
        <v>0</v>
      </c>
      <c r="I2306">
        <v>1</v>
      </c>
      <c r="J2306" s="4" t="s">
        <v>52</v>
      </c>
      <c r="K2306" t="str">
        <f t="shared" si="116"/>
        <v>2+0</v>
      </c>
      <c r="L2306">
        <f>VLOOKUP(A2306,'ZONE 1 PREMIUM'!$A$4:$N$16,14,0)</f>
        <v>9</v>
      </c>
      <c r="M2306">
        <f>VLOOKUP(D2306,DROPDOWN!B:C,2,0)</f>
        <v>9</v>
      </c>
      <c r="N2306" t="str">
        <f t="shared" ref="N2306:N2353" si="117">VLOOKUP(K2306,$AQ$3:$AR$12,2,0)</f>
        <v>X81:AP92</v>
      </c>
      <c r="O2306" s="4">
        <f t="shared" ref="O2306:O2369" ca="1" si="118">INDEX(INDIRECT(N2306),L2306,M2306)</f>
        <v>191656.69999999998</v>
      </c>
    </row>
    <row r="2307" spans="1:15">
      <c r="A2307" s="2" t="s">
        <v>19</v>
      </c>
      <c r="B2307" t="s">
        <v>41</v>
      </c>
      <c r="C2307" t="s">
        <v>42</v>
      </c>
      <c r="D2307">
        <v>25</v>
      </c>
      <c r="E2307" t="s">
        <v>46</v>
      </c>
      <c r="F2307">
        <v>2</v>
      </c>
      <c r="G2307">
        <v>2</v>
      </c>
      <c r="H2307">
        <v>0</v>
      </c>
      <c r="I2307">
        <v>1</v>
      </c>
      <c r="J2307" s="4" t="s">
        <v>52</v>
      </c>
      <c r="K2307" t="str">
        <f t="shared" si="116"/>
        <v>2+0</v>
      </c>
      <c r="L2307">
        <f>VLOOKUP(A2307,'ZONE 1 PREMIUM'!$A$4:$N$16,14,0)</f>
        <v>10</v>
      </c>
      <c r="M2307">
        <f>VLOOKUP(D2307,DROPDOWN!B:C,2,0)</f>
        <v>9</v>
      </c>
      <c r="N2307" t="str">
        <f t="shared" si="117"/>
        <v>X81:AP92</v>
      </c>
      <c r="O2307" s="4">
        <f t="shared" ca="1" si="118"/>
        <v>269324.25</v>
      </c>
    </row>
    <row r="2308" spans="1:15">
      <c r="A2308" s="2" t="s">
        <v>20</v>
      </c>
      <c r="B2308" t="s">
        <v>43</v>
      </c>
      <c r="C2308" t="s">
        <v>44</v>
      </c>
      <c r="D2308">
        <v>25</v>
      </c>
      <c r="E2308" t="s">
        <v>46</v>
      </c>
      <c r="F2308">
        <v>2</v>
      </c>
      <c r="G2308">
        <v>2</v>
      </c>
      <c r="H2308">
        <v>0</v>
      </c>
      <c r="I2308">
        <v>1</v>
      </c>
      <c r="J2308" s="4" t="s">
        <v>52</v>
      </c>
      <c r="K2308" t="str">
        <f t="shared" ref="K2308:K2371" si="119">G2308&amp;"+"&amp;H2308</f>
        <v>2+0</v>
      </c>
      <c r="L2308">
        <f>VLOOKUP(A2308,'ZONE 1 PREMIUM'!$A$4:$N$16,14,0)</f>
        <v>11</v>
      </c>
      <c r="M2308">
        <f>VLOOKUP(D2308,DROPDOWN!B:C,2,0)</f>
        <v>9</v>
      </c>
      <c r="N2308" t="str">
        <f t="shared" si="117"/>
        <v>X81:AP92</v>
      </c>
      <c r="O2308" s="4">
        <f t="shared" ca="1" si="118"/>
        <v>335215.8</v>
      </c>
    </row>
    <row r="2309" spans="1:15">
      <c r="A2309" s="2" t="s">
        <v>21</v>
      </c>
      <c r="B2309" t="s">
        <v>22</v>
      </c>
      <c r="D2309">
        <v>25</v>
      </c>
      <c r="E2309" t="s">
        <v>46</v>
      </c>
      <c r="F2309">
        <v>2</v>
      </c>
      <c r="G2309">
        <v>2</v>
      </c>
      <c r="H2309">
        <v>0</v>
      </c>
      <c r="I2309">
        <v>1</v>
      </c>
      <c r="J2309" s="4" t="s">
        <v>52</v>
      </c>
      <c r="K2309" t="str">
        <f t="shared" si="119"/>
        <v>2+0</v>
      </c>
      <c r="L2309">
        <f>VLOOKUP(A2309,'ZONE 1 PREMIUM'!$A$4:$N$16,14,0)</f>
        <v>12</v>
      </c>
      <c r="M2309">
        <f>VLOOKUP(D2309,DROPDOWN!B:C,2,0)</f>
        <v>9</v>
      </c>
      <c r="N2309" t="str">
        <f t="shared" si="117"/>
        <v>X81:AP92</v>
      </c>
      <c r="O2309" s="4">
        <f t="shared" ca="1" si="118"/>
        <v>430105.74999999994</v>
      </c>
    </row>
    <row r="2310" spans="1:15">
      <c r="A2310" s="2" t="s">
        <v>11</v>
      </c>
      <c r="B2310" t="s">
        <v>45</v>
      </c>
      <c r="C2310" t="s">
        <v>25</v>
      </c>
      <c r="D2310">
        <v>25</v>
      </c>
      <c r="E2310" t="s">
        <v>46</v>
      </c>
      <c r="F2310">
        <v>3</v>
      </c>
      <c r="G2310">
        <v>2</v>
      </c>
      <c r="H2310">
        <v>1</v>
      </c>
      <c r="I2310">
        <v>1</v>
      </c>
      <c r="J2310" s="4" t="s">
        <v>52</v>
      </c>
      <c r="K2310" t="str">
        <f t="shared" si="119"/>
        <v>2+1</v>
      </c>
      <c r="L2310">
        <f>VLOOKUP(A2310,'ZONE 1 PREMIUM'!$A$4:$N$16,14,0)</f>
        <v>2</v>
      </c>
      <c r="M2310">
        <f>VLOOKUP(D2310,DROPDOWN!B:C,2,0)</f>
        <v>9</v>
      </c>
      <c r="N2310" t="str">
        <f t="shared" si="117"/>
        <v>X98:AP109</v>
      </c>
      <c r="O2310" s="4">
        <f t="shared" ca="1" si="118"/>
        <v>48805.999999999993</v>
      </c>
    </row>
    <row r="2311" spans="1:15">
      <c r="A2311" s="2" t="s">
        <v>12</v>
      </c>
      <c r="B2311" t="s">
        <v>27</v>
      </c>
      <c r="C2311" t="s">
        <v>28</v>
      </c>
      <c r="D2311">
        <v>25</v>
      </c>
      <c r="E2311" t="s">
        <v>46</v>
      </c>
      <c r="F2311">
        <v>3</v>
      </c>
      <c r="G2311">
        <v>2</v>
      </c>
      <c r="H2311">
        <v>1</v>
      </c>
      <c r="I2311">
        <v>1</v>
      </c>
      <c r="J2311" s="4" t="s">
        <v>52</v>
      </c>
      <c r="K2311" t="str">
        <f t="shared" si="119"/>
        <v>2+1</v>
      </c>
      <c r="L2311">
        <f>VLOOKUP(A2311,'ZONE 1 PREMIUM'!$A$4:$N$16,14,0)</f>
        <v>3</v>
      </c>
      <c r="M2311">
        <f>VLOOKUP(D2311,DROPDOWN!B:C,2,0)</f>
        <v>9</v>
      </c>
      <c r="N2311" t="str">
        <f t="shared" si="117"/>
        <v>X98:AP109</v>
      </c>
      <c r="O2311" s="4">
        <f t="shared" ca="1" si="118"/>
        <v>53980.999999999993</v>
      </c>
    </row>
    <row r="2312" spans="1:15">
      <c r="A2312" s="2" t="s">
        <v>13</v>
      </c>
      <c r="B2312" t="s">
        <v>29</v>
      </c>
      <c r="C2312" t="s">
        <v>30</v>
      </c>
      <c r="D2312">
        <v>25</v>
      </c>
      <c r="E2312" t="s">
        <v>46</v>
      </c>
      <c r="F2312">
        <v>3</v>
      </c>
      <c r="G2312">
        <v>2</v>
      </c>
      <c r="H2312">
        <v>1</v>
      </c>
      <c r="I2312">
        <v>1</v>
      </c>
      <c r="J2312" s="4" t="s">
        <v>52</v>
      </c>
      <c r="K2312" t="str">
        <f t="shared" si="119"/>
        <v>2+1</v>
      </c>
      <c r="L2312">
        <f>VLOOKUP(A2312,'ZONE 1 PREMIUM'!$A$4:$N$16,14,0)</f>
        <v>4</v>
      </c>
      <c r="M2312">
        <f>VLOOKUP(D2312,DROPDOWN!B:C,2,0)</f>
        <v>9</v>
      </c>
      <c r="N2312" t="str">
        <f t="shared" si="117"/>
        <v>X98:AP109</v>
      </c>
      <c r="O2312" s="4">
        <f t="shared" ca="1" si="118"/>
        <v>60500.35</v>
      </c>
    </row>
    <row r="2313" spans="1:15">
      <c r="A2313" s="2" t="s">
        <v>14</v>
      </c>
      <c r="B2313" t="s">
        <v>31</v>
      </c>
      <c r="C2313" t="s">
        <v>32</v>
      </c>
      <c r="D2313">
        <v>25</v>
      </c>
      <c r="E2313" t="s">
        <v>46</v>
      </c>
      <c r="F2313">
        <v>3</v>
      </c>
      <c r="G2313">
        <v>2</v>
      </c>
      <c r="H2313">
        <v>1</v>
      </c>
      <c r="I2313">
        <v>1</v>
      </c>
      <c r="J2313" s="4" t="s">
        <v>52</v>
      </c>
      <c r="K2313" t="str">
        <f t="shared" si="119"/>
        <v>2+1</v>
      </c>
      <c r="L2313">
        <f>VLOOKUP(A2313,'ZONE 1 PREMIUM'!$A$4:$N$16,14,0)</f>
        <v>5</v>
      </c>
      <c r="M2313">
        <f>VLOOKUP(D2313,DROPDOWN!B:C,2,0)</f>
        <v>9</v>
      </c>
      <c r="N2313" t="str">
        <f t="shared" si="117"/>
        <v>X98:AP109</v>
      </c>
      <c r="O2313" s="4">
        <f t="shared" ca="1" si="118"/>
        <v>69166.75</v>
      </c>
    </row>
    <row r="2314" spans="1:15">
      <c r="A2314" s="2" t="s">
        <v>15</v>
      </c>
      <c r="B2314" t="s">
        <v>33</v>
      </c>
      <c r="C2314" t="s">
        <v>34</v>
      </c>
      <c r="D2314">
        <v>25</v>
      </c>
      <c r="E2314" t="s">
        <v>46</v>
      </c>
      <c r="F2314">
        <v>3</v>
      </c>
      <c r="G2314">
        <v>2</v>
      </c>
      <c r="H2314">
        <v>1</v>
      </c>
      <c r="I2314">
        <v>1</v>
      </c>
      <c r="J2314" s="4" t="s">
        <v>52</v>
      </c>
      <c r="K2314" t="str">
        <f t="shared" si="119"/>
        <v>2+1</v>
      </c>
      <c r="L2314">
        <f>VLOOKUP(A2314,'ZONE 1 PREMIUM'!$A$4:$N$16,14,0)</f>
        <v>6</v>
      </c>
      <c r="M2314">
        <f>VLOOKUP(D2314,DROPDOWN!B:C,2,0)</f>
        <v>9</v>
      </c>
      <c r="N2314" t="str">
        <f t="shared" si="117"/>
        <v>X98:AP109</v>
      </c>
      <c r="O2314" s="4">
        <f t="shared" ca="1" si="118"/>
        <v>87041.2</v>
      </c>
    </row>
    <row r="2315" spans="1:15">
      <c r="A2315" s="2" t="s">
        <v>16</v>
      </c>
      <c r="B2315" t="s">
        <v>35</v>
      </c>
      <c r="C2315" t="s">
        <v>36</v>
      </c>
      <c r="D2315">
        <v>25</v>
      </c>
      <c r="E2315" t="s">
        <v>46</v>
      </c>
      <c r="F2315">
        <v>3</v>
      </c>
      <c r="G2315">
        <v>2</v>
      </c>
      <c r="H2315">
        <v>1</v>
      </c>
      <c r="I2315">
        <v>1</v>
      </c>
      <c r="J2315" s="4" t="s">
        <v>52</v>
      </c>
      <c r="K2315" t="str">
        <f t="shared" si="119"/>
        <v>2+1</v>
      </c>
      <c r="L2315">
        <f>VLOOKUP(A2315,'ZONE 1 PREMIUM'!$A$4:$N$16,14,0)</f>
        <v>7</v>
      </c>
      <c r="M2315">
        <f>VLOOKUP(D2315,DROPDOWN!B:C,2,0)</f>
        <v>9</v>
      </c>
      <c r="N2315" t="str">
        <f t="shared" si="117"/>
        <v>X98:AP109</v>
      </c>
      <c r="O2315" s="4">
        <f t="shared" ca="1" si="118"/>
        <v>114403.15</v>
      </c>
    </row>
    <row r="2316" spans="1:15">
      <c r="A2316" s="2" t="s">
        <v>17</v>
      </c>
      <c r="B2316" t="s">
        <v>37</v>
      </c>
      <c r="C2316" t="s">
        <v>38</v>
      </c>
      <c r="D2316">
        <v>25</v>
      </c>
      <c r="E2316" t="s">
        <v>46</v>
      </c>
      <c r="F2316">
        <v>3</v>
      </c>
      <c r="G2316">
        <v>2</v>
      </c>
      <c r="H2316">
        <v>1</v>
      </c>
      <c r="I2316">
        <v>1</v>
      </c>
      <c r="J2316" s="4" t="s">
        <v>52</v>
      </c>
      <c r="K2316" t="str">
        <f t="shared" si="119"/>
        <v>2+1</v>
      </c>
      <c r="L2316">
        <f>VLOOKUP(A2316,'ZONE 1 PREMIUM'!$A$4:$N$16,14,0)</f>
        <v>8</v>
      </c>
      <c r="M2316">
        <f>VLOOKUP(D2316,DROPDOWN!B:C,2,0)</f>
        <v>9</v>
      </c>
      <c r="N2316" t="str">
        <f t="shared" si="117"/>
        <v>X98:AP109</v>
      </c>
      <c r="O2316" s="4">
        <f t="shared" ca="1" si="118"/>
        <v>152339.34999999998</v>
      </c>
    </row>
    <row r="2317" spans="1:15">
      <c r="A2317" s="2" t="s">
        <v>18</v>
      </c>
      <c r="B2317" t="s">
        <v>39</v>
      </c>
      <c r="C2317" t="s">
        <v>40</v>
      </c>
      <c r="D2317">
        <v>25</v>
      </c>
      <c r="E2317" t="s">
        <v>46</v>
      </c>
      <c r="F2317">
        <v>3</v>
      </c>
      <c r="G2317">
        <v>2</v>
      </c>
      <c r="H2317">
        <v>1</v>
      </c>
      <c r="I2317">
        <v>1</v>
      </c>
      <c r="J2317" s="4" t="s">
        <v>52</v>
      </c>
      <c r="K2317" t="str">
        <f t="shared" si="119"/>
        <v>2+1</v>
      </c>
      <c r="L2317">
        <f>VLOOKUP(A2317,'ZONE 1 PREMIUM'!$A$4:$N$16,14,0)</f>
        <v>9</v>
      </c>
      <c r="M2317">
        <f>VLOOKUP(D2317,DROPDOWN!B:C,2,0)</f>
        <v>9</v>
      </c>
      <c r="N2317" t="str">
        <f t="shared" si="117"/>
        <v>X98:AP109</v>
      </c>
      <c r="O2317" s="4">
        <f t="shared" ca="1" si="118"/>
        <v>208072.94999999998</v>
      </c>
    </row>
    <row r="2318" spans="1:15">
      <c r="A2318" s="2" t="s">
        <v>19</v>
      </c>
      <c r="B2318" t="s">
        <v>41</v>
      </c>
      <c r="C2318" t="s">
        <v>42</v>
      </c>
      <c r="D2318">
        <v>25</v>
      </c>
      <c r="E2318" t="s">
        <v>46</v>
      </c>
      <c r="F2318">
        <v>3</v>
      </c>
      <c r="G2318">
        <v>2</v>
      </c>
      <c r="H2318">
        <v>1</v>
      </c>
      <c r="I2318">
        <v>1</v>
      </c>
      <c r="J2318" s="4" t="s">
        <v>52</v>
      </c>
      <c r="K2318" t="str">
        <f t="shared" si="119"/>
        <v>2+1</v>
      </c>
      <c r="L2318">
        <f>VLOOKUP(A2318,'ZONE 1 PREMIUM'!$A$4:$N$16,14,0)</f>
        <v>10</v>
      </c>
      <c r="M2318">
        <f>VLOOKUP(D2318,DROPDOWN!B:C,2,0)</f>
        <v>9</v>
      </c>
      <c r="N2318" t="str">
        <f t="shared" si="117"/>
        <v>X98:AP109</v>
      </c>
      <c r="O2318" s="4">
        <f t="shared" ca="1" si="118"/>
        <v>279746.69999999995</v>
      </c>
    </row>
    <row r="2319" spans="1:15">
      <c r="A2319" s="2" t="s">
        <v>20</v>
      </c>
      <c r="B2319" t="s">
        <v>43</v>
      </c>
      <c r="C2319" t="s">
        <v>44</v>
      </c>
      <c r="D2319">
        <v>25</v>
      </c>
      <c r="E2319" t="s">
        <v>46</v>
      </c>
      <c r="F2319">
        <v>3</v>
      </c>
      <c r="G2319">
        <v>2</v>
      </c>
      <c r="H2319">
        <v>1</v>
      </c>
      <c r="I2319">
        <v>1</v>
      </c>
      <c r="J2319" s="4" t="s">
        <v>52</v>
      </c>
      <c r="K2319" t="str">
        <f t="shared" si="119"/>
        <v>2+1</v>
      </c>
      <c r="L2319">
        <f>VLOOKUP(A2319,'ZONE 1 PREMIUM'!$A$4:$N$16,14,0)</f>
        <v>11</v>
      </c>
      <c r="M2319">
        <f>VLOOKUP(D2319,DROPDOWN!B:C,2,0)</f>
        <v>9</v>
      </c>
      <c r="N2319" t="str">
        <f t="shared" si="117"/>
        <v>X98:AP109</v>
      </c>
      <c r="O2319" s="4">
        <f t="shared" ca="1" si="118"/>
        <v>343396.89999999997</v>
      </c>
    </row>
    <row r="2320" spans="1:15">
      <c r="A2320" s="2" t="s">
        <v>21</v>
      </c>
      <c r="B2320" t="s">
        <v>22</v>
      </c>
      <c r="D2320">
        <v>25</v>
      </c>
      <c r="E2320" t="s">
        <v>46</v>
      </c>
      <c r="F2320">
        <v>3</v>
      </c>
      <c r="G2320">
        <v>2</v>
      </c>
      <c r="H2320">
        <v>1</v>
      </c>
      <c r="I2320">
        <v>1</v>
      </c>
      <c r="J2320" s="4" t="s">
        <v>52</v>
      </c>
      <c r="K2320" t="str">
        <f t="shared" si="119"/>
        <v>2+1</v>
      </c>
      <c r="L2320">
        <f>VLOOKUP(A2320,'ZONE 1 PREMIUM'!$A$4:$N$16,14,0)</f>
        <v>12</v>
      </c>
      <c r="M2320">
        <f>VLOOKUP(D2320,DROPDOWN!B:C,2,0)</f>
        <v>9</v>
      </c>
      <c r="N2320" t="str">
        <f t="shared" si="117"/>
        <v>X98:AP109</v>
      </c>
      <c r="O2320" s="4">
        <f t="shared" ca="1" si="118"/>
        <v>437916.55</v>
      </c>
    </row>
    <row r="2321" spans="1:15">
      <c r="A2321" s="2" t="s">
        <v>11</v>
      </c>
      <c r="B2321" t="s">
        <v>45</v>
      </c>
      <c r="C2321" t="s">
        <v>25</v>
      </c>
      <c r="D2321">
        <v>25</v>
      </c>
      <c r="E2321" t="s">
        <v>46</v>
      </c>
      <c r="F2321">
        <v>4</v>
      </c>
      <c r="G2321">
        <v>2</v>
      </c>
      <c r="H2321">
        <v>2</v>
      </c>
      <c r="I2321">
        <v>1</v>
      </c>
      <c r="J2321" s="4" t="s">
        <v>52</v>
      </c>
      <c r="K2321" t="str">
        <f t="shared" si="119"/>
        <v>2+2</v>
      </c>
      <c r="L2321">
        <f>VLOOKUP(A2321,'ZONE 1 PREMIUM'!$A$4:$N$16,14,0)</f>
        <v>2</v>
      </c>
      <c r="M2321">
        <f>VLOOKUP(D2321,DROPDOWN!B:C,2,0)</f>
        <v>9</v>
      </c>
      <c r="N2321" t="str">
        <f t="shared" si="117"/>
        <v>X113:AP124</v>
      </c>
      <c r="O2321" s="4">
        <f t="shared" ca="1" si="118"/>
        <v>57226.299999999996</v>
      </c>
    </row>
    <row r="2322" spans="1:15">
      <c r="A2322" s="2" t="s">
        <v>12</v>
      </c>
      <c r="B2322" t="s">
        <v>27</v>
      </c>
      <c r="C2322" t="s">
        <v>28</v>
      </c>
      <c r="D2322">
        <v>25</v>
      </c>
      <c r="E2322" t="s">
        <v>46</v>
      </c>
      <c r="F2322">
        <v>4</v>
      </c>
      <c r="G2322">
        <v>2</v>
      </c>
      <c r="H2322">
        <v>2</v>
      </c>
      <c r="I2322">
        <v>1</v>
      </c>
      <c r="J2322" s="4" t="s">
        <v>52</v>
      </c>
      <c r="K2322" t="str">
        <f t="shared" si="119"/>
        <v>2+2</v>
      </c>
      <c r="L2322">
        <f>VLOOKUP(A2322,'ZONE 1 PREMIUM'!$A$4:$N$16,14,0)</f>
        <v>3</v>
      </c>
      <c r="M2322">
        <f>VLOOKUP(D2322,DROPDOWN!B:C,2,0)</f>
        <v>9</v>
      </c>
      <c r="N2322" t="str">
        <f t="shared" si="117"/>
        <v>X113:AP124</v>
      </c>
      <c r="O2322" s="4">
        <f t="shared" ca="1" si="118"/>
        <v>62251.799999999996</v>
      </c>
    </row>
    <row r="2323" spans="1:15">
      <c r="A2323" s="2" t="s">
        <v>13</v>
      </c>
      <c r="B2323" t="s">
        <v>29</v>
      </c>
      <c r="C2323" t="s">
        <v>30</v>
      </c>
      <c r="D2323">
        <v>25</v>
      </c>
      <c r="E2323" t="s">
        <v>46</v>
      </c>
      <c r="F2323">
        <v>4</v>
      </c>
      <c r="G2323">
        <v>2</v>
      </c>
      <c r="H2323">
        <v>2</v>
      </c>
      <c r="I2323">
        <v>1</v>
      </c>
      <c r="J2323" s="4" t="s">
        <v>52</v>
      </c>
      <c r="K2323" t="str">
        <f t="shared" si="119"/>
        <v>2+2</v>
      </c>
      <c r="L2323">
        <f>VLOOKUP(A2323,'ZONE 1 PREMIUM'!$A$4:$N$16,14,0)</f>
        <v>4</v>
      </c>
      <c r="M2323">
        <f>VLOOKUP(D2323,DROPDOWN!B:C,2,0)</f>
        <v>9</v>
      </c>
      <c r="N2323" t="str">
        <f t="shared" si="117"/>
        <v>X113:AP124</v>
      </c>
      <c r="O2323" s="4">
        <f t="shared" ca="1" si="118"/>
        <v>70162.649999999994</v>
      </c>
    </row>
    <row r="2324" spans="1:15">
      <c r="A2324" s="2" t="s">
        <v>14</v>
      </c>
      <c r="B2324" t="s">
        <v>31</v>
      </c>
      <c r="C2324" t="s">
        <v>32</v>
      </c>
      <c r="D2324">
        <v>25</v>
      </c>
      <c r="E2324" t="s">
        <v>46</v>
      </c>
      <c r="F2324">
        <v>4</v>
      </c>
      <c r="G2324">
        <v>2</v>
      </c>
      <c r="H2324">
        <v>2</v>
      </c>
      <c r="I2324">
        <v>1</v>
      </c>
      <c r="J2324" s="4" t="s">
        <v>52</v>
      </c>
      <c r="K2324" t="str">
        <f t="shared" si="119"/>
        <v>2+2</v>
      </c>
      <c r="L2324">
        <f>VLOOKUP(A2324,'ZONE 1 PREMIUM'!$A$4:$N$16,14,0)</f>
        <v>5</v>
      </c>
      <c r="M2324">
        <f>VLOOKUP(D2324,DROPDOWN!B:C,2,0)</f>
        <v>9</v>
      </c>
      <c r="N2324" t="str">
        <f t="shared" si="117"/>
        <v>X113:AP124</v>
      </c>
      <c r="O2324" s="4">
        <f t="shared" ca="1" si="118"/>
        <v>79501.799999999988</v>
      </c>
    </row>
    <row r="2325" spans="1:15">
      <c r="A2325" s="2" t="s">
        <v>15</v>
      </c>
      <c r="B2325" t="s">
        <v>33</v>
      </c>
      <c r="C2325" t="s">
        <v>34</v>
      </c>
      <c r="D2325">
        <v>25</v>
      </c>
      <c r="E2325" t="s">
        <v>46</v>
      </c>
      <c r="F2325">
        <v>4</v>
      </c>
      <c r="G2325">
        <v>2</v>
      </c>
      <c r="H2325">
        <v>2</v>
      </c>
      <c r="I2325">
        <v>1</v>
      </c>
      <c r="J2325" s="4" t="s">
        <v>52</v>
      </c>
      <c r="K2325" t="str">
        <f t="shared" si="119"/>
        <v>2+2</v>
      </c>
      <c r="L2325">
        <f>VLOOKUP(A2325,'ZONE 1 PREMIUM'!$A$4:$N$16,14,0)</f>
        <v>6</v>
      </c>
      <c r="M2325">
        <f>VLOOKUP(D2325,DROPDOWN!B:C,2,0)</f>
        <v>9</v>
      </c>
      <c r="N2325" t="str">
        <f t="shared" si="117"/>
        <v>X113:AP124</v>
      </c>
      <c r="O2325" s="4">
        <f t="shared" ca="1" si="118"/>
        <v>98682.65</v>
      </c>
    </row>
    <row r="2326" spans="1:15">
      <c r="A2326" s="2" t="s">
        <v>16</v>
      </c>
      <c r="B2326" t="s">
        <v>35</v>
      </c>
      <c r="C2326" t="s">
        <v>36</v>
      </c>
      <c r="D2326">
        <v>25</v>
      </c>
      <c r="E2326" t="s">
        <v>46</v>
      </c>
      <c r="F2326">
        <v>4</v>
      </c>
      <c r="G2326">
        <v>2</v>
      </c>
      <c r="H2326">
        <v>2</v>
      </c>
      <c r="I2326">
        <v>1</v>
      </c>
      <c r="J2326" s="4" t="s">
        <v>52</v>
      </c>
      <c r="K2326" t="str">
        <f t="shared" si="119"/>
        <v>2+2</v>
      </c>
      <c r="L2326">
        <f>VLOOKUP(A2326,'ZONE 1 PREMIUM'!$A$4:$N$16,14,0)</f>
        <v>7</v>
      </c>
      <c r="M2326">
        <f>VLOOKUP(D2326,DROPDOWN!B:C,2,0)</f>
        <v>9</v>
      </c>
      <c r="N2326" t="str">
        <f t="shared" si="117"/>
        <v>X113:AP124</v>
      </c>
      <c r="O2326" s="4">
        <f t="shared" ca="1" si="118"/>
        <v>128886.24999999999</v>
      </c>
    </row>
    <row r="2327" spans="1:15">
      <c r="A2327" s="2" t="s">
        <v>17</v>
      </c>
      <c r="B2327" t="s">
        <v>37</v>
      </c>
      <c r="C2327" t="s">
        <v>38</v>
      </c>
      <c r="D2327">
        <v>25</v>
      </c>
      <c r="E2327" t="s">
        <v>46</v>
      </c>
      <c r="F2327">
        <v>4</v>
      </c>
      <c r="G2327">
        <v>2</v>
      </c>
      <c r="H2327">
        <v>2</v>
      </c>
      <c r="I2327">
        <v>1</v>
      </c>
      <c r="J2327" s="4" t="s">
        <v>52</v>
      </c>
      <c r="K2327" t="str">
        <f t="shared" si="119"/>
        <v>2+2</v>
      </c>
      <c r="L2327">
        <f>VLOOKUP(A2327,'ZONE 1 PREMIUM'!$A$4:$N$16,14,0)</f>
        <v>8</v>
      </c>
      <c r="M2327">
        <f>VLOOKUP(D2327,DROPDOWN!B:C,2,0)</f>
        <v>9</v>
      </c>
      <c r="N2327" t="str">
        <f t="shared" si="117"/>
        <v>X113:AP124</v>
      </c>
      <c r="O2327" s="4">
        <f t="shared" ca="1" si="118"/>
        <v>166027.79999999999</v>
      </c>
    </row>
    <row r="2328" spans="1:15">
      <c r="A2328" s="2" t="s">
        <v>18</v>
      </c>
      <c r="B2328" t="s">
        <v>39</v>
      </c>
      <c r="C2328" t="s">
        <v>40</v>
      </c>
      <c r="D2328">
        <v>25</v>
      </c>
      <c r="E2328" t="s">
        <v>46</v>
      </c>
      <c r="F2328">
        <v>4</v>
      </c>
      <c r="G2328">
        <v>2</v>
      </c>
      <c r="H2328">
        <v>2</v>
      </c>
      <c r="I2328">
        <v>1</v>
      </c>
      <c r="J2328" s="4" t="s">
        <v>52</v>
      </c>
      <c r="K2328" t="str">
        <f t="shared" si="119"/>
        <v>2+2</v>
      </c>
      <c r="L2328">
        <f>VLOOKUP(A2328,'ZONE 1 PREMIUM'!$A$4:$N$16,14,0)</f>
        <v>9</v>
      </c>
      <c r="M2328">
        <f>VLOOKUP(D2328,DROPDOWN!B:C,2,0)</f>
        <v>9</v>
      </c>
      <c r="N2328" t="str">
        <f t="shared" si="117"/>
        <v>X113:AP124</v>
      </c>
      <c r="O2328" s="4">
        <f t="shared" ca="1" si="118"/>
        <v>219161.24999999997</v>
      </c>
    </row>
    <row r="2329" spans="1:15">
      <c r="A2329" s="2" t="s">
        <v>19</v>
      </c>
      <c r="B2329" t="s">
        <v>41</v>
      </c>
      <c r="C2329" t="s">
        <v>42</v>
      </c>
      <c r="D2329">
        <v>25</v>
      </c>
      <c r="E2329" t="s">
        <v>46</v>
      </c>
      <c r="F2329">
        <v>4</v>
      </c>
      <c r="G2329">
        <v>2</v>
      </c>
      <c r="H2329">
        <v>2</v>
      </c>
      <c r="I2329">
        <v>1</v>
      </c>
      <c r="J2329" s="4" t="s">
        <v>52</v>
      </c>
      <c r="K2329" t="str">
        <f t="shared" si="119"/>
        <v>2+2</v>
      </c>
      <c r="L2329">
        <f>VLOOKUP(A2329,'ZONE 1 PREMIUM'!$A$4:$N$16,14,0)</f>
        <v>10</v>
      </c>
      <c r="M2329">
        <f>VLOOKUP(D2329,DROPDOWN!B:C,2,0)</f>
        <v>9</v>
      </c>
      <c r="N2329" t="str">
        <f t="shared" si="117"/>
        <v>X113:AP124</v>
      </c>
      <c r="O2329" s="4">
        <f t="shared" ca="1" si="118"/>
        <v>284963.09999999998</v>
      </c>
    </row>
    <row r="2330" spans="1:15">
      <c r="A2330" s="2" t="s">
        <v>20</v>
      </c>
      <c r="B2330" t="s">
        <v>43</v>
      </c>
      <c r="C2330" t="s">
        <v>44</v>
      </c>
      <c r="D2330">
        <v>25</v>
      </c>
      <c r="E2330" t="s">
        <v>46</v>
      </c>
      <c r="F2330">
        <v>4</v>
      </c>
      <c r="G2330">
        <v>2</v>
      </c>
      <c r="H2330">
        <v>2</v>
      </c>
      <c r="I2330">
        <v>1</v>
      </c>
      <c r="J2330" s="4" t="s">
        <v>52</v>
      </c>
      <c r="K2330" t="str">
        <f t="shared" si="119"/>
        <v>2+2</v>
      </c>
      <c r="L2330">
        <f>VLOOKUP(A2330,'ZONE 1 PREMIUM'!$A$4:$N$16,14,0)</f>
        <v>11</v>
      </c>
      <c r="M2330">
        <f>VLOOKUP(D2330,DROPDOWN!B:C,2,0)</f>
        <v>9</v>
      </c>
      <c r="N2330" t="str">
        <f t="shared" si="117"/>
        <v>X113:AP124</v>
      </c>
      <c r="O2330" s="4">
        <f t="shared" ca="1" si="118"/>
        <v>349131.94999999995</v>
      </c>
    </row>
    <row r="2331" spans="1:15">
      <c r="A2331" s="2" t="s">
        <v>21</v>
      </c>
      <c r="B2331" t="s">
        <v>22</v>
      </c>
      <c r="D2331">
        <v>25</v>
      </c>
      <c r="E2331" t="s">
        <v>46</v>
      </c>
      <c r="F2331">
        <v>4</v>
      </c>
      <c r="G2331">
        <v>2</v>
      </c>
      <c r="H2331">
        <v>2</v>
      </c>
      <c r="I2331">
        <v>1</v>
      </c>
      <c r="J2331" s="4" t="s">
        <v>52</v>
      </c>
      <c r="K2331" t="str">
        <f t="shared" si="119"/>
        <v>2+2</v>
      </c>
      <c r="L2331">
        <f>VLOOKUP(A2331,'ZONE 1 PREMIUM'!$A$4:$N$16,14,0)</f>
        <v>12</v>
      </c>
      <c r="M2331">
        <f>VLOOKUP(D2331,DROPDOWN!B:C,2,0)</f>
        <v>9</v>
      </c>
      <c r="N2331" t="str">
        <f t="shared" si="117"/>
        <v>X113:AP124</v>
      </c>
      <c r="O2331" s="4">
        <f t="shared" ca="1" si="118"/>
        <v>443917.24999999994</v>
      </c>
    </row>
    <row r="2332" spans="1:15">
      <c r="A2332" s="2" t="s">
        <v>11</v>
      </c>
      <c r="B2332" t="s">
        <v>45</v>
      </c>
      <c r="C2332" t="s">
        <v>25</v>
      </c>
      <c r="D2332">
        <v>25</v>
      </c>
      <c r="E2332" t="s">
        <v>46</v>
      </c>
      <c r="F2332">
        <v>5</v>
      </c>
      <c r="G2332">
        <v>2</v>
      </c>
      <c r="H2332">
        <v>3</v>
      </c>
      <c r="I2332">
        <v>1</v>
      </c>
      <c r="J2332" s="4" t="s">
        <v>52</v>
      </c>
      <c r="K2332" t="str">
        <f t="shared" si="119"/>
        <v>2+3</v>
      </c>
      <c r="L2332">
        <f>VLOOKUP(A2332,'ZONE 1 PREMIUM'!$A$4:$N$16,14,0)</f>
        <v>2</v>
      </c>
      <c r="M2332">
        <f>VLOOKUP(D2332,DROPDOWN!B:C,2,0)</f>
        <v>9</v>
      </c>
      <c r="N2332" t="str">
        <f t="shared" si="117"/>
        <v>X128:AP139</v>
      </c>
      <c r="O2332" s="4">
        <f t="shared" ca="1" si="118"/>
        <v>65645.45</v>
      </c>
    </row>
    <row r="2333" spans="1:15">
      <c r="A2333" s="2" t="s">
        <v>12</v>
      </c>
      <c r="B2333" t="s">
        <v>27</v>
      </c>
      <c r="C2333" t="s">
        <v>28</v>
      </c>
      <c r="D2333">
        <v>25</v>
      </c>
      <c r="E2333" t="s">
        <v>46</v>
      </c>
      <c r="F2333">
        <v>5</v>
      </c>
      <c r="G2333">
        <v>2</v>
      </c>
      <c r="H2333">
        <v>3</v>
      </c>
      <c r="I2333">
        <v>1</v>
      </c>
      <c r="J2333" s="4" t="s">
        <v>52</v>
      </c>
      <c r="K2333" t="str">
        <f t="shared" si="119"/>
        <v>2+3</v>
      </c>
      <c r="L2333">
        <f>VLOOKUP(A2333,'ZONE 1 PREMIUM'!$A$4:$N$16,14,0)</f>
        <v>3</v>
      </c>
      <c r="M2333">
        <f>VLOOKUP(D2333,DROPDOWN!B:C,2,0)</f>
        <v>9</v>
      </c>
      <c r="N2333" t="str">
        <f t="shared" si="117"/>
        <v>X128:AP139</v>
      </c>
      <c r="O2333" s="4">
        <f t="shared" ca="1" si="118"/>
        <v>70521.45</v>
      </c>
    </row>
    <row r="2334" spans="1:15">
      <c r="A2334" s="2" t="s">
        <v>13</v>
      </c>
      <c r="B2334" t="s">
        <v>29</v>
      </c>
      <c r="C2334" t="s">
        <v>30</v>
      </c>
      <c r="D2334">
        <v>25</v>
      </c>
      <c r="E2334" t="s">
        <v>46</v>
      </c>
      <c r="F2334">
        <v>5</v>
      </c>
      <c r="G2334">
        <v>2</v>
      </c>
      <c r="H2334">
        <v>3</v>
      </c>
      <c r="I2334">
        <v>1</v>
      </c>
      <c r="J2334" s="4" t="s">
        <v>52</v>
      </c>
      <c r="K2334" t="str">
        <f t="shared" si="119"/>
        <v>2+3</v>
      </c>
      <c r="L2334">
        <f>VLOOKUP(A2334,'ZONE 1 PREMIUM'!$A$4:$N$16,14,0)</f>
        <v>4</v>
      </c>
      <c r="M2334">
        <f>VLOOKUP(D2334,DROPDOWN!B:C,2,0)</f>
        <v>9</v>
      </c>
      <c r="N2334" t="str">
        <f t="shared" si="117"/>
        <v>X128:AP139</v>
      </c>
      <c r="O2334" s="4">
        <f t="shared" ca="1" si="118"/>
        <v>79823.799999999988</v>
      </c>
    </row>
    <row r="2335" spans="1:15">
      <c r="A2335" s="2" t="s">
        <v>14</v>
      </c>
      <c r="B2335" t="s">
        <v>31</v>
      </c>
      <c r="C2335" t="s">
        <v>32</v>
      </c>
      <c r="D2335">
        <v>25</v>
      </c>
      <c r="E2335" t="s">
        <v>46</v>
      </c>
      <c r="F2335">
        <v>5</v>
      </c>
      <c r="G2335">
        <v>2</v>
      </c>
      <c r="H2335">
        <v>3</v>
      </c>
      <c r="I2335">
        <v>1</v>
      </c>
      <c r="J2335" s="4" t="s">
        <v>52</v>
      </c>
      <c r="K2335" t="str">
        <f t="shared" si="119"/>
        <v>2+3</v>
      </c>
      <c r="L2335">
        <f>VLOOKUP(A2335,'ZONE 1 PREMIUM'!$A$4:$N$16,14,0)</f>
        <v>5</v>
      </c>
      <c r="M2335">
        <f>VLOOKUP(D2335,DROPDOWN!B:C,2,0)</f>
        <v>9</v>
      </c>
      <c r="N2335" t="str">
        <f t="shared" si="117"/>
        <v>X128:AP139</v>
      </c>
      <c r="O2335" s="4">
        <f t="shared" ca="1" si="118"/>
        <v>89836.849999999991</v>
      </c>
    </row>
    <row r="2336" spans="1:15">
      <c r="A2336" s="2" t="s">
        <v>15</v>
      </c>
      <c r="B2336" t="s">
        <v>33</v>
      </c>
      <c r="C2336" t="s">
        <v>34</v>
      </c>
      <c r="D2336">
        <v>25</v>
      </c>
      <c r="E2336" t="s">
        <v>46</v>
      </c>
      <c r="F2336">
        <v>5</v>
      </c>
      <c r="G2336">
        <v>2</v>
      </c>
      <c r="H2336">
        <v>3</v>
      </c>
      <c r="I2336">
        <v>1</v>
      </c>
      <c r="J2336" s="4" t="s">
        <v>52</v>
      </c>
      <c r="K2336" t="str">
        <f t="shared" si="119"/>
        <v>2+3</v>
      </c>
      <c r="L2336">
        <f>VLOOKUP(A2336,'ZONE 1 PREMIUM'!$A$4:$N$16,14,0)</f>
        <v>6</v>
      </c>
      <c r="M2336">
        <f>VLOOKUP(D2336,DROPDOWN!B:C,2,0)</f>
        <v>9</v>
      </c>
      <c r="N2336" t="str">
        <f t="shared" si="117"/>
        <v>X128:AP139</v>
      </c>
      <c r="O2336" s="4">
        <f t="shared" ca="1" si="118"/>
        <v>110325.24999999999</v>
      </c>
    </row>
    <row r="2337" spans="1:15">
      <c r="A2337" s="2" t="s">
        <v>16</v>
      </c>
      <c r="B2337" t="s">
        <v>35</v>
      </c>
      <c r="C2337" t="s">
        <v>36</v>
      </c>
      <c r="D2337">
        <v>25</v>
      </c>
      <c r="E2337" t="s">
        <v>46</v>
      </c>
      <c r="F2337">
        <v>5</v>
      </c>
      <c r="G2337">
        <v>2</v>
      </c>
      <c r="H2337">
        <v>3</v>
      </c>
      <c r="I2337">
        <v>1</v>
      </c>
      <c r="J2337" s="4" t="s">
        <v>52</v>
      </c>
      <c r="K2337" t="str">
        <f t="shared" si="119"/>
        <v>2+3</v>
      </c>
      <c r="L2337">
        <f>VLOOKUP(A2337,'ZONE 1 PREMIUM'!$A$4:$N$16,14,0)</f>
        <v>7</v>
      </c>
      <c r="M2337">
        <f>VLOOKUP(D2337,DROPDOWN!B:C,2,0)</f>
        <v>9</v>
      </c>
      <c r="N2337" t="str">
        <f t="shared" si="117"/>
        <v>X128:AP139</v>
      </c>
      <c r="O2337" s="4">
        <f t="shared" ca="1" si="118"/>
        <v>140788.75</v>
      </c>
    </row>
    <row r="2338" spans="1:15">
      <c r="A2338" s="2" t="s">
        <v>17</v>
      </c>
      <c r="B2338" t="s">
        <v>37</v>
      </c>
      <c r="C2338" t="s">
        <v>38</v>
      </c>
      <c r="D2338">
        <v>25</v>
      </c>
      <c r="E2338" t="s">
        <v>46</v>
      </c>
      <c r="F2338">
        <v>5</v>
      </c>
      <c r="G2338">
        <v>2</v>
      </c>
      <c r="H2338">
        <v>3</v>
      </c>
      <c r="I2338">
        <v>1</v>
      </c>
      <c r="J2338" s="4" t="s">
        <v>52</v>
      </c>
      <c r="K2338" t="str">
        <f t="shared" si="119"/>
        <v>2+3</v>
      </c>
      <c r="L2338">
        <f>VLOOKUP(A2338,'ZONE 1 PREMIUM'!$A$4:$N$16,14,0)</f>
        <v>8</v>
      </c>
      <c r="M2338">
        <f>VLOOKUP(D2338,DROPDOWN!B:C,2,0)</f>
        <v>9</v>
      </c>
      <c r="N2338" t="str">
        <f t="shared" si="117"/>
        <v>X128:AP139</v>
      </c>
      <c r="O2338" s="4">
        <f t="shared" ca="1" si="118"/>
        <v>176970.05</v>
      </c>
    </row>
    <row r="2339" spans="1:15">
      <c r="A2339" s="2" t="s">
        <v>18</v>
      </c>
      <c r="B2339" t="s">
        <v>39</v>
      </c>
      <c r="C2339" t="s">
        <v>40</v>
      </c>
      <c r="D2339">
        <v>25</v>
      </c>
      <c r="E2339" t="s">
        <v>46</v>
      </c>
      <c r="F2339">
        <v>5</v>
      </c>
      <c r="G2339">
        <v>2</v>
      </c>
      <c r="H2339">
        <v>3</v>
      </c>
      <c r="I2339">
        <v>1</v>
      </c>
      <c r="J2339" s="4" t="s">
        <v>52</v>
      </c>
      <c r="K2339" t="str">
        <f t="shared" si="119"/>
        <v>2+3</v>
      </c>
      <c r="L2339">
        <f>VLOOKUP(A2339,'ZONE 1 PREMIUM'!$A$4:$N$16,14,0)</f>
        <v>9</v>
      </c>
      <c r="M2339">
        <f>VLOOKUP(D2339,DROPDOWN!B:C,2,0)</f>
        <v>9</v>
      </c>
      <c r="N2339" t="str">
        <f t="shared" si="117"/>
        <v>X128:AP139</v>
      </c>
      <c r="O2339" s="4">
        <f t="shared" ca="1" si="118"/>
        <v>230045.99999999997</v>
      </c>
    </row>
    <row r="2340" spans="1:15">
      <c r="A2340" s="2" t="s">
        <v>19</v>
      </c>
      <c r="B2340" t="s">
        <v>41</v>
      </c>
      <c r="C2340" t="s">
        <v>42</v>
      </c>
      <c r="D2340">
        <v>25</v>
      </c>
      <c r="E2340" t="s">
        <v>46</v>
      </c>
      <c r="F2340">
        <v>5</v>
      </c>
      <c r="G2340">
        <v>2</v>
      </c>
      <c r="H2340">
        <v>3</v>
      </c>
      <c r="I2340">
        <v>1</v>
      </c>
      <c r="J2340" s="4" t="s">
        <v>52</v>
      </c>
      <c r="K2340" t="str">
        <f t="shared" si="119"/>
        <v>2+3</v>
      </c>
      <c r="L2340">
        <f>VLOOKUP(A2340,'ZONE 1 PREMIUM'!$A$4:$N$16,14,0)</f>
        <v>10</v>
      </c>
      <c r="M2340">
        <f>VLOOKUP(D2340,DROPDOWN!B:C,2,0)</f>
        <v>9</v>
      </c>
      <c r="N2340" t="str">
        <f t="shared" si="117"/>
        <v>X128:AP139</v>
      </c>
      <c r="O2340" s="4">
        <f t="shared" ca="1" si="118"/>
        <v>295321.14999999997</v>
      </c>
    </row>
    <row r="2341" spans="1:15">
      <c r="A2341" s="2" t="s">
        <v>20</v>
      </c>
      <c r="B2341" t="s">
        <v>43</v>
      </c>
      <c r="C2341" t="s">
        <v>44</v>
      </c>
      <c r="D2341">
        <v>25</v>
      </c>
      <c r="E2341" t="s">
        <v>46</v>
      </c>
      <c r="F2341">
        <v>5</v>
      </c>
      <c r="G2341">
        <v>2</v>
      </c>
      <c r="H2341">
        <v>3</v>
      </c>
      <c r="I2341">
        <v>1</v>
      </c>
      <c r="J2341" s="4" t="s">
        <v>52</v>
      </c>
      <c r="K2341" t="str">
        <f t="shared" si="119"/>
        <v>2+3</v>
      </c>
      <c r="L2341">
        <f>VLOOKUP(A2341,'ZONE 1 PREMIUM'!$A$4:$N$16,14,0)</f>
        <v>11</v>
      </c>
      <c r="M2341">
        <f>VLOOKUP(D2341,DROPDOWN!B:C,2,0)</f>
        <v>9</v>
      </c>
      <c r="N2341" t="str">
        <f t="shared" si="117"/>
        <v>X128:AP139</v>
      </c>
      <c r="O2341" s="4">
        <f t="shared" ca="1" si="118"/>
        <v>360613.55</v>
      </c>
    </row>
    <row r="2342" spans="1:15">
      <c r="A2342" s="2" t="s">
        <v>21</v>
      </c>
      <c r="B2342" t="s">
        <v>22</v>
      </c>
      <c r="D2342">
        <v>25</v>
      </c>
      <c r="E2342" t="s">
        <v>46</v>
      </c>
      <c r="F2342">
        <v>5</v>
      </c>
      <c r="G2342">
        <v>2</v>
      </c>
      <c r="H2342">
        <v>3</v>
      </c>
      <c r="I2342">
        <v>1</v>
      </c>
      <c r="J2342" s="4" t="s">
        <v>52</v>
      </c>
      <c r="K2342" t="str">
        <f t="shared" si="119"/>
        <v>2+3</v>
      </c>
      <c r="L2342">
        <f>VLOOKUP(A2342,'ZONE 1 PREMIUM'!$A$4:$N$16,14,0)</f>
        <v>12</v>
      </c>
      <c r="M2342">
        <f>VLOOKUP(D2342,DROPDOWN!B:C,2,0)</f>
        <v>9</v>
      </c>
      <c r="N2342" t="str">
        <f t="shared" si="117"/>
        <v>X128:AP139</v>
      </c>
      <c r="O2342" s="4">
        <f t="shared" ca="1" si="118"/>
        <v>456100.35</v>
      </c>
    </row>
    <row r="2343" spans="1:15">
      <c r="A2343" s="2" t="s">
        <v>11</v>
      </c>
      <c r="B2343" t="s">
        <v>45</v>
      </c>
      <c r="C2343" t="s">
        <v>25</v>
      </c>
      <c r="D2343">
        <v>25</v>
      </c>
      <c r="E2343" t="s">
        <v>46</v>
      </c>
      <c r="F2343">
        <v>6</v>
      </c>
      <c r="G2343">
        <v>2</v>
      </c>
      <c r="H2343">
        <v>4</v>
      </c>
      <c r="I2343">
        <v>1</v>
      </c>
      <c r="J2343" s="4" t="s">
        <v>52</v>
      </c>
      <c r="K2343" t="str">
        <f t="shared" si="119"/>
        <v>2+4</v>
      </c>
      <c r="L2343">
        <f>VLOOKUP(A2343,'ZONE 1 PREMIUM'!$A$4:$N$16,14,0)</f>
        <v>2</v>
      </c>
      <c r="M2343">
        <f>VLOOKUP(D2343,DROPDOWN!B:C,2,0)</f>
        <v>9</v>
      </c>
      <c r="N2343" t="str">
        <f t="shared" si="117"/>
        <v>X143:AP154</v>
      </c>
      <c r="O2343" s="4">
        <f t="shared" ca="1" si="118"/>
        <v>74065.75</v>
      </c>
    </row>
    <row r="2344" spans="1:15">
      <c r="A2344" s="2" t="s">
        <v>12</v>
      </c>
      <c r="B2344" t="s">
        <v>27</v>
      </c>
      <c r="C2344" t="s">
        <v>28</v>
      </c>
      <c r="D2344">
        <v>25</v>
      </c>
      <c r="E2344" t="s">
        <v>46</v>
      </c>
      <c r="F2344">
        <v>6</v>
      </c>
      <c r="G2344">
        <v>2</v>
      </c>
      <c r="H2344">
        <v>4</v>
      </c>
      <c r="I2344">
        <v>1</v>
      </c>
      <c r="J2344" s="4" t="s">
        <v>52</v>
      </c>
      <c r="K2344" t="str">
        <f t="shared" si="119"/>
        <v>2+4</v>
      </c>
      <c r="L2344">
        <f>VLOOKUP(A2344,'ZONE 1 PREMIUM'!$A$4:$N$16,14,0)</f>
        <v>3</v>
      </c>
      <c r="M2344">
        <f>VLOOKUP(D2344,DROPDOWN!B:C,2,0)</f>
        <v>9</v>
      </c>
      <c r="N2344" t="str">
        <f t="shared" si="117"/>
        <v>X143:AP154</v>
      </c>
      <c r="O2344" s="4">
        <f t="shared" ca="1" si="118"/>
        <v>78792.25</v>
      </c>
    </row>
    <row r="2345" spans="1:15">
      <c r="A2345" s="2" t="s">
        <v>13</v>
      </c>
      <c r="B2345" t="s">
        <v>29</v>
      </c>
      <c r="C2345" t="s">
        <v>30</v>
      </c>
      <c r="D2345">
        <v>25</v>
      </c>
      <c r="E2345" t="s">
        <v>46</v>
      </c>
      <c r="F2345">
        <v>6</v>
      </c>
      <c r="G2345">
        <v>2</v>
      </c>
      <c r="H2345">
        <v>4</v>
      </c>
      <c r="I2345">
        <v>1</v>
      </c>
      <c r="J2345" s="4" t="s">
        <v>52</v>
      </c>
      <c r="K2345" t="str">
        <f t="shared" si="119"/>
        <v>2+4</v>
      </c>
      <c r="L2345">
        <f>VLOOKUP(A2345,'ZONE 1 PREMIUM'!$A$4:$N$16,14,0)</f>
        <v>4</v>
      </c>
      <c r="M2345">
        <f>VLOOKUP(D2345,DROPDOWN!B:C,2,0)</f>
        <v>9</v>
      </c>
      <c r="N2345" t="str">
        <f t="shared" si="117"/>
        <v>X143:AP154</v>
      </c>
      <c r="O2345" s="4">
        <f t="shared" ca="1" si="118"/>
        <v>89486.099999999991</v>
      </c>
    </row>
    <row r="2346" spans="1:15">
      <c r="A2346" s="2" t="s">
        <v>14</v>
      </c>
      <c r="B2346" t="s">
        <v>31</v>
      </c>
      <c r="C2346" t="s">
        <v>32</v>
      </c>
      <c r="D2346">
        <v>25</v>
      </c>
      <c r="E2346" t="s">
        <v>46</v>
      </c>
      <c r="F2346">
        <v>6</v>
      </c>
      <c r="G2346">
        <v>2</v>
      </c>
      <c r="H2346">
        <v>4</v>
      </c>
      <c r="I2346">
        <v>1</v>
      </c>
      <c r="J2346" s="4" t="s">
        <v>52</v>
      </c>
      <c r="K2346" t="str">
        <f t="shared" si="119"/>
        <v>2+4</v>
      </c>
      <c r="L2346">
        <f>VLOOKUP(A2346,'ZONE 1 PREMIUM'!$A$4:$N$16,14,0)</f>
        <v>5</v>
      </c>
      <c r="M2346">
        <f>VLOOKUP(D2346,DROPDOWN!B:C,2,0)</f>
        <v>9</v>
      </c>
      <c r="N2346" t="str">
        <f t="shared" si="117"/>
        <v>X143:AP154</v>
      </c>
      <c r="O2346" s="4">
        <f t="shared" ca="1" si="118"/>
        <v>100173.04999999999</v>
      </c>
    </row>
    <row r="2347" spans="1:15">
      <c r="A2347" s="2" t="s">
        <v>15</v>
      </c>
      <c r="B2347" t="s">
        <v>33</v>
      </c>
      <c r="C2347" t="s">
        <v>34</v>
      </c>
      <c r="D2347">
        <v>25</v>
      </c>
      <c r="E2347" t="s">
        <v>46</v>
      </c>
      <c r="F2347">
        <v>6</v>
      </c>
      <c r="G2347">
        <v>2</v>
      </c>
      <c r="H2347">
        <v>4</v>
      </c>
      <c r="I2347">
        <v>1</v>
      </c>
      <c r="J2347" s="4" t="s">
        <v>52</v>
      </c>
      <c r="K2347" t="str">
        <f t="shared" si="119"/>
        <v>2+4</v>
      </c>
      <c r="L2347">
        <f>VLOOKUP(A2347,'ZONE 1 PREMIUM'!$A$4:$N$16,14,0)</f>
        <v>6</v>
      </c>
      <c r="M2347">
        <f>VLOOKUP(D2347,DROPDOWN!B:C,2,0)</f>
        <v>9</v>
      </c>
      <c r="N2347" t="str">
        <f t="shared" si="117"/>
        <v>X143:AP154</v>
      </c>
      <c r="O2347" s="4">
        <f t="shared" ca="1" si="118"/>
        <v>121966.7</v>
      </c>
    </row>
    <row r="2348" spans="1:15">
      <c r="A2348" s="2" t="s">
        <v>16</v>
      </c>
      <c r="B2348" t="s">
        <v>35</v>
      </c>
      <c r="C2348" t="s">
        <v>36</v>
      </c>
      <c r="D2348">
        <v>25</v>
      </c>
      <c r="E2348" t="s">
        <v>46</v>
      </c>
      <c r="F2348">
        <v>6</v>
      </c>
      <c r="G2348">
        <v>2</v>
      </c>
      <c r="H2348">
        <v>4</v>
      </c>
      <c r="I2348">
        <v>1</v>
      </c>
      <c r="J2348" s="4" t="s">
        <v>52</v>
      </c>
      <c r="K2348" t="str">
        <f t="shared" si="119"/>
        <v>2+4</v>
      </c>
      <c r="L2348">
        <f>VLOOKUP(A2348,'ZONE 1 PREMIUM'!$A$4:$N$16,14,0)</f>
        <v>7</v>
      </c>
      <c r="M2348">
        <f>VLOOKUP(D2348,DROPDOWN!B:C,2,0)</f>
        <v>9</v>
      </c>
      <c r="N2348" t="str">
        <f t="shared" si="117"/>
        <v>X143:AP154</v>
      </c>
      <c r="O2348" s="4">
        <f t="shared" ca="1" si="118"/>
        <v>151537.79999999999</v>
      </c>
    </row>
    <row r="2349" spans="1:15">
      <c r="A2349" s="2" t="s">
        <v>17</v>
      </c>
      <c r="B2349" t="s">
        <v>37</v>
      </c>
      <c r="C2349" t="s">
        <v>38</v>
      </c>
      <c r="D2349">
        <v>25</v>
      </c>
      <c r="E2349" t="s">
        <v>46</v>
      </c>
      <c r="F2349">
        <v>6</v>
      </c>
      <c r="G2349">
        <v>2</v>
      </c>
      <c r="H2349">
        <v>4</v>
      </c>
      <c r="I2349">
        <v>1</v>
      </c>
      <c r="J2349" s="4" t="s">
        <v>52</v>
      </c>
      <c r="K2349" t="str">
        <f t="shared" si="119"/>
        <v>2+4</v>
      </c>
      <c r="L2349">
        <f>VLOOKUP(A2349,'ZONE 1 PREMIUM'!$A$4:$N$16,14,0)</f>
        <v>8</v>
      </c>
      <c r="M2349">
        <f>VLOOKUP(D2349,DROPDOWN!B:C,2,0)</f>
        <v>9</v>
      </c>
      <c r="N2349" t="str">
        <f t="shared" si="117"/>
        <v>X143:AP154</v>
      </c>
      <c r="O2349" s="4">
        <f t="shared" ca="1" si="118"/>
        <v>187744.4</v>
      </c>
    </row>
    <row r="2350" spans="1:15">
      <c r="A2350" s="2" t="s">
        <v>18</v>
      </c>
      <c r="B2350" t="s">
        <v>39</v>
      </c>
      <c r="C2350" t="s">
        <v>40</v>
      </c>
      <c r="D2350">
        <v>25</v>
      </c>
      <c r="E2350" t="s">
        <v>46</v>
      </c>
      <c r="F2350">
        <v>6</v>
      </c>
      <c r="G2350">
        <v>2</v>
      </c>
      <c r="H2350">
        <v>4</v>
      </c>
      <c r="I2350">
        <v>1</v>
      </c>
      <c r="J2350" s="4" t="s">
        <v>52</v>
      </c>
      <c r="K2350" t="str">
        <f t="shared" si="119"/>
        <v>2+4</v>
      </c>
      <c r="L2350">
        <f>VLOOKUP(A2350,'ZONE 1 PREMIUM'!$A$4:$N$16,14,0)</f>
        <v>9</v>
      </c>
      <c r="M2350">
        <f>VLOOKUP(D2350,DROPDOWN!B:C,2,0)</f>
        <v>9</v>
      </c>
      <c r="N2350" t="str">
        <f t="shared" si="117"/>
        <v>X143:AP154</v>
      </c>
      <c r="O2350" s="4">
        <f t="shared" ca="1" si="118"/>
        <v>240437.4</v>
      </c>
    </row>
    <row r="2351" spans="1:15">
      <c r="A2351" s="2" t="s">
        <v>19</v>
      </c>
      <c r="B2351" t="s">
        <v>41</v>
      </c>
      <c r="C2351" t="s">
        <v>42</v>
      </c>
      <c r="D2351">
        <v>25</v>
      </c>
      <c r="E2351" t="s">
        <v>46</v>
      </c>
      <c r="F2351">
        <v>6</v>
      </c>
      <c r="G2351">
        <v>2</v>
      </c>
      <c r="H2351">
        <v>4</v>
      </c>
      <c r="I2351">
        <v>1</v>
      </c>
      <c r="J2351" s="4" t="s">
        <v>52</v>
      </c>
      <c r="K2351" t="str">
        <f t="shared" si="119"/>
        <v>2+4</v>
      </c>
      <c r="L2351">
        <f>VLOOKUP(A2351,'ZONE 1 PREMIUM'!$A$4:$N$16,14,0)</f>
        <v>10</v>
      </c>
      <c r="M2351">
        <f>VLOOKUP(D2351,DROPDOWN!B:C,2,0)</f>
        <v>9</v>
      </c>
      <c r="N2351" t="str">
        <f t="shared" si="117"/>
        <v>X143:AP154</v>
      </c>
      <c r="O2351" s="4">
        <f t="shared" ca="1" si="118"/>
        <v>306772.84999999998</v>
      </c>
    </row>
    <row r="2352" spans="1:15">
      <c r="A2352" s="2" t="s">
        <v>20</v>
      </c>
      <c r="B2352" t="s">
        <v>43</v>
      </c>
      <c r="C2352" t="s">
        <v>44</v>
      </c>
      <c r="D2352">
        <v>25</v>
      </c>
      <c r="E2352" t="s">
        <v>46</v>
      </c>
      <c r="F2352">
        <v>6</v>
      </c>
      <c r="G2352">
        <v>2</v>
      </c>
      <c r="H2352">
        <v>4</v>
      </c>
      <c r="I2352">
        <v>1</v>
      </c>
      <c r="J2352" s="4" t="s">
        <v>52</v>
      </c>
      <c r="K2352" t="str">
        <f t="shared" si="119"/>
        <v>2+4</v>
      </c>
      <c r="L2352">
        <f>VLOOKUP(A2352,'ZONE 1 PREMIUM'!$A$4:$N$16,14,0)</f>
        <v>11</v>
      </c>
      <c r="M2352">
        <f>VLOOKUP(D2352,DROPDOWN!B:C,2,0)</f>
        <v>9</v>
      </c>
      <c r="N2352" t="str">
        <f t="shared" si="117"/>
        <v>X143:AP154</v>
      </c>
      <c r="O2352" s="4">
        <f t="shared" ca="1" si="118"/>
        <v>371256.8</v>
      </c>
    </row>
    <row r="2353" spans="1:15">
      <c r="A2353" s="2" t="s">
        <v>21</v>
      </c>
      <c r="B2353" t="s">
        <v>22</v>
      </c>
      <c r="D2353">
        <v>25</v>
      </c>
      <c r="E2353" t="s">
        <v>46</v>
      </c>
      <c r="F2353">
        <v>6</v>
      </c>
      <c r="G2353">
        <v>2</v>
      </c>
      <c r="H2353">
        <v>4</v>
      </c>
      <c r="I2353">
        <v>1</v>
      </c>
      <c r="J2353" s="4" t="s">
        <v>52</v>
      </c>
      <c r="K2353" t="str">
        <f t="shared" si="119"/>
        <v>2+4</v>
      </c>
      <c r="L2353">
        <f>VLOOKUP(A2353,'ZONE 1 PREMIUM'!$A$4:$N$16,14,0)</f>
        <v>12</v>
      </c>
      <c r="M2353">
        <f>VLOOKUP(D2353,DROPDOWN!B:C,2,0)</f>
        <v>9</v>
      </c>
      <c r="N2353" t="str">
        <f t="shared" si="117"/>
        <v>X143:AP154</v>
      </c>
      <c r="O2353" s="4">
        <f t="shared" ca="1" si="118"/>
        <v>464972.6</v>
      </c>
    </row>
    <row r="2354" spans="1:15">
      <c r="A2354" s="2" t="s">
        <v>9</v>
      </c>
      <c r="B2354" t="s">
        <v>47</v>
      </c>
      <c r="C2354" t="s">
        <v>48</v>
      </c>
      <c r="D2354">
        <v>25</v>
      </c>
      <c r="E2354" t="s">
        <v>26</v>
      </c>
      <c r="F2354">
        <v>1</v>
      </c>
      <c r="H2354">
        <v>1</v>
      </c>
      <c r="I2354">
        <v>1</v>
      </c>
      <c r="J2354" s="4" t="s">
        <v>55</v>
      </c>
      <c r="K2354" t="str">
        <f t="shared" si="119"/>
        <v>+1</v>
      </c>
      <c r="N2354" t="e">
        <f t="shared" ref="N2354:N2417" si="120">VLOOKUP(K2354,$BN$3:$BO$12,2,0)</f>
        <v>#N/A</v>
      </c>
      <c r="O2354" s="7">
        <v>4820.7454455925317</v>
      </c>
    </row>
    <row r="2355" spans="1:15">
      <c r="A2355" s="2" t="s">
        <v>10</v>
      </c>
      <c r="B2355" t="s">
        <v>49</v>
      </c>
      <c r="C2355" t="s">
        <v>50</v>
      </c>
      <c r="D2355">
        <v>25</v>
      </c>
      <c r="E2355" t="s">
        <v>26</v>
      </c>
      <c r="F2355">
        <v>1</v>
      </c>
      <c r="G2355">
        <v>1</v>
      </c>
      <c r="H2355">
        <v>0</v>
      </c>
      <c r="I2355">
        <v>1</v>
      </c>
      <c r="J2355" s="4" t="s">
        <v>55</v>
      </c>
      <c r="K2355" t="str">
        <f t="shared" si="119"/>
        <v>1+0</v>
      </c>
      <c r="L2355">
        <f>VLOOKUP(A2355,'ZONE 1 PREMIUM'!$A$3:$M$16,13,0)</f>
        <v>3</v>
      </c>
      <c r="M2355">
        <f>VLOOKUP(D2355,DROPDOWN!B:C,2,0)</f>
        <v>9</v>
      </c>
      <c r="N2355" t="str">
        <f t="shared" si="120"/>
        <v>AU3:BM16</v>
      </c>
      <c r="O2355" s="4">
        <f t="shared" ca="1" si="118"/>
        <v>8242.875</v>
      </c>
    </row>
    <row r="2356" spans="1:15">
      <c r="A2356" s="2" t="s">
        <v>11</v>
      </c>
      <c r="B2356" t="s">
        <v>45</v>
      </c>
      <c r="C2356" t="s">
        <v>25</v>
      </c>
      <c r="D2356">
        <v>25</v>
      </c>
      <c r="E2356" t="s">
        <v>26</v>
      </c>
      <c r="F2356">
        <v>1</v>
      </c>
      <c r="G2356">
        <v>1</v>
      </c>
      <c r="H2356">
        <v>0</v>
      </c>
      <c r="I2356">
        <v>1</v>
      </c>
      <c r="J2356" s="4" t="s">
        <v>55</v>
      </c>
      <c r="K2356" t="str">
        <f t="shared" si="119"/>
        <v>1+0</v>
      </c>
      <c r="L2356">
        <f>VLOOKUP(A2356,'ZONE 1 PREMIUM'!$A$3:$M$16,13,0)</f>
        <v>4</v>
      </c>
      <c r="M2356">
        <f>VLOOKUP(D2356,DROPDOWN!B:C,2,0)</f>
        <v>9</v>
      </c>
      <c r="N2356" t="str">
        <f t="shared" si="120"/>
        <v>AU3:BM16</v>
      </c>
      <c r="O2356" s="4">
        <f t="shared" ca="1" si="118"/>
        <v>22734</v>
      </c>
    </row>
    <row r="2357" spans="1:15">
      <c r="A2357" s="2" t="s">
        <v>12</v>
      </c>
      <c r="B2357" t="s">
        <v>27</v>
      </c>
      <c r="C2357" t="s">
        <v>28</v>
      </c>
      <c r="D2357">
        <v>25</v>
      </c>
      <c r="E2357" t="s">
        <v>26</v>
      </c>
      <c r="F2357">
        <v>1</v>
      </c>
      <c r="G2357">
        <v>1</v>
      </c>
      <c r="H2357">
        <v>0</v>
      </c>
      <c r="I2357">
        <v>1</v>
      </c>
      <c r="J2357" s="4" t="s">
        <v>55</v>
      </c>
      <c r="K2357" t="str">
        <f t="shared" si="119"/>
        <v>1+0</v>
      </c>
      <c r="L2357">
        <f>VLOOKUP(A2357,'ZONE 1 PREMIUM'!$A$3:$M$16,13,0)</f>
        <v>5</v>
      </c>
      <c r="M2357">
        <f>VLOOKUP(D2357,DROPDOWN!B:C,2,0)</f>
        <v>9</v>
      </c>
      <c r="N2357" t="str">
        <f t="shared" si="120"/>
        <v>AU3:BM16</v>
      </c>
      <c r="O2357" s="4">
        <f t="shared" ca="1" si="118"/>
        <v>25961.625</v>
      </c>
    </row>
    <row r="2358" spans="1:15">
      <c r="A2358" s="2" t="s">
        <v>13</v>
      </c>
      <c r="B2358" t="s">
        <v>29</v>
      </c>
      <c r="C2358" t="s">
        <v>30</v>
      </c>
      <c r="D2358">
        <v>25</v>
      </c>
      <c r="E2358" t="s">
        <v>26</v>
      </c>
      <c r="F2358">
        <v>1</v>
      </c>
      <c r="G2358">
        <v>1</v>
      </c>
      <c r="H2358">
        <v>0</v>
      </c>
      <c r="I2358">
        <v>1</v>
      </c>
      <c r="J2358" s="4" t="s">
        <v>55</v>
      </c>
      <c r="K2358" t="str">
        <f t="shared" si="119"/>
        <v>1+0</v>
      </c>
      <c r="L2358">
        <f>VLOOKUP(A2358,'ZONE 1 PREMIUM'!$A$3:$M$16,13,0)</f>
        <v>6</v>
      </c>
      <c r="M2358">
        <f>VLOOKUP(D2358,DROPDOWN!B:C,2,0)</f>
        <v>9</v>
      </c>
      <c r="N2358" t="str">
        <f t="shared" si="120"/>
        <v>AU3:BM16</v>
      </c>
      <c r="O2358" s="4">
        <f t="shared" ca="1" si="118"/>
        <v>29998.125</v>
      </c>
    </row>
    <row r="2359" spans="1:15">
      <c r="A2359" s="2" t="s">
        <v>14</v>
      </c>
      <c r="B2359" t="s">
        <v>31</v>
      </c>
      <c r="C2359" t="s">
        <v>32</v>
      </c>
      <c r="D2359">
        <v>25</v>
      </c>
      <c r="E2359" t="s">
        <v>26</v>
      </c>
      <c r="F2359">
        <v>1</v>
      </c>
      <c r="G2359">
        <v>1</v>
      </c>
      <c r="H2359">
        <v>0</v>
      </c>
      <c r="I2359">
        <v>1</v>
      </c>
      <c r="J2359" s="4" t="s">
        <v>55</v>
      </c>
      <c r="K2359" t="str">
        <f t="shared" si="119"/>
        <v>1+0</v>
      </c>
      <c r="L2359">
        <f>VLOOKUP(A2359,'ZONE 1 PREMIUM'!$A$3:$M$16,13,0)</f>
        <v>7</v>
      </c>
      <c r="M2359">
        <f>VLOOKUP(D2359,DROPDOWN!B:C,2,0)</f>
        <v>9</v>
      </c>
      <c r="N2359" t="str">
        <f t="shared" si="120"/>
        <v>AU3:BM16</v>
      </c>
      <c r="O2359" s="4">
        <f t="shared" ca="1" si="118"/>
        <v>34758</v>
      </c>
    </row>
    <row r="2360" spans="1:15">
      <c r="A2360" s="2" t="s">
        <v>15</v>
      </c>
      <c r="B2360" t="s">
        <v>33</v>
      </c>
      <c r="C2360" t="s">
        <v>34</v>
      </c>
      <c r="D2360">
        <v>25</v>
      </c>
      <c r="E2360" t="s">
        <v>26</v>
      </c>
      <c r="F2360">
        <v>1</v>
      </c>
      <c r="G2360">
        <v>1</v>
      </c>
      <c r="H2360">
        <v>0</v>
      </c>
      <c r="I2360">
        <v>1</v>
      </c>
      <c r="J2360" s="4" t="s">
        <v>55</v>
      </c>
      <c r="K2360" t="str">
        <f t="shared" si="119"/>
        <v>1+0</v>
      </c>
      <c r="L2360">
        <f>VLOOKUP(A2360,'ZONE 1 PREMIUM'!$A$3:$M$16,13,0)</f>
        <v>8</v>
      </c>
      <c r="M2360">
        <f>VLOOKUP(D2360,DROPDOWN!B:C,2,0)</f>
        <v>9</v>
      </c>
      <c r="N2360" t="str">
        <f t="shared" si="120"/>
        <v>AU3:BM16</v>
      </c>
      <c r="O2360" s="4">
        <f t="shared" ca="1" si="118"/>
        <v>43314.75</v>
      </c>
    </row>
    <row r="2361" spans="1:15">
      <c r="A2361" s="2" t="s">
        <v>16</v>
      </c>
      <c r="B2361" t="s">
        <v>35</v>
      </c>
      <c r="C2361" t="s">
        <v>36</v>
      </c>
      <c r="D2361">
        <v>25</v>
      </c>
      <c r="E2361" t="s">
        <v>26</v>
      </c>
      <c r="F2361">
        <v>1</v>
      </c>
      <c r="G2361">
        <v>1</v>
      </c>
      <c r="H2361">
        <v>0</v>
      </c>
      <c r="I2361">
        <v>1</v>
      </c>
      <c r="J2361" s="4" t="s">
        <v>55</v>
      </c>
      <c r="K2361" t="str">
        <f t="shared" si="119"/>
        <v>1+0</v>
      </c>
      <c r="L2361">
        <f>VLOOKUP(A2361,'ZONE 1 PREMIUM'!$A$3:$M$16,13,0)</f>
        <v>9</v>
      </c>
      <c r="M2361">
        <f>VLOOKUP(D2361,DROPDOWN!B:C,2,0)</f>
        <v>9</v>
      </c>
      <c r="N2361" t="str">
        <f t="shared" si="120"/>
        <v>AU3:BM16</v>
      </c>
      <c r="O2361" s="4">
        <f t="shared" ca="1" si="118"/>
        <v>57187.125</v>
      </c>
    </row>
    <row r="2362" spans="1:15">
      <c r="A2362" s="2" t="s">
        <v>17</v>
      </c>
      <c r="B2362" t="s">
        <v>37</v>
      </c>
      <c r="C2362" t="s">
        <v>38</v>
      </c>
      <c r="D2362">
        <v>25</v>
      </c>
      <c r="E2362" t="s">
        <v>26</v>
      </c>
      <c r="F2362">
        <v>1</v>
      </c>
      <c r="G2362">
        <v>1</v>
      </c>
      <c r="H2362">
        <v>0</v>
      </c>
      <c r="I2362">
        <v>1</v>
      </c>
      <c r="J2362" s="4" t="s">
        <v>55</v>
      </c>
      <c r="K2362" t="str">
        <f t="shared" si="119"/>
        <v>1+0</v>
      </c>
      <c r="L2362">
        <f>VLOOKUP(A2362,'ZONE 1 PREMIUM'!$A$3:$M$16,13,0)</f>
        <v>10</v>
      </c>
      <c r="M2362">
        <f>VLOOKUP(D2362,DROPDOWN!B:C,2,0)</f>
        <v>9</v>
      </c>
      <c r="N2362" t="str">
        <f t="shared" si="120"/>
        <v>AU3:BM16</v>
      </c>
      <c r="O2362" s="4">
        <f t="shared" ca="1" si="118"/>
        <v>76799.25</v>
      </c>
    </row>
    <row r="2363" spans="1:15">
      <c r="A2363" s="2" t="s">
        <v>18</v>
      </c>
      <c r="B2363" t="s">
        <v>39</v>
      </c>
      <c r="C2363" t="s">
        <v>40</v>
      </c>
      <c r="D2363">
        <v>25</v>
      </c>
      <c r="E2363" t="s">
        <v>26</v>
      </c>
      <c r="F2363">
        <v>1</v>
      </c>
      <c r="G2363">
        <v>1</v>
      </c>
      <c r="H2363">
        <v>0</v>
      </c>
      <c r="I2363">
        <v>1</v>
      </c>
      <c r="J2363" s="4" t="s">
        <v>55</v>
      </c>
      <c r="K2363" t="str">
        <f t="shared" si="119"/>
        <v>1+0</v>
      </c>
      <c r="L2363">
        <f>VLOOKUP(A2363,'ZONE 1 PREMIUM'!$A$3:$M$16,13,0)</f>
        <v>11</v>
      </c>
      <c r="M2363">
        <f>VLOOKUP(D2363,DROPDOWN!B:C,2,0)</f>
        <v>9</v>
      </c>
      <c r="N2363" t="str">
        <f t="shared" si="120"/>
        <v>AU3:BM16</v>
      </c>
      <c r="O2363" s="4">
        <f t="shared" ca="1" si="118"/>
        <v>106184.25</v>
      </c>
    </row>
    <row r="2364" spans="1:15">
      <c r="A2364" s="2" t="s">
        <v>19</v>
      </c>
      <c r="B2364" t="s">
        <v>41</v>
      </c>
      <c r="C2364" t="s">
        <v>42</v>
      </c>
      <c r="D2364">
        <v>25</v>
      </c>
      <c r="E2364" t="s">
        <v>26</v>
      </c>
      <c r="F2364">
        <v>1</v>
      </c>
      <c r="G2364">
        <v>1</v>
      </c>
      <c r="H2364">
        <v>0</v>
      </c>
      <c r="I2364">
        <v>1</v>
      </c>
      <c r="J2364" s="4" t="s">
        <v>55</v>
      </c>
      <c r="K2364" t="str">
        <f t="shared" si="119"/>
        <v>1+0</v>
      </c>
      <c r="L2364">
        <f>VLOOKUP(A2364,'ZONE 1 PREMIUM'!$A$3:$M$16,13,0)</f>
        <v>12</v>
      </c>
      <c r="M2364">
        <f>VLOOKUP(D2364,DROPDOWN!B:C,2,0)</f>
        <v>9</v>
      </c>
      <c r="N2364" t="str">
        <f t="shared" si="120"/>
        <v>AU3:BM16</v>
      </c>
      <c r="O2364" s="4">
        <f t="shared" ca="1" si="118"/>
        <v>138234.375</v>
      </c>
    </row>
    <row r="2365" spans="1:15">
      <c r="A2365" s="2" t="s">
        <v>20</v>
      </c>
      <c r="B2365" t="s">
        <v>43</v>
      </c>
      <c r="C2365" t="s">
        <v>44</v>
      </c>
      <c r="D2365">
        <v>25</v>
      </c>
      <c r="E2365" t="s">
        <v>26</v>
      </c>
      <c r="F2365">
        <v>1</v>
      </c>
      <c r="G2365">
        <v>1</v>
      </c>
      <c r="H2365">
        <v>0</v>
      </c>
      <c r="I2365">
        <v>1</v>
      </c>
      <c r="J2365" s="4" t="s">
        <v>55</v>
      </c>
      <c r="K2365" t="str">
        <f t="shared" si="119"/>
        <v>1+0</v>
      </c>
      <c r="L2365">
        <f>VLOOKUP(A2365,'ZONE 1 PREMIUM'!$A$3:$M$16,13,0)</f>
        <v>13</v>
      </c>
      <c r="M2365">
        <f>VLOOKUP(D2365,DROPDOWN!B:C,2,0)</f>
        <v>9</v>
      </c>
      <c r="N2365" t="str">
        <f t="shared" si="120"/>
        <v>AU3:BM16</v>
      </c>
      <c r="O2365" s="4">
        <f t="shared" ca="1" si="118"/>
        <v>166532.625</v>
      </c>
    </row>
    <row r="2366" spans="1:15">
      <c r="A2366" s="2" t="s">
        <v>21</v>
      </c>
      <c r="B2366" t="s">
        <v>22</v>
      </c>
      <c r="D2366">
        <v>25</v>
      </c>
      <c r="E2366" t="s">
        <v>26</v>
      </c>
      <c r="F2366">
        <v>1</v>
      </c>
      <c r="G2366">
        <v>1</v>
      </c>
      <c r="H2366">
        <v>0</v>
      </c>
      <c r="I2366">
        <v>1</v>
      </c>
      <c r="J2366" s="4" t="s">
        <v>55</v>
      </c>
      <c r="K2366" t="str">
        <f t="shared" si="119"/>
        <v>1+0</v>
      </c>
      <c r="L2366">
        <f>VLOOKUP(A2366,'ZONE 1 PREMIUM'!$A$3:$M$16,13,0)</f>
        <v>14</v>
      </c>
      <c r="M2366">
        <f>VLOOKUP(D2366,DROPDOWN!B:C,2,0)</f>
        <v>9</v>
      </c>
      <c r="N2366" t="str">
        <f t="shared" si="120"/>
        <v>AU3:BM16</v>
      </c>
      <c r="O2366" s="4">
        <f t="shared" ca="1" si="118"/>
        <v>224244</v>
      </c>
    </row>
    <row r="2367" spans="1:15">
      <c r="A2367" s="2" t="s">
        <v>11</v>
      </c>
      <c r="B2367" t="s">
        <v>45</v>
      </c>
      <c r="C2367" t="s">
        <v>25</v>
      </c>
      <c r="D2367">
        <v>25</v>
      </c>
      <c r="E2367" t="s">
        <v>46</v>
      </c>
      <c r="F2367">
        <v>2</v>
      </c>
      <c r="G2367">
        <v>1</v>
      </c>
      <c r="H2367">
        <v>1</v>
      </c>
      <c r="I2367">
        <v>1</v>
      </c>
      <c r="J2367" s="4" t="s">
        <v>55</v>
      </c>
      <c r="K2367" t="str">
        <f t="shared" si="119"/>
        <v>1+1</v>
      </c>
      <c r="L2367">
        <f>VLOOKUP(A2367,'ZONE 1 PREMIUM'!$A$4:$N$16,14,0)</f>
        <v>2</v>
      </c>
      <c r="M2367">
        <f>VLOOKUP(D2367,DROPDOWN!B:C,2,0)</f>
        <v>9</v>
      </c>
      <c r="N2367" t="str">
        <f t="shared" si="120"/>
        <v>AU20:BM31</v>
      </c>
      <c r="O2367" s="4">
        <f t="shared" ca="1" si="118"/>
        <v>25470</v>
      </c>
    </row>
    <row r="2368" spans="1:15">
      <c r="A2368" s="2" t="s">
        <v>12</v>
      </c>
      <c r="B2368" t="s">
        <v>27</v>
      </c>
      <c r="C2368" t="s">
        <v>28</v>
      </c>
      <c r="D2368">
        <v>25</v>
      </c>
      <c r="E2368" t="s">
        <v>46</v>
      </c>
      <c r="F2368">
        <v>2</v>
      </c>
      <c r="G2368">
        <v>1</v>
      </c>
      <c r="H2368">
        <v>1</v>
      </c>
      <c r="I2368">
        <v>1</v>
      </c>
      <c r="J2368" s="4" t="s">
        <v>55</v>
      </c>
      <c r="K2368" t="str">
        <f t="shared" si="119"/>
        <v>1+1</v>
      </c>
      <c r="L2368">
        <f>VLOOKUP(A2368,'ZONE 1 PREMIUM'!$A$4:$N$16,14,0)</f>
        <v>3</v>
      </c>
      <c r="M2368">
        <f>VLOOKUP(D2368,DROPDOWN!B:C,2,0)</f>
        <v>9</v>
      </c>
      <c r="N2368" t="str">
        <f t="shared" si="120"/>
        <v>AU20:BM31</v>
      </c>
      <c r="O2368" s="4">
        <f t="shared" ca="1" si="118"/>
        <v>28045.125</v>
      </c>
    </row>
    <row r="2369" spans="1:15">
      <c r="A2369" s="2" t="s">
        <v>13</v>
      </c>
      <c r="B2369" t="s">
        <v>29</v>
      </c>
      <c r="C2369" t="s">
        <v>30</v>
      </c>
      <c r="D2369">
        <v>25</v>
      </c>
      <c r="E2369" t="s">
        <v>46</v>
      </c>
      <c r="F2369">
        <v>2</v>
      </c>
      <c r="G2369">
        <v>1</v>
      </c>
      <c r="H2369">
        <v>1</v>
      </c>
      <c r="I2369">
        <v>1</v>
      </c>
      <c r="J2369" s="4" t="s">
        <v>55</v>
      </c>
      <c r="K2369" t="str">
        <f t="shared" si="119"/>
        <v>1+1</v>
      </c>
      <c r="L2369">
        <f>VLOOKUP(A2369,'ZONE 1 PREMIUM'!$A$4:$N$16,14,0)</f>
        <v>4</v>
      </c>
      <c r="M2369">
        <f>VLOOKUP(D2369,DROPDOWN!B:C,2,0)</f>
        <v>9</v>
      </c>
      <c r="N2369" t="str">
        <f t="shared" si="120"/>
        <v>AU20:BM31</v>
      </c>
      <c r="O2369" s="4">
        <f t="shared" ca="1" si="118"/>
        <v>32519.25</v>
      </c>
    </row>
    <row r="2370" spans="1:15">
      <c r="A2370" s="2" t="s">
        <v>14</v>
      </c>
      <c r="B2370" t="s">
        <v>31</v>
      </c>
      <c r="C2370" t="s">
        <v>32</v>
      </c>
      <c r="D2370">
        <v>25</v>
      </c>
      <c r="E2370" t="s">
        <v>46</v>
      </c>
      <c r="F2370">
        <v>2</v>
      </c>
      <c r="G2370">
        <v>1</v>
      </c>
      <c r="H2370">
        <v>1</v>
      </c>
      <c r="I2370">
        <v>1</v>
      </c>
      <c r="J2370" s="4" t="s">
        <v>55</v>
      </c>
      <c r="K2370" t="str">
        <f t="shared" si="119"/>
        <v>1+1</v>
      </c>
      <c r="L2370">
        <f>VLOOKUP(A2370,'ZONE 1 PREMIUM'!$A$4:$N$16,14,0)</f>
        <v>5</v>
      </c>
      <c r="M2370">
        <f>VLOOKUP(D2370,DROPDOWN!B:C,2,0)</f>
        <v>9</v>
      </c>
      <c r="N2370" t="str">
        <f t="shared" si="120"/>
        <v>AU20:BM31</v>
      </c>
      <c r="O2370" s="4">
        <f t="shared" ref="O2370:O2433" ca="1" si="121">INDEX(INDIRECT(N2370),L2370,M2370)</f>
        <v>38187</v>
      </c>
    </row>
    <row r="2371" spans="1:15">
      <c r="A2371" s="2" t="s">
        <v>15</v>
      </c>
      <c r="B2371" t="s">
        <v>33</v>
      </c>
      <c r="C2371" t="s">
        <v>34</v>
      </c>
      <c r="D2371">
        <v>25</v>
      </c>
      <c r="E2371" t="s">
        <v>46</v>
      </c>
      <c r="F2371">
        <v>2</v>
      </c>
      <c r="G2371">
        <v>1</v>
      </c>
      <c r="H2371">
        <v>1</v>
      </c>
      <c r="I2371">
        <v>1</v>
      </c>
      <c r="J2371" s="4" t="s">
        <v>55</v>
      </c>
      <c r="K2371" t="str">
        <f t="shared" si="119"/>
        <v>1+1</v>
      </c>
      <c r="L2371">
        <f>VLOOKUP(A2371,'ZONE 1 PREMIUM'!$A$4:$N$16,14,0)</f>
        <v>6</v>
      </c>
      <c r="M2371">
        <f>VLOOKUP(D2371,DROPDOWN!B:C,2,0)</f>
        <v>9</v>
      </c>
      <c r="N2371" t="str">
        <f t="shared" si="120"/>
        <v>AU20:BM31</v>
      </c>
      <c r="O2371" s="4">
        <f t="shared" ca="1" si="121"/>
        <v>47198.25</v>
      </c>
    </row>
    <row r="2372" spans="1:15">
      <c r="A2372" s="2" t="s">
        <v>16</v>
      </c>
      <c r="B2372" t="s">
        <v>35</v>
      </c>
      <c r="C2372" t="s">
        <v>36</v>
      </c>
      <c r="D2372">
        <v>25</v>
      </c>
      <c r="E2372" t="s">
        <v>46</v>
      </c>
      <c r="F2372">
        <v>2</v>
      </c>
      <c r="G2372">
        <v>1</v>
      </c>
      <c r="H2372">
        <v>1</v>
      </c>
      <c r="I2372">
        <v>1</v>
      </c>
      <c r="J2372" s="4" t="s">
        <v>55</v>
      </c>
      <c r="K2372" t="str">
        <f t="shared" ref="K2372:K2435" si="122">G2372&amp;"+"&amp;H2372</f>
        <v>1+1</v>
      </c>
      <c r="L2372">
        <f>VLOOKUP(A2372,'ZONE 1 PREMIUM'!$A$4:$N$16,14,0)</f>
        <v>7</v>
      </c>
      <c r="M2372">
        <f>VLOOKUP(D2372,DROPDOWN!B:C,2,0)</f>
        <v>9</v>
      </c>
      <c r="N2372" t="str">
        <f t="shared" si="120"/>
        <v>AU20:BM31</v>
      </c>
      <c r="O2372" s="4">
        <f t="shared" ca="1" si="121"/>
        <v>61470</v>
      </c>
    </row>
    <row r="2373" spans="1:15">
      <c r="A2373" s="2" t="s">
        <v>17</v>
      </c>
      <c r="B2373" t="s">
        <v>37</v>
      </c>
      <c r="C2373" t="s">
        <v>38</v>
      </c>
      <c r="D2373">
        <v>25</v>
      </c>
      <c r="E2373" t="s">
        <v>46</v>
      </c>
      <c r="F2373">
        <v>2</v>
      </c>
      <c r="G2373">
        <v>1</v>
      </c>
      <c r="H2373">
        <v>1</v>
      </c>
      <c r="I2373">
        <v>1</v>
      </c>
      <c r="J2373" s="4" t="s">
        <v>55</v>
      </c>
      <c r="K2373" t="str">
        <f t="shared" si="122"/>
        <v>1+1</v>
      </c>
      <c r="L2373">
        <f>VLOOKUP(A2373,'ZONE 1 PREMIUM'!$A$4:$N$16,14,0)</f>
        <v>8</v>
      </c>
      <c r="M2373">
        <f>VLOOKUP(D2373,DROPDOWN!B:C,2,0)</f>
        <v>9</v>
      </c>
      <c r="N2373" t="str">
        <f t="shared" si="120"/>
        <v>AU20:BM31</v>
      </c>
      <c r="O2373" s="4">
        <f t="shared" ca="1" si="121"/>
        <v>81309.375</v>
      </c>
    </row>
    <row r="2374" spans="1:15">
      <c r="A2374" s="2" t="s">
        <v>18</v>
      </c>
      <c r="B2374" t="s">
        <v>39</v>
      </c>
      <c r="C2374" t="s">
        <v>40</v>
      </c>
      <c r="D2374">
        <v>25</v>
      </c>
      <c r="E2374" t="s">
        <v>46</v>
      </c>
      <c r="F2374">
        <v>2</v>
      </c>
      <c r="G2374">
        <v>1</v>
      </c>
      <c r="H2374">
        <v>1</v>
      </c>
      <c r="I2374">
        <v>1</v>
      </c>
      <c r="J2374" s="4" t="s">
        <v>55</v>
      </c>
      <c r="K2374" t="str">
        <f t="shared" si="122"/>
        <v>1+1</v>
      </c>
      <c r="L2374">
        <f>VLOOKUP(A2374,'ZONE 1 PREMIUM'!$A$4:$N$16,14,0)</f>
        <v>9</v>
      </c>
      <c r="M2374">
        <f>VLOOKUP(D2374,DROPDOWN!B:C,2,0)</f>
        <v>9</v>
      </c>
      <c r="N2374" t="str">
        <f t="shared" si="120"/>
        <v>AU20:BM31</v>
      </c>
      <c r="O2374" s="4">
        <f t="shared" ca="1" si="121"/>
        <v>111963.375</v>
      </c>
    </row>
    <row r="2375" spans="1:15">
      <c r="A2375" s="2" t="s">
        <v>19</v>
      </c>
      <c r="B2375" t="s">
        <v>41</v>
      </c>
      <c r="C2375" t="s">
        <v>42</v>
      </c>
      <c r="D2375">
        <v>25</v>
      </c>
      <c r="E2375" t="s">
        <v>46</v>
      </c>
      <c r="F2375">
        <v>2</v>
      </c>
      <c r="G2375">
        <v>1</v>
      </c>
      <c r="H2375">
        <v>1</v>
      </c>
      <c r="I2375">
        <v>1</v>
      </c>
      <c r="J2375" s="4" t="s">
        <v>55</v>
      </c>
      <c r="K2375" t="str">
        <f t="shared" si="122"/>
        <v>1+1</v>
      </c>
      <c r="L2375">
        <f>VLOOKUP(A2375,'ZONE 1 PREMIUM'!$A$4:$N$16,14,0)</f>
        <v>10</v>
      </c>
      <c r="M2375">
        <f>VLOOKUP(D2375,DROPDOWN!B:C,2,0)</f>
        <v>9</v>
      </c>
      <c r="N2375" t="str">
        <f t="shared" si="120"/>
        <v>AU20:BM31</v>
      </c>
      <c r="O2375" s="4">
        <f t="shared" ca="1" si="121"/>
        <v>143938.125</v>
      </c>
    </row>
    <row r="2376" spans="1:15">
      <c r="A2376" s="2" t="s">
        <v>20</v>
      </c>
      <c r="B2376" t="s">
        <v>43</v>
      </c>
      <c r="C2376" t="s">
        <v>44</v>
      </c>
      <c r="D2376">
        <v>25</v>
      </c>
      <c r="E2376" t="s">
        <v>46</v>
      </c>
      <c r="F2376">
        <v>2</v>
      </c>
      <c r="G2376">
        <v>1</v>
      </c>
      <c r="H2376">
        <v>1</v>
      </c>
      <c r="I2376">
        <v>1</v>
      </c>
      <c r="J2376" s="4" t="s">
        <v>55</v>
      </c>
      <c r="K2376" t="str">
        <f t="shared" si="122"/>
        <v>1+1</v>
      </c>
      <c r="L2376">
        <f>VLOOKUP(A2376,'ZONE 1 PREMIUM'!$A$4:$N$16,14,0)</f>
        <v>11</v>
      </c>
      <c r="M2376">
        <f>VLOOKUP(D2376,DROPDOWN!B:C,2,0)</f>
        <v>9</v>
      </c>
      <c r="N2376" t="str">
        <f t="shared" si="120"/>
        <v>AU20:BM31</v>
      </c>
      <c r="O2376" s="4">
        <f t="shared" ca="1" si="121"/>
        <v>170103.375</v>
      </c>
    </row>
    <row r="2377" spans="1:15">
      <c r="A2377" s="2" t="s">
        <v>21</v>
      </c>
      <c r="B2377" t="s">
        <v>22</v>
      </c>
      <c r="D2377">
        <v>25</v>
      </c>
      <c r="E2377" t="s">
        <v>46</v>
      </c>
      <c r="F2377">
        <v>2</v>
      </c>
      <c r="G2377">
        <v>1</v>
      </c>
      <c r="H2377">
        <v>1</v>
      </c>
      <c r="I2377">
        <v>1</v>
      </c>
      <c r="J2377" s="4" t="s">
        <v>55</v>
      </c>
      <c r="K2377" t="str">
        <f t="shared" si="122"/>
        <v>1+1</v>
      </c>
      <c r="L2377">
        <f>VLOOKUP(A2377,'ZONE 1 PREMIUM'!$A$4:$N$16,14,0)</f>
        <v>12</v>
      </c>
      <c r="M2377">
        <f>VLOOKUP(D2377,DROPDOWN!B:C,2,0)</f>
        <v>9</v>
      </c>
      <c r="N2377" t="str">
        <f t="shared" si="120"/>
        <v>AU20:BM31</v>
      </c>
      <c r="O2377" s="4">
        <f t="shared" ca="1" si="121"/>
        <v>231220.125</v>
      </c>
    </row>
    <row r="2378" spans="1:15">
      <c r="A2378" s="2" t="s">
        <v>11</v>
      </c>
      <c r="B2378" t="s">
        <v>45</v>
      </c>
      <c r="C2378" t="s">
        <v>25</v>
      </c>
      <c r="D2378">
        <v>25</v>
      </c>
      <c r="E2378" t="s">
        <v>46</v>
      </c>
      <c r="F2378">
        <v>3</v>
      </c>
      <c r="G2378">
        <v>1</v>
      </c>
      <c r="H2378">
        <v>2</v>
      </c>
      <c r="I2378">
        <v>1</v>
      </c>
      <c r="J2378" s="4" t="s">
        <v>55</v>
      </c>
      <c r="K2378" t="str">
        <f t="shared" si="122"/>
        <v>1+2</v>
      </c>
      <c r="L2378">
        <f>VLOOKUP(A2378,'ZONE 1 PREMIUM'!$A$4:$N$16,14,0)</f>
        <v>2</v>
      </c>
      <c r="M2378">
        <f>VLOOKUP(D2378,DROPDOWN!B:C,2,0)</f>
        <v>9</v>
      </c>
      <c r="N2378" t="str">
        <f t="shared" si="120"/>
        <v>AU35:BM46</v>
      </c>
      <c r="O2378" s="4">
        <f t="shared" ca="1" si="121"/>
        <v>32926.5</v>
      </c>
    </row>
    <row r="2379" spans="1:15">
      <c r="A2379" s="2" t="s">
        <v>12</v>
      </c>
      <c r="B2379" t="s">
        <v>27</v>
      </c>
      <c r="C2379" t="s">
        <v>28</v>
      </c>
      <c r="D2379">
        <v>25</v>
      </c>
      <c r="E2379" t="s">
        <v>46</v>
      </c>
      <c r="F2379">
        <v>3</v>
      </c>
      <c r="G2379">
        <v>1</v>
      </c>
      <c r="H2379">
        <v>2</v>
      </c>
      <c r="I2379">
        <v>1</v>
      </c>
      <c r="J2379" s="4" t="s">
        <v>55</v>
      </c>
      <c r="K2379" t="str">
        <f t="shared" si="122"/>
        <v>1+2</v>
      </c>
      <c r="L2379">
        <f>VLOOKUP(A2379,'ZONE 1 PREMIUM'!$A$4:$N$16,14,0)</f>
        <v>3</v>
      </c>
      <c r="M2379">
        <f>VLOOKUP(D2379,DROPDOWN!B:C,2,0)</f>
        <v>9</v>
      </c>
      <c r="N2379" t="str">
        <f t="shared" si="120"/>
        <v>AU35:BM46</v>
      </c>
      <c r="O2379" s="4">
        <f t="shared" ca="1" si="121"/>
        <v>35229.375</v>
      </c>
    </row>
    <row r="2380" spans="1:15">
      <c r="A2380" s="2" t="s">
        <v>13</v>
      </c>
      <c r="B2380" t="s">
        <v>29</v>
      </c>
      <c r="C2380" t="s">
        <v>30</v>
      </c>
      <c r="D2380">
        <v>25</v>
      </c>
      <c r="E2380" t="s">
        <v>46</v>
      </c>
      <c r="F2380">
        <v>3</v>
      </c>
      <c r="G2380">
        <v>1</v>
      </c>
      <c r="H2380">
        <v>2</v>
      </c>
      <c r="I2380">
        <v>1</v>
      </c>
      <c r="J2380" s="4" t="s">
        <v>55</v>
      </c>
      <c r="K2380" t="str">
        <f t="shared" si="122"/>
        <v>1+2</v>
      </c>
      <c r="L2380">
        <f>VLOOKUP(A2380,'ZONE 1 PREMIUM'!$A$4:$N$16,14,0)</f>
        <v>4</v>
      </c>
      <c r="M2380">
        <f>VLOOKUP(D2380,DROPDOWN!B:C,2,0)</f>
        <v>9</v>
      </c>
      <c r="N2380" t="str">
        <f t="shared" si="120"/>
        <v>AU35:BM46</v>
      </c>
      <c r="O2380" s="4">
        <f t="shared" ca="1" si="121"/>
        <v>40912.875</v>
      </c>
    </row>
    <row r="2381" spans="1:15">
      <c r="A2381" s="2" t="s">
        <v>14</v>
      </c>
      <c r="B2381" t="s">
        <v>31</v>
      </c>
      <c r="C2381" t="s">
        <v>32</v>
      </c>
      <c r="D2381">
        <v>25</v>
      </c>
      <c r="E2381" t="s">
        <v>46</v>
      </c>
      <c r="F2381">
        <v>3</v>
      </c>
      <c r="G2381">
        <v>1</v>
      </c>
      <c r="H2381">
        <v>2</v>
      </c>
      <c r="I2381">
        <v>1</v>
      </c>
      <c r="J2381" s="4" t="s">
        <v>55</v>
      </c>
      <c r="K2381" t="str">
        <f t="shared" si="122"/>
        <v>1+2</v>
      </c>
      <c r="L2381">
        <f>VLOOKUP(A2381,'ZONE 1 PREMIUM'!$A$4:$N$16,14,0)</f>
        <v>5</v>
      </c>
      <c r="M2381">
        <f>VLOOKUP(D2381,DROPDOWN!B:C,2,0)</f>
        <v>9</v>
      </c>
      <c r="N2381" t="str">
        <f t="shared" si="120"/>
        <v>AU35:BM46</v>
      </c>
      <c r="O2381" s="4">
        <f t="shared" ca="1" si="121"/>
        <v>45870.75</v>
      </c>
    </row>
    <row r="2382" spans="1:15">
      <c r="A2382" s="2" t="s">
        <v>15</v>
      </c>
      <c r="B2382" t="s">
        <v>33</v>
      </c>
      <c r="C2382" t="s">
        <v>34</v>
      </c>
      <c r="D2382">
        <v>25</v>
      </c>
      <c r="E2382" t="s">
        <v>46</v>
      </c>
      <c r="F2382">
        <v>3</v>
      </c>
      <c r="G2382">
        <v>1</v>
      </c>
      <c r="H2382">
        <v>2</v>
      </c>
      <c r="I2382">
        <v>1</v>
      </c>
      <c r="J2382" s="4" t="s">
        <v>55</v>
      </c>
      <c r="K2382" t="str">
        <f t="shared" si="122"/>
        <v>1+2</v>
      </c>
      <c r="L2382">
        <f>VLOOKUP(A2382,'ZONE 1 PREMIUM'!$A$4:$N$16,14,0)</f>
        <v>6</v>
      </c>
      <c r="M2382">
        <f>VLOOKUP(D2382,DROPDOWN!B:C,2,0)</f>
        <v>9</v>
      </c>
      <c r="N2382" t="str">
        <f t="shared" si="120"/>
        <v>AU35:BM46</v>
      </c>
      <c r="O2382" s="4">
        <f t="shared" ca="1" si="121"/>
        <v>57507.75</v>
      </c>
    </row>
    <row r="2383" spans="1:15">
      <c r="A2383" s="2" t="s">
        <v>16</v>
      </c>
      <c r="B2383" t="s">
        <v>35</v>
      </c>
      <c r="C2383" t="s">
        <v>36</v>
      </c>
      <c r="D2383">
        <v>25</v>
      </c>
      <c r="E2383" t="s">
        <v>46</v>
      </c>
      <c r="F2383">
        <v>3</v>
      </c>
      <c r="G2383">
        <v>1</v>
      </c>
      <c r="H2383">
        <v>2</v>
      </c>
      <c r="I2383">
        <v>1</v>
      </c>
      <c r="J2383" s="4" t="s">
        <v>55</v>
      </c>
      <c r="K2383" t="str">
        <f t="shared" si="122"/>
        <v>1+2</v>
      </c>
      <c r="L2383">
        <f>VLOOKUP(A2383,'ZONE 1 PREMIUM'!$A$4:$N$16,14,0)</f>
        <v>7</v>
      </c>
      <c r="M2383">
        <f>VLOOKUP(D2383,DROPDOWN!B:C,2,0)</f>
        <v>9</v>
      </c>
      <c r="N2383" t="str">
        <f t="shared" si="120"/>
        <v>AU35:BM46</v>
      </c>
      <c r="O2383" s="4">
        <f t="shared" ca="1" si="121"/>
        <v>74296.125</v>
      </c>
    </row>
    <row r="2384" spans="1:15">
      <c r="A2384" s="2" t="s">
        <v>17</v>
      </c>
      <c r="B2384" t="s">
        <v>37</v>
      </c>
      <c r="C2384" t="s">
        <v>38</v>
      </c>
      <c r="D2384">
        <v>25</v>
      </c>
      <c r="E2384" t="s">
        <v>46</v>
      </c>
      <c r="F2384">
        <v>3</v>
      </c>
      <c r="G2384">
        <v>1</v>
      </c>
      <c r="H2384">
        <v>2</v>
      </c>
      <c r="I2384">
        <v>1</v>
      </c>
      <c r="J2384" s="4" t="s">
        <v>55</v>
      </c>
      <c r="K2384" t="str">
        <f t="shared" si="122"/>
        <v>1+2</v>
      </c>
      <c r="L2384">
        <f>VLOOKUP(A2384,'ZONE 1 PREMIUM'!$A$4:$N$16,14,0)</f>
        <v>8</v>
      </c>
      <c r="M2384">
        <f>VLOOKUP(D2384,DROPDOWN!B:C,2,0)</f>
        <v>9</v>
      </c>
      <c r="N2384" t="str">
        <f t="shared" si="120"/>
        <v>AU35:BM46</v>
      </c>
      <c r="O2384" s="4">
        <f t="shared" ca="1" si="121"/>
        <v>95141.25</v>
      </c>
    </row>
    <row r="2385" spans="1:15">
      <c r="A2385" s="2" t="s">
        <v>18</v>
      </c>
      <c r="B2385" t="s">
        <v>39</v>
      </c>
      <c r="C2385" t="s">
        <v>40</v>
      </c>
      <c r="D2385">
        <v>25</v>
      </c>
      <c r="E2385" t="s">
        <v>46</v>
      </c>
      <c r="F2385">
        <v>3</v>
      </c>
      <c r="G2385">
        <v>1</v>
      </c>
      <c r="H2385">
        <v>2</v>
      </c>
      <c r="I2385">
        <v>1</v>
      </c>
      <c r="J2385" s="4" t="s">
        <v>55</v>
      </c>
      <c r="K2385" t="str">
        <f t="shared" si="122"/>
        <v>1+2</v>
      </c>
      <c r="L2385">
        <f>VLOOKUP(A2385,'ZONE 1 PREMIUM'!$A$4:$N$16,14,0)</f>
        <v>9</v>
      </c>
      <c r="M2385">
        <f>VLOOKUP(D2385,DROPDOWN!B:C,2,0)</f>
        <v>9</v>
      </c>
      <c r="N2385" t="str">
        <f t="shared" si="120"/>
        <v>AU35:BM46</v>
      </c>
      <c r="O2385" s="4">
        <f t="shared" ca="1" si="121"/>
        <v>123315.75</v>
      </c>
    </row>
    <row r="2386" spans="1:15">
      <c r="A2386" s="2" t="s">
        <v>19</v>
      </c>
      <c r="B2386" t="s">
        <v>41</v>
      </c>
      <c r="C2386" t="s">
        <v>42</v>
      </c>
      <c r="D2386">
        <v>25</v>
      </c>
      <c r="E2386" t="s">
        <v>46</v>
      </c>
      <c r="F2386">
        <v>3</v>
      </c>
      <c r="G2386">
        <v>1</v>
      </c>
      <c r="H2386">
        <v>2</v>
      </c>
      <c r="I2386">
        <v>1</v>
      </c>
      <c r="J2386" s="4" t="s">
        <v>55</v>
      </c>
      <c r="K2386" t="str">
        <f t="shared" si="122"/>
        <v>1+2</v>
      </c>
      <c r="L2386">
        <f>VLOOKUP(A2386,'ZONE 1 PREMIUM'!$A$4:$N$16,14,0)</f>
        <v>10</v>
      </c>
      <c r="M2386">
        <f>VLOOKUP(D2386,DROPDOWN!B:C,2,0)</f>
        <v>9</v>
      </c>
      <c r="N2386" t="str">
        <f t="shared" si="120"/>
        <v>AU35:BM46</v>
      </c>
      <c r="O2386" s="4">
        <f t="shared" ca="1" si="121"/>
        <v>157757.625</v>
      </c>
    </row>
    <row r="2387" spans="1:15">
      <c r="A2387" s="2" t="s">
        <v>20</v>
      </c>
      <c r="B2387" t="s">
        <v>43</v>
      </c>
      <c r="C2387" t="s">
        <v>44</v>
      </c>
      <c r="D2387">
        <v>25</v>
      </c>
      <c r="E2387" t="s">
        <v>46</v>
      </c>
      <c r="F2387">
        <v>3</v>
      </c>
      <c r="G2387">
        <v>1</v>
      </c>
      <c r="H2387">
        <v>2</v>
      </c>
      <c r="I2387">
        <v>1</v>
      </c>
      <c r="J2387" s="4" t="s">
        <v>55</v>
      </c>
      <c r="K2387" t="str">
        <f t="shared" si="122"/>
        <v>1+2</v>
      </c>
      <c r="L2387">
        <f>VLOOKUP(A2387,'ZONE 1 PREMIUM'!$A$4:$N$16,14,0)</f>
        <v>11</v>
      </c>
      <c r="M2387">
        <f>VLOOKUP(D2387,DROPDOWN!B:C,2,0)</f>
        <v>9</v>
      </c>
      <c r="N2387" t="str">
        <f t="shared" si="120"/>
        <v>AU35:BM46</v>
      </c>
      <c r="O2387" s="4">
        <f t="shared" ca="1" si="121"/>
        <v>186379.875</v>
      </c>
    </row>
    <row r="2388" spans="1:15">
      <c r="A2388" s="2" t="s">
        <v>21</v>
      </c>
      <c r="B2388" t="s">
        <v>22</v>
      </c>
      <c r="D2388">
        <v>25</v>
      </c>
      <c r="E2388" t="s">
        <v>46</v>
      </c>
      <c r="F2388">
        <v>3</v>
      </c>
      <c r="G2388">
        <v>1</v>
      </c>
      <c r="H2388">
        <v>2</v>
      </c>
      <c r="I2388">
        <v>1</v>
      </c>
      <c r="J2388" s="4" t="s">
        <v>55</v>
      </c>
      <c r="K2388" t="str">
        <f t="shared" si="122"/>
        <v>1+2</v>
      </c>
      <c r="L2388">
        <f>VLOOKUP(A2388,'ZONE 1 PREMIUM'!$A$4:$N$16,14,0)</f>
        <v>12</v>
      </c>
      <c r="M2388">
        <f>VLOOKUP(D2388,DROPDOWN!B:C,2,0)</f>
        <v>9</v>
      </c>
      <c r="N2388" t="str">
        <f t="shared" si="120"/>
        <v>AU35:BM46</v>
      </c>
      <c r="O2388" s="4">
        <f t="shared" ca="1" si="121"/>
        <v>243480.375</v>
      </c>
    </row>
    <row r="2389" spans="1:15">
      <c r="A2389" s="2" t="s">
        <v>11</v>
      </c>
      <c r="B2389" t="s">
        <v>45</v>
      </c>
      <c r="C2389" t="s">
        <v>25</v>
      </c>
      <c r="D2389">
        <v>25</v>
      </c>
      <c r="E2389" t="s">
        <v>46</v>
      </c>
      <c r="F2389">
        <v>4</v>
      </c>
      <c r="G2389">
        <v>1</v>
      </c>
      <c r="H2389">
        <v>3</v>
      </c>
      <c r="I2389">
        <v>1</v>
      </c>
      <c r="J2389" s="4" t="s">
        <v>55</v>
      </c>
      <c r="K2389" t="str">
        <f t="shared" si="122"/>
        <v>1+3</v>
      </c>
      <c r="L2389">
        <f>VLOOKUP(A2389,'ZONE 1 PREMIUM'!$A$4:$N$16,14,0)</f>
        <v>2</v>
      </c>
      <c r="M2389">
        <f>VLOOKUP(D2389,DROPDOWN!B:C,2,0)</f>
        <v>9</v>
      </c>
      <c r="N2389" t="str">
        <f t="shared" si="120"/>
        <v>AU50:BM61</v>
      </c>
      <c r="O2389" s="4">
        <f t="shared" ca="1" si="121"/>
        <v>40381.875</v>
      </c>
    </row>
    <row r="2390" spans="1:15">
      <c r="A2390" s="2" t="s">
        <v>12</v>
      </c>
      <c r="B2390" t="s">
        <v>27</v>
      </c>
      <c r="C2390" t="s">
        <v>28</v>
      </c>
      <c r="D2390">
        <v>25</v>
      </c>
      <c r="E2390" t="s">
        <v>46</v>
      </c>
      <c r="F2390">
        <v>4</v>
      </c>
      <c r="G2390">
        <v>1</v>
      </c>
      <c r="H2390">
        <v>3</v>
      </c>
      <c r="I2390">
        <v>1</v>
      </c>
      <c r="J2390" s="4" t="s">
        <v>55</v>
      </c>
      <c r="K2390" t="str">
        <f t="shared" si="122"/>
        <v>1+3</v>
      </c>
      <c r="L2390">
        <f>VLOOKUP(A2390,'ZONE 1 PREMIUM'!$A$4:$N$16,14,0)</f>
        <v>3</v>
      </c>
      <c r="M2390">
        <f>VLOOKUP(D2390,DROPDOWN!B:C,2,0)</f>
        <v>9</v>
      </c>
      <c r="N2390" t="str">
        <f t="shared" si="120"/>
        <v>AU50:BM61</v>
      </c>
      <c r="O2390" s="4">
        <f t="shared" ca="1" si="121"/>
        <v>42552</v>
      </c>
    </row>
    <row r="2391" spans="1:15">
      <c r="A2391" s="2" t="s">
        <v>13</v>
      </c>
      <c r="B2391" t="s">
        <v>29</v>
      </c>
      <c r="C2391" t="s">
        <v>30</v>
      </c>
      <c r="D2391">
        <v>25</v>
      </c>
      <c r="E2391" t="s">
        <v>46</v>
      </c>
      <c r="F2391">
        <v>4</v>
      </c>
      <c r="G2391">
        <v>1</v>
      </c>
      <c r="H2391">
        <v>3</v>
      </c>
      <c r="I2391">
        <v>1</v>
      </c>
      <c r="J2391" s="4" t="s">
        <v>55</v>
      </c>
      <c r="K2391" t="str">
        <f t="shared" si="122"/>
        <v>1+3</v>
      </c>
      <c r="L2391">
        <f>VLOOKUP(A2391,'ZONE 1 PREMIUM'!$A$4:$N$16,14,0)</f>
        <v>4</v>
      </c>
      <c r="M2391">
        <f>VLOOKUP(D2391,DROPDOWN!B:C,2,0)</f>
        <v>9</v>
      </c>
      <c r="N2391" t="str">
        <f t="shared" si="120"/>
        <v>AU50:BM61</v>
      </c>
      <c r="O2391" s="4">
        <f t="shared" ca="1" si="121"/>
        <v>49469.625</v>
      </c>
    </row>
    <row r="2392" spans="1:15">
      <c r="A2392" s="2" t="s">
        <v>14</v>
      </c>
      <c r="B2392" t="s">
        <v>31</v>
      </c>
      <c r="C2392" t="s">
        <v>32</v>
      </c>
      <c r="D2392">
        <v>25</v>
      </c>
      <c r="E2392" t="s">
        <v>46</v>
      </c>
      <c r="F2392">
        <v>4</v>
      </c>
      <c r="G2392">
        <v>1</v>
      </c>
      <c r="H2392">
        <v>3</v>
      </c>
      <c r="I2392">
        <v>1</v>
      </c>
      <c r="J2392" s="4" t="s">
        <v>55</v>
      </c>
      <c r="K2392" t="str">
        <f t="shared" si="122"/>
        <v>1+3</v>
      </c>
      <c r="L2392">
        <f>VLOOKUP(A2392,'ZONE 1 PREMIUM'!$A$4:$N$16,14,0)</f>
        <v>5</v>
      </c>
      <c r="M2392">
        <f>VLOOKUP(D2392,DROPDOWN!B:C,2,0)</f>
        <v>9</v>
      </c>
      <c r="N2392" t="str">
        <f t="shared" si="120"/>
        <v>AU50:BM61</v>
      </c>
      <c r="O2392" s="4">
        <f t="shared" ca="1" si="121"/>
        <v>55022.625</v>
      </c>
    </row>
    <row r="2393" spans="1:15">
      <c r="A2393" s="2" t="s">
        <v>15</v>
      </c>
      <c r="B2393" t="s">
        <v>33</v>
      </c>
      <c r="C2393" t="s">
        <v>34</v>
      </c>
      <c r="D2393">
        <v>25</v>
      </c>
      <c r="E2393" t="s">
        <v>46</v>
      </c>
      <c r="F2393">
        <v>4</v>
      </c>
      <c r="G2393">
        <v>1</v>
      </c>
      <c r="H2393">
        <v>3</v>
      </c>
      <c r="I2393">
        <v>1</v>
      </c>
      <c r="J2393" s="4" t="s">
        <v>55</v>
      </c>
      <c r="K2393" t="str">
        <f t="shared" si="122"/>
        <v>1+3</v>
      </c>
      <c r="L2393">
        <f>VLOOKUP(A2393,'ZONE 1 PREMIUM'!$A$4:$N$16,14,0)</f>
        <v>6</v>
      </c>
      <c r="M2393">
        <f>VLOOKUP(D2393,DROPDOWN!B:C,2,0)</f>
        <v>9</v>
      </c>
      <c r="N2393" t="str">
        <f t="shared" si="120"/>
        <v>AU50:BM61</v>
      </c>
      <c r="O2393" s="4">
        <f t="shared" ca="1" si="121"/>
        <v>67817.25</v>
      </c>
    </row>
    <row r="2394" spans="1:15">
      <c r="A2394" s="2" t="s">
        <v>16</v>
      </c>
      <c r="B2394" t="s">
        <v>35</v>
      </c>
      <c r="C2394" t="s">
        <v>36</v>
      </c>
      <c r="D2394">
        <v>25</v>
      </c>
      <c r="E2394" t="s">
        <v>46</v>
      </c>
      <c r="F2394">
        <v>4</v>
      </c>
      <c r="G2394">
        <v>1</v>
      </c>
      <c r="H2394">
        <v>3</v>
      </c>
      <c r="I2394">
        <v>1</v>
      </c>
      <c r="J2394" s="4" t="s">
        <v>55</v>
      </c>
      <c r="K2394" t="str">
        <f t="shared" si="122"/>
        <v>1+3</v>
      </c>
      <c r="L2394">
        <f>VLOOKUP(A2394,'ZONE 1 PREMIUM'!$A$4:$N$16,14,0)</f>
        <v>7</v>
      </c>
      <c r="M2394">
        <f>VLOOKUP(D2394,DROPDOWN!B:C,2,0)</f>
        <v>9</v>
      </c>
      <c r="N2394" t="str">
        <f t="shared" si="120"/>
        <v>AU50:BM61</v>
      </c>
      <c r="O2394" s="4">
        <f t="shared" ca="1" si="121"/>
        <v>85813.875</v>
      </c>
    </row>
    <row r="2395" spans="1:15">
      <c r="A2395" s="2" t="s">
        <v>17</v>
      </c>
      <c r="B2395" t="s">
        <v>37</v>
      </c>
      <c r="C2395" t="s">
        <v>38</v>
      </c>
      <c r="D2395">
        <v>25</v>
      </c>
      <c r="E2395" t="s">
        <v>46</v>
      </c>
      <c r="F2395">
        <v>4</v>
      </c>
      <c r="G2395">
        <v>1</v>
      </c>
      <c r="H2395">
        <v>3</v>
      </c>
      <c r="I2395">
        <v>1</v>
      </c>
      <c r="J2395" s="4" t="s">
        <v>55</v>
      </c>
      <c r="K2395" t="str">
        <f t="shared" si="122"/>
        <v>1+3</v>
      </c>
      <c r="L2395">
        <f>VLOOKUP(A2395,'ZONE 1 PREMIUM'!$A$4:$N$16,14,0)</f>
        <v>8</v>
      </c>
      <c r="M2395">
        <f>VLOOKUP(D2395,DROPDOWN!B:C,2,0)</f>
        <v>9</v>
      </c>
      <c r="N2395" t="str">
        <f t="shared" si="120"/>
        <v>AU50:BM61</v>
      </c>
      <c r="O2395" s="4">
        <f t="shared" ca="1" si="121"/>
        <v>105431.625</v>
      </c>
    </row>
    <row r="2396" spans="1:15">
      <c r="A2396" s="2" t="s">
        <v>18</v>
      </c>
      <c r="B2396" t="s">
        <v>39</v>
      </c>
      <c r="C2396" t="s">
        <v>40</v>
      </c>
      <c r="D2396">
        <v>25</v>
      </c>
      <c r="E2396" t="s">
        <v>46</v>
      </c>
      <c r="F2396">
        <v>4</v>
      </c>
      <c r="G2396">
        <v>1</v>
      </c>
      <c r="H2396">
        <v>3</v>
      </c>
      <c r="I2396">
        <v>1</v>
      </c>
      <c r="J2396" s="4" t="s">
        <v>55</v>
      </c>
      <c r="K2396" t="str">
        <f t="shared" si="122"/>
        <v>1+3</v>
      </c>
      <c r="L2396">
        <f>VLOOKUP(A2396,'ZONE 1 PREMIUM'!$A$4:$N$16,14,0)</f>
        <v>9</v>
      </c>
      <c r="M2396">
        <f>VLOOKUP(D2396,DROPDOWN!B:C,2,0)</f>
        <v>9</v>
      </c>
      <c r="N2396" t="str">
        <f t="shared" si="120"/>
        <v>AU50:BM61</v>
      </c>
      <c r="O2396" s="4">
        <f t="shared" ca="1" si="121"/>
        <v>134651.25</v>
      </c>
    </row>
    <row r="2397" spans="1:15">
      <c r="A2397" s="2" t="s">
        <v>19</v>
      </c>
      <c r="B2397" t="s">
        <v>41</v>
      </c>
      <c r="C2397" t="s">
        <v>42</v>
      </c>
      <c r="D2397">
        <v>25</v>
      </c>
      <c r="E2397" t="s">
        <v>46</v>
      </c>
      <c r="F2397">
        <v>4</v>
      </c>
      <c r="G2397">
        <v>1</v>
      </c>
      <c r="H2397">
        <v>3</v>
      </c>
      <c r="I2397">
        <v>1</v>
      </c>
      <c r="J2397" s="4" t="s">
        <v>55</v>
      </c>
      <c r="K2397" t="str">
        <f t="shared" si="122"/>
        <v>1+3</v>
      </c>
      <c r="L2397">
        <f>VLOOKUP(A2397,'ZONE 1 PREMIUM'!$A$4:$N$16,14,0)</f>
        <v>10</v>
      </c>
      <c r="M2397">
        <f>VLOOKUP(D2397,DROPDOWN!B:C,2,0)</f>
        <v>9</v>
      </c>
      <c r="N2397" t="str">
        <f t="shared" si="120"/>
        <v>AU50:BM61</v>
      </c>
      <c r="O2397" s="4">
        <f t="shared" ca="1" si="121"/>
        <v>166962.375</v>
      </c>
    </row>
    <row r="2398" spans="1:15">
      <c r="A2398" s="2" t="s">
        <v>20</v>
      </c>
      <c r="B2398" t="s">
        <v>43</v>
      </c>
      <c r="C2398" t="s">
        <v>44</v>
      </c>
      <c r="D2398">
        <v>25</v>
      </c>
      <c r="E2398" t="s">
        <v>46</v>
      </c>
      <c r="F2398">
        <v>4</v>
      </c>
      <c r="G2398">
        <v>1</v>
      </c>
      <c r="H2398">
        <v>3</v>
      </c>
      <c r="I2398">
        <v>1</v>
      </c>
      <c r="J2398" s="4" t="s">
        <v>55</v>
      </c>
      <c r="K2398" t="str">
        <f t="shared" si="122"/>
        <v>1+3</v>
      </c>
      <c r="L2398">
        <f>VLOOKUP(A2398,'ZONE 1 PREMIUM'!$A$4:$N$16,14,0)</f>
        <v>11</v>
      </c>
      <c r="M2398">
        <f>VLOOKUP(D2398,DROPDOWN!B:C,2,0)</f>
        <v>9</v>
      </c>
      <c r="N2398" t="str">
        <f t="shared" si="120"/>
        <v>AU50:BM61</v>
      </c>
      <c r="O2398" s="4">
        <f t="shared" ca="1" si="121"/>
        <v>195142.5</v>
      </c>
    </row>
    <row r="2399" spans="1:15">
      <c r="A2399" s="2" t="s">
        <v>21</v>
      </c>
      <c r="B2399" t="s">
        <v>22</v>
      </c>
      <c r="D2399">
        <v>25</v>
      </c>
      <c r="E2399" t="s">
        <v>46</v>
      </c>
      <c r="F2399">
        <v>4</v>
      </c>
      <c r="G2399">
        <v>1</v>
      </c>
      <c r="H2399">
        <v>3</v>
      </c>
      <c r="I2399">
        <v>1</v>
      </c>
      <c r="J2399" s="4" t="s">
        <v>55</v>
      </c>
      <c r="K2399" t="str">
        <f t="shared" si="122"/>
        <v>1+3</v>
      </c>
      <c r="L2399">
        <f>VLOOKUP(A2399,'ZONE 1 PREMIUM'!$A$4:$N$16,14,0)</f>
        <v>12</v>
      </c>
      <c r="M2399">
        <f>VLOOKUP(D2399,DROPDOWN!B:C,2,0)</f>
        <v>9</v>
      </c>
      <c r="N2399" t="str">
        <f t="shared" si="120"/>
        <v>AU50:BM61</v>
      </c>
      <c r="O2399" s="4">
        <f t="shared" ca="1" si="121"/>
        <v>252736.875</v>
      </c>
    </row>
    <row r="2400" spans="1:15">
      <c r="A2400" s="2" t="s">
        <v>11</v>
      </c>
      <c r="B2400" t="s">
        <v>45</v>
      </c>
      <c r="C2400" t="s">
        <v>25</v>
      </c>
      <c r="D2400">
        <v>25</v>
      </c>
      <c r="E2400" t="s">
        <v>46</v>
      </c>
      <c r="F2400">
        <v>5</v>
      </c>
      <c r="G2400">
        <v>1</v>
      </c>
      <c r="H2400">
        <v>4</v>
      </c>
      <c r="I2400">
        <v>1</v>
      </c>
      <c r="J2400" s="4" t="s">
        <v>55</v>
      </c>
      <c r="K2400" t="str">
        <f t="shared" si="122"/>
        <v>1+4</v>
      </c>
      <c r="L2400">
        <f>VLOOKUP(A2400,'ZONE 1 PREMIUM'!$A$4:$N$16,14,0)</f>
        <v>2</v>
      </c>
      <c r="M2400">
        <f>VLOOKUP(D2400,DROPDOWN!B:C,2,0)</f>
        <v>9</v>
      </c>
      <c r="N2400" t="str">
        <f t="shared" si="120"/>
        <v>AU65:BM76</v>
      </c>
      <c r="O2400" s="4">
        <f t="shared" ca="1" si="121"/>
        <v>47838.375</v>
      </c>
    </row>
    <row r="2401" spans="1:15">
      <c r="A2401" s="2" t="s">
        <v>12</v>
      </c>
      <c r="B2401" t="s">
        <v>27</v>
      </c>
      <c r="C2401" t="s">
        <v>28</v>
      </c>
      <c r="D2401">
        <v>25</v>
      </c>
      <c r="E2401" t="s">
        <v>46</v>
      </c>
      <c r="F2401">
        <v>5</v>
      </c>
      <c r="G2401">
        <v>1</v>
      </c>
      <c r="H2401">
        <v>4</v>
      </c>
      <c r="I2401">
        <v>1</v>
      </c>
      <c r="J2401" s="4" t="s">
        <v>55</v>
      </c>
      <c r="K2401" t="str">
        <f t="shared" si="122"/>
        <v>1+4</v>
      </c>
      <c r="L2401">
        <f>VLOOKUP(A2401,'ZONE 1 PREMIUM'!$A$4:$N$16,14,0)</f>
        <v>3</v>
      </c>
      <c r="M2401">
        <f>VLOOKUP(D2401,DROPDOWN!B:C,2,0)</f>
        <v>9</v>
      </c>
      <c r="N2401" t="str">
        <f t="shared" si="120"/>
        <v>AU65:BM76</v>
      </c>
      <c r="O2401" s="4">
        <f t="shared" ca="1" si="121"/>
        <v>49875.75</v>
      </c>
    </row>
    <row r="2402" spans="1:15">
      <c r="A2402" s="2" t="s">
        <v>13</v>
      </c>
      <c r="B2402" t="s">
        <v>29</v>
      </c>
      <c r="C2402" t="s">
        <v>30</v>
      </c>
      <c r="D2402">
        <v>25</v>
      </c>
      <c r="E2402" t="s">
        <v>46</v>
      </c>
      <c r="F2402">
        <v>5</v>
      </c>
      <c r="G2402">
        <v>1</v>
      </c>
      <c r="H2402">
        <v>4</v>
      </c>
      <c r="I2402">
        <v>1</v>
      </c>
      <c r="J2402" s="4" t="s">
        <v>55</v>
      </c>
      <c r="K2402" t="str">
        <f t="shared" si="122"/>
        <v>1+4</v>
      </c>
      <c r="L2402">
        <f>VLOOKUP(A2402,'ZONE 1 PREMIUM'!$A$4:$N$16,14,0)</f>
        <v>4</v>
      </c>
      <c r="M2402">
        <f>VLOOKUP(D2402,DROPDOWN!B:C,2,0)</f>
        <v>9</v>
      </c>
      <c r="N2402" t="str">
        <f t="shared" si="120"/>
        <v>AU65:BM76</v>
      </c>
      <c r="O2402" s="4">
        <f t="shared" ca="1" si="121"/>
        <v>58025.25</v>
      </c>
    </row>
    <row r="2403" spans="1:15">
      <c r="A2403" s="2" t="s">
        <v>14</v>
      </c>
      <c r="B2403" t="s">
        <v>31</v>
      </c>
      <c r="C2403" t="s">
        <v>32</v>
      </c>
      <c r="D2403">
        <v>25</v>
      </c>
      <c r="E2403" t="s">
        <v>46</v>
      </c>
      <c r="F2403">
        <v>5</v>
      </c>
      <c r="G2403">
        <v>1</v>
      </c>
      <c r="H2403">
        <v>4</v>
      </c>
      <c r="I2403">
        <v>1</v>
      </c>
      <c r="J2403" s="4" t="s">
        <v>55</v>
      </c>
      <c r="K2403" t="str">
        <f t="shared" si="122"/>
        <v>1+4</v>
      </c>
      <c r="L2403">
        <f>VLOOKUP(A2403,'ZONE 1 PREMIUM'!$A$4:$N$16,14,0)</f>
        <v>5</v>
      </c>
      <c r="M2403">
        <f>VLOOKUP(D2403,DROPDOWN!B:C,2,0)</f>
        <v>9</v>
      </c>
      <c r="N2403" t="str">
        <f t="shared" si="120"/>
        <v>AU65:BM76</v>
      </c>
      <c r="O2403" s="4">
        <f t="shared" ca="1" si="121"/>
        <v>64174.5</v>
      </c>
    </row>
    <row r="2404" spans="1:15">
      <c r="A2404" s="2" t="s">
        <v>15</v>
      </c>
      <c r="B2404" t="s">
        <v>33</v>
      </c>
      <c r="C2404" t="s">
        <v>34</v>
      </c>
      <c r="D2404">
        <v>25</v>
      </c>
      <c r="E2404" t="s">
        <v>46</v>
      </c>
      <c r="F2404">
        <v>5</v>
      </c>
      <c r="G2404">
        <v>1</v>
      </c>
      <c r="H2404">
        <v>4</v>
      </c>
      <c r="I2404">
        <v>1</v>
      </c>
      <c r="J2404" s="4" t="s">
        <v>55</v>
      </c>
      <c r="K2404" t="str">
        <f t="shared" si="122"/>
        <v>1+4</v>
      </c>
      <c r="L2404">
        <f>VLOOKUP(A2404,'ZONE 1 PREMIUM'!$A$4:$N$16,14,0)</f>
        <v>6</v>
      </c>
      <c r="M2404">
        <f>VLOOKUP(D2404,DROPDOWN!B:C,2,0)</f>
        <v>9</v>
      </c>
      <c r="N2404" t="str">
        <f t="shared" si="120"/>
        <v>AU65:BM76</v>
      </c>
      <c r="O2404" s="4">
        <f t="shared" ca="1" si="121"/>
        <v>78125.625</v>
      </c>
    </row>
    <row r="2405" spans="1:15">
      <c r="A2405" s="2" t="s">
        <v>16</v>
      </c>
      <c r="B2405" t="s">
        <v>35</v>
      </c>
      <c r="C2405" t="s">
        <v>36</v>
      </c>
      <c r="D2405">
        <v>25</v>
      </c>
      <c r="E2405" t="s">
        <v>46</v>
      </c>
      <c r="F2405">
        <v>5</v>
      </c>
      <c r="G2405">
        <v>1</v>
      </c>
      <c r="H2405">
        <v>4</v>
      </c>
      <c r="I2405">
        <v>1</v>
      </c>
      <c r="J2405" s="4" t="s">
        <v>55</v>
      </c>
      <c r="K2405" t="str">
        <f t="shared" si="122"/>
        <v>1+4</v>
      </c>
      <c r="L2405">
        <f>VLOOKUP(A2405,'ZONE 1 PREMIUM'!$A$4:$N$16,14,0)</f>
        <v>7</v>
      </c>
      <c r="M2405">
        <f>VLOOKUP(D2405,DROPDOWN!B:C,2,0)</f>
        <v>9</v>
      </c>
      <c r="N2405" t="str">
        <f t="shared" si="120"/>
        <v>AU65:BM76</v>
      </c>
      <c r="O2405" s="4">
        <f t="shared" ca="1" si="121"/>
        <v>95448.375</v>
      </c>
    </row>
    <row r="2406" spans="1:15">
      <c r="A2406" s="2" t="s">
        <v>17</v>
      </c>
      <c r="B2406" t="s">
        <v>37</v>
      </c>
      <c r="C2406" t="s">
        <v>38</v>
      </c>
      <c r="D2406">
        <v>25</v>
      </c>
      <c r="E2406" t="s">
        <v>46</v>
      </c>
      <c r="F2406">
        <v>5</v>
      </c>
      <c r="G2406">
        <v>1</v>
      </c>
      <c r="H2406">
        <v>4</v>
      </c>
      <c r="I2406">
        <v>1</v>
      </c>
      <c r="J2406" s="4" t="s">
        <v>55</v>
      </c>
      <c r="K2406" t="str">
        <f t="shared" si="122"/>
        <v>1+4</v>
      </c>
      <c r="L2406">
        <f>VLOOKUP(A2406,'ZONE 1 PREMIUM'!$A$4:$N$16,14,0)</f>
        <v>8</v>
      </c>
      <c r="M2406">
        <f>VLOOKUP(D2406,DROPDOWN!B:C,2,0)</f>
        <v>9</v>
      </c>
      <c r="N2406" t="str">
        <f t="shared" si="120"/>
        <v>AU65:BM76</v>
      </c>
      <c r="O2406" s="4">
        <f t="shared" ca="1" si="121"/>
        <v>114823.125</v>
      </c>
    </row>
    <row r="2407" spans="1:15">
      <c r="A2407" s="2" t="s">
        <v>18</v>
      </c>
      <c r="B2407" t="s">
        <v>39</v>
      </c>
      <c r="C2407" t="s">
        <v>40</v>
      </c>
      <c r="D2407">
        <v>25</v>
      </c>
      <c r="E2407" t="s">
        <v>46</v>
      </c>
      <c r="F2407">
        <v>5</v>
      </c>
      <c r="G2407">
        <v>1</v>
      </c>
      <c r="H2407">
        <v>4</v>
      </c>
      <c r="I2407">
        <v>1</v>
      </c>
      <c r="J2407" s="4" t="s">
        <v>55</v>
      </c>
      <c r="K2407" t="str">
        <f t="shared" si="122"/>
        <v>1+4</v>
      </c>
      <c r="L2407">
        <f>VLOOKUP(A2407,'ZONE 1 PREMIUM'!$A$4:$N$16,14,0)</f>
        <v>9</v>
      </c>
      <c r="M2407">
        <f>VLOOKUP(D2407,DROPDOWN!B:C,2,0)</f>
        <v>9</v>
      </c>
      <c r="N2407" t="str">
        <f t="shared" si="120"/>
        <v>AU65:BM76</v>
      </c>
      <c r="O2407" s="4">
        <f t="shared" ca="1" si="121"/>
        <v>144286.875</v>
      </c>
    </row>
    <row r="2408" spans="1:15">
      <c r="A2408" s="2" t="s">
        <v>19</v>
      </c>
      <c r="B2408" t="s">
        <v>41</v>
      </c>
      <c r="C2408" t="s">
        <v>42</v>
      </c>
      <c r="D2408">
        <v>25</v>
      </c>
      <c r="E2408" t="s">
        <v>46</v>
      </c>
      <c r="F2408">
        <v>5</v>
      </c>
      <c r="G2408">
        <v>1</v>
      </c>
      <c r="H2408">
        <v>4</v>
      </c>
      <c r="I2408">
        <v>1</v>
      </c>
      <c r="J2408" s="4" t="s">
        <v>55</v>
      </c>
      <c r="K2408" t="str">
        <f t="shared" si="122"/>
        <v>1+4</v>
      </c>
      <c r="L2408">
        <f>VLOOKUP(A2408,'ZONE 1 PREMIUM'!$A$4:$N$16,14,0)</f>
        <v>10</v>
      </c>
      <c r="M2408">
        <f>VLOOKUP(D2408,DROPDOWN!B:C,2,0)</f>
        <v>9</v>
      </c>
      <c r="N2408" t="str">
        <f t="shared" si="120"/>
        <v>AU65:BM76</v>
      </c>
      <c r="O2408" s="4">
        <f t="shared" ca="1" si="121"/>
        <v>176423.625</v>
      </c>
    </row>
    <row r="2409" spans="1:15">
      <c r="A2409" s="2" t="s">
        <v>20</v>
      </c>
      <c r="B2409" t="s">
        <v>43</v>
      </c>
      <c r="C2409" t="s">
        <v>44</v>
      </c>
      <c r="D2409">
        <v>25</v>
      </c>
      <c r="E2409" t="s">
        <v>46</v>
      </c>
      <c r="F2409">
        <v>5</v>
      </c>
      <c r="G2409">
        <v>1</v>
      </c>
      <c r="H2409">
        <v>4</v>
      </c>
      <c r="I2409">
        <v>1</v>
      </c>
      <c r="J2409" s="4" t="s">
        <v>55</v>
      </c>
      <c r="K2409" t="str">
        <f t="shared" si="122"/>
        <v>1+4</v>
      </c>
      <c r="L2409">
        <f>VLOOKUP(A2409,'ZONE 1 PREMIUM'!$A$4:$N$16,14,0)</f>
        <v>11</v>
      </c>
      <c r="M2409">
        <f>VLOOKUP(D2409,DROPDOWN!B:C,2,0)</f>
        <v>9</v>
      </c>
      <c r="N2409" t="str">
        <f t="shared" si="120"/>
        <v>AU65:BM76</v>
      </c>
      <c r="O2409" s="4">
        <f t="shared" ca="1" si="121"/>
        <v>204648.75</v>
      </c>
    </row>
    <row r="2410" spans="1:15">
      <c r="A2410" s="2" t="s">
        <v>21</v>
      </c>
      <c r="B2410" t="s">
        <v>22</v>
      </c>
      <c r="D2410">
        <v>25</v>
      </c>
      <c r="E2410" t="s">
        <v>46</v>
      </c>
      <c r="F2410">
        <v>5</v>
      </c>
      <c r="G2410">
        <v>1</v>
      </c>
      <c r="H2410">
        <v>4</v>
      </c>
      <c r="I2410">
        <v>1</v>
      </c>
      <c r="J2410" s="4" t="s">
        <v>55</v>
      </c>
      <c r="K2410" t="str">
        <f t="shared" si="122"/>
        <v>1+4</v>
      </c>
      <c r="L2410">
        <f>VLOOKUP(A2410,'ZONE 1 PREMIUM'!$A$4:$N$16,14,0)</f>
        <v>12</v>
      </c>
      <c r="M2410">
        <f>VLOOKUP(D2410,DROPDOWN!B:C,2,0)</f>
        <v>9</v>
      </c>
      <c r="N2410" t="str">
        <f t="shared" si="120"/>
        <v>AU65:BM76</v>
      </c>
      <c r="O2410" s="4">
        <f t="shared" ca="1" si="121"/>
        <v>262551.375</v>
      </c>
    </row>
    <row r="2411" spans="1:15">
      <c r="A2411" s="2" t="s">
        <v>11</v>
      </c>
      <c r="B2411" t="s">
        <v>45</v>
      </c>
      <c r="C2411" t="s">
        <v>25</v>
      </c>
      <c r="D2411">
        <v>25</v>
      </c>
      <c r="E2411" t="s">
        <v>46</v>
      </c>
      <c r="F2411">
        <v>2</v>
      </c>
      <c r="G2411">
        <v>2</v>
      </c>
      <c r="H2411">
        <v>0</v>
      </c>
      <c r="I2411">
        <v>1</v>
      </c>
      <c r="J2411" s="4" t="s">
        <v>55</v>
      </c>
      <c r="K2411" t="str">
        <f t="shared" si="122"/>
        <v>2+0</v>
      </c>
      <c r="L2411">
        <f>VLOOKUP(A2411,'ZONE 1 PREMIUM'!$A$4:$N$16,14,0)</f>
        <v>2</v>
      </c>
      <c r="M2411">
        <f>VLOOKUP(D2411,DROPDOWN!B:C,2,0)</f>
        <v>9</v>
      </c>
      <c r="N2411" t="str">
        <f t="shared" si="120"/>
        <v>AU81:BM92</v>
      </c>
      <c r="O2411" s="4">
        <f t="shared" ca="1" si="121"/>
        <v>35714.25</v>
      </c>
    </row>
    <row r="2412" spans="1:15">
      <c r="A2412" s="2" t="s">
        <v>12</v>
      </c>
      <c r="B2412" t="s">
        <v>27</v>
      </c>
      <c r="C2412" t="s">
        <v>28</v>
      </c>
      <c r="D2412">
        <v>25</v>
      </c>
      <c r="E2412" t="s">
        <v>46</v>
      </c>
      <c r="F2412">
        <v>2</v>
      </c>
      <c r="G2412">
        <v>2</v>
      </c>
      <c r="H2412">
        <v>0</v>
      </c>
      <c r="I2412">
        <v>1</v>
      </c>
      <c r="J2412" s="4" t="s">
        <v>55</v>
      </c>
      <c r="K2412" t="str">
        <f t="shared" si="122"/>
        <v>2+0</v>
      </c>
      <c r="L2412">
        <f>VLOOKUP(A2412,'ZONE 1 PREMIUM'!$A$4:$N$16,14,0)</f>
        <v>3</v>
      </c>
      <c r="M2412">
        <f>VLOOKUP(D2412,DROPDOWN!B:C,2,0)</f>
        <v>9</v>
      </c>
      <c r="N2412" t="str">
        <f t="shared" si="120"/>
        <v>AU81:BM92</v>
      </c>
      <c r="O2412" s="4">
        <f t="shared" ca="1" si="121"/>
        <v>40464</v>
      </c>
    </row>
    <row r="2413" spans="1:15">
      <c r="A2413" s="2" t="s">
        <v>13</v>
      </c>
      <c r="B2413" t="s">
        <v>29</v>
      </c>
      <c r="C2413" t="s">
        <v>30</v>
      </c>
      <c r="D2413">
        <v>25</v>
      </c>
      <c r="E2413" t="s">
        <v>46</v>
      </c>
      <c r="F2413">
        <v>2</v>
      </c>
      <c r="G2413">
        <v>2</v>
      </c>
      <c r="H2413">
        <v>0</v>
      </c>
      <c r="I2413">
        <v>1</v>
      </c>
      <c r="J2413" s="4" t="s">
        <v>55</v>
      </c>
      <c r="K2413" t="str">
        <f t="shared" si="122"/>
        <v>2+0</v>
      </c>
      <c r="L2413">
        <f>VLOOKUP(A2413,'ZONE 1 PREMIUM'!$A$4:$N$16,14,0)</f>
        <v>4</v>
      </c>
      <c r="M2413">
        <f>VLOOKUP(D2413,DROPDOWN!B:C,2,0)</f>
        <v>9</v>
      </c>
      <c r="N2413" t="str">
        <f t="shared" si="120"/>
        <v>AU81:BM92</v>
      </c>
      <c r="O2413" s="4">
        <f t="shared" ca="1" si="121"/>
        <v>44942.625</v>
      </c>
    </row>
    <row r="2414" spans="1:15">
      <c r="A2414" s="2" t="s">
        <v>14</v>
      </c>
      <c r="B2414" t="s">
        <v>31</v>
      </c>
      <c r="C2414" t="s">
        <v>32</v>
      </c>
      <c r="D2414">
        <v>25</v>
      </c>
      <c r="E2414" t="s">
        <v>46</v>
      </c>
      <c r="F2414">
        <v>2</v>
      </c>
      <c r="G2414">
        <v>2</v>
      </c>
      <c r="H2414">
        <v>0</v>
      </c>
      <c r="I2414">
        <v>1</v>
      </c>
      <c r="J2414" s="4" t="s">
        <v>55</v>
      </c>
      <c r="K2414" t="str">
        <f t="shared" si="122"/>
        <v>2+0</v>
      </c>
      <c r="L2414">
        <f>VLOOKUP(A2414,'ZONE 1 PREMIUM'!$A$4:$N$16,14,0)</f>
        <v>5</v>
      </c>
      <c r="M2414">
        <f>VLOOKUP(D2414,DROPDOWN!B:C,2,0)</f>
        <v>9</v>
      </c>
      <c r="N2414" t="str">
        <f t="shared" si="120"/>
        <v>AU81:BM92</v>
      </c>
      <c r="O2414" s="4">
        <f t="shared" ca="1" si="121"/>
        <v>51972.75</v>
      </c>
    </row>
    <row r="2415" spans="1:15">
      <c r="A2415" s="2" t="s">
        <v>15</v>
      </c>
      <c r="B2415" t="s">
        <v>33</v>
      </c>
      <c r="C2415" t="s">
        <v>34</v>
      </c>
      <c r="D2415">
        <v>25</v>
      </c>
      <c r="E2415" t="s">
        <v>46</v>
      </c>
      <c r="F2415">
        <v>2</v>
      </c>
      <c r="G2415">
        <v>2</v>
      </c>
      <c r="H2415">
        <v>0</v>
      </c>
      <c r="I2415">
        <v>1</v>
      </c>
      <c r="J2415" s="4" t="s">
        <v>55</v>
      </c>
      <c r="K2415" t="str">
        <f t="shared" si="122"/>
        <v>2+0</v>
      </c>
      <c r="L2415">
        <f>VLOOKUP(A2415,'ZONE 1 PREMIUM'!$A$4:$N$16,14,0)</f>
        <v>6</v>
      </c>
      <c r="M2415">
        <f>VLOOKUP(D2415,DROPDOWN!B:C,2,0)</f>
        <v>9</v>
      </c>
      <c r="N2415" t="str">
        <f t="shared" si="120"/>
        <v>AU81:BM92</v>
      </c>
      <c r="O2415" s="4">
        <f t="shared" ca="1" si="121"/>
        <v>66612.375</v>
      </c>
    </row>
    <row r="2416" spans="1:15">
      <c r="A2416" s="2" t="s">
        <v>16</v>
      </c>
      <c r="B2416" t="s">
        <v>35</v>
      </c>
      <c r="C2416" t="s">
        <v>36</v>
      </c>
      <c r="D2416">
        <v>25</v>
      </c>
      <c r="E2416" t="s">
        <v>46</v>
      </c>
      <c r="F2416">
        <v>2</v>
      </c>
      <c r="G2416">
        <v>2</v>
      </c>
      <c r="H2416">
        <v>0</v>
      </c>
      <c r="I2416">
        <v>1</v>
      </c>
      <c r="J2416" s="4" t="s">
        <v>55</v>
      </c>
      <c r="K2416" t="str">
        <f t="shared" si="122"/>
        <v>2+0</v>
      </c>
      <c r="L2416">
        <f>VLOOKUP(A2416,'ZONE 1 PREMIUM'!$A$4:$N$16,14,0)</f>
        <v>7</v>
      </c>
      <c r="M2416">
        <f>VLOOKUP(D2416,DROPDOWN!B:C,2,0)</f>
        <v>9</v>
      </c>
      <c r="N2416" t="str">
        <f t="shared" si="120"/>
        <v>AU81:BM92</v>
      </c>
      <c r="O2416" s="4">
        <f t="shared" ca="1" si="121"/>
        <v>88245</v>
      </c>
    </row>
    <row r="2417" spans="1:15">
      <c r="A2417" s="2" t="s">
        <v>17</v>
      </c>
      <c r="B2417" t="s">
        <v>37</v>
      </c>
      <c r="C2417" t="s">
        <v>38</v>
      </c>
      <c r="D2417">
        <v>25</v>
      </c>
      <c r="E2417" t="s">
        <v>46</v>
      </c>
      <c r="F2417">
        <v>2</v>
      </c>
      <c r="G2417">
        <v>2</v>
      </c>
      <c r="H2417">
        <v>0</v>
      </c>
      <c r="I2417">
        <v>1</v>
      </c>
      <c r="J2417" s="4" t="s">
        <v>55</v>
      </c>
      <c r="K2417" t="str">
        <f t="shared" si="122"/>
        <v>2+0</v>
      </c>
      <c r="L2417">
        <f>VLOOKUP(A2417,'ZONE 1 PREMIUM'!$A$4:$N$16,14,0)</f>
        <v>8</v>
      </c>
      <c r="M2417">
        <f>VLOOKUP(D2417,DROPDOWN!B:C,2,0)</f>
        <v>9</v>
      </c>
      <c r="N2417" t="str">
        <f t="shared" si="120"/>
        <v>AU81:BM92</v>
      </c>
      <c r="O2417" s="4">
        <f t="shared" ca="1" si="121"/>
        <v>120831.75</v>
      </c>
    </row>
    <row r="2418" spans="1:15">
      <c r="A2418" s="2" t="s">
        <v>18</v>
      </c>
      <c r="B2418" t="s">
        <v>39</v>
      </c>
      <c r="C2418" t="s">
        <v>40</v>
      </c>
      <c r="D2418">
        <v>25</v>
      </c>
      <c r="E2418" t="s">
        <v>46</v>
      </c>
      <c r="F2418">
        <v>2</v>
      </c>
      <c r="G2418">
        <v>2</v>
      </c>
      <c r="H2418">
        <v>0</v>
      </c>
      <c r="I2418">
        <v>1</v>
      </c>
      <c r="J2418" s="4" t="s">
        <v>55</v>
      </c>
      <c r="K2418" t="str">
        <f t="shared" si="122"/>
        <v>2+0</v>
      </c>
      <c r="L2418">
        <f>VLOOKUP(A2418,'ZONE 1 PREMIUM'!$A$4:$N$16,14,0)</f>
        <v>9</v>
      </c>
      <c r="M2418">
        <f>VLOOKUP(D2418,DROPDOWN!B:C,2,0)</f>
        <v>9</v>
      </c>
      <c r="N2418" t="str">
        <f t="shared" ref="N2418:N2465" si="123">VLOOKUP(K2418,$BN$3:$BO$12,2,0)</f>
        <v>AU81:BM92</v>
      </c>
      <c r="O2418" s="4">
        <f t="shared" ca="1" si="121"/>
        <v>169944.75</v>
      </c>
    </row>
    <row r="2419" spans="1:15">
      <c r="A2419" s="2" t="s">
        <v>19</v>
      </c>
      <c r="B2419" t="s">
        <v>41</v>
      </c>
      <c r="C2419" t="s">
        <v>42</v>
      </c>
      <c r="D2419">
        <v>25</v>
      </c>
      <c r="E2419" t="s">
        <v>46</v>
      </c>
      <c r="F2419">
        <v>2</v>
      </c>
      <c r="G2419">
        <v>2</v>
      </c>
      <c r="H2419">
        <v>0</v>
      </c>
      <c r="I2419">
        <v>1</v>
      </c>
      <c r="J2419" s="4" t="s">
        <v>55</v>
      </c>
      <c r="K2419" t="str">
        <f t="shared" si="122"/>
        <v>2+0</v>
      </c>
      <c r="L2419">
        <f>VLOOKUP(A2419,'ZONE 1 PREMIUM'!$A$4:$N$16,14,0)</f>
        <v>10</v>
      </c>
      <c r="M2419">
        <f>VLOOKUP(D2419,DROPDOWN!B:C,2,0)</f>
        <v>9</v>
      </c>
      <c r="N2419" t="str">
        <f t="shared" si="123"/>
        <v>AU81:BM92</v>
      </c>
      <c r="O2419" s="4">
        <f t="shared" ca="1" si="121"/>
        <v>238729.5</v>
      </c>
    </row>
    <row r="2420" spans="1:15">
      <c r="A2420" s="2" t="s">
        <v>20</v>
      </c>
      <c r="B2420" t="s">
        <v>43</v>
      </c>
      <c r="C2420" t="s">
        <v>44</v>
      </c>
      <c r="D2420">
        <v>25</v>
      </c>
      <c r="E2420" t="s">
        <v>46</v>
      </c>
      <c r="F2420">
        <v>2</v>
      </c>
      <c r="G2420">
        <v>2</v>
      </c>
      <c r="H2420">
        <v>0</v>
      </c>
      <c r="I2420">
        <v>1</v>
      </c>
      <c r="J2420" s="4" t="s">
        <v>55</v>
      </c>
      <c r="K2420" t="str">
        <f t="shared" si="122"/>
        <v>2+0</v>
      </c>
      <c r="L2420">
        <f>VLOOKUP(A2420,'ZONE 1 PREMIUM'!$A$4:$N$16,14,0)</f>
        <v>11</v>
      </c>
      <c r="M2420">
        <f>VLOOKUP(D2420,DROPDOWN!B:C,2,0)</f>
        <v>9</v>
      </c>
      <c r="N2420" t="str">
        <f t="shared" si="123"/>
        <v>AU81:BM92</v>
      </c>
      <c r="O2420" s="4">
        <f t="shared" ca="1" si="121"/>
        <v>297081</v>
      </c>
    </row>
    <row r="2421" spans="1:15">
      <c r="A2421" s="2" t="s">
        <v>21</v>
      </c>
      <c r="B2421" t="s">
        <v>22</v>
      </c>
      <c r="D2421">
        <v>25</v>
      </c>
      <c r="E2421" t="s">
        <v>46</v>
      </c>
      <c r="F2421">
        <v>2</v>
      </c>
      <c r="G2421">
        <v>2</v>
      </c>
      <c r="H2421">
        <v>0</v>
      </c>
      <c r="I2421">
        <v>1</v>
      </c>
      <c r="J2421" s="4" t="s">
        <v>55</v>
      </c>
      <c r="K2421" t="str">
        <f t="shared" si="122"/>
        <v>2+0</v>
      </c>
      <c r="L2421">
        <f>VLOOKUP(A2421,'ZONE 1 PREMIUM'!$A$4:$N$16,14,0)</f>
        <v>12</v>
      </c>
      <c r="M2421">
        <f>VLOOKUP(D2421,DROPDOWN!B:C,2,0)</f>
        <v>9</v>
      </c>
      <c r="N2421" t="str">
        <f t="shared" si="123"/>
        <v>AU81:BM92</v>
      </c>
      <c r="O2421" s="4">
        <f t="shared" ca="1" si="121"/>
        <v>381105</v>
      </c>
    </row>
    <row r="2422" spans="1:15">
      <c r="A2422" s="2" t="s">
        <v>11</v>
      </c>
      <c r="B2422" t="s">
        <v>45</v>
      </c>
      <c r="C2422" t="s">
        <v>25</v>
      </c>
      <c r="D2422">
        <v>25</v>
      </c>
      <c r="E2422" t="s">
        <v>46</v>
      </c>
      <c r="F2422">
        <v>3</v>
      </c>
      <c r="G2422">
        <v>2</v>
      </c>
      <c r="H2422">
        <v>1</v>
      </c>
      <c r="I2422">
        <v>1</v>
      </c>
      <c r="J2422" s="4" t="s">
        <v>55</v>
      </c>
      <c r="K2422" t="str">
        <f t="shared" si="122"/>
        <v>2+1</v>
      </c>
      <c r="L2422">
        <f>VLOOKUP(A2422,'ZONE 1 PREMIUM'!$A$4:$N$16,14,0)</f>
        <v>2</v>
      </c>
      <c r="M2422">
        <f>VLOOKUP(D2422,DROPDOWN!B:C,2,0)</f>
        <v>9</v>
      </c>
      <c r="N2422" t="str">
        <f t="shared" si="123"/>
        <v>AU98:BM109</v>
      </c>
      <c r="O2422" s="4">
        <f t="shared" ca="1" si="121"/>
        <v>43327.125</v>
      </c>
    </row>
    <row r="2423" spans="1:15">
      <c r="A2423" s="2" t="s">
        <v>12</v>
      </c>
      <c r="B2423" t="s">
        <v>27</v>
      </c>
      <c r="C2423" t="s">
        <v>28</v>
      </c>
      <c r="D2423">
        <v>25</v>
      </c>
      <c r="E2423" t="s">
        <v>46</v>
      </c>
      <c r="F2423">
        <v>3</v>
      </c>
      <c r="G2423">
        <v>2</v>
      </c>
      <c r="H2423">
        <v>1</v>
      </c>
      <c r="I2423">
        <v>1</v>
      </c>
      <c r="J2423" s="4" t="s">
        <v>55</v>
      </c>
      <c r="K2423" t="str">
        <f t="shared" si="122"/>
        <v>2+1</v>
      </c>
      <c r="L2423">
        <f>VLOOKUP(A2423,'ZONE 1 PREMIUM'!$A$4:$N$16,14,0)</f>
        <v>3</v>
      </c>
      <c r="M2423">
        <f>VLOOKUP(D2423,DROPDOWN!B:C,2,0)</f>
        <v>9</v>
      </c>
      <c r="N2423" t="str">
        <f t="shared" si="123"/>
        <v>AU98:BM109</v>
      </c>
      <c r="O2423" s="4">
        <f t="shared" ca="1" si="121"/>
        <v>47944.125</v>
      </c>
    </row>
    <row r="2424" spans="1:15">
      <c r="A2424" s="2" t="s">
        <v>13</v>
      </c>
      <c r="B2424" t="s">
        <v>29</v>
      </c>
      <c r="C2424" t="s">
        <v>30</v>
      </c>
      <c r="D2424">
        <v>25</v>
      </c>
      <c r="E2424" t="s">
        <v>46</v>
      </c>
      <c r="F2424">
        <v>3</v>
      </c>
      <c r="G2424">
        <v>2</v>
      </c>
      <c r="H2424">
        <v>1</v>
      </c>
      <c r="I2424">
        <v>1</v>
      </c>
      <c r="J2424" s="4" t="s">
        <v>55</v>
      </c>
      <c r="K2424" t="str">
        <f t="shared" si="122"/>
        <v>2+1</v>
      </c>
      <c r="L2424">
        <f>VLOOKUP(A2424,'ZONE 1 PREMIUM'!$A$4:$N$16,14,0)</f>
        <v>4</v>
      </c>
      <c r="M2424">
        <f>VLOOKUP(D2424,DROPDOWN!B:C,2,0)</f>
        <v>9</v>
      </c>
      <c r="N2424" t="str">
        <f t="shared" si="123"/>
        <v>AU98:BM109</v>
      </c>
      <c r="O2424" s="4">
        <f t="shared" ca="1" si="121"/>
        <v>53726.625</v>
      </c>
    </row>
    <row r="2425" spans="1:15">
      <c r="A2425" s="2" t="s">
        <v>14</v>
      </c>
      <c r="B2425" t="s">
        <v>31</v>
      </c>
      <c r="C2425" t="s">
        <v>32</v>
      </c>
      <c r="D2425">
        <v>25</v>
      </c>
      <c r="E2425" t="s">
        <v>46</v>
      </c>
      <c r="F2425">
        <v>3</v>
      </c>
      <c r="G2425">
        <v>2</v>
      </c>
      <c r="H2425">
        <v>1</v>
      </c>
      <c r="I2425">
        <v>1</v>
      </c>
      <c r="J2425" s="4" t="s">
        <v>55</v>
      </c>
      <c r="K2425" t="str">
        <f t="shared" si="122"/>
        <v>2+1</v>
      </c>
      <c r="L2425">
        <f>VLOOKUP(A2425,'ZONE 1 PREMIUM'!$A$4:$N$16,14,0)</f>
        <v>5</v>
      </c>
      <c r="M2425">
        <f>VLOOKUP(D2425,DROPDOWN!B:C,2,0)</f>
        <v>9</v>
      </c>
      <c r="N2425" t="str">
        <f t="shared" si="123"/>
        <v>AU98:BM109</v>
      </c>
      <c r="O2425" s="4">
        <f t="shared" ca="1" si="121"/>
        <v>61404.75</v>
      </c>
    </row>
    <row r="2426" spans="1:15">
      <c r="A2426" s="2" t="s">
        <v>15</v>
      </c>
      <c r="B2426" t="s">
        <v>33</v>
      </c>
      <c r="C2426" t="s">
        <v>34</v>
      </c>
      <c r="D2426">
        <v>25</v>
      </c>
      <c r="E2426" t="s">
        <v>46</v>
      </c>
      <c r="F2426">
        <v>3</v>
      </c>
      <c r="G2426">
        <v>2</v>
      </c>
      <c r="H2426">
        <v>1</v>
      </c>
      <c r="I2426">
        <v>1</v>
      </c>
      <c r="J2426" s="4" t="s">
        <v>55</v>
      </c>
      <c r="K2426" t="str">
        <f t="shared" si="122"/>
        <v>2+1</v>
      </c>
      <c r="L2426">
        <f>VLOOKUP(A2426,'ZONE 1 PREMIUM'!$A$4:$N$16,14,0)</f>
        <v>6</v>
      </c>
      <c r="M2426">
        <f>VLOOKUP(D2426,DROPDOWN!B:C,2,0)</f>
        <v>9</v>
      </c>
      <c r="N2426" t="str">
        <f t="shared" si="123"/>
        <v>AU98:BM109</v>
      </c>
      <c r="O2426" s="4">
        <f t="shared" ca="1" si="121"/>
        <v>77262.75</v>
      </c>
    </row>
    <row r="2427" spans="1:15">
      <c r="A2427" s="2" t="s">
        <v>16</v>
      </c>
      <c r="B2427" t="s">
        <v>35</v>
      </c>
      <c r="C2427" t="s">
        <v>36</v>
      </c>
      <c r="D2427">
        <v>25</v>
      </c>
      <c r="E2427" t="s">
        <v>46</v>
      </c>
      <c r="F2427">
        <v>3</v>
      </c>
      <c r="G2427">
        <v>2</v>
      </c>
      <c r="H2427">
        <v>1</v>
      </c>
      <c r="I2427">
        <v>1</v>
      </c>
      <c r="J2427" s="4" t="s">
        <v>55</v>
      </c>
      <c r="K2427" t="str">
        <f t="shared" si="122"/>
        <v>2+1</v>
      </c>
      <c r="L2427">
        <f>VLOOKUP(A2427,'ZONE 1 PREMIUM'!$A$4:$N$16,14,0)</f>
        <v>7</v>
      </c>
      <c r="M2427">
        <f>VLOOKUP(D2427,DROPDOWN!B:C,2,0)</f>
        <v>9</v>
      </c>
      <c r="N2427" t="str">
        <f t="shared" si="123"/>
        <v>AU98:BM109</v>
      </c>
      <c r="O2427" s="4">
        <f t="shared" ca="1" si="121"/>
        <v>101514.375</v>
      </c>
    </row>
    <row r="2428" spans="1:15">
      <c r="A2428" s="2" t="s">
        <v>17</v>
      </c>
      <c r="B2428" t="s">
        <v>37</v>
      </c>
      <c r="C2428" t="s">
        <v>38</v>
      </c>
      <c r="D2428">
        <v>25</v>
      </c>
      <c r="E2428" t="s">
        <v>46</v>
      </c>
      <c r="F2428">
        <v>3</v>
      </c>
      <c r="G2428">
        <v>2</v>
      </c>
      <c r="H2428">
        <v>1</v>
      </c>
      <c r="I2428">
        <v>1</v>
      </c>
      <c r="J2428" s="4" t="s">
        <v>55</v>
      </c>
      <c r="K2428" t="str">
        <f t="shared" si="122"/>
        <v>2+1</v>
      </c>
      <c r="L2428">
        <f>VLOOKUP(A2428,'ZONE 1 PREMIUM'!$A$4:$N$16,14,0)</f>
        <v>8</v>
      </c>
      <c r="M2428">
        <f>VLOOKUP(D2428,DROPDOWN!B:C,2,0)</f>
        <v>9</v>
      </c>
      <c r="N2428" t="str">
        <f t="shared" si="123"/>
        <v>AU98:BM109</v>
      </c>
      <c r="O2428" s="4">
        <f t="shared" ca="1" si="121"/>
        <v>135148.5</v>
      </c>
    </row>
    <row r="2429" spans="1:15">
      <c r="A2429" s="2" t="s">
        <v>18</v>
      </c>
      <c r="B2429" t="s">
        <v>39</v>
      </c>
      <c r="C2429" t="s">
        <v>40</v>
      </c>
      <c r="D2429">
        <v>25</v>
      </c>
      <c r="E2429" t="s">
        <v>46</v>
      </c>
      <c r="F2429">
        <v>3</v>
      </c>
      <c r="G2429">
        <v>2</v>
      </c>
      <c r="H2429">
        <v>1</v>
      </c>
      <c r="I2429">
        <v>1</v>
      </c>
      <c r="J2429" s="4" t="s">
        <v>55</v>
      </c>
      <c r="K2429" t="str">
        <f t="shared" si="122"/>
        <v>2+1</v>
      </c>
      <c r="L2429">
        <f>VLOOKUP(A2429,'ZONE 1 PREMIUM'!$A$4:$N$16,14,0)</f>
        <v>9</v>
      </c>
      <c r="M2429">
        <f>VLOOKUP(D2429,DROPDOWN!B:C,2,0)</f>
        <v>9</v>
      </c>
      <c r="N2429" t="str">
        <f t="shared" si="123"/>
        <v>AU98:BM109</v>
      </c>
      <c r="O2429" s="4">
        <f t="shared" ca="1" si="121"/>
        <v>184523.625</v>
      </c>
    </row>
    <row r="2430" spans="1:15">
      <c r="A2430" s="2" t="s">
        <v>19</v>
      </c>
      <c r="B2430" t="s">
        <v>41</v>
      </c>
      <c r="C2430" t="s">
        <v>42</v>
      </c>
      <c r="D2430">
        <v>25</v>
      </c>
      <c r="E2430" t="s">
        <v>46</v>
      </c>
      <c r="F2430">
        <v>3</v>
      </c>
      <c r="G2430">
        <v>2</v>
      </c>
      <c r="H2430">
        <v>1</v>
      </c>
      <c r="I2430">
        <v>1</v>
      </c>
      <c r="J2430" s="4" t="s">
        <v>55</v>
      </c>
      <c r="K2430" t="str">
        <f t="shared" si="122"/>
        <v>2+1</v>
      </c>
      <c r="L2430">
        <f>VLOOKUP(A2430,'ZONE 1 PREMIUM'!$A$4:$N$16,14,0)</f>
        <v>10</v>
      </c>
      <c r="M2430">
        <f>VLOOKUP(D2430,DROPDOWN!B:C,2,0)</f>
        <v>9</v>
      </c>
      <c r="N2430" t="str">
        <f t="shared" si="123"/>
        <v>AU98:BM109</v>
      </c>
      <c r="O2430" s="4">
        <f t="shared" ca="1" si="121"/>
        <v>247997.25</v>
      </c>
    </row>
    <row r="2431" spans="1:15">
      <c r="A2431" s="2" t="s">
        <v>20</v>
      </c>
      <c r="B2431" t="s">
        <v>43</v>
      </c>
      <c r="C2431" t="s">
        <v>44</v>
      </c>
      <c r="D2431">
        <v>25</v>
      </c>
      <c r="E2431" t="s">
        <v>46</v>
      </c>
      <c r="F2431">
        <v>3</v>
      </c>
      <c r="G2431">
        <v>2</v>
      </c>
      <c r="H2431">
        <v>1</v>
      </c>
      <c r="I2431">
        <v>1</v>
      </c>
      <c r="J2431" s="4" t="s">
        <v>55</v>
      </c>
      <c r="K2431" t="str">
        <f t="shared" si="122"/>
        <v>2+1</v>
      </c>
      <c r="L2431">
        <f>VLOOKUP(A2431,'ZONE 1 PREMIUM'!$A$4:$N$16,14,0)</f>
        <v>11</v>
      </c>
      <c r="M2431">
        <f>VLOOKUP(D2431,DROPDOWN!B:C,2,0)</f>
        <v>9</v>
      </c>
      <c r="N2431" t="str">
        <f t="shared" si="123"/>
        <v>AU98:BM109</v>
      </c>
      <c r="O2431" s="4">
        <f t="shared" ca="1" si="121"/>
        <v>304362</v>
      </c>
    </row>
    <row r="2432" spans="1:15">
      <c r="A2432" s="2" t="s">
        <v>21</v>
      </c>
      <c r="B2432" t="s">
        <v>22</v>
      </c>
      <c r="D2432">
        <v>25</v>
      </c>
      <c r="E2432" t="s">
        <v>46</v>
      </c>
      <c r="F2432">
        <v>3</v>
      </c>
      <c r="G2432">
        <v>2</v>
      </c>
      <c r="H2432">
        <v>1</v>
      </c>
      <c r="I2432">
        <v>1</v>
      </c>
      <c r="J2432" s="4" t="s">
        <v>55</v>
      </c>
      <c r="K2432" t="str">
        <f t="shared" si="122"/>
        <v>2+1</v>
      </c>
      <c r="L2432">
        <f>VLOOKUP(A2432,'ZONE 1 PREMIUM'!$A$4:$N$16,14,0)</f>
        <v>12</v>
      </c>
      <c r="M2432">
        <f>VLOOKUP(D2432,DROPDOWN!B:C,2,0)</f>
        <v>9</v>
      </c>
      <c r="N2432" t="str">
        <f t="shared" si="123"/>
        <v>AU98:BM109</v>
      </c>
      <c r="O2432" s="4">
        <f t="shared" ca="1" si="121"/>
        <v>388060.875</v>
      </c>
    </row>
    <row r="2433" spans="1:15">
      <c r="A2433" s="2" t="s">
        <v>11</v>
      </c>
      <c r="B2433" t="s">
        <v>45</v>
      </c>
      <c r="C2433" t="s">
        <v>25</v>
      </c>
      <c r="D2433">
        <v>25</v>
      </c>
      <c r="E2433" t="s">
        <v>46</v>
      </c>
      <c r="F2433">
        <v>4</v>
      </c>
      <c r="G2433">
        <v>2</v>
      </c>
      <c r="H2433">
        <v>2</v>
      </c>
      <c r="I2433">
        <v>1</v>
      </c>
      <c r="J2433" s="4" t="s">
        <v>55</v>
      </c>
      <c r="K2433" t="str">
        <f t="shared" si="122"/>
        <v>2+2</v>
      </c>
      <c r="L2433">
        <f>VLOOKUP(A2433,'ZONE 1 PREMIUM'!$A$4:$N$16,14,0)</f>
        <v>2</v>
      </c>
      <c r="M2433">
        <f>VLOOKUP(D2433,DROPDOWN!B:C,2,0)</f>
        <v>9</v>
      </c>
      <c r="N2433" t="str">
        <f t="shared" si="123"/>
        <v>AU113:BM124</v>
      </c>
      <c r="O2433" s="4">
        <f t="shared" ca="1" si="121"/>
        <v>50783.625</v>
      </c>
    </row>
    <row r="2434" spans="1:15">
      <c r="A2434" s="2" t="s">
        <v>12</v>
      </c>
      <c r="B2434" t="s">
        <v>27</v>
      </c>
      <c r="C2434" t="s">
        <v>28</v>
      </c>
      <c r="D2434">
        <v>25</v>
      </c>
      <c r="E2434" t="s">
        <v>46</v>
      </c>
      <c r="F2434">
        <v>4</v>
      </c>
      <c r="G2434">
        <v>2</v>
      </c>
      <c r="H2434">
        <v>2</v>
      </c>
      <c r="I2434">
        <v>1</v>
      </c>
      <c r="J2434" s="4" t="s">
        <v>55</v>
      </c>
      <c r="K2434" t="str">
        <f t="shared" si="122"/>
        <v>2+2</v>
      </c>
      <c r="L2434">
        <f>VLOOKUP(A2434,'ZONE 1 PREMIUM'!$A$4:$N$16,14,0)</f>
        <v>3</v>
      </c>
      <c r="M2434">
        <f>VLOOKUP(D2434,DROPDOWN!B:C,2,0)</f>
        <v>9</v>
      </c>
      <c r="N2434" t="str">
        <f t="shared" si="123"/>
        <v>AU113:BM124</v>
      </c>
      <c r="O2434" s="4">
        <f t="shared" ref="O2434:O2497" ca="1" si="124">INDEX(INDIRECT(N2434),L2434,M2434)</f>
        <v>55267.875</v>
      </c>
    </row>
    <row r="2435" spans="1:15">
      <c r="A2435" s="2" t="s">
        <v>13</v>
      </c>
      <c r="B2435" t="s">
        <v>29</v>
      </c>
      <c r="C2435" t="s">
        <v>30</v>
      </c>
      <c r="D2435">
        <v>25</v>
      </c>
      <c r="E2435" t="s">
        <v>46</v>
      </c>
      <c r="F2435">
        <v>4</v>
      </c>
      <c r="G2435">
        <v>2</v>
      </c>
      <c r="H2435">
        <v>2</v>
      </c>
      <c r="I2435">
        <v>1</v>
      </c>
      <c r="J2435" s="4" t="s">
        <v>55</v>
      </c>
      <c r="K2435" t="str">
        <f t="shared" si="122"/>
        <v>2+2</v>
      </c>
      <c r="L2435">
        <f>VLOOKUP(A2435,'ZONE 1 PREMIUM'!$A$4:$N$16,14,0)</f>
        <v>4</v>
      </c>
      <c r="M2435">
        <f>VLOOKUP(D2435,DROPDOWN!B:C,2,0)</f>
        <v>9</v>
      </c>
      <c r="N2435" t="str">
        <f t="shared" si="123"/>
        <v>AU113:BM124</v>
      </c>
      <c r="O2435" s="4">
        <f t="shared" ca="1" si="124"/>
        <v>62282.25</v>
      </c>
    </row>
    <row r="2436" spans="1:15">
      <c r="A2436" s="2" t="s">
        <v>14</v>
      </c>
      <c r="B2436" t="s">
        <v>31</v>
      </c>
      <c r="C2436" t="s">
        <v>32</v>
      </c>
      <c r="D2436">
        <v>25</v>
      </c>
      <c r="E2436" t="s">
        <v>46</v>
      </c>
      <c r="F2436">
        <v>4</v>
      </c>
      <c r="G2436">
        <v>2</v>
      </c>
      <c r="H2436">
        <v>2</v>
      </c>
      <c r="I2436">
        <v>1</v>
      </c>
      <c r="J2436" s="4" t="s">
        <v>55</v>
      </c>
      <c r="K2436" t="str">
        <f t="shared" ref="K2436:K2499" si="125">G2436&amp;"+"&amp;H2436</f>
        <v>2+2</v>
      </c>
      <c r="L2436">
        <f>VLOOKUP(A2436,'ZONE 1 PREMIUM'!$A$4:$N$16,14,0)</f>
        <v>5</v>
      </c>
      <c r="M2436">
        <f>VLOOKUP(D2436,DROPDOWN!B:C,2,0)</f>
        <v>9</v>
      </c>
      <c r="N2436" t="str">
        <f t="shared" si="123"/>
        <v>AU113:BM124</v>
      </c>
      <c r="O2436" s="4">
        <f t="shared" ca="1" si="124"/>
        <v>70557.75</v>
      </c>
    </row>
    <row r="2437" spans="1:15">
      <c r="A2437" s="2" t="s">
        <v>15</v>
      </c>
      <c r="B2437" t="s">
        <v>33</v>
      </c>
      <c r="C2437" t="s">
        <v>34</v>
      </c>
      <c r="D2437">
        <v>25</v>
      </c>
      <c r="E2437" t="s">
        <v>46</v>
      </c>
      <c r="F2437">
        <v>4</v>
      </c>
      <c r="G2437">
        <v>2</v>
      </c>
      <c r="H2437">
        <v>2</v>
      </c>
      <c r="I2437">
        <v>1</v>
      </c>
      <c r="J2437" s="4" t="s">
        <v>55</v>
      </c>
      <c r="K2437" t="str">
        <f t="shared" si="125"/>
        <v>2+2</v>
      </c>
      <c r="L2437">
        <f>VLOOKUP(A2437,'ZONE 1 PREMIUM'!$A$4:$N$16,14,0)</f>
        <v>6</v>
      </c>
      <c r="M2437">
        <f>VLOOKUP(D2437,DROPDOWN!B:C,2,0)</f>
        <v>9</v>
      </c>
      <c r="N2437" t="str">
        <f t="shared" si="123"/>
        <v>AU113:BM124</v>
      </c>
      <c r="O2437" s="4">
        <f t="shared" ca="1" si="124"/>
        <v>87572.25</v>
      </c>
    </row>
    <row r="2438" spans="1:15">
      <c r="A2438" s="2" t="s">
        <v>16</v>
      </c>
      <c r="B2438" t="s">
        <v>35</v>
      </c>
      <c r="C2438" t="s">
        <v>36</v>
      </c>
      <c r="D2438">
        <v>25</v>
      </c>
      <c r="E2438" t="s">
        <v>46</v>
      </c>
      <c r="F2438">
        <v>4</v>
      </c>
      <c r="G2438">
        <v>2</v>
      </c>
      <c r="H2438">
        <v>2</v>
      </c>
      <c r="I2438">
        <v>1</v>
      </c>
      <c r="J2438" s="4" t="s">
        <v>55</v>
      </c>
      <c r="K2438" t="str">
        <f t="shared" si="125"/>
        <v>2+2</v>
      </c>
      <c r="L2438">
        <f>VLOOKUP(A2438,'ZONE 1 PREMIUM'!$A$4:$N$16,14,0)</f>
        <v>7</v>
      </c>
      <c r="M2438">
        <f>VLOOKUP(D2438,DROPDOWN!B:C,2,0)</f>
        <v>9</v>
      </c>
      <c r="N2438" t="str">
        <f t="shared" si="123"/>
        <v>AU113:BM124</v>
      </c>
      <c r="O2438" s="4">
        <f t="shared" ca="1" si="124"/>
        <v>114339.375</v>
      </c>
    </row>
    <row r="2439" spans="1:15">
      <c r="A2439" s="2" t="s">
        <v>17</v>
      </c>
      <c r="B2439" t="s">
        <v>37</v>
      </c>
      <c r="C2439" t="s">
        <v>38</v>
      </c>
      <c r="D2439">
        <v>25</v>
      </c>
      <c r="E2439" t="s">
        <v>46</v>
      </c>
      <c r="F2439">
        <v>4</v>
      </c>
      <c r="G2439">
        <v>2</v>
      </c>
      <c r="H2439">
        <v>2</v>
      </c>
      <c r="I2439">
        <v>1</v>
      </c>
      <c r="J2439" s="4" t="s">
        <v>55</v>
      </c>
      <c r="K2439" t="str">
        <f t="shared" si="125"/>
        <v>2+2</v>
      </c>
      <c r="L2439">
        <f>VLOOKUP(A2439,'ZONE 1 PREMIUM'!$A$4:$N$16,14,0)</f>
        <v>8</v>
      </c>
      <c r="M2439">
        <f>VLOOKUP(D2439,DROPDOWN!B:C,2,0)</f>
        <v>9</v>
      </c>
      <c r="N2439" t="str">
        <f t="shared" si="123"/>
        <v>AU113:BM124</v>
      </c>
      <c r="O2439" s="4">
        <f t="shared" ca="1" si="124"/>
        <v>147267</v>
      </c>
    </row>
    <row r="2440" spans="1:15">
      <c r="A2440" s="2" t="s">
        <v>18</v>
      </c>
      <c r="B2440" t="s">
        <v>39</v>
      </c>
      <c r="C2440" t="s">
        <v>40</v>
      </c>
      <c r="D2440">
        <v>25</v>
      </c>
      <c r="E2440" t="s">
        <v>46</v>
      </c>
      <c r="F2440">
        <v>4</v>
      </c>
      <c r="G2440">
        <v>2</v>
      </c>
      <c r="H2440">
        <v>2</v>
      </c>
      <c r="I2440">
        <v>1</v>
      </c>
      <c r="J2440" s="4" t="s">
        <v>55</v>
      </c>
      <c r="K2440" t="str">
        <f t="shared" si="125"/>
        <v>2+2</v>
      </c>
      <c r="L2440">
        <f>VLOOKUP(A2440,'ZONE 1 PREMIUM'!$A$4:$N$16,14,0)</f>
        <v>9</v>
      </c>
      <c r="M2440">
        <f>VLOOKUP(D2440,DROPDOWN!B:C,2,0)</f>
        <v>9</v>
      </c>
      <c r="N2440" t="str">
        <f t="shared" si="123"/>
        <v>AU113:BM124</v>
      </c>
      <c r="O2440" s="4">
        <f t="shared" ca="1" si="124"/>
        <v>194337</v>
      </c>
    </row>
    <row r="2441" spans="1:15">
      <c r="A2441" s="2" t="s">
        <v>19</v>
      </c>
      <c r="B2441" t="s">
        <v>41</v>
      </c>
      <c r="C2441" t="s">
        <v>42</v>
      </c>
      <c r="D2441">
        <v>25</v>
      </c>
      <c r="E2441" t="s">
        <v>46</v>
      </c>
      <c r="F2441">
        <v>4</v>
      </c>
      <c r="G2441">
        <v>2</v>
      </c>
      <c r="H2441">
        <v>2</v>
      </c>
      <c r="I2441">
        <v>1</v>
      </c>
      <c r="J2441" s="4" t="s">
        <v>55</v>
      </c>
      <c r="K2441" t="str">
        <f t="shared" si="125"/>
        <v>2+2</v>
      </c>
      <c r="L2441">
        <f>VLOOKUP(A2441,'ZONE 1 PREMIUM'!$A$4:$N$16,14,0)</f>
        <v>10</v>
      </c>
      <c r="M2441">
        <f>VLOOKUP(D2441,DROPDOWN!B:C,2,0)</f>
        <v>9</v>
      </c>
      <c r="N2441" t="str">
        <f t="shared" si="123"/>
        <v>AU113:BM124</v>
      </c>
      <c r="O2441" s="4">
        <f t="shared" ca="1" si="124"/>
        <v>252605.25</v>
      </c>
    </row>
    <row r="2442" spans="1:15">
      <c r="A2442" s="2" t="s">
        <v>20</v>
      </c>
      <c r="B2442" t="s">
        <v>43</v>
      </c>
      <c r="C2442" t="s">
        <v>44</v>
      </c>
      <c r="D2442">
        <v>25</v>
      </c>
      <c r="E2442" t="s">
        <v>46</v>
      </c>
      <c r="F2442">
        <v>4</v>
      </c>
      <c r="G2442">
        <v>2</v>
      </c>
      <c r="H2442">
        <v>2</v>
      </c>
      <c r="I2442">
        <v>1</v>
      </c>
      <c r="J2442" s="4" t="s">
        <v>55</v>
      </c>
      <c r="K2442" t="str">
        <f t="shared" si="125"/>
        <v>2+2</v>
      </c>
      <c r="L2442">
        <f>VLOOKUP(A2442,'ZONE 1 PREMIUM'!$A$4:$N$16,14,0)</f>
        <v>11</v>
      </c>
      <c r="M2442">
        <f>VLOOKUP(D2442,DROPDOWN!B:C,2,0)</f>
        <v>9</v>
      </c>
      <c r="N2442" t="str">
        <f t="shared" si="123"/>
        <v>AU113:BM124</v>
      </c>
      <c r="O2442" s="4">
        <f t="shared" ca="1" si="124"/>
        <v>309432.375</v>
      </c>
    </row>
    <row r="2443" spans="1:15">
      <c r="A2443" s="2" t="s">
        <v>21</v>
      </c>
      <c r="B2443" t="s">
        <v>22</v>
      </c>
      <c r="D2443">
        <v>25</v>
      </c>
      <c r="E2443" t="s">
        <v>46</v>
      </c>
      <c r="F2443">
        <v>4</v>
      </c>
      <c r="G2443">
        <v>2</v>
      </c>
      <c r="H2443">
        <v>2</v>
      </c>
      <c r="I2443">
        <v>1</v>
      </c>
      <c r="J2443" s="4" t="s">
        <v>55</v>
      </c>
      <c r="K2443" t="str">
        <f t="shared" si="125"/>
        <v>2+2</v>
      </c>
      <c r="L2443">
        <f>VLOOKUP(A2443,'ZONE 1 PREMIUM'!$A$4:$N$16,14,0)</f>
        <v>12</v>
      </c>
      <c r="M2443">
        <f>VLOOKUP(D2443,DROPDOWN!B:C,2,0)</f>
        <v>9</v>
      </c>
      <c r="N2443" t="str">
        <f t="shared" si="123"/>
        <v>AU113:BM124</v>
      </c>
      <c r="O2443" s="4">
        <f t="shared" ca="1" si="124"/>
        <v>393367.5</v>
      </c>
    </row>
    <row r="2444" spans="1:15">
      <c r="A2444" s="2" t="s">
        <v>11</v>
      </c>
      <c r="B2444" t="s">
        <v>45</v>
      </c>
      <c r="C2444" t="s">
        <v>25</v>
      </c>
      <c r="D2444">
        <v>25</v>
      </c>
      <c r="E2444" t="s">
        <v>46</v>
      </c>
      <c r="F2444">
        <v>5</v>
      </c>
      <c r="G2444">
        <v>2</v>
      </c>
      <c r="H2444">
        <v>3</v>
      </c>
      <c r="I2444">
        <v>1</v>
      </c>
      <c r="J2444" s="4" t="s">
        <v>55</v>
      </c>
      <c r="K2444" t="str">
        <f t="shared" si="125"/>
        <v>2+3</v>
      </c>
      <c r="L2444">
        <f>VLOOKUP(A2444,'ZONE 1 PREMIUM'!$A$4:$N$16,14,0)</f>
        <v>2</v>
      </c>
      <c r="M2444">
        <f>VLOOKUP(D2444,DROPDOWN!B:C,2,0)</f>
        <v>9</v>
      </c>
      <c r="N2444" t="str">
        <f t="shared" si="123"/>
        <v>AU128:BM139</v>
      </c>
      <c r="O2444" s="4">
        <f t="shared" ca="1" si="124"/>
        <v>58239</v>
      </c>
    </row>
    <row r="2445" spans="1:15">
      <c r="A2445" s="2" t="s">
        <v>12</v>
      </c>
      <c r="B2445" t="s">
        <v>27</v>
      </c>
      <c r="C2445" t="s">
        <v>28</v>
      </c>
      <c r="D2445">
        <v>25</v>
      </c>
      <c r="E2445" t="s">
        <v>46</v>
      </c>
      <c r="F2445">
        <v>5</v>
      </c>
      <c r="G2445">
        <v>2</v>
      </c>
      <c r="H2445">
        <v>3</v>
      </c>
      <c r="I2445">
        <v>1</v>
      </c>
      <c r="J2445" s="4" t="s">
        <v>55</v>
      </c>
      <c r="K2445" t="str">
        <f t="shared" si="125"/>
        <v>2+3</v>
      </c>
      <c r="L2445">
        <f>VLOOKUP(A2445,'ZONE 1 PREMIUM'!$A$4:$N$16,14,0)</f>
        <v>3</v>
      </c>
      <c r="M2445">
        <f>VLOOKUP(D2445,DROPDOWN!B:C,2,0)</f>
        <v>9</v>
      </c>
      <c r="N2445" t="str">
        <f t="shared" si="123"/>
        <v>AU128:BM139</v>
      </c>
      <c r="O2445" s="4">
        <f t="shared" ca="1" si="124"/>
        <v>62591.625</v>
      </c>
    </row>
    <row r="2446" spans="1:15">
      <c r="A2446" s="2" t="s">
        <v>13</v>
      </c>
      <c r="B2446" t="s">
        <v>29</v>
      </c>
      <c r="C2446" t="s">
        <v>30</v>
      </c>
      <c r="D2446">
        <v>25</v>
      </c>
      <c r="E2446" t="s">
        <v>46</v>
      </c>
      <c r="F2446">
        <v>5</v>
      </c>
      <c r="G2446">
        <v>2</v>
      </c>
      <c r="H2446">
        <v>3</v>
      </c>
      <c r="I2446">
        <v>1</v>
      </c>
      <c r="J2446" s="4" t="s">
        <v>55</v>
      </c>
      <c r="K2446" t="str">
        <f t="shared" si="125"/>
        <v>2+3</v>
      </c>
      <c r="L2446">
        <f>VLOOKUP(A2446,'ZONE 1 PREMIUM'!$A$4:$N$16,14,0)</f>
        <v>4</v>
      </c>
      <c r="M2446">
        <f>VLOOKUP(D2446,DROPDOWN!B:C,2,0)</f>
        <v>9</v>
      </c>
      <c r="N2446" t="str">
        <f t="shared" si="123"/>
        <v>AU128:BM139</v>
      </c>
      <c r="O2446" s="4">
        <f t="shared" ca="1" si="124"/>
        <v>70837.875</v>
      </c>
    </row>
    <row r="2447" spans="1:15">
      <c r="A2447" s="2" t="s">
        <v>14</v>
      </c>
      <c r="B2447" t="s">
        <v>31</v>
      </c>
      <c r="C2447" t="s">
        <v>32</v>
      </c>
      <c r="D2447">
        <v>25</v>
      </c>
      <c r="E2447" t="s">
        <v>46</v>
      </c>
      <c r="F2447">
        <v>5</v>
      </c>
      <c r="G2447">
        <v>2</v>
      </c>
      <c r="H2447">
        <v>3</v>
      </c>
      <c r="I2447">
        <v>1</v>
      </c>
      <c r="J2447" s="4" t="s">
        <v>55</v>
      </c>
      <c r="K2447" t="str">
        <f t="shared" si="125"/>
        <v>2+3</v>
      </c>
      <c r="L2447">
        <f>VLOOKUP(A2447,'ZONE 1 PREMIUM'!$A$4:$N$16,14,0)</f>
        <v>5</v>
      </c>
      <c r="M2447">
        <f>VLOOKUP(D2447,DROPDOWN!B:C,2,0)</f>
        <v>9</v>
      </c>
      <c r="N2447" t="str">
        <f t="shared" si="123"/>
        <v>AU128:BM139</v>
      </c>
      <c r="O2447" s="4">
        <f t="shared" ca="1" si="124"/>
        <v>79709.625</v>
      </c>
    </row>
    <row r="2448" spans="1:15">
      <c r="A2448" s="2" t="s">
        <v>15</v>
      </c>
      <c r="B2448" t="s">
        <v>33</v>
      </c>
      <c r="C2448" t="s">
        <v>34</v>
      </c>
      <c r="D2448">
        <v>25</v>
      </c>
      <c r="E2448" t="s">
        <v>46</v>
      </c>
      <c r="F2448">
        <v>5</v>
      </c>
      <c r="G2448">
        <v>2</v>
      </c>
      <c r="H2448">
        <v>3</v>
      </c>
      <c r="I2448">
        <v>1</v>
      </c>
      <c r="J2448" s="4" t="s">
        <v>55</v>
      </c>
      <c r="K2448" t="str">
        <f t="shared" si="125"/>
        <v>2+3</v>
      </c>
      <c r="L2448">
        <f>VLOOKUP(A2448,'ZONE 1 PREMIUM'!$A$4:$N$16,14,0)</f>
        <v>6</v>
      </c>
      <c r="M2448">
        <f>VLOOKUP(D2448,DROPDOWN!B:C,2,0)</f>
        <v>9</v>
      </c>
      <c r="N2448" t="str">
        <f t="shared" si="123"/>
        <v>AU128:BM139</v>
      </c>
      <c r="O2448" s="4">
        <f t="shared" ca="1" si="124"/>
        <v>97881.75</v>
      </c>
    </row>
    <row r="2449" spans="1:15">
      <c r="A2449" s="2" t="s">
        <v>16</v>
      </c>
      <c r="B2449" t="s">
        <v>35</v>
      </c>
      <c r="C2449" t="s">
        <v>36</v>
      </c>
      <c r="D2449">
        <v>25</v>
      </c>
      <c r="E2449" t="s">
        <v>46</v>
      </c>
      <c r="F2449">
        <v>5</v>
      </c>
      <c r="G2449">
        <v>2</v>
      </c>
      <c r="H2449">
        <v>3</v>
      </c>
      <c r="I2449">
        <v>1</v>
      </c>
      <c r="J2449" s="4" t="s">
        <v>55</v>
      </c>
      <c r="K2449" t="str">
        <f t="shared" si="125"/>
        <v>2+3</v>
      </c>
      <c r="L2449">
        <f>VLOOKUP(A2449,'ZONE 1 PREMIUM'!$A$4:$N$16,14,0)</f>
        <v>7</v>
      </c>
      <c r="M2449">
        <f>VLOOKUP(D2449,DROPDOWN!B:C,2,0)</f>
        <v>9</v>
      </c>
      <c r="N2449" t="str">
        <f t="shared" si="123"/>
        <v>AU128:BM139</v>
      </c>
      <c r="O2449" s="4">
        <f t="shared" ca="1" si="124"/>
        <v>124876.125</v>
      </c>
    </row>
    <row r="2450" spans="1:15">
      <c r="A2450" s="2" t="s">
        <v>17</v>
      </c>
      <c r="B2450" t="s">
        <v>37</v>
      </c>
      <c r="C2450" t="s">
        <v>38</v>
      </c>
      <c r="D2450">
        <v>25</v>
      </c>
      <c r="E2450" t="s">
        <v>46</v>
      </c>
      <c r="F2450">
        <v>5</v>
      </c>
      <c r="G2450">
        <v>2</v>
      </c>
      <c r="H2450">
        <v>3</v>
      </c>
      <c r="I2450">
        <v>1</v>
      </c>
      <c r="J2450" s="4" t="s">
        <v>55</v>
      </c>
      <c r="K2450" t="str">
        <f t="shared" si="125"/>
        <v>2+3</v>
      </c>
      <c r="L2450">
        <f>VLOOKUP(A2450,'ZONE 1 PREMIUM'!$A$4:$N$16,14,0)</f>
        <v>8</v>
      </c>
      <c r="M2450">
        <f>VLOOKUP(D2450,DROPDOWN!B:C,2,0)</f>
        <v>9</v>
      </c>
      <c r="N2450" t="str">
        <f t="shared" si="123"/>
        <v>AU128:BM139</v>
      </c>
      <c r="O2450" s="4">
        <f t="shared" ca="1" si="124"/>
        <v>156951</v>
      </c>
    </row>
    <row r="2451" spans="1:15">
      <c r="A2451" s="2" t="s">
        <v>18</v>
      </c>
      <c r="B2451" t="s">
        <v>39</v>
      </c>
      <c r="C2451" t="s">
        <v>40</v>
      </c>
      <c r="D2451">
        <v>25</v>
      </c>
      <c r="E2451" t="s">
        <v>46</v>
      </c>
      <c r="F2451">
        <v>5</v>
      </c>
      <c r="G2451">
        <v>2</v>
      </c>
      <c r="H2451">
        <v>3</v>
      </c>
      <c r="I2451">
        <v>1</v>
      </c>
      <c r="J2451" s="4" t="s">
        <v>55</v>
      </c>
      <c r="K2451" t="str">
        <f t="shared" si="125"/>
        <v>2+3</v>
      </c>
      <c r="L2451">
        <f>VLOOKUP(A2451,'ZONE 1 PREMIUM'!$A$4:$N$16,14,0)</f>
        <v>9</v>
      </c>
      <c r="M2451">
        <f>VLOOKUP(D2451,DROPDOWN!B:C,2,0)</f>
        <v>9</v>
      </c>
      <c r="N2451" t="str">
        <f t="shared" si="123"/>
        <v>AU128:BM139</v>
      </c>
      <c r="O2451" s="4">
        <f t="shared" ca="1" si="124"/>
        <v>203970.375</v>
      </c>
    </row>
    <row r="2452" spans="1:15">
      <c r="A2452" s="2" t="s">
        <v>19</v>
      </c>
      <c r="B2452" t="s">
        <v>41</v>
      </c>
      <c r="C2452" t="s">
        <v>42</v>
      </c>
      <c r="D2452">
        <v>25</v>
      </c>
      <c r="E2452" t="s">
        <v>46</v>
      </c>
      <c r="F2452">
        <v>5</v>
      </c>
      <c r="G2452">
        <v>2</v>
      </c>
      <c r="H2452">
        <v>3</v>
      </c>
      <c r="I2452">
        <v>1</v>
      </c>
      <c r="J2452" s="4" t="s">
        <v>55</v>
      </c>
      <c r="K2452" t="str">
        <f t="shared" si="125"/>
        <v>2+3</v>
      </c>
      <c r="L2452">
        <f>VLOOKUP(A2452,'ZONE 1 PREMIUM'!$A$4:$N$16,14,0)</f>
        <v>10</v>
      </c>
      <c r="M2452">
        <f>VLOOKUP(D2452,DROPDOWN!B:C,2,0)</f>
        <v>9</v>
      </c>
      <c r="N2452" t="str">
        <f t="shared" si="123"/>
        <v>AU128:BM139</v>
      </c>
      <c r="O2452" s="4">
        <f t="shared" ca="1" si="124"/>
        <v>261772.875</v>
      </c>
    </row>
    <row r="2453" spans="1:15">
      <c r="A2453" s="2" t="s">
        <v>20</v>
      </c>
      <c r="B2453" t="s">
        <v>43</v>
      </c>
      <c r="C2453" t="s">
        <v>44</v>
      </c>
      <c r="D2453">
        <v>25</v>
      </c>
      <c r="E2453" t="s">
        <v>46</v>
      </c>
      <c r="F2453">
        <v>5</v>
      </c>
      <c r="G2453">
        <v>2</v>
      </c>
      <c r="H2453">
        <v>3</v>
      </c>
      <c r="I2453">
        <v>1</v>
      </c>
      <c r="J2453" s="4" t="s">
        <v>55</v>
      </c>
      <c r="K2453" t="str">
        <f t="shared" si="125"/>
        <v>2+3</v>
      </c>
      <c r="L2453">
        <f>VLOOKUP(A2453,'ZONE 1 PREMIUM'!$A$4:$N$16,14,0)</f>
        <v>11</v>
      </c>
      <c r="M2453">
        <f>VLOOKUP(D2453,DROPDOWN!B:C,2,0)</f>
        <v>9</v>
      </c>
      <c r="N2453" t="str">
        <f t="shared" si="123"/>
        <v>AU128:BM139</v>
      </c>
      <c r="O2453" s="4">
        <f t="shared" ca="1" si="124"/>
        <v>319596.75</v>
      </c>
    </row>
    <row r="2454" spans="1:15">
      <c r="A2454" s="2" t="s">
        <v>21</v>
      </c>
      <c r="B2454" t="s">
        <v>22</v>
      </c>
      <c r="D2454">
        <v>25</v>
      </c>
      <c r="E2454" t="s">
        <v>46</v>
      </c>
      <c r="F2454">
        <v>5</v>
      </c>
      <c r="G2454">
        <v>2</v>
      </c>
      <c r="H2454">
        <v>3</v>
      </c>
      <c r="I2454">
        <v>1</v>
      </c>
      <c r="J2454" s="4" t="s">
        <v>55</v>
      </c>
      <c r="K2454" t="str">
        <f t="shared" si="125"/>
        <v>2+3</v>
      </c>
      <c r="L2454">
        <f>VLOOKUP(A2454,'ZONE 1 PREMIUM'!$A$4:$N$16,14,0)</f>
        <v>12</v>
      </c>
      <c r="M2454">
        <f>VLOOKUP(D2454,DROPDOWN!B:C,2,0)</f>
        <v>9</v>
      </c>
      <c r="N2454" t="str">
        <f t="shared" si="123"/>
        <v>AU128:BM139</v>
      </c>
      <c r="O2454" s="4">
        <f t="shared" ca="1" si="124"/>
        <v>404154</v>
      </c>
    </row>
    <row r="2455" spans="1:15">
      <c r="A2455" s="2" t="s">
        <v>11</v>
      </c>
      <c r="B2455" t="s">
        <v>45</v>
      </c>
      <c r="C2455" t="s">
        <v>25</v>
      </c>
      <c r="D2455">
        <v>25</v>
      </c>
      <c r="E2455" t="s">
        <v>46</v>
      </c>
      <c r="F2455">
        <v>6</v>
      </c>
      <c r="G2455">
        <v>2</v>
      </c>
      <c r="H2455">
        <v>4</v>
      </c>
      <c r="I2455">
        <v>1</v>
      </c>
      <c r="J2455" s="4" t="s">
        <v>55</v>
      </c>
      <c r="K2455" t="str">
        <f t="shared" si="125"/>
        <v>2+4</v>
      </c>
      <c r="L2455">
        <f>VLOOKUP(A2455,'ZONE 1 PREMIUM'!$A$4:$N$16,14,0)</f>
        <v>2</v>
      </c>
      <c r="M2455">
        <f>VLOOKUP(D2455,DROPDOWN!B:C,2,0)</f>
        <v>9</v>
      </c>
      <c r="N2455" t="str">
        <f t="shared" si="123"/>
        <v>AU143:BM154</v>
      </c>
      <c r="O2455" s="4">
        <f t="shared" ca="1" si="124"/>
        <v>65695.5</v>
      </c>
    </row>
    <row r="2456" spans="1:15">
      <c r="A2456" s="2" t="s">
        <v>12</v>
      </c>
      <c r="B2456" t="s">
        <v>27</v>
      </c>
      <c r="C2456" t="s">
        <v>28</v>
      </c>
      <c r="D2456">
        <v>25</v>
      </c>
      <c r="E2456" t="s">
        <v>46</v>
      </c>
      <c r="F2456">
        <v>6</v>
      </c>
      <c r="G2456">
        <v>2</v>
      </c>
      <c r="H2456">
        <v>4</v>
      </c>
      <c r="I2456">
        <v>1</v>
      </c>
      <c r="J2456" s="4" t="s">
        <v>55</v>
      </c>
      <c r="K2456" t="str">
        <f t="shared" si="125"/>
        <v>2+4</v>
      </c>
      <c r="L2456">
        <f>VLOOKUP(A2456,'ZONE 1 PREMIUM'!$A$4:$N$16,14,0)</f>
        <v>3</v>
      </c>
      <c r="M2456">
        <f>VLOOKUP(D2456,DROPDOWN!B:C,2,0)</f>
        <v>9</v>
      </c>
      <c r="N2456" t="str">
        <f t="shared" si="123"/>
        <v>AU143:BM154</v>
      </c>
      <c r="O2456" s="4">
        <f t="shared" ca="1" si="124"/>
        <v>69915.375</v>
      </c>
    </row>
    <row r="2457" spans="1:15">
      <c r="A2457" s="2" t="s">
        <v>13</v>
      </c>
      <c r="B2457" t="s">
        <v>29</v>
      </c>
      <c r="C2457" t="s">
        <v>30</v>
      </c>
      <c r="D2457">
        <v>25</v>
      </c>
      <c r="E2457" t="s">
        <v>46</v>
      </c>
      <c r="F2457">
        <v>6</v>
      </c>
      <c r="G2457">
        <v>2</v>
      </c>
      <c r="H2457">
        <v>4</v>
      </c>
      <c r="I2457">
        <v>1</v>
      </c>
      <c r="J2457" s="4" t="s">
        <v>55</v>
      </c>
      <c r="K2457" t="str">
        <f t="shared" si="125"/>
        <v>2+4</v>
      </c>
      <c r="L2457">
        <f>VLOOKUP(A2457,'ZONE 1 PREMIUM'!$A$4:$N$16,14,0)</f>
        <v>4</v>
      </c>
      <c r="M2457">
        <f>VLOOKUP(D2457,DROPDOWN!B:C,2,0)</f>
        <v>9</v>
      </c>
      <c r="N2457" t="str">
        <f t="shared" si="123"/>
        <v>AU143:BM154</v>
      </c>
      <c r="O2457" s="4">
        <f t="shared" ca="1" si="124"/>
        <v>79393.5</v>
      </c>
    </row>
    <row r="2458" spans="1:15">
      <c r="A2458" s="2" t="s">
        <v>14</v>
      </c>
      <c r="B2458" t="s">
        <v>31</v>
      </c>
      <c r="C2458" t="s">
        <v>32</v>
      </c>
      <c r="D2458">
        <v>25</v>
      </c>
      <c r="E2458" t="s">
        <v>46</v>
      </c>
      <c r="F2458">
        <v>6</v>
      </c>
      <c r="G2458">
        <v>2</v>
      </c>
      <c r="H2458">
        <v>4</v>
      </c>
      <c r="I2458">
        <v>1</v>
      </c>
      <c r="J2458" s="4" t="s">
        <v>55</v>
      </c>
      <c r="K2458" t="str">
        <f t="shared" si="125"/>
        <v>2+4</v>
      </c>
      <c r="L2458">
        <f>VLOOKUP(A2458,'ZONE 1 PREMIUM'!$A$4:$N$16,14,0)</f>
        <v>5</v>
      </c>
      <c r="M2458">
        <f>VLOOKUP(D2458,DROPDOWN!B:C,2,0)</f>
        <v>9</v>
      </c>
      <c r="N2458" t="str">
        <f t="shared" si="123"/>
        <v>AU143:BM154</v>
      </c>
      <c r="O2458" s="4">
        <f t="shared" ca="1" si="124"/>
        <v>88861.5</v>
      </c>
    </row>
    <row r="2459" spans="1:15">
      <c r="A2459" s="2" t="s">
        <v>15</v>
      </c>
      <c r="B2459" t="s">
        <v>33</v>
      </c>
      <c r="C2459" t="s">
        <v>34</v>
      </c>
      <c r="D2459">
        <v>25</v>
      </c>
      <c r="E2459" t="s">
        <v>46</v>
      </c>
      <c r="F2459">
        <v>6</v>
      </c>
      <c r="G2459">
        <v>2</v>
      </c>
      <c r="H2459">
        <v>4</v>
      </c>
      <c r="I2459">
        <v>1</v>
      </c>
      <c r="J2459" s="4" t="s">
        <v>55</v>
      </c>
      <c r="K2459" t="str">
        <f t="shared" si="125"/>
        <v>2+4</v>
      </c>
      <c r="L2459">
        <f>VLOOKUP(A2459,'ZONE 1 PREMIUM'!$A$4:$N$16,14,0)</f>
        <v>6</v>
      </c>
      <c r="M2459">
        <f>VLOOKUP(D2459,DROPDOWN!B:C,2,0)</f>
        <v>9</v>
      </c>
      <c r="N2459" t="str">
        <f t="shared" si="123"/>
        <v>AU143:BM154</v>
      </c>
      <c r="O2459" s="4">
        <f t="shared" ca="1" si="124"/>
        <v>108190.125</v>
      </c>
    </row>
    <row r="2460" spans="1:15">
      <c r="A2460" s="2" t="s">
        <v>16</v>
      </c>
      <c r="B2460" t="s">
        <v>35</v>
      </c>
      <c r="C2460" t="s">
        <v>36</v>
      </c>
      <c r="D2460">
        <v>25</v>
      </c>
      <c r="E2460" t="s">
        <v>46</v>
      </c>
      <c r="F2460">
        <v>6</v>
      </c>
      <c r="G2460">
        <v>2</v>
      </c>
      <c r="H2460">
        <v>4</v>
      </c>
      <c r="I2460">
        <v>1</v>
      </c>
      <c r="J2460" s="4" t="s">
        <v>55</v>
      </c>
      <c r="K2460" t="str">
        <f t="shared" si="125"/>
        <v>2+4</v>
      </c>
      <c r="L2460">
        <f>VLOOKUP(A2460,'ZONE 1 PREMIUM'!$A$4:$N$16,14,0)</f>
        <v>7</v>
      </c>
      <c r="M2460">
        <f>VLOOKUP(D2460,DROPDOWN!B:C,2,0)</f>
        <v>9</v>
      </c>
      <c r="N2460" t="str">
        <f t="shared" si="123"/>
        <v>AU143:BM154</v>
      </c>
      <c r="O2460" s="4">
        <f t="shared" ca="1" si="124"/>
        <v>134390.25</v>
      </c>
    </row>
    <row r="2461" spans="1:15">
      <c r="A2461" s="2" t="s">
        <v>17</v>
      </c>
      <c r="B2461" t="s">
        <v>37</v>
      </c>
      <c r="C2461" t="s">
        <v>38</v>
      </c>
      <c r="D2461">
        <v>25</v>
      </c>
      <c r="E2461" t="s">
        <v>46</v>
      </c>
      <c r="F2461">
        <v>6</v>
      </c>
      <c r="G2461">
        <v>2</v>
      </c>
      <c r="H2461">
        <v>4</v>
      </c>
      <c r="I2461">
        <v>1</v>
      </c>
      <c r="J2461" s="4" t="s">
        <v>55</v>
      </c>
      <c r="K2461" t="str">
        <f t="shared" si="125"/>
        <v>2+4</v>
      </c>
      <c r="L2461">
        <f>VLOOKUP(A2461,'ZONE 1 PREMIUM'!$A$4:$N$16,14,0)</f>
        <v>8</v>
      </c>
      <c r="M2461">
        <f>VLOOKUP(D2461,DROPDOWN!B:C,2,0)</f>
        <v>9</v>
      </c>
      <c r="N2461" t="str">
        <f t="shared" si="123"/>
        <v>AU143:BM154</v>
      </c>
      <c r="O2461" s="4">
        <f t="shared" ca="1" si="124"/>
        <v>166486.5</v>
      </c>
    </row>
    <row r="2462" spans="1:15">
      <c r="A2462" s="2" t="s">
        <v>18</v>
      </c>
      <c r="B2462" t="s">
        <v>39</v>
      </c>
      <c r="C2462" t="s">
        <v>40</v>
      </c>
      <c r="D2462">
        <v>25</v>
      </c>
      <c r="E2462" t="s">
        <v>46</v>
      </c>
      <c r="F2462">
        <v>6</v>
      </c>
      <c r="G2462">
        <v>2</v>
      </c>
      <c r="H2462">
        <v>4</v>
      </c>
      <c r="I2462">
        <v>1</v>
      </c>
      <c r="J2462" s="4" t="s">
        <v>55</v>
      </c>
      <c r="K2462" t="str">
        <f t="shared" si="125"/>
        <v>2+4</v>
      </c>
      <c r="L2462">
        <f>VLOOKUP(A2462,'ZONE 1 PREMIUM'!$A$4:$N$16,14,0)</f>
        <v>9</v>
      </c>
      <c r="M2462">
        <f>VLOOKUP(D2462,DROPDOWN!B:C,2,0)</f>
        <v>9</v>
      </c>
      <c r="N2462" t="str">
        <f t="shared" si="123"/>
        <v>AU143:BM154</v>
      </c>
      <c r="O2462" s="4">
        <f t="shared" ca="1" si="124"/>
        <v>213167.25</v>
      </c>
    </row>
    <row r="2463" spans="1:15">
      <c r="A2463" s="2" t="s">
        <v>19</v>
      </c>
      <c r="B2463" t="s">
        <v>41</v>
      </c>
      <c r="C2463" t="s">
        <v>42</v>
      </c>
      <c r="D2463">
        <v>25</v>
      </c>
      <c r="E2463" t="s">
        <v>46</v>
      </c>
      <c r="F2463">
        <v>6</v>
      </c>
      <c r="G2463">
        <v>2</v>
      </c>
      <c r="H2463">
        <v>4</v>
      </c>
      <c r="I2463">
        <v>1</v>
      </c>
      <c r="J2463" s="4" t="s">
        <v>55</v>
      </c>
      <c r="K2463" t="str">
        <f t="shared" si="125"/>
        <v>2+4</v>
      </c>
      <c r="L2463">
        <f>VLOOKUP(A2463,'ZONE 1 PREMIUM'!$A$4:$N$16,14,0)</f>
        <v>10</v>
      </c>
      <c r="M2463">
        <f>VLOOKUP(D2463,DROPDOWN!B:C,2,0)</f>
        <v>9</v>
      </c>
      <c r="N2463" t="str">
        <f t="shared" si="123"/>
        <v>AU143:BM154</v>
      </c>
      <c r="O2463" s="4">
        <f t="shared" ca="1" si="124"/>
        <v>271910.25</v>
      </c>
    </row>
    <row r="2464" spans="1:15">
      <c r="A2464" s="2" t="s">
        <v>20</v>
      </c>
      <c r="B2464" t="s">
        <v>43</v>
      </c>
      <c r="C2464" t="s">
        <v>44</v>
      </c>
      <c r="D2464">
        <v>25</v>
      </c>
      <c r="E2464" t="s">
        <v>46</v>
      </c>
      <c r="F2464">
        <v>6</v>
      </c>
      <c r="G2464">
        <v>2</v>
      </c>
      <c r="H2464">
        <v>4</v>
      </c>
      <c r="I2464">
        <v>1</v>
      </c>
      <c r="J2464" s="4" t="s">
        <v>55</v>
      </c>
      <c r="K2464" t="str">
        <f t="shared" si="125"/>
        <v>2+4</v>
      </c>
      <c r="L2464">
        <f>VLOOKUP(A2464,'ZONE 1 PREMIUM'!$A$4:$N$16,14,0)</f>
        <v>11</v>
      </c>
      <c r="M2464">
        <f>VLOOKUP(D2464,DROPDOWN!B:C,2,0)</f>
        <v>9</v>
      </c>
      <c r="N2464" t="str">
        <f t="shared" si="123"/>
        <v>AU143:BM154</v>
      </c>
      <c r="O2464" s="4">
        <f t="shared" ca="1" si="124"/>
        <v>329017.5</v>
      </c>
    </row>
    <row r="2465" spans="1:15">
      <c r="A2465" s="2" t="s">
        <v>21</v>
      </c>
      <c r="B2465" t="s">
        <v>22</v>
      </c>
      <c r="D2465">
        <v>25</v>
      </c>
      <c r="E2465" t="s">
        <v>46</v>
      </c>
      <c r="F2465">
        <v>6</v>
      </c>
      <c r="G2465">
        <v>2</v>
      </c>
      <c r="H2465">
        <v>4</v>
      </c>
      <c r="I2465">
        <v>1</v>
      </c>
      <c r="J2465" s="4" t="s">
        <v>55</v>
      </c>
      <c r="K2465" t="str">
        <f t="shared" si="125"/>
        <v>2+4</v>
      </c>
      <c r="L2465">
        <f>VLOOKUP(A2465,'ZONE 1 PREMIUM'!$A$4:$N$16,14,0)</f>
        <v>12</v>
      </c>
      <c r="M2465">
        <f>VLOOKUP(D2465,DROPDOWN!B:C,2,0)</f>
        <v>9</v>
      </c>
      <c r="N2465" t="str">
        <f t="shared" si="123"/>
        <v>AU143:BM154</v>
      </c>
      <c r="O2465" s="4">
        <f t="shared" ca="1" si="124"/>
        <v>412006.5</v>
      </c>
    </row>
    <row r="2466" spans="1:15">
      <c r="A2466" s="2" t="s">
        <v>9</v>
      </c>
      <c r="B2466" t="s">
        <v>47</v>
      </c>
      <c r="C2466" t="s">
        <v>48</v>
      </c>
      <c r="D2466">
        <v>25</v>
      </c>
      <c r="E2466" t="s">
        <v>26</v>
      </c>
      <c r="F2466">
        <v>1</v>
      </c>
      <c r="H2466">
        <v>1</v>
      </c>
      <c r="I2466">
        <v>1</v>
      </c>
      <c r="J2466" s="4" t="s">
        <v>53</v>
      </c>
      <c r="K2466" t="str">
        <f t="shared" si="125"/>
        <v>+1</v>
      </c>
      <c r="N2466" t="e">
        <f t="shared" ref="N2466:N2529" si="126">VLOOKUP(K2466,$CK$3:$CL$12,2,0)</f>
        <v>#N/A</v>
      </c>
      <c r="O2466" s="13">
        <v>4604.8350921694073</v>
      </c>
    </row>
    <row r="2467" spans="1:15">
      <c r="A2467" s="2" t="s">
        <v>10</v>
      </c>
      <c r="B2467" t="s">
        <v>49</v>
      </c>
      <c r="C2467" t="s">
        <v>50</v>
      </c>
      <c r="D2467">
        <v>25</v>
      </c>
      <c r="E2467" t="s">
        <v>26</v>
      </c>
      <c r="F2467">
        <v>1</v>
      </c>
      <c r="G2467">
        <v>1</v>
      </c>
      <c r="H2467">
        <v>0</v>
      </c>
      <c r="I2467">
        <v>1</v>
      </c>
      <c r="J2467" s="4" t="s">
        <v>53</v>
      </c>
      <c r="K2467" t="str">
        <f t="shared" si="125"/>
        <v>1+0</v>
      </c>
      <c r="L2467">
        <f>VLOOKUP(A2467,'ZONE 1 PREMIUM'!$A$3:$M$16,13,0)</f>
        <v>3</v>
      </c>
      <c r="M2467">
        <f>VLOOKUP(D2467,DROPDOWN!B:C,2,0)</f>
        <v>9</v>
      </c>
      <c r="N2467" t="str">
        <f t="shared" si="126"/>
        <v>BR3:CJ16</v>
      </c>
      <c r="O2467" s="4">
        <f t="shared" ca="1" si="124"/>
        <v>7603.2000000000007</v>
      </c>
    </row>
    <row r="2468" spans="1:15">
      <c r="A2468" s="2" t="s">
        <v>11</v>
      </c>
      <c r="B2468" t="s">
        <v>45</v>
      </c>
      <c r="C2468" t="s">
        <v>25</v>
      </c>
      <c r="D2468">
        <v>25</v>
      </c>
      <c r="E2468" t="s">
        <v>26</v>
      </c>
      <c r="F2468">
        <v>1</v>
      </c>
      <c r="G2468">
        <v>1</v>
      </c>
      <c r="H2468">
        <v>0</v>
      </c>
      <c r="I2468">
        <v>1</v>
      </c>
      <c r="J2468" s="4" t="s">
        <v>53</v>
      </c>
      <c r="K2468" t="str">
        <f t="shared" si="125"/>
        <v>1+0</v>
      </c>
      <c r="L2468">
        <f>VLOOKUP(A2468,'ZONE 1 PREMIUM'!$A$3:$M$16,13,0)</f>
        <v>4</v>
      </c>
      <c r="M2468">
        <f>VLOOKUP(D2468,DROPDOWN!B:C,2,0)</f>
        <v>9</v>
      </c>
      <c r="N2468" t="str">
        <f t="shared" si="126"/>
        <v>BR3:CJ16</v>
      </c>
      <c r="O2468" s="4">
        <f t="shared" ca="1" si="124"/>
        <v>20974.800000000003</v>
      </c>
    </row>
    <row r="2469" spans="1:15">
      <c r="A2469" s="2" t="s">
        <v>12</v>
      </c>
      <c r="B2469" t="s">
        <v>27</v>
      </c>
      <c r="C2469" t="s">
        <v>28</v>
      </c>
      <c r="D2469">
        <v>25</v>
      </c>
      <c r="E2469" t="s">
        <v>26</v>
      </c>
      <c r="F2469">
        <v>1</v>
      </c>
      <c r="G2469">
        <v>1</v>
      </c>
      <c r="H2469">
        <v>0</v>
      </c>
      <c r="I2469">
        <v>1</v>
      </c>
      <c r="J2469" s="4" t="s">
        <v>53</v>
      </c>
      <c r="K2469" t="str">
        <f t="shared" si="125"/>
        <v>1+0</v>
      </c>
      <c r="L2469">
        <f>VLOOKUP(A2469,'ZONE 1 PREMIUM'!$A$3:$M$16,13,0)</f>
        <v>5</v>
      </c>
      <c r="M2469">
        <f>VLOOKUP(D2469,DROPDOWN!B:C,2,0)</f>
        <v>9</v>
      </c>
      <c r="N2469" t="str">
        <f t="shared" si="126"/>
        <v>BR3:CJ16</v>
      </c>
      <c r="O2469" s="4">
        <f t="shared" ca="1" si="124"/>
        <v>23959.100000000002</v>
      </c>
    </row>
    <row r="2470" spans="1:15">
      <c r="A2470" s="2" t="s">
        <v>13</v>
      </c>
      <c r="B2470" t="s">
        <v>29</v>
      </c>
      <c r="C2470" t="s">
        <v>30</v>
      </c>
      <c r="D2470">
        <v>25</v>
      </c>
      <c r="E2470" t="s">
        <v>26</v>
      </c>
      <c r="F2470">
        <v>1</v>
      </c>
      <c r="G2470">
        <v>1</v>
      </c>
      <c r="H2470">
        <v>0</v>
      </c>
      <c r="I2470">
        <v>1</v>
      </c>
      <c r="J2470" s="4" t="s">
        <v>53</v>
      </c>
      <c r="K2470" t="str">
        <f t="shared" si="125"/>
        <v>1+0</v>
      </c>
      <c r="L2470">
        <f>VLOOKUP(A2470,'ZONE 1 PREMIUM'!$A$3:$M$16,13,0)</f>
        <v>6</v>
      </c>
      <c r="M2470">
        <f>VLOOKUP(D2470,DROPDOWN!B:C,2,0)</f>
        <v>9</v>
      </c>
      <c r="N2470" t="str">
        <f t="shared" si="126"/>
        <v>BR3:CJ16</v>
      </c>
      <c r="O2470" s="4">
        <f t="shared" ca="1" si="124"/>
        <v>27678.2</v>
      </c>
    </row>
    <row r="2471" spans="1:15">
      <c r="A2471" s="2" t="s">
        <v>14</v>
      </c>
      <c r="B2471" t="s">
        <v>31</v>
      </c>
      <c r="C2471" t="s">
        <v>32</v>
      </c>
      <c r="D2471">
        <v>25</v>
      </c>
      <c r="E2471" t="s">
        <v>26</v>
      </c>
      <c r="F2471">
        <v>1</v>
      </c>
      <c r="G2471">
        <v>1</v>
      </c>
      <c r="H2471">
        <v>0</v>
      </c>
      <c r="I2471">
        <v>1</v>
      </c>
      <c r="J2471" s="4" t="s">
        <v>53</v>
      </c>
      <c r="K2471" t="str">
        <f t="shared" si="125"/>
        <v>1+0</v>
      </c>
      <c r="L2471">
        <f>VLOOKUP(A2471,'ZONE 1 PREMIUM'!$A$3:$M$16,13,0)</f>
        <v>7</v>
      </c>
      <c r="M2471">
        <f>VLOOKUP(D2471,DROPDOWN!B:C,2,0)</f>
        <v>9</v>
      </c>
      <c r="N2471" t="str">
        <f t="shared" si="126"/>
        <v>BR3:CJ16</v>
      </c>
      <c r="O2471" s="4">
        <f t="shared" ca="1" si="124"/>
        <v>32065.000000000004</v>
      </c>
    </row>
    <row r="2472" spans="1:15">
      <c r="A2472" s="2" t="s">
        <v>15</v>
      </c>
      <c r="B2472" t="s">
        <v>33</v>
      </c>
      <c r="C2472" t="s">
        <v>34</v>
      </c>
      <c r="D2472">
        <v>25</v>
      </c>
      <c r="E2472" t="s">
        <v>26</v>
      </c>
      <c r="F2472">
        <v>1</v>
      </c>
      <c r="G2472">
        <v>1</v>
      </c>
      <c r="H2472">
        <v>0</v>
      </c>
      <c r="I2472">
        <v>1</v>
      </c>
      <c r="J2472" s="4" t="s">
        <v>53</v>
      </c>
      <c r="K2472" t="str">
        <f t="shared" si="125"/>
        <v>1+0</v>
      </c>
      <c r="L2472">
        <f>VLOOKUP(A2472,'ZONE 1 PREMIUM'!$A$3:$M$16,13,0)</f>
        <v>8</v>
      </c>
      <c r="M2472">
        <f>VLOOKUP(D2472,DROPDOWN!B:C,2,0)</f>
        <v>9</v>
      </c>
      <c r="N2472" t="str">
        <f t="shared" si="126"/>
        <v>BR3:CJ16</v>
      </c>
      <c r="O2472" s="4">
        <f t="shared" ca="1" si="124"/>
        <v>39960.800000000003</v>
      </c>
    </row>
    <row r="2473" spans="1:15">
      <c r="A2473" s="2" t="s">
        <v>16</v>
      </c>
      <c r="B2473" t="s">
        <v>35</v>
      </c>
      <c r="C2473" t="s">
        <v>36</v>
      </c>
      <c r="D2473">
        <v>25</v>
      </c>
      <c r="E2473" t="s">
        <v>26</v>
      </c>
      <c r="F2473">
        <v>1</v>
      </c>
      <c r="G2473">
        <v>1</v>
      </c>
      <c r="H2473">
        <v>0</v>
      </c>
      <c r="I2473">
        <v>1</v>
      </c>
      <c r="J2473" s="4" t="s">
        <v>53</v>
      </c>
      <c r="K2473" t="str">
        <f t="shared" si="125"/>
        <v>1+0</v>
      </c>
      <c r="L2473">
        <f>VLOOKUP(A2473,'ZONE 1 PREMIUM'!$A$3:$M$16,13,0)</f>
        <v>9</v>
      </c>
      <c r="M2473">
        <f>VLOOKUP(D2473,DROPDOWN!B:C,2,0)</f>
        <v>9</v>
      </c>
      <c r="N2473" t="str">
        <f t="shared" si="126"/>
        <v>BR3:CJ16</v>
      </c>
      <c r="O2473" s="4">
        <f t="shared" ca="1" si="124"/>
        <v>52743.9</v>
      </c>
    </row>
    <row r="2474" spans="1:15">
      <c r="A2474" s="2" t="s">
        <v>17</v>
      </c>
      <c r="B2474" t="s">
        <v>37</v>
      </c>
      <c r="C2474" t="s">
        <v>38</v>
      </c>
      <c r="D2474">
        <v>25</v>
      </c>
      <c r="E2474" t="s">
        <v>26</v>
      </c>
      <c r="F2474">
        <v>1</v>
      </c>
      <c r="G2474">
        <v>1</v>
      </c>
      <c r="H2474">
        <v>0</v>
      </c>
      <c r="I2474">
        <v>1</v>
      </c>
      <c r="J2474" s="4" t="s">
        <v>53</v>
      </c>
      <c r="K2474" t="str">
        <f t="shared" si="125"/>
        <v>1+0</v>
      </c>
      <c r="L2474">
        <f>VLOOKUP(A2474,'ZONE 1 PREMIUM'!$A$3:$M$16,13,0)</f>
        <v>10</v>
      </c>
      <c r="M2474">
        <f>VLOOKUP(D2474,DROPDOWN!B:C,2,0)</f>
        <v>9</v>
      </c>
      <c r="N2474" t="str">
        <f t="shared" si="126"/>
        <v>BR3:CJ16</v>
      </c>
      <c r="O2474" s="4">
        <f t="shared" ca="1" si="124"/>
        <v>70832.3</v>
      </c>
    </row>
    <row r="2475" spans="1:15">
      <c r="A2475" s="2" t="s">
        <v>18</v>
      </c>
      <c r="B2475" t="s">
        <v>39</v>
      </c>
      <c r="C2475" t="s">
        <v>40</v>
      </c>
      <c r="D2475">
        <v>25</v>
      </c>
      <c r="E2475" t="s">
        <v>26</v>
      </c>
      <c r="F2475">
        <v>1</v>
      </c>
      <c r="G2475">
        <v>1</v>
      </c>
      <c r="H2475">
        <v>0</v>
      </c>
      <c r="I2475">
        <v>1</v>
      </c>
      <c r="J2475" s="4" t="s">
        <v>53</v>
      </c>
      <c r="K2475" t="str">
        <f t="shared" si="125"/>
        <v>1+0</v>
      </c>
      <c r="L2475">
        <f>VLOOKUP(A2475,'ZONE 1 PREMIUM'!$A$3:$M$16,13,0)</f>
        <v>11</v>
      </c>
      <c r="M2475">
        <f>VLOOKUP(D2475,DROPDOWN!B:C,2,0)</f>
        <v>9</v>
      </c>
      <c r="N2475" t="str">
        <f t="shared" si="126"/>
        <v>BR3:CJ16</v>
      </c>
      <c r="O2475" s="4">
        <f t="shared" ca="1" si="124"/>
        <v>97909.900000000009</v>
      </c>
    </row>
    <row r="2476" spans="1:15">
      <c r="A2476" s="2" t="s">
        <v>19</v>
      </c>
      <c r="B2476" t="s">
        <v>41</v>
      </c>
      <c r="C2476" t="s">
        <v>42</v>
      </c>
      <c r="D2476">
        <v>25</v>
      </c>
      <c r="E2476" t="s">
        <v>26</v>
      </c>
      <c r="F2476">
        <v>1</v>
      </c>
      <c r="G2476">
        <v>1</v>
      </c>
      <c r="H2476">
        <v>0</v>
      </c>
      <c r="I2476">
        <v>1</v>
      </c>
      <c r="J2476" s="4" t="s">
        <v>53</v>
      </c>
      <c r="K2476" t="str">
        <f t="shared" si="125"/>
        <v>1+0</v>
      </c>
      <c r="L2476">
        <f>VLOOKUP(A2476,'ZONE 1 PREMIUM'!$A$3:$M$16,13,0)</f>
        <v>12</v>
      </c>
      <c r="M2476">
        <f>VLOOKUP(D2476,DROPDOWN!B:C,2,0)</f>
        <v>9</v>
      </c>
      <c r="N2476" t="str">
        <f t="shared" si="126"/>
        <v>BR3:CJ16</v>
      </c>
      <c r="O2476" s="4">
        <f t="shared" ca="1" si="124"/>
        <v>127449.30000000002</v>
      </c>
    </row>
    <row r="2477" spans="1:15">
      <c r="A2477" s="2" t="s">
        <v>20</v>
      </c>
      <c r="B2477" t="s">
        <v>43</v>
      </c>
      <c r="C2477" t="s">
        <v>44</v>
      </c>
      <c r="D2477">
        <v>25</v>
      </c>
      <c r="E2477" t="s">
        <v>26</v>
      </c>
      <c r="F2477">
        <v>1</v>
      </c>
      <c r="G2477">
        <v>1</v>
      </c>
      <c r="H2477">
        <v>0</v>
      </c>
      <c r="I2477">
        <v>1</v>
      </c>
      <c r="J2477" s="4" t="s">
        <v>53</v>
      </c>
      <c r="K2477" t="str">
        <f t="shared" si="125"/>
        <v>1+0</v>
      </c>
      <c r="L2477">
        <f>VLOOKUP(A2477,'ZONE 1 PREMIUM'!$A$3:$M$16,13,0)</f>
        <v>13</v>
      </c>
      <c r="M2477">
        <f>VLOOKUP(D2477,DROPDOWN!B:C,2,0)</f>
        <v>9</v>
      </c>
      <c r="N2477" t="str">
        <f t="shared" si="126"/>
        <v>BR3:CJ16</v>
      </c>
      <c r="O2477" s="4">
        <f t="shared" ca="1" si="124"/>
        <v>153525.90000000002</v>
      </c>
    </row>
    <row r="2478" spans="1:15">
      <c r="A2478" s="2" t="s">
        <v>21</v>
      </c>
      <c r="B2478" t="s">
        <v>22</v>
      </c>
      <c r="D2478">
        <v>25</v>
      </c>
      <c r="E2478" t="s">
        <v>26</v>
      </c>
      <c r="F2478">
        <v>1</v>
      </c>
      <c r="G2478">
        <v>1</v>
      </c>
      <c r="H2478">
        <v>0</v>
      </c>
      <c r="I2478">
        <v>1</v>
      </c>
      <c r="J2478" s="4" t="s">
        <v>53</v>
      </c>
      <c r="K2478" t="str">
        <f t="shared" si="125"/>
        <v>1+0</v>
      </c>
      <c r="L2478">
        <f>VLOOKUP(A2478,'ZONE 1 PREMIUM'!$A$3:$M$16,13,0)</f>
        <v>14</v>
      </c>
      <c r="M2478">
        <f>VLOOKUP(D2478,DROPDOWN!B:C,2,0)</f>
        <v>9</v>
      </c>
      <c r="N2478" t="str">
        <f t="shared" si="126"/>
        <v>BR3:CJ16</v>
      </c>
      <c r="O2478" s="4">
        <f t="shared" ca="1" si="124"/>
        <v>206708.7</v>
      </c>
    </row>
    <row r="2479" spans="1:15">
      <c r="A2479" s="2" t="s">
        <v>11</v>
      </c>
      <c r="B2479" t="s">
        <v>45</v>
      </c>
      <c r="C2479" t="s">
        <v>25</v>
      </c>
      <c r="D2479">
        <v>25</v>
      </c>
      <c r="E2479" t="s">
        <v>46</v>
      </c>
      <c r="F2479">
        <v>2</v>
      </c>
      <c r="G2479">
        <v>1</v>
      </c>
      <c r="H2479">
        <v>1</v>
      </c>
      <c r="I2479">
        <v>1</v>
      </c>
      <c r="J2479" s="4" t="s">
        <v>53</v>
      </c>
      <c r="K2479" t="str">
        <f t="shared" si="125"/>
        <v>1+1</v>
      </c>
      <c r="L2479">
        <f>VLOOKUP(A2479,'ZONE 1 PREMIUM'!$A$4:$N$16,14,0)</f>
        <v>2</v>
      </c>
      <c r="M2479">
        <f>VLOOKUP(D2479,DROPDOWN!B:C,2,0)</f>
        <v>9</v>
      </c>
      <c r="N2479" t="str">
        <f t="shared" si="126"/>
        <v>BR20:CJ31</v>
      </c>
      <c r="O2479" s="4">
        <f t="shared" ca="1" si="124"/>
        <v>23502.600000000002</v>
      </c>
    </row>
    <row r="2480" spans="1:15">
      <c r="A2480" s="2" t="s">
        <v>12</v>
      </c>
      <c r="B2480" t="s">
        <v>27</v>
      </c>
      <c r="C2480" t="s">
        <v>28</v>
      </c>
      <c r="D2480">
        <v>25</v>
      </c>
      <c r="E2480" t="s">
        <v>46</v>
      </c>
      <c r="F2480">
        <v>2</v>
      </c>
      <c r="G2480">
        <v>1</v>
      </c>
      <c r="H2480">
        <v>1</v>
      </c>
      <c r="I2480">
        <v>1</v>
      </c>
      <c r="J2480" s="4" t="s">
        <v>53</v>
      </c>
      <c r="K2480" t="str">
        <f t="shared" si="125"/>
        <v>1+1</v>
      </c>
      <c r="L2480">
        <f>VLOOKUP(A2480,'ZONE 1 PREMIUM'!$A$4:$N$16,14,0)</f>
        <v>3</v>
      </c>
      <c r="M2480">
        <f>VLOOKUP(D2480,DROPDOWN!B:C,2,0)</f>
        <v>9</v>
      </c>
      <c r="N2480" t="str">
        <f t="shared" si="126"/>
        <v>BR20:CJ31</v>
      </c>
      <c r="O2480" s="4">
        <f t="shared" ca="1" si="124"/>
        <v>25886.300000000003</v>
      </c>
    </row>
    <row r="2481" spans="1:15">
      <c r="A2481" s="2" t="s">
        <v>13</v>
      </c>
      <c r="B2481" t="s">
        <v>29</v>
      </c>
      <c r="C2481" t="s">
        <v>30</v>
      </c>
      <c r="D2481">
        <v>25</v>
      </c>
      <c r="E2481" t="s">
        <v>46</v>
      </c>
      <c r="F2481">
        <v>2</v>
      </c>
      <c r="G2481">
        <v>1</v>
      </c>
      <c r="H2481">
        <v>1</v>
      </c>
      <c r="I2481">
        <v>1</v>
      </c>
      <c r="J2481" s="4" t="s">
        <v>53</v>
      </c>
      <c r="K2481" t="str">
        <f t="shared" si="125"/>
        <v>1+1</v>
      </c>
      <c r="L2481">
        <f>VLOOKUP(A2481,'ZONE 1 PREMIUM'!$A$4:$N$16,14,0)</f>
        <v>4</v>
      </c>
      <c r="M2481">
        <f>VLOOKUP(D2481,DROPDOWN!B:C,2,0)</f>
        <v>9</v>
      </c>
      <c r="N2481" t="str">
        <f t="shared" si="126"/>
        <v>BR20:CJ31</v>
      </c>
      <c r="O2481" s="4">
        <f t="shared" ca="1" si="124"/>
        <v>30012.400000000001</v>
      </c>
    </row>
    <row r="2482" spans="1:15">
      <c r="A2482" s="2" t="s">
        <v>14</v>
      </c>
      <c r="B2482" t="s">
        <v>31</v>
      </c>
      <c r="C2482" t="s">
        <v>32</v>
      </c>
      <c r="D2482">
        <v>25</v>
      </c>
      <c r="E2482" t="s">
        <v>46</v>
      </c>
      <c r="F2482">
        <v>2</v>
      </c>
      <c r="G2482">
        <v>1</v>
      </c>
      <c r="H2482">
        <v>1</v>
      </c>
      <c r="I2482">
        <v>1</v>
      </c>
      <c r="J2482" s="4" t="s">
        <v>53</v>
      </c>
      <c r="K2482" t="str">
        <f t="shared" si="125"/>
        <v>1+1</v>
      </c>
      <c r="L2482">
        <f>VLOOKUP(A2482,'ZONE 1 PREMIUM'!$A$4:$N$16,14,0)</f>
        <v>5</v>
      </c>
      <c r="M2482">
        <f>VLOOKUP(D2482,DROPDOWN!B:C,2,0)</f>
        <v>9</v>
      </c>
      <c r="N2482" t="str">
        <f t="shared" si="126"/>
        <v>BR20:CJ31</v>
      </c>
      <c r="O2482" s="4">
        <f t="shared" ca="1" si="124"/>
        <v>35238.5</v>
      </c>
    </row>
    <row r="2483" spans="1:15">
      <c r="A2483" s="2" t="s">
        <v>15</v>
      </c>
      <c r="B2483" t="s">
        <v>33</v>
      </c>
      <c r="C2483" t="s">
        <v>34</v>
      </c>
      <c r="D2483">
        <v>25</v>
      </c>
      <c r="E2483" t="s">
        <v>46</v>
      </c>
      <c r="F2483">
        <v>2</v>
      </c>
      <c r="G2483">
        <v>1</v>
      </c>
      <c r="H2483">
        <v>1</v>
      </c>
      <c r="I2483">
        <v>1</v>
      </c>
      <c r="J2483" s="4" t="s">
        <v>53</v>
      </c>
      <c r="K2483" t="str">
        <f t="shared" si="125"/>
        <v>1+1</v>
      </c>
      <c r="L2483">
        <f>VLOOKUP(A2483,'ZONE 1 PREMIUM'!$A$4:$N$16,14,0)</f>
        <v>6</v>
      </c>
      <c r="M2483">
        <f>VLOOKUP(D2483,DROPDOWN!B:C,2,0)</f>
        <v>9</v>
      </c>
      <c r="N2483" t="str">
        <f t="shared" si="126"/>
        <v>BR20:CJ31</v>
      </c>
      <c r="O2483" s="4">
        <f t="shared" ca="1" si="124"/>
        <v>43554.5</v>
      </c>
    </row>
    <row r="2484" spans="1:15">
      <c r="A2484" s="2" t="s">
        <v>16</v>
      </c>
      <c r="B2484" t="s">
        <v>35</v>
      </c>
      <c r="C2484" t="s">
        <v>36</v>
      </c>
      <c r="D2484">
        <v>25</v>
      </c>
      <c r="E2484" t="s">
        <v>46</v>
      </c>
      <c r="F2484">
        <v>2</v>
      </c>
      <c r="G2484">
        <v>1</v>
      </c>
      <c r="H2484">
        <v>1</v>
      </c>
      <c r="I2484">
        <v>1</v>
      </c>
      <c r="J2484" s="4" t="s">
        <v>53</v>
      </c>
      <c r="K2484" t="str">
        <f t="shared" si="125"/>
        <v>1+1</v>
      </c>
      <c r="L2484">
        <f>VLOOKUP(A2484,'ZONE 1 PREMIUM'!$A$4:$N$16,14,0)</f>
        <v>7</v>
      </c>
      <c r="M2484">
        <f>VLOOKUP(D2484,DROPDOWN!B:C,2,0)</f>
        <v>9</v>
      </c>
      <c r="N2484" t="str">
        <f t="shared" si="126"/>
        <v>BR20:CJ31</v>
      </c>
      <c r="O2484" s="4">
        <f t="shared" ca="1" si="124"/>
        <v>56710.500000000007</v>
      </c>
    </row>
    <row r="2485" spans="1:15">
      <c r="A2485" s="2" t="s">
        <v>17</v>
      </c>
      <c r="B2485" t="s">
        <v>37</v>
      </c>
      <c r="C2485" t="s">
        <v>38</v>
      </c>
      <c r="D2485">
        <v>25</v>
      </c>
      <c r="E2485" t="s">
        <v>46</v>
      </c>
      <c r="F2485">
        <v>2</v>
      </c>
      <c r="G2485">
        <v>1</v>
      </c>
      <c r="H2485">
        <v>1</v>
      </c>
      <c r="I2485">
        <v>1</v>
      </c>
      <c r="J2485" s="4" t="s">
        <v>53</v>
      </c>
      <c r="K2485" t="str">
        <f t="shared" si="125"/>
        <v>1+1</v>
      </c>
      <c r="L2485">
        <f>VLOOKUP(A2485,'ZONE 1 PREMIUM'!$A$4:$N$16,14,0)</f>
        <v>8</v>
      </c>
      <c r="M2485">
        <f>VLOOKUP(D2485,DROPDOWN!B:C,2,0)</f>
        <v>9</v>
      </c>
      <c r="N2485" t="str">
        <f t="shared" si="126"/>
        <v>BR20:CJ31</v>
      </c>
      <c r="O2485" s="4">
        <f t="shared" ca="1" si="124"/>
        <v>75010.100000000006</v>
      </c>
    </row>
    <row r="2486" spans="1:15">
      <c r="A2486" s="2" t="s">
        <v>18</v>
      </c>
      <c r="B2486" t="s">
        <v>39</v>
      </c>
      <c r="C2486" t="s">
        <v>40</v>
      </c>
      <c r="D2486">
        <v>25</v>
      </c>
      <c r="E2486" t="s">
        <v>46</v>
      </c>
      <c r="F2486">
        <v>2</v>
      </c>
      <c r="G2486">
        <v>1</v>
      </c>
      <c r="H2486">
        <v>1</v>
      </c>
      <c r="I2486">
        <v>1</v>
      </c>
      <c r="J2486" s="4" t="s">
        <v>53</v>
      </c>
      <c r="K2486" t="str">
        <f t="shared" si="125"/>
        <v>1+1</v>
      </c>
      <c r="L2486">
        <f>VLOOKUP(A2486,'ZONE 1 PREMIUM'!$A$4:$N$16,14,0)</f>
        <v>9</v>
      </c>
      <c r="M2486">
        <f>VLOOKUP(D2486,DROPDOWN!B:C,2,0)</f>
        <v>9</v>
      </c>
      <c r="N2486" t="str">
        <f t="shared" si="126"/>
        <v>BR20:CJ31</v>
      </c>
      <c r="O2486" s="4">
        <f t="shared" ca="1" si="124"/>
        <v>103260.3</v>
      </c>
    </row>
    <row r="2487" spans="1:15">
      <c r="A2487" s="2" t="s">
        <v>19</v>
      </c>
      <c r="B2487" t="s">
        <v>41</v>
      </c>
      <c r="C2487" t="s">
        <v>42</v>
      </c>
      <c r="D2487">
        <v>25</v>
      </c>
      <c r="E2487" t="s">
        <v>46</v>
      </c>
      <c r="F2487">
        <v>2</v>
      </c>
      <c r="G2487">
        <v>1</v>
      </c>
      <c r="H2487">
        <v>1</v>
      </c>
      <c r="I2487">
        <v>1</v>
      </c>
      <c r="J2487" s="4" t="s">
        <v>53</v>
      </c>
      <c r="K2487" t="str">
        <f t="shared" si="125"/>
        <v>1+1</v>
      </c>
      <c r="L2487">
        <f>VLOOKUP(A2487,'ZONE 1 PREMIUM'!$A$4:$N$16,14,0)</f>
        <v>10</v>
      </c>
      <c r="M2487">
        <f>VLOOKUP(D2487,DROPDOWN!B:C,2,0)</f>
        <v>9</v>
      </c>
      <c r="N2487" t="str">
        <f t="shared" si="126"/>
        <v>BR20:CJ31</v>
      </c>
      <c r="O2487" s="4">
        <f t="shared" ca="1" si="124"/>
        <v>132724.90000000002</v>
      </c>
    </row>
    <row r="2488" spans="1:15">
      <c r="A2488" s="2" t="s">
        <v>20</v>
      </c>
      <c r="B2488" t="s">
        <v>43</v>
      </c>
      <c r="C2488" t="s">
        <v>44</v>
      </c>
      <c r="D2488">
        <v>25</v>
      </c>
      <c r="E2488" t="s">
        <v>46</v>
      </c>
      <c r="F2488">
        <v>2</v>
      </c>
      <c r="G2488">
        <v>1</v>
      </c>
      <c r="H2488">
        <v>1</v>
      </c>
      <c r="I2488">
        <v>1</v>
      </c>
      <c r="J2488" s="4" t="s">
        <v>53</v>
      </c>
      <c r="K2488" t="str">
        <f t="shared" si="125"/>
        <v>1+1</v>
      </c>
      <c r="L2488">
        <f>VLOOKUP(A2488,'ZONE 1 PREMIUM'!$A$4:$N$16,14,0)</f>
        <v>11</v>
      </c>
      <c r="M2488">
        <f>VLOOKUP(D2488,DROPDOWN!B:C,2,0)</f>
        <v>9</v>
      </c>
      <c r="N2488" t="str">
        <f t="shared" si="126"/>
        <v>BR20:CJ31</v>
      </c>
      <c r="O2488" s="4">
        <f t="shared" ca="1" si="124"/>
        <v>156836.90000000002</v>
      </c>
    </row>
    <row r="2489" spans="1:15">
      <c r="A2489" s="2" t="s">
        <v>21</v>
      </c>
      <c r="B2489" t="s">
        <v>22</v>
      </c>
      <c r="D2489">
        <v>25</v>
      </c>
      <c r="E2489" t="s">
        <v>46</v>
      </c>
      <c r="F2489">
        <v>2</v>
      </c>
      <c r="G2489">
        <v>1</v>
      </c>
      <c r="H2489">
        <v>1</v>
      </c>
      <c r="I2489">
        <v>1</v>
      </c>
      <c r="J2489" s="4" t="s">
        <v>53</v>
      </c>
      <c r="K2489" t="str">
        <f t="shared" si="125"/>
        <v>1+1</v>
      </c>
      <c r="L2489">
        <f>VLOOKUP(A2489,'ZONE 1 PREMIUM'!$A$4:$N$16,14,0)</f>
        <v>12</v>
      </c>
      <c r="M2489">
        <f>VLOOKUP(D2489,DROPDOWN!B:C,2,0)</f>
        <v>9</v>
      </c>
      <c r="N2489" t="str">
        <f t="shared" si="126"/>
        <v>BR20:CJ31</v>
      </c>
      <c r="O2489" s="4">
        <f t="shared" ca="1" si="124"/>
        <v>213161.30000000002</v>
      </c>
    </row>
    <row r="2490" spans="1:15">
      <c r="A2490" s="2" t="s">
        <v>11</v>
      </c>
      <c r="B2490" t="s">
        <v>45</v>
      </c>
      <c r="C2490" t="s">
        <v>25</v>
      </c>
      <c r="D2490">
        <v>25</v>
      </c>
      <c r="E2490" t="s">
        <v>46</v>
      </c>
      <c r="F2490">
        <v>3</v>
      </c>
      <c r="G2490">
        <v>1</v>
      </c>
      <c r="H2490">
        <v>2</v>
      </c>
      <c r="I2490">
        <v>1</v>
      </c>
      <c r="J2490" s="4" t="s">
        <v>53</v>
      </c>
      <c r="K2490" t="str">
        <f t="shared" si="125"/>
        <v>1+2</v>
      </c>
      <c r="L2490">
        <f>VLOOKUP(A2490,'ZONE 1 PREMIUM'!$A$4:$N$16,14,0)</f>
        <v>2</v>
      </c>
      <c r="M2490">
        <f>VLOOKUP(D2490,DROPDOWN!B:C,2,0)</f>
        <v>9</v>
      </c>
      <c r="N2490" t="str">
        <f t="shared" si="126"/>
        <v>BR35:CJ46</v>
      </c>
      <c r="O2490" s="4">
        <f t="shared" ca="1" si="124"/>
        <v>30374.300000000003</v>
      </c>
    </row>
    <row r="2491" spans="1:15">
      <c r="A2491" s="2" t="s">
        <v>12</v>
      </c>
      <c r="B2491" t="s">
        <v>27</v>
      </c>
      <c r="C2491" t="s">
        <v>28</v>
      </c>
      <c r="D2491">
        <v>25</v>
      </c>
      <c r="E2491" t="s">
        <v>46</v>
      </c>
      <c r="F2491">
        <v>3</v>
      </c>
      <c r="G2491">
        <v>1</v>
      </c>
      <c r="H2491">
        <v>2</v>
      </c>
      <c r="I2491">
        <v>1</v>
      </c>
      <c r="J2491" s="4" t="s">
        <v>53</v>
      </c>
      <c r="K2491" t="str">
        <f t="shared" si="125"/>
        <v>1+2</v>
      </c>
      <c r="L2491">
        <f>VLOOKUP(A2491,'ZONE 1 PREMIUM'!$A$4:$N$16,14,0)</f>
        <v>3</v>
      </c>
      <c r="M2491">
        <f>VLOOKUP(D2491,DROPDOWN!B:C,2,0)</f>
        <v>9</v>
      </c>
      <c r="N2491" t="str">
        <f t="shared" si="126"/>
        <v>BR35:CJ46</v>
      </c>
      <c r="O2491" s="4">
        <f t="shared" ca="1" si="124"/>
        <v>32506.100000000002</v>
      </c>
    </row>
    <row r="2492" spans="1:15">
      <c r="A2492" s="2" t="s">
        <v>13</v>
      </c>
      <c r="B2492" t="s">
        <v>29</v>
      </c>
      <c r="C2492" t="s">
        <v>30</v>
      </c>
      <c r="D2492">
        <v>25</v>
      </c>
      <c r="E2492" t="s">
        <v>46</v>
      </c>
      <c r="F2492">
        <v>3</v>
      </c>
      <c r="G2492">
        <v>1</v>
      </c>
      <c r="H2492">
        <v>2</v>
      </c>
      <c r="I2492">
        <v>1</v>
      </c>
      <c r="J2492" s="4" t="s">
        <v>53</v>
      </c>
      <c r="K2492" t="str">
        <f t="shared" si="125"/>
        <v>1+2</v>
      </c>
      <c r="L2492">
        <f>VLOOKUP(A2492,'ZONE 1 PREMIUM'!$A$4:$N$16,14,0)</f>
        <v>4</v>
      </c>
      <c r="M2492">
        <f>VLOOKUP(D2492,DROPDOWN!B:C,2,0)</f>
        <v>9</v>
      </c>
      <c r="N2492" t="str">
        <f t="shared" si="126"/>
        <v>BR35:CJ46</v>
      </c>
      <c r="O2492" s="4">
        <f t="shared" ca="1" si="124"/>
        <v>37747.600000000006</v>
      </c>
    </row>
    <row r="2493" spans="1:15">
      <c r="A2493" s="2" t="s">
        <v>14</v>
      </c>
      <c r="B2493" t="s">
        <v>31</v>
      </c>
      <c r="C2493" t="s">
        <v>32</v>
      </c>
      <c r="D2493">
        <v>25</v>
      </c>
      <c r="E2493" t="s">
        <v>46</v>
      </c>
      <c r="F2493">
        <v>3</v>
      </c>
      <c r="G2493">
        <v>1</v>
      </c>
      <c r="H2493">
        <v>2</v>
      </c>
      <c r="I2493">
        <v>1</v>
      </c>
      <c r="J2493" s="4" t="s">
        <v>53</v>
      </c>
      <c r="K2493" t="str">
        <f t="shared" si="125"/>
        <v>1+2</v>
      </c>
      <c r="L2493">
        <f>VLOOKUP(A2493,'ZONE 1 PREMIUM'!$A$4:$N$16,14,0)</f>
        <v>5</v>
      </c>
      <c r="M2493">
        <f>VLOOKUP(D2493,DROPDOWN!B:C,2,0)</f>
        <v>9</v>
      </c>
      <c r="N2493" t="str">
        <f t="shared" si="126"/>
        <v>BR35:CJ46</v>
      </c>
      <c r="O2493" s="4">
        <f t="shared" ca="1" si="124"/>
        <v>42318.100000000006</v>
      </c>
    </row>
    <row r="2494" spans="1:15">
      <c r="A2494" s="2" t="s">
        <v>15</v>
      </c>
      <c r="B2494" t="s">
        <v>33</v>
      </c>
      <c r="C2494" t="s">
        <v>34</v>
      </c>
      <c r="D2494">
        <v>25</v>
      </c>
      <c r="E2494" t="s">
        <v>46</v>
      </c>
      <c r="F2494">
        <v>3</v>
      </c>
      <c r="G2494">
        <v>1</v>
      </c>
      <c r="H2494">
        <v>2</v>
      </c>
      <c r="I2494">
        <v>1</v>
      </c>
      <c r="J2494" s="4" t="s">
        <v>53</v>
      </c>
      <c r="K2494" t="str">
        <f t="shared" si="125"/>
        <v>1+2</v>
      </c>
      <c r="L2494">
        <f>VLOOKUP(A2494,'ZONE 1 PREMIUM'!$A$4:$N$16,14,0)</f>
        <v>6</v>
      </c>
      <c r="M2494">
        <f>VLOOKUP(D2494,DROPDOWN!B:C,2,0)</f>
        <v>9</v>
      </c>
      <c r="N2494" t="str">
        <f t="shared" si="126"/>
        <v>BR35:CJ46</v>
      </c>
      <c r="O2494" s="4">
        <f t="shared" ca="1" si="124"/>
        <v>53054.100000000006</v>
      </c>
    </row>
    <row r="2495" spans="1:15">
      <c r="A2495" s="2" t="s">
        <v>16</v>
      </c>
      <c r="B2495" t="s">
        <v>35</v>
      </c>
      <c r="C2495" t="s">
        <v>36</v>
      </c>
      <c r="D2495">
        <v>25</v>
      </c>
      <c r="E2495" t="s">
        <v>46</v>
      </c>
      <c r="F2495">
        <v>3</v>
      </c>
      <c r="G2495">
        <v>1</v>
      </c>
      <c r="H2495">
        <v>2</v>
      </c>
      <c r="I2495">
        <v>1</v>
      </c>
      <c r="J2495" s="4" t="s">
        <v>53</v>
      </c>
      <c r="K2495" t="str">
        <f t="shared" si="125"/>
        <v>1+2</v>
      </c>
      <c r="L2495">
        <f>VLOOKUP(A2495,'ZONE 1 PREMIUM'!$A$4:$N$16,14,0)</f>
        <v>7</v>
      </c>
      <c r="M2495">
        <f>VLOOKUP(D2495,DROPDOWN!B:C,2,0)</f>
        <v>9</v>
      </c>
      <c r="N2495" t="str">
        <f t="shared" si="126"/>
        <v>BR35:CJ46</v>
      </c>
      <c r="O2495" s="4">
        <f t="shared" ca="1" si="124"/>
        <v>68528.900000000009</v>
      </c>
    </row>
    <row r="2496" spans="1:15">
      <c r="A2496" s="2" t="s">
        <v>17</v>
      </c>
      <c r="B2496" t="s">
        <v>37</v>
      </c>
      <c r="C2496" t="s">
        <v>38</v>
      </c>
      <c r="D2496">
        <v>25</v>
      </c>
      <c r="E2496" t="s">
        <v>46</v>
      </c>
      <c r="F2496">
        <v>3</v>
      </c>
      <c r="G2496">
        <v>1</v>
      </c>
      <c r="H2496">
        <v>2</v>
      </c>
      <c r="I2496">
        <v>1</v>
      </c>
      <c r="J2496" s="4" t="s">
        <v>53</v>
      </c>
      <c r="K2496" t="str">
        <f t="shared" si="125"/>
        <v>1+2</v>
      </c>
      <c r="L2496">
        <f>VLOOKUP(A2496,'ZONE 1 PREMIUM'!$A$4:$N$16,14,0)</f>
        <v>8</v>
      </c>
      <c r="M2496">
        <f>VLOOKUP(D2496,DROPDOWN!B:C,2,0)</f>
        <v>9</v>
      </c>
      <c r="N2496" t="str">
        <f t="shared" si="126"/>
        <v>BR35:CJ46</v>
      </c>
      <c r="O2496" s="4">
        <f t="shared" ca="1" si="124"/>
        <v>87755.8</v>
      </c>
    </row>
    <row r="2497" spans="1:15">
      <c r="A2497" s="2" t="s">
        <v>18</v>
      </c>
      <c r="B2497" t="s">
        <v>39</v>
      </c>
      <c r="C2497" t="s">
        <v>40</v>
      </c>
      <c r="D2497">
        <v>25</v>
      </c>
      <c r="E2497" t="s">
        <v>46</v>
      </c>
      <c r="F2497">
        <v>3</v>
      </c>
      <c r="G2497">
        <v>1</v>
      </c>
      <c r="H2497">
        <v>2</v>
      </c>
      <c r="I2497">
        <v>1</v>
      </c>
      <c r="J2497" s="4" t="s">
        <v>53</v>
      </c>
      <c r="K2497" t="str">
        <f t="shared" si="125"/>
        <v>1+2</v>
      </c>
      <c r="L2497">
        <f>VLOOKUP(A2497,'ZONE 1 PREMIUM'!$A$4:$N$16,14,0)</f>
        <v>9</v>
      </c>
      <c r="M2497">
        <f>VLOOKUP(D2497,DROPDOWN!B:C,2,0)</f>
        <v>9</v>
      </c>
      <c r="N2497" t="str">
        <f t="shared" si="126"/>
        <v>BR35:CJ46</v>
      </c>
      <c r="O2497" s="4">
        <f t="shared" ca="1" si="124"/>
        <v>113719.1</v>
      </c>
    </row>
    <row r="2498" spans="1:15">
      <c r="A2498" s="2" t="s">
        <v>19</v>
      </c>
      <c r="B2498" t="s">
        <v>41</v>
      </c>
      <c r="C2498" t="s">
        <v>42</v>
      </c>
      <c r="D2498">
        <v>25</v>
      </c>
      <c r="E2498" t="s">
        <v>46</v>
      </c>
      <c r="F2498">
        <v>3</v>
      </c>
      <c r="G2498">
        <v>1</v>
      </c>
      <c r="H2498">
        <v>2</v>
      </c>
      <c r="I2498">
        <v>1</v>
      </c>
      <c r="J2498" s="4" t="s">
        <v>53</v>
      </c>
      <c r="K2498" t="str">
        <f t="shared" si="125"/>
        <v>1+2</v>
      </c>
      <c r="L2498">
        <f>VLOOKUP(A2498,'ZONE 1 PREMIUM'!$A$4:$N$16,14,0)</f>
        <v>10</v>
      </c>
      <c r="M2498">
        <f>VLOOKUP(D2498,DROPDOWN!B:C,2,0)</f>
        <v>9</v>
      </c>
      <c r="N2498" t="str">
        <f t="shared" si="126"/>
        <v>BR35:CJ46</v>
      </c>
      <c r="O2498" s="4">
        <f t="shared" ref="O2498:O2561" ca="1" si="127">INDEX(INDIRECT(N2498),L2498,M2498)</f>
        <v>145459.6</v>
      </c>
    </row>
    <row r="2499" spans="1:15">
      <c r="A2499" s="2" t="s">
        <v>20</v>
      </c>
      <c r="B2499" t="s">
        <v>43</v>
      </c>
      <c r="C2499" t="s">
        <v>44</v>
      </c>
      <c r="D2499">
        <v>25</v>
      </c>
      <c r="E2499" t="s">
        <v>46</v>
      </c>
      <c r="F2499">
        <v>3</v>
      </c>
      <c r="G2499">
        <v>1</v>
      </c>
      <c r="H2499">
        <v>2</v>
      </c>
      <c r="I2499">
        <v>1</v>
      </c>
      <c r="J2499" s="4" t="s">
        <v>53</v>
      </c>
      <c r="K2499" t="str">
        <f t="shared" si="125"/>
        <v>1+2</v>
      </c>
      <c r="L2499">
        <f>VLOOKUP(A2499,'ZONE 1 PREMIUM'!$A$4:$N$16,14,0)</f>
        <v>11</v>
      </c>
      <c r="M2499">
        <f>VLOOKUP(D2499,DROPDOWN!B:C,2,0)</f>
        <v>9</v>
      </c>
      <c r="N2499" t="str">
        <f t="shared" si="126"/>
        <v>BR35:CJ46</v>
      </c>
      <c r="O2499" s="4">
        <f t="shared" ca="1" si="127"/>
        <v>171837.6</v>
      </c>
    </row>
    <row r="2500" spans="1:15">
      <c r="A2500" s="2" t="s">
        <v>21</v>
      </c>
      <c r="B2500" t="s">
        <v>22</v>
      </c>
      <c r="D2500">
        <v>25</v>
      </c>
      <c r="E2500" t="s">
        <v>46</v>
      </c>
      <c r="F2500">
        <v>3</v>
      </c>
      <c r="G2500">
        <v>1</v>
      </c>
      <c r="H2500">
        <v>2</v>
      </c>
      <c r="I2500">
        <v>1</v>
      </c>
      <c r="J2500" s="4" t="s">
        <v>53</v>
      </c>
      <c r="K2500" t="str">
        <f t="shared" ref="K2500:K2563" si="128">G2500&amp;"+"&amp;H2500</f>
        <v>1+2</v>
      </c>
      <c r="L2500">
        <f>VLOOKUP(A2500,'ZONE 1 PREMIUM'!$A$4:$N$16,14,0)</f>
        <v>12</v>
      </c>
      <c r="M2500">
        <f>VLOOKUP(D2500,DROPDOWN!B:C,2,0)</f>
        <v>9</v>
      </c>
      <c r="N2500" t="str">
        <f t="shared" si="126"/>
        <v>BR35:CJ46</v>
      </c>
      <c r="O2500" s="4">
        <f t="shared" ca="1" si="127"/>
        <v>224457.2</v>
      </c>
    </row>
    <row r="2501" spans="1:15">
      <c r="A2501" s="2" t="s">
        <v>11</v>
      </c>
      <c r="B2501" t="s">
        <v>45</v>
      </c>
      <c r="C2501" t="s">
        <v>25</v>
      </c>
      <c r="D2501">
        <v>25</v>
      </c>
      <c r="E2501" t="s">
        <v>46</v>
      </c>
      <c r="F2501">
        <v>4</v>
      </c>
      <c r="G2501">
        <v>1</v>
      </c>
      <c r="H2501">
        <v>3</v>
      </c>
      <c r="I2501">
        <v>1</v>
      </c>
      <c r="J2501" s="4" t="s">
        <v>53</v>
      </c>
      <c r="K2501" t="str">
        <f t="shared" si="128"/>
        <v>1+3</v>
      </c>
      <c r="L2501">
        <f>VLOOKUP(A2501,'ZONE 1 PREMIUM'!$A$4:$N$16,14,0)</f>
        <v>2</v>
      </c>
      <c r="M2501">
        <f>VLOOKUP(D2501,DROPDOWN!B:C,2,0)</f>
        <v>9</v>
      </c>
      <c r="N2501" t="str">
        <f t="shared" si="126"/>
        <v>BR50:CJ61</v>
      </c>
      <c r="O2501" s="4">
        <f t="shared" ca="1" si="127"/>
        <v>37244.9</v>
      </c>
    </row>
    <row r="2502" spans="1:15">
      <c r="A2502" s="2" t="s">
        <v>12</v>
      </c>
      <c r="B2502" t="s">
        <v>27</v>
      </c>
      <c r="C2502" t="s">
        <v>28</v>
      </c>
      <c r="D2502">
        <v>25</v>
      </c>
      <c r="E2502" t="s">
        <v>46</v>
      </c>
      <c r="F2502">
        <v>4</v>
      </c>
      <c r="G2502">
        <v>1</v>
      </c>
      <c r="H2502">
        <v>3</v>
      </c>
      <c r="I2502">
        <v>1</v>
      </c>
      <c r="J2502" s="4" t="s">
        <v>53</v>
      </c>
      <c r="K2502" t="str">
        <f t="shared" si="128"/>
        <v>1+3</v>
      </c>
      <c r="L2502">
        <f>VLOOKUP(A2502,'ZONE 1 PREMIUM'!$A$4:$N$16,14,0)</f>
        <v>3</v>
      </c>
      <c r="M2502">
        <f>VLOOKUP(D2502,DROPDOWN!B:C,2,0)</f>
        <v>9</v>
      </c>
      <c r="N2502" t="str">
        <f t="shared" si="126"/>
        <v>BR50:CJ61</v>
      </c>
      <c r="O2502" s="4">
        <f t="shared" ca="1" si="127"/>
        <v>39254.600000000006</v>
      </c>
    </row>
    <row r="2503" spans="1:15">
      <c r="A2503" s="2" t="s">
        <v>13</v>
      </c>
      <c r="B2503" t="s">
        <v>29</v>
      </c>
      <c r="C2503" t="s">
        <v>30</v>
      </c>
      <c r="D2503">
        <v>25</v>
      </c>
      <c r="E2503" t="s">
        <v>46</v>
      </c>
      <c r="F2503">
        <v>4</v>
      </c>
      <c r="G2503">
        <v>1</v>
      </c>
      <c r="H2503">
        <v>3</v>
      </c>
      <c r="I2503">
        <v>1</v>
      </c>
      <c r="J2503" s="4" t="s">
        <v>53</v>
      </c>
      <c r="K2503" t="str">
        <f t="shared" si="128"/>
        <v>1+3</v>
      </c>
      <c r="L2503">
        <f>VLOOKUP(A2503,'ZONE 1 PREMIUM'!$A$4:$N$16,14,0)</f>
        <v>4</v>
      </c>
      <c r="M2503">
        <f>VLOOKUP(D2503,DROPDOWN!B:C,2,0)</f>
        <v>9</v>
      </c>
      <c r="N2503" t="str">
        <f t="shared" si="126"/>
        <v>BR50:CJ61</v>
      </c>
      <c r="O2503" s="4">
        <f t="shared" ca="1" si="127"/>
        <v>45631.3</v>
      </c>
    </row>
    <row r="2504" spans="1:15">
      <c r="A2504" s="2" t="s">
        <v>14</v>
      </c>
      <c r="B2504" t="s">
        <v>31</v>
      </c>
      <c r="C2504" t="s">
        <v>32</v>
      </c>
      <c r="D2504">
        <v>25</v>
      </c>
      <c r="E2504" t="s">
        <v>46</v>
      </c>
      <c r="F2504">
        <v>4</v>
      </c>
      <c r="G2504">
        <v>1</v>
      </c>
      <c r="H2504">
        <v>3</v>
      </c>
      <c r="I2504">
        <v>1</v>
      </c>
      <c r="J2504" s="4" t="s">
        <v>53</v>
      </c>
      <c r="K2504" t="str">
        <f t="shared" si="128"/>
        <v>1+3</v>
      </c>
      <c r="L2504">
        <f>VLOOKUP(A2504,'ZONE 1 PREMIUM'!$A$4:$N$16,14,0)</f>
        <v>5</v>
      </c>
      <c r="M2504">
        <f>VLOOKUP(D2504,DROPDOWN!B:C,2,0)</f>
        <v>9</v>
      </c>
      <c r="N2504" t="str">
        <f t="shared" si="126"/>
        <v>BR50:CJ61</v>
      </c>
      <c r="O2504" s="4">
        <f t="shared" ca="1" si="127"/>
        <v>50751.8</v>
      </c>
    </row>
    <row r="2505" spans="1:15">
      <c r="A2505" s="2" t="s">
        <v>15</v>
      </c>
      <c r="B2505" t="s">
        <v>33</v>
      </c>
      <c r="C2505" t="s">
        <v>34</v>
      </c>
      <c r="D2505">
        <v>25</v>
      </c>
      <c r="E2505" t="s">
        <v>46</v>
      </c>
      <c r="F2505">
        <v>4</v>
      </c>
      <c r="G2505">
        <v>1</v>
      </c>
      <c r="H2505">
        <v>3</v>
      </c>
      <c r="I2505">
        <v>1</v>
      </c>
      <c r="J2505" s="4" t="s">
        <v>53</v>
      </c>
      <c r="K2505" t="str">
        <f t="shared" si="128"/>
        <v>1+3</v>
      </c>
      <c r="L2505">
        <f>VLOOKUP(A2505,'ZONE 1 PREMIUM'!$A$4:$N$16,14,0)</f>
        <v>6</v>
      </c>
      <c r="M2505">
        <f>VLOOKUP(D2505,DROPDOWN!B:C,2,0)</f>
        <v>9</v>
      </c>
      <c r="N2505" t="str">
        <f t="shared" si="126"/>
        <v>BR50:CJ61</v>
      </c>
      <c r="O2505" s="4">
        <f t="shared" ca="1" si="127"/>
        <v>62554.8</v>
      </c>
    </row>
    <row r="2506" spans="1:15">
      <c r="A2506" s="2" t="s">
        <v>16</v>
      </c>
      <c r="B2506" t="s">
        <v>35</v>
      </c>
      <c r="C2506" t="s">
        <v>36</v>
      </c>
      <c r="D2506">
        <v>25</v>
      </c>
      <c r="E2506" t="s">
        <v>46</v>
      </c>
      <c r="F2506">
        <v>4</v>
      </c>
      <c r="G2506">
        <v>1</v>
      </c>
      <c r="H2506">
        <v>3</v>
      </c>
      <c r="I2506">
        <v>1</v>
      </c>
      <c r="J2506" s="4" t="s">
        <v>53</v>
      </c>
      <c r="K2506" t="str">
        <f t="shared" si="128"/>
        <v>1+3</v>
      </c>
      <c r="L2506">
        <f>VLOOKUP(A2506,'ZONE 1 PREMIUM'!$A$4:$N$16,14,0)</f>
        <v>7</v>
      </c>
      <c r="M2506">
        <f>VLOOKUP(D2506,DROPDOWN!B:C,2,0)</f>
        <v>9</v>
      </c>
      <c r="N2506" t="str">
        <f t="shared" si="126"/>
        <v>BR50:CJ61</v>
      </c>
      <c r="O2506" s="4">
        <f t="shared" ca="1" si="127"/>
        <v>79142.8</v>
      </c>
    </row>
    <row r="2507" spans="1:15">
      <c r="A2507" s="2" t="s">
        <v>17</v>
      </c>
      <c r="B2507" t="s">
        <v>37</v>
      </c>
      <c r="C2507" t="s">
        <v>38</v>
      </c>
      <c r="D2507">
        <v>25</v>
      </c>
      <c r="E2507" t="s">
        <v>46</v>
      </c>
      <c r="F2507">
        <v>4</v>
      </c>
      <c r="G2507">
        <v>1</v>
      </c>
      <c r="H2507">
        <v>3</v>
      </c>
      <c r="I2507">
        <v>1</v>
      </c>
      <c r="J2507" s="4" t="s">
        <v>53</v>
      </c>
      <c r="K2507" t="str">
        <f t="shared" si="128"/>
        <v>1+3</v>
      </c>
      <c r="L2507">
        <f>VLOOKUP(A2507,'ZONE 1 PREMIUM'!$A$4:$N$16,14,0)</f>
        <v>8</v>
      </c>
      <c r="M2507">
        <f>VLOOKUP(D2507,DROPDOWN!B:C,2,0)</f>
        <v>9</v>
      </c>
      <c r="N2507" t="str">
        <f t="shared" si="126"/>
        <v>BR50:CJ61</v>
      </c>
      <c r="O2507" s="4">
        <f t="shared" ca="1" si="127"/>
        <v>97235.6</v>
      </c>
    </row>
    <row r="2508" spans="1:15">
      <c r="A2508" s="2" t="s">
        <v>18</v>
      </c>
      <c r="B2508" t="s">
        <v>39</v>
      </c>
      <c r="C2508" t="s">
        <v>40</v>
      </c>
      <c r="D2508">
        <v>25</v>
      </c>
      <c r="E2508" t="s">
        <v>46</v>
      </c>
      <c r="F2508">
        <v>4</v>
      </c>
      <c r="G2508">
        <v>1</v>
      </c>
      <c r="H2508">
        <v>3</v>
      </c>
      <c r="I2508">
        <v>1</v>
      </c>
      <c r="J2508" s="4" t="s">
        <v>53</v>
      </c>
      <c r="K2508" t="str">
        <f t="shared" si="128"/>
        <v>1+3</v>
      </c>
      <c r="L2508">
        <f>VLOOKUP(A2508,'ZONE 1 PREMIUM'!$A$4:$N$16,14,0)</f>
        <v>9</v>
      </c>
      <c r="M2508">
        <f>VLOOKUP(D2508,DROPDOWN!B:C,2,0)</f>
        <v>9</v>
      </c>
      <c r="N2508" t="str">
        <f t="shared" si="126"/>
        <v>BR50:CJ61</v>
      </c>
      <c r="O2508" s="4">
        <f t="shared" ca="1" si="127"/>
        <v>124163.6</v>
      </c>
    </row>
    <row r="2509" spans="1:15">
      <c r="A2509" s="2" t="s">
        <v>19</v>
      </c>
      <c r="B2509" t="s">
        <v>41</v>
      </c>
      <c r="C2509" t="s">
        <v>42</v>
      </c>
      <c r="D2509">
        <v>25</v>
      </c>
      <c r="E2509" t="s">
        <v>46</v>
      </c>
      <c r="F2509">
        <v>4</v>
      </c>
      <c r="G2509">
        <v>1</v>
      </c>
      <c r="H2509">
        <v>3</v>
      </c>
      <c r="I2509">
        <v>1</v>
      </c>
      <c r="J2509" s="4" t="s">
        <v>53</v>
      </c>
      <c r="K2509" t="str">
        <f t="shared" si="128"/>
        <v>1+3</v>
      </c>
      <c r="L2509">
        <f>VLOOKUP(A2509,'ZONE 1 PREMIUM'!$A$4:$N$16,14,0)</f>
        <v>10</v>
      </c>
      <c r="M2509">
        <f>VLOOKUP(D2509,DROPDOWN!B:C,2,0)</f>
        <v>9</v>
      </c>
      <c r="N2509" t="str">
        <f t="shared" si="126"/>
        <v>BR50:CJ61</v>
      </c>
      <c r="O2509" s="4">
        <f t="shared" ca="1" si="127"/>
        <v>153939.5</v>
      </c>
    </row>
    <row r="2510" spans="1:15">
      <c r="A2510" s="2" t="s">
        <v>20</v>
      </c>
      <c r="B2510" t="s">
        <v>43</v>
      </c>
      <c r="C2510" t="s">
        <v>44</v>
      </c>
      <c r="D2510">
        <v>25</v>
      </c>
      <c r="E2510" t="s">
        <v>46</v>
      </c>
      <c r="F2510">
        <v>4</v>
      </c>
      <c r="G2510">
        <v>1</v>
      </c>
      <c r="H2510">
        <v>3</v>
      </c>
      <c r="I2510">
        <v>1</v>
      </c>
      <c r="J2510" s="4" t="s">
        <v>53</v>
      </c>
      <c r="K2510" t="str">
        <f t="shared" si="128"/>
        <v>1+3</v>
      </c>
      <c r="L2510">
        <f>VLOOKUP(A2510,'ZONE 1 PREMIUM'!$A$4:$N$16,14,0)</f>
        <v>11</v>
      </c>
      <c r="M2510">
        <f>VLOOKUP(D2510,DROPDOWN!B:C,2,0)</f>
        <v>9</v>
      </c>
      <c r="N2510" t="str">
        <f t="shared" si="126"/>
        <v>BR50:CJ61</v>
      </c>
      <c r="O2510" s="4">
        <f t="shared" ca="1" si="127"/>
        <v>179909.40000000002</v>
      </c>
    </row>
    <row r="2511" spans="1:15">
      <c r="A2511" s="2" t="s">
        <v>21</v>
      </c>
      <c r="B2511" t="s">
        <v>22</v>
      </c>
      <c r="D2511">
        <v>25</v>
      </c>
      <c r="E2511" t="s">
        <v>46</v>
      </c>
      <c r="F2511">
        <v>4</v>
      </c>
      <c r="G2511">
        <v>1</v>
      </c>
      <c r="H2511">
        <v>3</v>
      </c>
      <c r="I2511">
        <v>1</v>
      </c>
      <c r="J2511" s="4" t="s">
        <v>53</v>
      </c>
      <c r="K2511" t="str">
        <f t="shared" si="128"/>
        <v>1+3</v>
      </c>
      <c r="L2511">
        <f>VLOOKUP(A2511,'ZONE 1 PREMIUM'!$A$4:$N$16,14,0)</f>
        <v>12</v>
      </c>
      <c r="M2511">
        <f>VLOOKUP(D2511,DROPDOWN!B:C,2,0)</f>
        <v>9</v>
      </c>
      <c r="N2511" t="str">
        <f t="shared" si="126"/>
        <v>BR50:CJ61</v>
      </c>
      <c r="O2511" s="4">
        <f t="shared" ca="1" si="127"/>
        <v>232985.50000000003</v>
      </c>
    </row>
    <row r="2512" spans="1:15">
      <c r="A2512" s="2" t="s">
        <v>11</v>
      </c>
      <c r="B2512" t="s">
        <v>45</v>
      </c>
      <c r="C2512" t="s">
        <v>25</v>
      </c>
      <c r="D2512">
        <v>25</v>
      </c>
      <c r="E2512" t="s">
        <v>46</v>
      </c>
      <c r="F2512">
        <v>5</v>
      </c>
      <c r="G2512">
        <v>1</v>
      </c>
      <c r="H2512">
        <v>4</v>
      </c>
      <c r="I2512">
        <v>1</v>
      </c>
      <c r="J2512" s="4" t="s">
        <v>53</v>
      </c>
      <c r="K2512" t="str">
        <f t="shared" si="128"/>
        <v>1+4</v>
      </c>
      <c r="L2512">
        <f>VLOOKUP(A2512,'ZONE 1 PREMIUM'!$A$4:$N$16,14,0)</f>
        <v>2</v>
      </c>
      <c r="M2512">
        <f>VLOOKUP(D2512,DROPDOWN!B:C,2,0)</f>
        <v>9</v>
      </c>
      <c r="N2512" t="str">
        <f t="shared" si="126"/>
        <v>BR65:CJ76</v>
      </c>
      <c r="O2512" s="4">
        <f t="shared" ca="1" si="127"/>
        <v>44115.5</v>
      </c>
    </row>
    <row r="2513" spans="1:15">
      <c r="A2513" s="2" t="s">
        <v>12</v>
      </c>
      <c r="B2513" t="s">
        <v>27</v>
      </c>
      <c r="C2513" t="s">
        <v>28</v>
      </c>
      <c r="D2513">
        <v>25</v>
      </c>
      <c r="E2513" t="s">
        <v>46</v>
      </c>
      <c r="F2513">
        <v>5</v>
      </c>
      <c r="G2513">
        <v>1</v>
      </c>
      <c r="H2513">
        <v>4</v>
      </c>
      <c r="I2513">
        <v>1</v>
      </c>
      <c r="J2513" s="4" t="s">
        <v>53</v>
      </c>
      <c r="K2513" t="str">
        <f t="shared" si="128"/>
        <v>1+4</v>
      </c>
      <c r="L2513">
        <f>VLOOKUP(A2513,'ZONE 1 PREMIUM'!$A$4:$N$16,14,0)</f>
        <v>3</v>
      </c>
      <c r="M2513">
        <f>VLOOKUP(D2513,DROPDOWN!B:C,2,0)</f>
        <v>9</v>
      </c>
      <c r="N2513" t="str">
        <f t="shared" si="126"/>
        <v>BR65:CJ76</v>
      </c>
      <c r="O2513" s="4">
        <f t="shared" ca="1" si="127"/>
        <v>46003.100000000006</v>
      </c>
    </row>
    <row r="2514" spans="1:15">
      <c r="A2514" s="2" t="s">
        <v>13</v>
      </c>
      <c r="B2514" t="s">
        <v>29</v>
      </c>
      <c r="C2514" t="s">
        <v>30</v>
      </c>
      <c r="D2514">
        <v>25</v>
      </c>
      <c r="E2514" t="s">
        <v>46</v>
      </c>
      <c r="F2514">
        <v>5</v>
      </c>
      <c r="G2514">
        <v>1</v>
      </c>
      <c r="H2514">
        <v>4</v>
      </c>
      <c r="I2514">
        <v>1</v>
      </c>
      <c r="J2514" s="4" t="s">
        <v>53</v>
      </c>
      <c r="K2514" t="str">
        <f t="shared" si="128"/>
        <v>1+4</v>
      </c>
      <c r="L2514">
        <f>VLOOKUP(A2514,'ZONE 1 PREMIUM'!$A$4:$N$16,14,0)</f>
        <v>4</v>
      </c>
      <c r="M2514">
        <f>VLOOKUP(D2514,DROPDOWN!B:C,2,0)</f>
        <v>9</v>
      </c>
      <c r="N2514" t="str">
        <f t="shared" si="126"/>
        <v>BR65:CJ76</v>
      </c>
      <c r="O2514" s="4">
        <f t="shared" ca="1" si="127"/>
        <v>53516.100000000006</v>
      </c>
    </row>
    <row r="2515" spans="1:15">
      <c r="A2515" s="2" t="s">
        <v>14</v>
      </c>
      <c r="B2515" t="s">
        <v>31</v>
      </c>
      <c r="C2515" t="s">
        <v>32</v>
      </c>
      <c r="D2515">
        <v>25</v>
      </c>
      <c r="E2515" t="s">
        <v>46</v>
      </c>
      <c r="F2515">
        <v>5</v>
      </c>
      <c r="G2515">
        <v>1</v>
      </c>
      <c r="H2515">
        <v>4</v>
      </c>
      <c r="I2515">
        <v>1</v>
      </c>
      <c r="J2515" s="4" t="s">
        <v>53</v>
      </c>
      <c r="K2515" t="str">
        <f t="shared" si="128"/>
        <v>1+4</v>
      </c>
      <c r="L2515">
        <f>VLOOKUP(A2515,'ZONE 1 PREMIUM'!$A$4:$N$16,14,0)</f>
        <v>5</v>
      </c>
      <c r="M2515">
        <f>VLOOKUP(D2515,DROPDOWN!B:C,2,0)</f>
        <v>9</v>
      </c>
      <c r="N2515" t="str">
        <f t="shared" si="126"/>
        <v>BR65:CJ76</v>
      </c>
      <c r="O2515" s="4">
        <f t="shared" ca="1" si="127"/>
        <v>59185.500000000007</v>
      </c>
    </row>
    <row r="2516" spans="1:15">
      <c r="A2516" s="2" t="s">
        <v>15</v>
      </c>
      <c r="B2516" t="s">
        <v>33</v>
      </c>
      <c r="C2516" t="s">
        <v>34</v>
      </c>
      <c r="D2516">
        <v>25</v>
      </c>
      <c r="E2516" t="s">
        <v>46</v>
      </c>
      <c r="F2516">
        <v>5</v>
      </c>
      <c r="G2516">
        <v>1</v>
      </c>
      <c r="H2516">
        <v>4</v>
      </c>
      <c r="I2516">
        <v>1</v>
      </c>
      <c r="J2516" s="4" t="s">
        <v>53</v>
      </c>
      <c r="K2516" t="str">
        <f t="shared" si="128"/>
        <v>1+4</v>
      </c>
      <c r="L2516">
        <f>VLOOKUP(A2516,'ZONE 1 PREMIUM'!$A$4:$N$16,14,0)</f>
        <v>6</v>
      </c>
      <c r="M2516">
        <f>VLOOKUP(D2516,DROPDOWN!B:C,2,0)</f>
        <v>9</v>
      </c>
      <c r="N2516" t="str">
        <f t="shared" si="126"/>
        <v>BR65:CJ76</v>
      </c>
      <c r="O2516" s="4">
        <f t="shared" ca="1" si="127"/>
        <v>72054.400000000009</v>
      </c>
    </row>
    <row r="2517" spans="1:15">
      <c r="A2517" s="2" t="s">
        <v>16</v>
      </c>
      <c r="B2517" t="s">
        <v>35</v>
      </c>
      <c r="C2517" t="s">
        <v>36</v>
      </c>
      <c r="D2517">
        <v>25</v>
      </c>
      <c r="E2517" t="s">
        <v>46</v>
      </c>
      <c r="F2517">
        <v>5</v>
      </c>
      <c r="G2517">
        <v>1</v>
      </c>
      <c r="H2517">
        <v>4</v>
      </c>
      <c r="I2517">
        <v>1</v>
      </c>
      <c r="J2517" s="4" t="s">
        <v>53</v>
      </c>
      <c r="K2517" t="str">
        <f t="shared" si="128"/>
        <v>1+4</v>
      </c>
      <c r="L2517">
        <f>VLOOKUP(A2517,'ZONE 1 PREMIUM'!$A$4:$N$16,14,0)</f>
        <v>7</v>
      </c>
      <c r="M2517">
        <f>VLOOKUP(D2517,DROPDOWN!B:C,2,0)</f>
        <v>9</v>
      </c>
      <c r="N2517" t="str">
        <f t="shared" si="126"/>
        <v>BR65:CJ76</v>
      </c>
      <c r="O2517" s="4">
        <f t="shared" ca="1" si="127"/>
        <v>88019.8</v>
      </c>
    </row>
    <row r="2518" spans="1:15">
      <c r="A2518" s="2" t="s">
        <v>17</v>
      </c>
      <c r="B2518" t="s">
        <v>37</v>
      </c>
      <c r="C2518" t="s">
        <v>38</v>
      </c>
      <c r="D2518">
        <v>25</v>
      </c>
      <c r="E2518" t="s">
        <v>46</v>
      </c>
      <c r="F2518">
        <v>5</v>
      </c>
      <c r="G2518">
        <v>1</v>
      </c>
      <c r="H2518">
        <v>4</v>
      </c>
      <c r="I2518">
        <v>1</v>
      </c>
      <c r="J2518" s="4" t="s">
        <v>53</v>
      </c>
      <c r="K2518" t="str">
        <f t="shared" si="128"/>
        <v>1+4</v>
      </c>
      <c r="L2518">
        <f>VLOOKUP(A2518,'ZONE 1 PREMIUM'!$A$4:$N$16,14,0)</f>
        <v>8</v>
      </c>
      <c r="M2518">
        <f>VLOOKUP(D2518,DROPDOWN!B:C,2,0)</f>
        <v>9</v>
      </c>
      <c r="N2518" t="str">
        <f t="shared" si="126"/>
        <v>BR65:CJ76</v>
      </c>
      <c r="O2518" s="4">
        <f t="shared" ca="1" si="127"/>
        <v>105887.1</v>
      </c>
    </row>
    <row r="2519" spans="1:15">
      <c r="A2519" s="2" t="s">
        <v>18</v>
      </c>
      <c r="B2519" t="s">
        <v>39</v>
      </c>
      <c r="C2519" t="s">
        <v>40</v>
      </c>
      <c r="D2519">
        <v>25</v>
      </c>
      <c r="E2519" t="s">
        <v>46</v>
      </c>
      <c r="F2519">
        <v>5</v>
      </c>
      <c r="G2519">
        <v>1</v>
      </c>
      <c r="H2519">
        <v>4</v>
      </c>
      <c r="I2519">
        <v>1</v>
      </c>
      <c r="J2519" s="4" t="s">
        <v>53</v>
      </c>
      <c r="K2519" t="str">
        <f t="shared" si="128"/>
        <v>1+4</v>
      </c>
      <c r="L2519">
        <f>VLOOKUP(A2519,'ZONE 1 PREMIUM'!$A$4:$N$16,14,0)</f>
        <v>9</v>
      </c>
      <c r="M2519">
        <f>VLOOKUP(D2519,DROPDOWN!B:C,2,0)</f>
        <v>9</v>
      </c>
      <c r="N2519" t="str">
        <f t="shared" si="126"/>
        <v>BR65:CJ76</v>
      </c>
      <c r="O2519" s="4">
        <f t="shared" ca="1" si="127"/>
        <v>133040.6</v>
      </c>
    </row>
    <row r="2520" spans="1:15">
      <c r="A2520" s="2" t="s">
        <v>19</v>
      </c>
      <c r="B2520" t="s">
        <v>41</v>
      </c>
      <c r="C2520" t="s">
        <v>42</v>
      </c>
      <c r="D2520">
        <v>25</v>
      </c>
      <c r="E2520" t="s">
        <v>46</v>
      </c>
      <c r="F2520">
        <v>5</v>
      </c>
      <c r="G2520">
        <v>1</v>
      </c>
      <c r="H2520">
        <v>4</v>
      </c>
      <c r="I2520">
        <v>1</v>
      </c>
      <c r="J2520" s="4" t="s">
        <v>53</v>
      </c>
      <c r="K2520" t="str">
        <f t="shared" si="128"/>
        <v>1+4</v>
      </c>
      <c r="L2520">
        <f>VLOOKUP(A2520,'ZONE 1 PREMIUM'!$A$4:$N$16,14,0)</f>
        <v>10</v>
      </c>
      <c r="M2520">
        <f>VLOOKUP(D2520,DROPDOWN!B:C,2,0)</f>
        <v>9</v>
      </c>
      <c r="N2520" t="str">
        <f t="shared" si="126"/>
        <v>BR65:CJ76</v>
      </c>
      <c r="O2520" s="4">
        <f t="shared" ca="1" si="127"/>
        <v>162657</v>
      </c>
    </row>
    <row r="2521" spans="1:15">
      <c r="A2521" s="2" t="s">
        <v>20</v>
      </c>
      <c r="B2521" t="s">
        <v>43</v>
      </c>
      <c r="C2521" t="s">
        <v>44</v>
      </c>
      <c r="D2521">
        <v>25</v>
      </c>
      <c r="E2521" t="s">
        <v>46</v>
      </c>
      <c r="F2521">
        <v>5</v>
      </c>
      <c r="G2521">
        <v>1</v>
      </c>
      <c r="H2521">
        <v>4</v>
      </c>
      <c r="I2521">
        <v>1</v>
      </c>
      <c r="J2521" s="4" t="s">
        <v>53</v>
      </c>
      <c r="K2521" t="str">
        <f t="shared" si="128"/>
        <v>1+4</v>
      </c>
      <c r="L2521">
        <f>VLOOKUP(A2521,'ZONE 1 PREMIUM'!$A$4:$N$16,14,0)</f>
        <v>11</v>
      </c>
      <c r="M2521">
        <f>VLOOKUP(D2521,DROPDOWN!B:C,2,0)</f>
        <v>9</v>
      </c>
      <c r="N2521" t="str">
        <f t="shared" si="126"/>
        <v>BR65:CJ76</v>
      </c>
      <c r="O2521" s="4">
        <f t="shared" ca="1" si="127"/>
        <v>188667.6</v>
      </c>
    </row>
    <row r="2522" spans="1:15">
      <c r="A2522" s="2" t="s">
        <v>21</v>
      </c>
      <c r="B2522" t="s">
        <v>22</v>
      </c>
      <c r="D2522">
        <v>25</v>
      </c>
      <c r="E2522" t="s">
        <v>46</v>
      </c>
      <c r="F2522">
        <v>5</v>
      </c>
      <c r="G2522">
        <v>1</v>
      </c>
      <c r="H2522">
        <v>4</v>
      </c>
      <c r="I2522">
        <v>1</v>
      </c>
      <c r="J2522" s="4" t="s">
        <v>53</v>
      </c>
      <c r="K2522" t="str">
        <f t="shared" si="128"/>
        <v>1+4</v>
      </c>
      <c r="L2522">
        <f>VLOOKUP(A2522,'ZONE 1 PREMIUM'!$A$4:$N$16,14,0)</f>
        <v>12</v>
      </c>
      <c r="M2522">
        <f>VLOOKUP(D2522,DROPDOWN!B:C,2,0)</f>
        <v>9</v>
      </c>
      <c r="N2522" t="str">
        <f t="shared" si="126"/>
        <v>BR65:CJ76</v>
      </c>
      <c r="O2522" s="4">
        <f t="shared" ca="1" si="127"/>
        <v>242028.6</v>
      </c>
    </row>
    <row r="2523" spans="1:15">
      <c r="A2523" s="2" t="s">
        <v>11</v>
      </c>
      <c r="B2523" t="s">
        <v>45</v>
      </c>
      <c r="C2523" t="s">
        <v>25</v>
      </c>
      <c r="D2523">
        <v>25</v>
      </c>
      <c r="E2523" t="s">
        <v>46</v>
      </c>
      <c r="F2523">
        <v>2</v>
      </c>
      <c r="G2523">
        <v>2</v>
      </c>
      <c r="H2523">
        <v>0</v>
      </c>
      <c r="I2523">
        <v>1</v>
      </c>
      <c r="J2523" s="4" t="s">
        <v>53</v>
      </c>
      <c r="K2523" t="str">
        <f t="shared" si="128"/>
        <v>2+0</v>
      </c>
      <c r="L2523">
        <f>VLOOKUP(A2523,'ZONE 1 PREMIUM'!$A$4:$N$16,14,0)</f>
        <v>2</v>
      </c>
      <c r="M2523">
        <f>VLOOKUP(D2523,DROPDOWN!B:C,2,0)</f>
        <v>9</v>
      </c>
      <c r="N2523" t="str">
        <f t="shared" si="126"/>
        <v>BR81:CJ92</v>
      </c>
      <c r="O2523" s="4">
        <f t="shared" ca="1" si="127"/>
        <v>32961.5</v>
      </c>
    </row>
    <row r="2524" spans="1:15">
      <c r="A2524" s="2" t="s">
        <v>12</v>
      </c>
      <c r="B2524" t="s">
        <v>27</v>
      </c>
      <c r="C2524" t="s">
        <v>28</v>
      </c>
      <c r="D2524">
        <v>25</v>
      </c>
      <c r="E2524" t="s">
        <v>46</v>
      </c>
      <c r="F2524">
        <v>2</v>
      </c>
      <c r="G2524">
        <v>2</v>
      </c>
      <c r="H2524">
        <v>0</v>
      </c>
      <c r="I2524">
        <v>1</v>
      </c>
      <c r="J2524" s="4" t="s">
        <v>53</v>
      </c>
      <c r="K2524" t="str">
        <f t="shared" si="128"/>
        <v>2+0</v>
      </c>
      <c r="L2524">
        <f>VLOOKUP(A2524,'ZONE 1 PREMIUM'!$A$4:$N$16,14,0)</f>
        <v>3</v>
      </c>
      <c r="M2524">
        <f>VLOOKUP(D2524,DROPDOWN!B:C,2,0)</f>
        <v>9</v>
      </c>
      <c r="N2524" t="str">
        <f t="shared" si="126"/>
        <v>BR81:CJ92</v>
      </c>
      <c r="O2524" s="4">
        <f t="shared" ca="1" si="127"/>
        <v>37356</v>
      </c>
    </row>
    <row r="2525" spans="1:15">
      <c r="A2525" s="2" t="s">
        <v>13</v>
      </c>
      <c r="B2525" t="s">
        <v>29</v>
      </c>
      <c r="C2525" t="s">
        <v>30</v>
      </c>
      <c r="D2525">
        <v>25</v>
      </c>
      <c r="E2525" t="s">
        <v>46</v>
      </c>
      <c r="F2525">
        <v>2</v>
      </c>
      <c r="G2525">
        <v>2</v>
      </c>
      <c r="H2525">
        <v>0</v>
      </c>
      <c r="I2525">
        <v>1</v>
      </c>
      <c r="J2525" s="4" t="s">
        <v>53</v>
      </c>
      <c r="K2525" t="str">
        <f t="shared" si="128"/>
        <v>2+0</v>
      </c>
      <c r="L2525">
        <f>VLOOKUP(A2525,'ZONE 1 PREMIUM'!$A$4:$N$16,14,0)</f>
        <v>4</v>
      </c>
      <c r="M2525">
        <f>VLOOKUP(D2525,DROPDOWN!B:C,2,0)</f>
        <v>9</v>
      </c>
      <c r="N2525" t="str">
        <f t="shared" si="126"/>
        <v>BR81:CJ92</v>
      </c>
      <c r="O2525" s="4">
        <f t="shared" ca="1" si="127"/>
        <v>41484.300000000003</v>
      </c>
    </row>
    <row r="2526" spans="1:15">
      <c r="A2526" s="2" t="s">
        <v>14</v>
      </c>
      <c r="B2526" t="s">
        <v>31</v>
      </c>
      <c r="C2526" t="s">
        <v>32</v>
      </c>
      <c r="D2526">
        <v>25</v>
      </c>
      <c r="E2526" t="s">
        <v>46</v>
      </c>
      <c r="F2526">
        <v>2</v>
      </c>
      <c r="G2526">
        <v>2</v>
      </c>
      <c r="H2526">
        <v>0</v>
      </c>
      <c r="I2526">
        <v>1</v>
      </c>
      <c r="J2526" s="4" t="s">
        <v>53</v>
      </c>
      <c r="K2526" t="str">
        <f t="shared" si="128"/>
        <v>2+0</v>
      </c>
      <c r="L2526">
        <f>VLOOKUP(A2526,'ZONE 1 PREMIUM'!$A$4:$N$16,14,0)</f>
        <v>5</v>
      </c>
      <c r="M2526">
        <f>VLOOKUP(D2526,DROPDOWN!B:C,2,0)</f>
        <v>9</v>
      </c>
      <c r="N2526" t="str">
        <f t="shared" si="126"/>
        <v>BR81:CJ92</v>
      </c>
      <c r="O2526" s="4">
        <f t="shared" ca="1" si="127"/>
        <v>47963.3</v>
      </c>
    </row>
    <row r="2527" spans="1:15">
      <c r="A2527" s="2" t="s">
        <v>15</v>
      </c>
      <c r="B2527" t="s">
        <v>33</v>
      </c>
      <c r="C2527" t="s">
        <v>34</v>
      </c>
      <c r="D2527">
        <v>25</v>
      </c>
      <c r="E2527" t="s">
        <v>46</v>
      </c>
      <c r="F2527">
        <v>2</v>
      </c>
      <c r="G2527">
        <v>2</v>
      </c>
      <c r="H2527">
        <v>0</v>
      </c>
      <c r="I2527">
        <v>1</v>
      </c>
      <c r="J2527" s="4" t="s">
        <v>53</v>
      </c>
      <c r="K2527" t="str">
        <f t="shared" si="128"/>
        <v>2+0</v>
      </c>
      <c r="L2527">
        <f>VLOOKUP(A2527,'ZONE 1 PREMIUM'!$A$4:$N$16,14,0)</f>
        <v>6</v>
      </c>
      <c r="M2527">
        <f>VLOOKUP(D2527,DROPDOWN!B:C,2,0)</f>
        <v>9</v>
      </c>
      <c r="N2527" t="str">
        <f t="shared" si="126"/>
        <v>BR81:CJ92</v>
      </c>
      <c r="O2527" s="4">
        <f t="shared" ca="1" si="127"/>
        <v>61466.9</v>
      </c>
    </row>
    <row r="2528" spans="1:15">
      <c r="A2528" s="2" t="s">
        <v>16</v>
      </c>
      <c r="B2528" t="s">
        <v>35</v>
      </c>
      <c r="C2528" t="s">
        <v>36</v>
      </c>
      <c r="D2528">
        <v>25</v>
      </c>
      <c r="E2528" t="s">
        <v>46</v>
      </c>
      <c r="F2528">
        <v>2</v>
      </c>
      <c r="G2528">
        <v>2</v>
      </c>
      <c r="H2528">
        <v>0</v>
      </c>
      <c r="I2528">
        <v>1</v>
      </c>
      <c r="J2528" s="4" t="s">
        <v>53</v>
      </c>
      <c r="K2528" t="str">
        <f t="shared" si="128"/>
        <v>2+0</v>
      </c>
      <c r="L2528">
        <f>VLOOKUP(A2528,'ZONE 1 PREMIUM'!$A$4:$N$16,14,0)</f>
        <v>7</v>
      </c>
      <c r="M2528">
        <f>VLOOKUP(D2528,DROPDOWN!B:C,2,0)</f>
        <v>9</v>
      </c>
      <c r="N2528" t="str">
        <f t="shared" si="126"/>
        <v>BR81:CJ92</v>
      </c>
      <c r="O2528" s="4">
        <f t="shared" ca="1" si="127"/>
        <v>81408.800000000003</v>
      </c>
    </row>
    <row r="2529" spans="1:15">
      <c r="A2529" s="2" t="s">
        <v>17</v>
      </c>
      <c r="B2529" t="s">
        <v>37</v>
      </c>
      <c r="C2529" t="s">
        <v>38</v>
      </c>
      <c r="D2529">
        <v>25</v>
      </c>
      <c r="E2529" t="s">
        <v>46</v>
      </c>
      <c r="F2529">
        <v>2</v>
      </c>
      <c r="G2529">
        <v>2</v>
      </c>
      <c r="H2529">
        <v>0</v>
      </c>
      <c r="I2529">
        <v>1</v>
      </c>
      <c r="J2529" s="4" t="s">
        <v>53</v>
      </c>
      <c r="K2529" t="str">
        <f t="shared" si="128"/>
        <v>2+0</v>
      </c>
      <c r="L2529">
        <f>VLOOKUP(A2529,'ZONE 1 PREMIUM'!$A$4:$N$16,14,0)</f>
        <v>8</v>
      </c>
      <c r="M2529">
        <f>VLOOKUP(D2529,DROPDOWN!B:C,2,0)</f>
        <v>9</v>
      </c>
      <c r="N2529" t="str">
        <f t="shared" si="126"/>
        <v>BR81:CJ92</v>
      </c>
      <c r="O2529" s="4">
        <f t="shared" ca="1" si="127"/>
        <v>111457.50000000001</v>
      </c>
    </row>
    <row r="2530" spans="1:15">
      <c r="A2530" s="2" t="s">
        <v>18</v>
      </c>
      <c r="B2530" t="s">
        <v>39</v>
      </c>
      <c r="C2530" t="s">
        <v>40</v>
      </c>
      <c r="D2530">
        <v>25</v>
      </c>
      <c r="E2530" t="s">
        <v>46</v>
      </c>
      <c r="F2530">
        <v>2</v>
      </c>
      <c r="G2530">
        <v>2</v>
      </c>
      <c r="H2530">
        <v>0</v>
      </c>
      <c r="I2530">
        <v>1</v>
      </c>
      <c r="J2530" s="4" t="s">
        <v>53</v>
      </c>
      <c r="K2530" t="str">
        <f t="shared" si="128"/>
        <v>2+0</v>
      </c>
      <c r="L2530">
        <f>VLOOKUP(A2530,'ZONE 1 PREMIUM'!$A$4:$N$16,14,0)</f>
        <v>9</v>
      </c>
      <c r="M2530">
        <f>VLOOKUP(D2530,DROPDOWN!B:C,2,0)</f>
        <v>9</v>
      </c>
      <c r="N2530" t="str">
        <f t="shared" ref="N2530:N2577" si="129">VLOOKUP(K2530,$CK$3:$CL$12,2,0)</f>
        <v>BR81:CJ92</v>
      </c>
      <c r="O2530" s="4">
        <f t="shared" ca="1" si="127"/>
        <v>156726.90000000002</v>
      </c>
    </row>
    <row r="2531" spans="1:15">
      <c r="A2531" s="2" t="s">
        <v>19</v>
      </c>
      <c r="B2531" t="s">
        <v>41</v>
      </c>
      <c r="C2531" t="s">
        <v>42</v>
      </c>
      <c r="D2531">
        <v>25</v>
      </c>
      <c r="E2531" t="s">
        <v>46</v>
      </c>
      <c r="F2531">
        <v>2</v>
      </c>
      <c r="G2531">
        <v>2</v>
      </c>
      <c r="H2531">
        <v>0</v>
      </c>
      <c r="I2531">
        <v>1</v>
      </c>
      <c r="J2531" s="4" t="s">
        <v>53</v>
      </c>
      <c r="K2531" t="str">
        <f t="shared" si="128"/>
        <v>2+0</v>
      </c>
      <c r="L2531">
        <f>VLOOKUP(A2531,'ZONE 1 PREMIUM'!$A$4:$N$16,14,0)</f>
        <v>10</v>
      </c>
      <c r="M2531">
        <f>VLOOKUP(D2531,DROPDOWN!B:C,2,0)</f>
        <v>9</v>
      </c>
      <c r="N2531" t="str">
        <f t="shared" si="129"/>
        <v>BR81:CJ92</v>
      </c>
      <c r="O2531" s="4">
        <f t="shared" ca="1" si="127"/>
        <v>220117.7</v>
      </c>
    </row>
    <row r="2532" spans="1:15">
      <c r="A2532" s="2" t="s">
        <v>20</v>
      </c>
      <c r="B2532" t="s">
        <v>43</v>
      </c>
      <c r="C2532" t="s">
        <v>44</v>
      </c>
      <c r="D2532">
        <v>25</v>
      </c>
      <c r="E2532" t="s">
        <v>46</v>
      </c>
      <c r="F2532">
        <v>2</v>
      </c>
      <c r="G2532">
        <v>2</v>
      </c>
      <c r="H2532">
        <v>0</v>
      </c>
      <c r="I2532">
        <v>1</v>
      </c>
      <c r="J2532" s="4" t="s">
        <v>53</v>
      </c>
      <c r="K2532" t="str">
        <f t="shared" si="128"/>
        <v>2+0</v>
      </c>
      <c r="L2532">
        <f>VLOOKUP(A2532,'ZONE 1 PREMIUM'!$A$4:$N$16,14,0)</f>
        <v>11</v>
      </c>
      <c r="M2532">
        <f>VLOOKUP(D2532,DROPDOWN!B:C,2,0)</f>
        <v>9</v>
      </c>
      <c r="N2532" t="str">
        <f t="shared" si="129"/>
        <v>BR81:CJ92</v>
      </c>
      <c r="O2532" s="4">
        <f t="shared" ca="1" si="127"/>
        <v>273890.10000000003</v>
      </c>
    </row>
    <row r="2533" spans="1:15">
      <c r="A2533" s="2" t="s">
        <v>21</v>
      </c>
      <c r="B2533" t="s">
        <v>22</v>
      </c>
      <c r="D2533">
        <v>25</v>
      </c>
      <c r="E2533" t="s">
        <v>46</v>
      </c>
      <c r="F2533">
        <v>2</v>
      </c>
      <c r="G2533">
        <v>2</v>
      </c>
      <c r="H2533">
        <v>0</v>
      </c>
      <c r="I2533">
        <v>1</v>
      </c>
      <c r="J2533" s="4" t="s">
        <v>53</v>
      </c>
      <c r="K2533" t="str">
        <f t="shared" si="128"/>
        <v>2+0</v>
      </c>
      <c r="L2533">
        <f>VLOOKUP(A2533,'ZONE 1 PREMIUM'!$A$4:$N$16,14,0)</f>
        <v>12</v>
      </c>
      <c r="M2533">
        <f>VLOOKUP(D2533,DROPDOWN!B:C,2,0)</f>
        <v>9</v>
      </c>
      <c r="N2533" t="str">
        <f t="shared" si="129"/>
        <v>BR81:CJ92</v>
      </c>
      <c r="O2533" s="4">
        <f t="shared" ca="1" si="127"/>
        <v>351318</v>
      </c>
    </row>
    <row r="2534" spans="1:15">
      <c r="A2534" s="2" t="s">
        <v>11</v>
      </c>
      <c r="B2534" t="s">
        <v>45</v>
      </c>
      <c r="C2534" t="s">
        <v>25</v>
      </c>
      <c r="D2534">
        <v>25</v>
      </c>
      <c r="E2534" t="s">
        <v>46</v>
      </c>
      <c r="F2534">
        <v>3</v>
      </c>
      <c r="G2534">
        <v>2</v>
      </c>
      <c r="H2534">
        <v>1</v>
      </c>
      <c r="I2534">
        <v>1</v>
      </c>
      <c r="J2534" s="4" t="s">
        <v>53</v>
      </c>
      <c r="K2534" t="str">
        <f t="shared" si="128"/>
        <v>2+1</v>
      </c>
      <c r="L2534">
        <f>VLOOKUP(A2534,'ZONE 1 PREMIUM'!$A$4:$N$16,14,0)</f>
        <v>2</v>
      </c>
      <c r="M2534">
        <f>VLOOKUP(D2534,DROPDOWN!B:C,2,0)</f>
        <v>9</v>
      </c>
      <c r="N2534" t="str">
        <f t="shared" si="129"/>
        <v>BR98:CJ109</v>
      </c>
      <c r="O2534" s="4">
        <f t="shared" ca="1" si="127"/>
        <v>39983.9</v>
      </c>
    </row>
    <row r="2535" spans="1:15">
      <c r="A2535" s="2" t="s">
        <v>12</v>
      </c>
      <c r="B2535" t="s">
        <v>27</v>
      </c>
      <c r="C2535" t="s">
        <v>28</v>
      </c>
      <c r="D2535">
        <v>25</v>
      </c>
      <c r="E2535" t="s">
        <v>46</v>
      </c>
      <c r="F2535">
        <v>3</v>
      </c>
      <c r="G2535">
        <v>2</v>
      </c>
      <c r="H2535">
        <v>1</v>
      </c>
      <c r="I2535">
        <v>1</v>
      </c>
      <c r="J2535" s="4" t="s">
        <v>53</v>
      </c>
      <c r="K2535" t="str">
        <f t="shared" si="128"/>
        <v>2+1</v>
      </c>
      <c r="L2535">
        <f>VLOOKUP(A2535,'ZONE 1 PREMIUM'!$A$4:$N$16,14,0)</f>
        <v>3</v>
      </c>
      <c r="M2535">
        <f>VLOOKUP(D2535,DROPDOWN!B:C,2,0)</f>
        <v>9</v>
      </c>
      <c r="N2535" t="str">
        <f t="shared" si="129"/>
        <v>BR98:CJ109</v>
      </c>
      <c r="O2535" s="4">
        <f t="shared" ca="1" si="127"/>
        <v>44257.4</v>
      </c>
    </row>
    <row r="2536" spans="1:15">
      <c r="A2536" s="2" t="s">
        <v>13</v>
      </c>
      <c r="B2536" t="s">
        <v>29</v>
      </c>
      <c r="C2536" t="s">
        <v>30</v>
      </c>
      <c r="D2536">
        <v>25</v>
      </c>
      <c r="E2536" t="s">
        <v>46</v>
      </c>
      <c r="F2536">
        <v>3</v>
      </c>
      <c r="G2536">
        <v>2</v>
      </c>
      <c r="H2536">
        <v>1</v>
      </c>
      <c r="I2536">
        <v>1</v>
      </c>
      <c r="J2536" s="4" t="s">
        <v>53</v>
      </c>
      <c r="K2536" t="str">
        <f t="shared" si="128"/>
        <v>2+1</v>
      </c>
      <c r="L2536">
        <f>VLOOKUP(A2536,'ZONE 1 PREMIUM'!$A$4:$N$16,14,0)</f>
        <v>4</v>
      </c>
      <c r="M2536">
        <f>VLOOKUP(D2536,DROPDOWN!B:C,2,0)</f>
        <v>9</v>
      </c>
      <c r="N2536" t="str">
        <f t="shared" si="129"/>
        <v>BR98:CJ109</v>
      </c>
      <c r="O2536" s="4">
        <f t="shared" ca="1" si="127"/>
        <v>49590.200000000004</v>
      </c>
    </row>
    <row r="2537" spans="1:15">
      <c r="A2537" s="2" t="s">
        <v>14</v>
      </c>
      <c r="B2537" t="s">
        <v>31</v>
      </c>
      <c r="C2537" t="s">
        <v>32</v>
      </c>
      <c r="D2537">
        <v>25</v>
      </c>
      <c r="E2537" t="s">
        <v>46</v>
      </c>
      <c r="F2537">
        <v>3</v>
      </c>
      <c r="G2537">
        <v>2</v>
      </c>
      <c r="H2537">
        <v>1</v>
      </c>
      <c r="I2537">
        <v>1</v>
      </c>
      <c r="J2537" s="4" t="s">
        <v>53</v>
      </c>
      <c r="K2537" t="str">
        <f t="shared" si="128"/>
        <v>2+1</v>
      </c>
      <c r="L2537">
        <f>VLOOKUP(A2537,'ZONE 1 PREMIUM'!$A$4:$N$16,14,0)</f>
        <v>5</v>
      </c>
      <c r="M2537">
        <f>VLOOKUP(D2537,DROPDOWN!B:C,2,0)</f>
        <v>9</v>
      </c>
      <c r="N2537" t="str">
        <f t="shared" si="129"/>
        <v>BR98:CJ109</v>
      </c>
      <c r="O2537" s="4">
        <f t="shared" ca="1" si="127"/>
        <v>56667.600000000006</v>
      </c>
    </row>
    <row r="2538" spans="1:15">
      <c r="A2538" s="2" t="s">
        <v>15</v>
      </c>
      <c r="B2538" t="s">
        <v>33</v>
      </c>
      <c r="C2538" t="s">
        <v>34</v>
      </c>
      <c r="D2538">
        <v>25</v>
      </c>
      <c r="E2538" t="s">
        <v>46</v>
      </c>
      <c r="F2538">
        <v>3</v>
      </c>
      <c r="G2538">
        <v>2</v>
      </c>
      <c r="H2538">
        <v>1</v>
      </c>
      <c r="I2538">
        <v>1</v>
      </c>
      <c r="J2538" s="4" t="s">
        <v>53</v>
      </c>
      <c r="K2538" t="str">
        <f t="shared" si="128"/>
        <v>2+1</v>
      </c>
      <c r="L2538">
        <f>VLOOKUP(A2538,'ZONE 1 PREMIUM'!$A$4:$N$16,14,0)</f>
        <v>6</v>
      </c>
      <c r="M2538">
        <f>VLOOKUP(D2538,DROPDOWN!B:C,2,0)</f>
        <v>9</v>
      </c>
      <c r="N2538" t="str">
        <f t="shared" si="129"/>
        <v>BR98:CJ109</v>
      </c>
      <c r="O2538" s="4">
        <f t="shared" ca="1" si="127"/>
        <v>71297.600000000006</v>
      </c>
    </row>
    <row r="2539" spans="1:15">
      <c r="A2539" s="2" t="s">
        <v>16</v>
      </c>
      <c r="B2539" t="s">
        <v>35</v>
      </c>
      <c r="C2539" t="s">
        <v>36</v>
      </c>
      <c r="D2539">
        <v>25</v>
      </c>
      <c r="E2539" t="s">
        <v>46</v>
      </c>
      <c r="F2539">
        <v>3</v>
      </c>
      <c r="G2539">
        <v>2</v>
      </c>
      <c r="H2539">
        <v>1</v>
      </c>
      <c r="I2539">
        <v>1</v>
      </c>
      <c r="J2539" s="4" t="s">
        <v>53</v>
      </c>
      <c r="K2539" t="str">
        <f t="shared" si="128"/>
        <v>2+1</v>
      </c>
      <c r="L2539">
        <f>VLOOKUP(A2539,'ZONE 1 PREMIUM'!$A$4:$N$16,14,0)</f>
        <v>7</v>
      </c>
      <c r="M2539">
        <f>VLOOKUP(D2539,DROPDOWN!B:C,2,0)</f>
        <v>9</v>
      </c>
      <c r="N2539" t="str">
        <f t="shared" si="129"/>
        <v>BR98:CJ109</v>
      </c>
      <c r="O2539" s="4">
        <f t="shared" ca="1" si="127"/>
        <v>93656.200000000012</v>
      </c>
    </row>
    <row r="2540" spans="1:15">
      <c r="A2540" s="2" t="s">
        <v>17</v>
      </c>
      <c r="B2540" t="s">
        <v>37</v>
      </c>
      <c r="C2540" t="s">
        <v>38</v>
      </c>
      <c r="D2540">
        <v>25</v>
      </c>
      <c r="E2540" t="s">
        <v>46</v>
      </c>
      <c r="F2540">
        <v>3</v>
      </c>
      <c r="G2540">
        <v>2</v>
      </c>
      <c r="H2540">
        <v>1</v>
      </c>
      <c r="I2540">
        <v>1</v>
      </c>
      <c r="J2540" s="4" t="s">
        <v>53</v>
      </c>
      <c r="K2540" t="str">
        <f t="shared" si="128"/>
        <v>2+1</v>
      </c>
      <c r="L2540">
        <f>VLOOKUP(A2540,'ZONE 1 PREMIUM'!$A$4:$N$16,14,0)</f>
        <v>8</v>
      </c>
      <c r="M2540">
        <f>VLOOKUP(D2540,DROPDOWN!B:C,2,0)</f>
        <v>9</v>
      </c>
      <c r="N2540" t="str">
        <f t="shared" si="129"/>
        <v>BR98:CJ109</v>
      </c>
      <c r="O2540" s="4">
        <f t="shared" ca="1" si="127"/>
        <v>124671.8</v>
      </c>
    </row>
    <row r="2541" spans="1:15">
      <c r="A2541" s="2" t="s">
        <v>18</v>
      </c>
      <c r="B2541" t="s">
        <v>39</v>
      </c>
      <c r="C2541" t="s">
        <v>40</v>
      </c>
      <c r="D2541">
        <v>25</v>
      </c>
      <c r="E2541" t="s">
        <v>46</v>
      </c>
      <c r="F2541">
        <v>3</v>
      </c>
      <c r="G2541">
        <v>2</v>
      </c>
      <c r="H2541">
        <v>1</v>
      </c>
      <c r="I2541">
        <v>1</v>
      </c>
      <c r="J2541" s="4" t="s">
        <v>53</v>
      </c>
      <c r="K2541" t="str">
        <f t="shared" si="128"/>
        <v>2+1</v>
      </c>
      <c r="L2541">
        <f>VLOOKUP(A2541,'ZONE 1 PREMIUM'!$A$4:$N$16,14,0)</f>
        <v>9</v>
      </c>
      <c r="M2541">
        <f>VLOOKUP(D2541,DROPDOWN!B:C,2,0)</f>
        <v>9</v>
      </c>
      <c r="N2541" t="str">
        <f t="shared" si="129"/>
        <v>BR98:CJ109</v>
      </c>
      <c r="O2541" s="4">
        <f t="shared" ca="1" si="127"/>
        <v>170183.2</v>
      </c>
    </row>
    <row r="2542" spans="1:15">
      <c r="A2542" s="2" t="s">
        <v>19</v>
      </c>
      <c r="B2542" t="s">
        <v>41</v>
      </c>
      <c r="C2542" t="s">
        <v>42</v>
      </c>
      <c r="D2542">
        <v>25</v>
      </c>
      <c r="E2542" t="s">
        <v>46</v>
      </c>
      <c r="F2542">
        <v>3</v>
      </c>
      <c r="G2542">
        <v>2</v>
      </c>
      <c r="H2542">
        <v>1</v>
      </c>
      <c r="I2542">
        <v>1</v>
      </c>
      <c r="J2542" s="4" t="s">
        <v>53</v>
      </c>
      <c r="K2542" t="str">
        <f t="shared" si="128"/>
        <v>2+1</v>
      </c>
      <c r="L2542">
        <f>VLOOKUP(A2542,'ZONE 1 PREMIUM'!$A$4:$N$16,14,0)</f>
        <v>10</v>
      </c>
      <c r="M2542">
        <f>VLOOKUP(D2542,DROPDOWN!B:C,2,0)</f>
        <v>9</v>
      </c>
      <c r="N2542" t="str">
        <f t="shared" si="129"/>
        <v>BR98:CJ109</v>
      </c>
      <c r="O2542" s="4">
        <f t="shared" ca="1" si="127"/>
        <v>228677.90000000002</v>
      </c>
    </row>
    <row r="2543" spans="1:15">
      <c r="A2543" s="2" t="s">
        <v>20</v>
      </c>
      <c r="B2543" t="s">
        <v>43</v>
      </c>
      <c r="C2543" t="s">
        <v>44</v>
      </c>
      <c r="D2543">
        <v>25</v>
      </c>
      <c r="E2543" t="s">
        <v>46</v>
      </c>
      <c r="F2543">
        <v>3</v>
      </c>
      <c r="G2543">
        <v>2</v>
      </c>
      <c r="H2543">
        <v>1</v>
      </c>
      <c r="I2543">
        <v>1</v>
      </c>
      <c r="J2543" s="4" t="s">
        <v>53</v>
      </c>
      <c r="K2543" t="str">
        <f t="shared" si="128"/>
        <v>2+1</v>
      </c>
      <c r="L2543">
        <f>VLOOKUP(A2543,'ZONE 1 PREMIUM'!$A$4:$N$16,14,0)</f>
        <v>11</v>
      </c>
      <c r="M2543">
        <f>VLOOKUP(D2543,DROPDOWN!B:C,2,0)</f>
        <v>9</v>
      </c>
      <c r="N2543" t="str">
        <f t="shared" si="129"/>
        <v>BR98:CJ109</v>
      </c>
      <c r="O2543" s="4">
        <f t="shared" ca="1" si="127"/>
        <v>280619.90000000002</v>
      </c>
    </row>
    <row r="2544" spans="1:15">
      <c r="A2544" s="2" t="s">
        <v>21</v>
      </c>
      <c r="B2544" t="s">
        <v>22</v>
      </c>
      <c r="D2544">
        <v>25</v>
      </c>
      <c r="E2544" t="s">
        <v>46</v>
      </c>
      <c r="F2544">
        <v>3</v>
      </c>
      <c r="G2544">
        <v>2</v>
      </c>
      <c r="H2544">
        <v>1</v>
      </c>
      <c r="I2544">
        <v>1</v>
      </c>
      <c r="J2544" s="4" t="s">
        <v>53</v>
      </c>
      <c r="K2544" t="str">
        <f t="shared" si="128"/>
        <v>2+1</v>
      </c>
      <c r="L2544">
        <f>VLOOKUP(A2544,'ZONE 1 PREMIUM'!$A$4:$N$16,14,0)</f>
        <v>12</v>
      </c>
      <c r="M2544">
        <f>VLOOKUP(D2544,DROPDOWN!B:C,2,0)</f>
        <v>9</v>
      </c>
      <c r="N2544" t="str">
        <f t="shared" si="129"/>
        <v>BR98:CJ109</v>
      </c>
      <c r="O2544" s="4">
        <f t="shared" ca="1" si="127"/>
        <v>357748.60000000003</v>
      </c>
    </row>
    <row r="2545" spans="1:15">
      <c r="A2545" s="2" t="s">
        <v>11</v>
      </c>
      <c r="B2545" t="s">
        <v>45</v>
      </c>
      <c r="C2545" t="s">
        <v>25</v>
      </c>
      <c r="D2545">
        <v>25</v>
      </c>
      <c r="E2545" t="s">
        <v>46</v>
      </c>
      <c r="F2545">
        <v>4</v>
      </c>
      <c r="G2545">
        <v>2</v>
      </c>
      <c r="H2545">
        <v>2</v>
      </c>
      <c r="I2545">
        <v>1</v>
      </c>
      <c r="J2545" s="4" t="s">
        <v>53</v>
      </c>
      <c r="K2545" t="str">
        <f t="shared" si="128"/>
        <v>2+2</v>
      </c>
      <c r="L2545">
        <f>VLOOKUP(A2545,'ZONE 1 PREMIUM'!$A$4:$N$16,14,0)</f>
        <v>2</v>
      </c>
      <c r="M2545">
        <f>VLOOKUP(D2545,DROPDOWN!B:C,2,0)</f>
        <v>9</v>
      </c>
      <c r="N2545" t="str">
        <f t="shared" si="129"/>
        <v>BR113:CJ124</v>
      </c>
      <c r="O2545" s="4">
        <f t="shared" ca="1" si="127"/>
        <v>46854.500000000007</v>
      </c>
    </row>
    <row r="2546" spans="1:15">
      <c r="A2546" s="2" t="s">
        <v>12</v>
      </c>
      <c r="B2546" t="s">
        <v>27</v>
      </c>
      <c r="C2546" t="s">
        <v>28</v>
      </c>
      <c r="D2546">
        <v>25</v>
      </c>
      <c r="E2546" t="s">
        <v>46</v>
      </c>
      <c r="F2546">
        <v>4</v>
      </c>
      <c r="G2546">
        <v>2</v>
      </c>
      <c r="H2546">
        <v>2</v>
      </c>
      <c r="I2546">
        <v>1</v>
      </c>
      <c r="J2546" s="4" t="s">
        <v>53</v>
      </c>
      <c r="K2546" t="str">
        <f t="shared" si="128"/>
        <v>2+2</v>
      </c>
      <c r="L2546">
        <f>VLOOKUP(A2546,'ZONE 1 PREMIUM'!$A$4:$N$16,14,0)</f>
        <v>3</v>
      </c>
      <c r="M2546">
        <f>VLOOKUP(D2546,DROPDOWN!B:C,2,0)</f>
        <v>9</v>
      </c>
      <c r="N2546" t="str">
        <f t="shared" si="129"/>
        <v>BR113:CJ124</v>
      </c>
      <c r="O2546" s="4">
        <f t="shared" ca="1" si="127"/>
        <v>51005.9</v>
      </c>
    </row>
    <row r="2547" spans="1:15">
      <c r="A2547" s="2" t="s">
        <v>13</v>
      </c>
      <c r="B2547" t="s">
        <v>29</v>
      </c>
      <c r="C2547" t="s">
        <v>30</v>
      </c>
      <c r="D2547">
        <v>25</v>
      </c>
      <c r="E2547" t="s">
        <v>46</v>
      </c>
      <c r="F2547">
        <v>4</v>
      </c>
      <c r="G2547">
        <v>2</v>
      </c>
      <c r="H2547">
        <v>2</v>
      </c>
      <c r="I2547">
        <v>1</v>
      </c>
      <c r="J2547" s="4" t="s">
        <v>53</v>
      </c>
      <c r="K2547" t="str">
        <f t="shared" si="128"/>
        <v>2+2</v>
      </c>
      <c r="L2547">
        <f>VLOOKUP(A2547,'ZONE 1 PREMIUM'!$A$4:$N$16,14,0)</f>
        <v>4</v>
      </c>
      <c r="M2547">
        <f>VLOOKUP(D2547,DROPDOWN!B:C,2,0)</f>
        <v>9</v>
      </c>
      <c r="N2547" t="str">
        <f t="shared" si="129"/>
        <v>BR113:CJ124</v>
      </c>
      <c r="O2547" s="4">
        <f t="shared" ca="1" si="127"/>
        <v>57473.9</v>
      </c>
    </row>
    <row r="2548" spans="1:15">
      <c r="A2548" s="2" t="s">
        <v>14</v>
      </c>
      <c r="B2548" t="s">
        <v>31</v>
      </c>
      <c r="C2548" t="s">
        <v>32</v>
      </c>
      <c r="D2548">
        <v>25</v>
      </c>
      <c r="E2548" t="s">
        <v>46</v>
      </c>
      <c r="F2548">
        <v>4</v>
      </c>
      <c r="G2548">
        <v>2</v>
      </c>
      <c r="H2548">
        <v>2</v>
      </c>
      <c r="I2548">
        <v>1</v>
      </c>
      <c r="J2548" s="4" t="s">
        <v>53</v>
      </c>
      <c r="K2548" t="str">
        <f t="shared" si="128"/>
        <v>2+2</v>
      </c>
      <c r="L2548">
        <f>VLOOKUP(A2548,'ZONE 1 PREMIUM'!$A$4:$N$16,14,0)</f>
        <v>5</v>
      </c>
      <c r="M2548">
        <f>VLOOKUP(D2548,DROPDOWN!B:C,2,0)</f>
        <v>9</v>
      </c>
      <c r="N2548" t="str">
        <f t="shared" si="129"/>
        <v>BR113:CJ124</v>
      </c>
      <c r="O2548" s="4">
        <f t="shared" ca="1" si="127"/>
        <v>65102.400000000009</v>
      </c>
    </row>
    <row r="2549" spans="1:15">
      <c r="A2549" s="2" t="s">
        <v>15</v>
      </c>
      <c r="B2549" t="s">
        <v>33</v>
      </c>
      <c r="C2549" t="s">
        <v>34</v>
      </c>
      <c r="D2549">
        <v>25</v>
      </c>
      <c r="E2549" t="s">
        <v>46</v>
      </c>
      <c r="F2549">
        <v>4</v>
      </c>
      <c r="G2549">
        <v>2</v>
      </c>
      <c r="H2549">
        <v>2</v>
      </c>
      <c r="I2549">
        <v>1</v>
      </c>
      <c r="J2549" s="4" t="s">
        <v>53</v>
      </c>
      <c r="K2549" t="str">
        <f t="shared" si="128"/>
        <v>2+2</v>
      </c>
      <c r="L2549">
        <f>VLOOKUP(A2549,'ZONE 1 PREMIUM'!$A$4:$N$16,14,0)</f>
        <v>6</v>
      </c>
      <c r="M2549">
        <f>VLOOKUP(D2549,DROPDOWN!B:C,2,0)</f>
        <v>9</v>
      </c>
      <c r="N2549" t="str">
        <f t="shared" si="129"/>
        <v>BR113:CJ124</v>
      </c>
      <c r="O2549" s="4">
        <f t="shared" ca="1" si="127"/>
        <v>80797.200000000012</v>
      </c>
    </row>
    <row r="2550" spans="1:15">
      <c r="A2550" s="2" t="s">
        <v>16</v>
      </c>
      <c r="B2550" t="s">
        <v>35</v>
      </c>
      <c r="C2550" t="s">
        <v>36</v>
      </c>
      <c r="D2550">
        <v>25</v>
      </c>
      <c r="E2550" t="s">
        <v>46</v>
      </c>
      <c r="F2550">
        <v>4</v>
      </c>
      <c r="G2550">
        <v>2</v>
      </c>
      <c r="H2550">
        <v>2</v>
      </c>
      <c r="I2550">
        <v>1</v>
      </c>
      <c r="J2550" s="4" t="s">
        <v>53</v>
      </c>
      <c r="K2550" t="str">
        <f t="shared" si="128"/>
        <v>2+2</v>
      </c>
      <c r="L2550">
        <f>VLOOKUP(A2550,'ZONE 1 PREMIUM'!$A$4:$N$16,14,0)</f>
        <v>7</v>
      </c>
      <c r="M2550">
        <f>VLOOKUP(D2550,DROPDOWN!B:C,2,0)</f>
        <v>9</v>
      </c>
      <c r="N2550" t="str">
        <f t="shared" si="129"/>
        <v>BR113:CJ124</v>
      </c>
      <c r="O2550" s="4">
        <f t="shared" ca="1" si="127"/>
        <v>105475.70000000001</v>
      </c>
    </row>
    <row r="2551" spans="1:15">
      <c r="A2551" s="2" t="s">
        <v>17</v>
      </c>
      <c r="B2551" t="s">
        <v>37</v>
      </c>
      <c r="C2551" t="s">
        <v>38</v>
      </c>
      <c r="D2551">
        <v>25</v>
      </c>
      <c r="E2551" t="s">
        <v>46</v>
      </c>
      <c r="F2551">
        <v>4</v>
      </c>
      <c r="G2551">
        <v>2</v>
      </c>
      <c r="H2551">
        <v>2</v>
      </c>
      <c r="I2551">
        <v>1</v>
      </c>
      <c r="J2551" s="4" t="s">
        <v>53</v>
      </c>
      <c r="K2551" t="str">
        <f t="shared" si="128"/>
        <v>2+2</v>
      </c>
      <c r="L2551">
        <f>VLOOKUP(A2551,'ZONE 1 PREMIUM'!$A$4:$N$16,14,0)</f>
        <v>8</v>
      </c>
      <c r="M2551">
        <f>VLOOKUP(D2551,DROPDOWN!B:C,2,0)</f>
        <v>9</v>
      </c>
      <c r="N2551" t="str">
        <f t="shared" si="129"/>
        <v>BR113:CJ124</v>
      </c>
      <c r="O2551" s="4">
        <f t="shared" ca="1" si="127"/>
        <v>135837.90000000002</v>
      </c>
    </row>
    <row r="2552" spans="1:15">
      <c r="A2552" s="2" t="s">
        <v>18</v>
      </c>
      <c r="B2552" t="s">
        <v>39</v>
      </c>
      <c r="C2552" t="s">
        <v>40</v>
      </c>
      <c r="D2552">
        <v>25</v>
      </c>
      <c r="E2552" t="s">
        <v>46</v>
      </c>
      <c r="F2552">
        <v>4</v>
      </c>
      <c r="G2552">
        <v>2</v>
      </c>
      <c r="H2552">
        <v>2</v>
      </c>
      <c r="I2552">
        <v>1</v>
      </c>
      <c r="J2552" s="4" t="s">
        <v>53</v>
      </c>
      <c r="K2552" t="str">
        <f t="shared" si="128"/>
        <v>2+2</v>
      </c>
      <c r="L2552">
        <f>VLOOKUP(A2552,'ZONE 1 PREMIUM'!$A$4:$N$16,14,0)</f>
        <v>9</v>
      </c>
      <c r="M2552">
        <f>VLOOKUP(D2552,DROPDOWN!B:C,2,0)</f>
        <v>9</v>
      </c>
      <c r="N2552" t="str">
        <f t="shared" si="129"/>
        <v>BR113:CJ124</v>
      </c>
      <c r="O2552" s="4">
        <f t="shared" ca="1" si="127"/>
        <v>179223</v>
      </c>
    </row>
    <row r="2553" spans="1:15">
      <c r="A2553" s="2" t="s">
        <v>19</v>
      </c>
      <c r="B2553" t="s">
        <v>41</v>
      </c>
      <c r="C2553" t="s">
        <v>42</v>
      </c>
      <c r="D2553">
        <v>25</v>
      </c>
      <c r="E2553" t="s">
        <v>46</v>
      </c>
      <c r="F2553">
        <v>4</v>
      </c>
      <c r="G2553">
        <v>2</v>
      </c>
      <c r="H2553">
        <v>2</v>
      </c>
      <c r="I2553">
        <v>1</v>
      </c>
      <c r="J2553" s="4" t="s">
        <v>53</v>
      </c>
      <c r="K2553" t="str">
        <f t="shared" si="128"/>
        <v>2+2</v>
      </c>
      <c r="L2553">
        <f>VLOOKUP(A2553,'ZONE 1 PREMIUM'!$A$4:$N$16,14,0)</f>
        <v>10</v>
      </c>
      <c r="M2553">
        <f>VLOOKUP(D2553,DROPDOWN!B:C,2,0)</f>
        <v>9</v>
      </c>
      <c r="N2553" t="str">
        <f t="shared" si="129"/>
        <v>BR113:CJ124</v>
      </c>
      <c r="O2553" s="4">
        <f t="shared" ca="1" si="127"/>
        <v>232919.50000000003</v>
      </c>
    </row>
    <row r="2554" spans="1:15">
      <c r="A2554" s="2" t="s">
        <v>20</v>
      </c>
      <c r="B2554" t="s">
        <v>43</v>
      </c>
      <c r="C2554" t="s">
        <v>44</v>
      </c>
      <c r="D2554">
        <v>25</v>
      </c>
      <c r="E2554" t="s">
        <v>46</v>
      </c>
      <c r="F2554">
        <v>4</v>
      </c>
      <c r="G2554">
        <v>2</v>
      </c>
      <c r="H2554">
        <v>2</v>
      </c>
      <c r="I2554">
        <v>1</v>
      </c>
      <c r="J2554" s="4" t="s">
        <v>53</v>
      </c>
      <c r="K2554" t="str">
        <f t="shared" si="128"/>
        <v>2+2</v>
      </c>
      <c r="L2554">
        <f>VLOOKUP(A2554,'ZONE 1 PREMIUM'!$A$4:$N$16,14,0)</f>
        <v>11</v>
      </c>
      <c r="M2554">
        <f>VLOOKUP(D2554,DROPDOWN!B:C,2,0)</f>
        <v>9</v>
      </c>
      <c r="N2554" t="str">
        <f t="shared" si="129"/>
        <v>BR113:CJ124</v>
      </c>
      <c r="O2554" s="4">
        <f t="shared" ca="1" si="127"/>
        <v>285288.30000000005</v>
      </c>
    </row>
    <row r="2555" spans="1:15">
      <c r="A2555" s="2" t="s">
        <v>21</v>
      </c>
      <c r="B2555" t="s">
        <v>22</v>
      </c>
      <c r="D2555">
        <v>25</v>
      </c>
      <c r="E2555" t="s">
        <v>46</v>
      </c>
      <c r="F2555">
        <v>4</v>
      </c>
      <c r="G2555">
        <v>2</v>
      </c>
      <c r="H2555">
        <v>2</v>
      </c>
      <c r="I2555">
        <v>1</v>
      </c>
      <c r="J2555" s="4" t="s">
        <v>53</v>
      </c>
      <c r="K2555" t="str">
        <f t="shared" si="128"/>
        <v>2+2</v>
      </c>
      <c r="L2555">
        <f>VLOOKUP(A2555,'ZONE 1 PREMIUM'!$A$4:$N$16,14,0)</f>
        <v>12</v>
      </c>
      <c r="M2555">
        <f>VLOOKUP(D2555,DROPDOWN!B:C,2,0)</f>
        <v>9</v>
      </c>
      <c r="N2555" t="str">
        <f t="shared" si="129"/>
        <v>BR113:CJ124</v>
      </c>
      <c r="O2555" s="4">
        <f t="shared" ca="1" si="127"/>
        <v>362635.9</v>
      </c>
    </row>
    <row r="2556" spans="1:15">
      <c r="A2556" s="2" t="s">
        <v>11</v>
      </c>
      <c r="B2556" t="s">
        <v>45</v>
      </c>
      <c r="C2556" t="s">
        <v>25</v>
      </c>
      <c r="D2556">
        <v>25</v>
      </c>
      <c r="E2556" t="s">
        <v>46</v>
      </c>
      <c r="F2556">
        <v>5</v>
      </c>
      <c r="G2556">
        <v>2</v>
      </c>
      <c r="H2556">
        <v>3</v>
      </c>
      <c r="I2556">
        <v>1</v>
      </c>
      <c r="J2556" s="4" t="s">
        <v>53</v>
      </c>
      <c r="K2556" t="str">
        <f t="shared" si="128"/>
        <v>2+3</v>
      </c>
      <c r="L2556">
        <f>VLOOKUP(A2556,'ZONE 1 PREMIUM'!$A$4:$N$16,14,0)</f>
        <v>2</v>
      </c>
      <c r="M2556">
        <f>VLOOKUP(D2556,DROPDOWN!B:C,2,0)</f>
        <v>9</v>
      </c>
      <c r="N2556" t="str">
        <f t="shared" si="129"/>
        <v>BR128:CJ139</v>
      </c>
      <c r="O2556" s="4">
        <f t="shared" ca="1" si="127"/>
        <v>53725.100000000006</v>
      </c>
    </row>
    <row r="2557" spans="1:15">
      <c r="A2557" s="2" t="s">
        <v>12</v>
      </c>
      <c r="B2557" t="s">
        <v>27</v>
      </c>
      <c r="C2557" t="s">
        <v>28</v>
      </c>
      <c r="D2557">
        <v>25</v>
      </c>
      <c r="E2557" t="s">
        <v>46</v>
      </c>
      <c r="F2557">
        <v>5</v>
      </c>
      <c r="G2557">
        <v>2</v>
      </c>
      <c r="H2557">
        <v>3</v>
      </c>
      <c r="I2557">
        <v>1</v>
      </c>
      <c r="J2557" s="4" t="s">
        <v>53</v>
      </c>
      <c r="K2557" t="str">
        <f t="shared" si="128"/>
        <v>2+3</v>
      </c>
      <c r="L2557">
        <f>VLOOKUP(A2557,'ZONE 1 PREMIUM'!$A$4:$N$16,14,0)</f>
        <v>3</v>
      </c>
      <c r="M2557">
        <f>VLOOKUP(D2557,DROPDOWN!B:C,2,0)</f>
        <v>9</v>
      </c>
      <c r="N2557" t="str">
        <f t="shared" si="129"/>
        <v>BR128:CJ139</v>
      </c>
      <c r="O2557" s="4">
        <f t="shared" ca="1" si="127"/>
        <v>57754.400000000001</v>
      </c>
    </row>
    <row r="2558" spans="1:15">
      <c r="A2558" s="2" t="s">
        <v>13</v>
      </c>
      <c r="B2558" t="s">
        <v>29</v>
      </c>
      <c r="C2558" t="s">
        <v>30</v>
      </c>
      <c r="D2558">
        <v>25</v>
      </c>
      <c r="E2558" t="s">
        <v>46</v>
      </c>
      <c r="F2558">
        <v>5</v>
      </c>
      <c r="G2558">
        <v>2</v>
      </c>
      <c r="H2558">
        <v>3</v>
      </c>
      <c r="I2558">
        <v>1</v>
      </c>
      <c r="J2558" s="4" t="s">
        <v>53</v>
      </c>
      <c r="K2558" t="str">
        <f t="shared" si="128"/>
        <v>2+3</v>
      </c>
      <c r="L2558">
        <f>VLOOKUP(A2558,'ZONE 1 PREMIUM'!$A$4:$N$16,14,0)</f>
        <v>4</v>
      </c>
      <c r="M2558">
        <f>VLOOKUP(D2558,DROPDOWN!B:C,2,0)</f>
        <v>9</v>
      </c>
      <c r="N2558" t="str">
        <f t="shared" si="129"/>
        <v>BR128:CJ139</v>
      </c>
      <c r="O2558" s="4">
        <f t="shared" ca="1" si="127"/>
        <v>65358.700000000004</v>
      </c>
    </row>
    <row r="2559" spans="1:15">
      <c r="A2559" s="2" t="s">
        <v>14</v>
      </c>
      <c r="B2559" t="s">
        <v>31</v>
      </c>
      <c r="C2559" t="s">
        <v>32</v>
      </c>
      <c r="D2559">
        <v>25</v>
      </c>
      <c r="E2559" t="s">
        <v>46</v>
      </c>
      <c r="F2559">
        <v>5</v>
      </c>
      <c r="G2559">
        <v>2</v>
      </c>
      <c r="H2559">
        <v>3</v>
      </c>
      <c r="I2559">
        <v>1</v>
      </c>
      <c r="J2559" s="4" t="s">
        <v>53</v>
      </c>
      <c r="K2559" t="str">
        <f t="shared" si="128"/>
        <v>2+3</v>
      </c>
      <c r="L2559">
        <f>VLOOKUP(A2559,'ZONE 1 PREMIUM'!$A$4:$N$16,14,0)</f>
        <v>5</v>
      </c>
      <c r="M2559">
        <f>VLOOKUP(D2559,DROPDOWN!B:C,2,0)</f>
        <v>9</v>
      </c>
      <c r="N2559" t="str">
        <f t="shared" si="129"/>
        <v>BR128:CJ139</v>
      </c>
      <c r="O2559" s="4">
        <f t="shared" ca="1" si="127"/>
        <v>73536.100000000006</v>
      </c>
    </row>
    <row r="2560" spans="1:15">
      <c r="A2560" s="2" t="s">
        <v>15</v>
      </c>
      <c r="B2560" t="s">
        <v>33</v>
      </c>
      <c r="C2560" t="s">
        <v>34</v>
      </c>
      <c r="D2560">
        <v>25</v>
      </c>
      <c r="E2560" t="s">
        <v>46</v>
      </c>
      <c r="F2560">
        <v>5</v>
      </c>
      <c r="G2560">
        <v>2</v>
      </c>
      <c r="H2560">
        <v>3</v>
      </c>
      <c r="I2560">
        <v>1</v>
      </c>
      <c r="J2560" s="4" t="s">
        <v>53</v>
      </c>
      <c r="K2560" t="str">
        <f t="shared" si="128"/>
        <v>2+3</v>
      </c>
      <c r="L2560">
        <f>VLOOKUP(A2560,'ZONE 1 PREMIUM'!$A$4:$N$16,14,0)</f>
        <v>6</v>
      </c>
      <c r="M2560">
        <f>VLOOKUP(D2560,DROPDOWN!B:C,2,0)</f>
        <v>9</v>
      </c>
      <c r="N2560" t="str">
        <f t="shared" si="129"/>
        <v>BR128:CJ139</v>
      </c>
      <c r="O2560" s="4">
        <f t="shared" ca="1" si="127"/>
        <v>90296.8</v>
      </c>
    </row>
    <row r="2561" spans="1:15">
      <c r="A2561" s="2" t="s">
        <v>16</v>
      </c>
      <c r="B2561" t="s">
        <v>35</v>
      </c>
      <c r="C2561" t="s">
        <v>36</v>
      </c>
      <c r="D2561">
        <v>25</v>
      </c>
      <c r="E2561" t="s">
        <v>46</v>
      </c>
      <c r="F2561">
        <v>5</v>
      </c>
      <c r="G2561">
        <v>2</v>
      </c>
      <c r="H2561">
        <v>3</v>
      </c>
      <c r="I2561">
        <v>1</v>
      </c>
      <c r="J2561" s="4" t="s">
        <v>53</v>
      </c>
      <c r="K2561" t="str">
        <f t="shared" si="128"/>
        <v>2+3</v>
      </c>
      <c r="L2561">
        <f>VLOOKUP(A2561,'ZONE 1 PREMIUM'!$A$4:$N$16,14,0)</f>
        <v>7</v>
      </c>
      <c r="M2561">
        <f>VLOOKUP(D2561,DROPDOWN!B:C,2,0)</f>
        <v>9</v>
      </c>
      <c r="N2561" t="str">
        <f t="shared" si="129"/>
        <v>BR128:CJ139</v>
      </c>
      <c r="O2561" s="4">
        <f t="shared" ca="1" si="127"/>
        <v>115183.20000000001</v>
      </c>
    </row>
    <row r="2562" spans="1:15">
      <c r="A2562" s="2" t="s">
        <v>17</v>
      </c>
      <c r="B2562" t="s">
        <v>37</v>
      </c>
      <c r="C2562" t="s">
        <v>38</v>
      </c>
      <c r="D2562">
        <v>25</v>
      </c>
      <c r="E2562" t="s">
        <v>46</v>
      </c>
      <c r="F2562">
        <v>5</v>
      </c>
      <c r="G2562">
        <v>2</v>
      </c>
      <c r="H2562">
        <v>3</v>
      </c>
      <c r="I2562">
        <v>1</v>
      </c>
      <c r="J2562" s="4" t="s">
        <v>53</v>
      </c>
      <c r="K2562" t="str">
        <f t="shared" si="128"/>
        <v>2+3</v>
      </c>
      <c r="L2562">
        <f>VLOOKUP(A2562,'ZONE 1 PREMIUM'!$A$4:$N$16,14,0)</f>
        <v>8</v>
      </c>
      <c r="M2562">
        <f>VLOOKUP(D2562,DROPDOWN!B:C,2,0)</f>
        <v>9</v>
      </c>
      <c r="N2562" t="str">
        <f t="shared" si="129"/>
        <v>BR128:CJ139</v>
      </c>
      <c r="O2562" s="4">
        <f t="shared" ref="O2562:O2625" ca="1" si="130">INDEX(INDIRECT(N2562),L2562,M2562)</f>
        <v>144758.90000000002</v>
      </c>
    </row>
    <row r="2563" spans="1:15">
      <c r="A2563" s="2" t="s">
        <v>18</v>
      </c>
      <c r="B2563" t="s">
        <v>39</v>
      </c>
      <c r="C2563" t="s">
        <v>40</v>
      </c>
      <c r="D2563">
        <v>25</v>
      </c>
      <c r="E2563" t="s">
        <v>46</v>
      </c>
      <c r="F2563">
        <v>5</v>
      </c>
      <c r="G2563">
        <v>2</v>
      </c>
      <c r="H2563">
        <v>3</v>
      </c>
      <c r="I2563">
        <v>1</v>
      </c>
      <c r="J2563" s="4" t="s">
        <v>53</v>
      </c>
      <c r="K2563" t="str">
        <f t="shared" si="128"/>
        <v>2+3</v>
      </c>
      <c r="L2563">
        <f>VLOOKUP(A2563,'ZONE 1 PREMIUM'!$A$4:$N$16,14,0)</f>
        <v>9</v>
      </c>
      <c r="M2563">
        <f>VLOOKUP(D2563,DROPDOWN!B:C,2,0)</f>
        <v>9</v>
      </c>
      <c r="N2563" t="str">
        <f t="shared" si="129"/>
        <v>BR128:CJ139</v>
      </c>
      <c r="O2563" s="4">
        <f t="shared" ca="1" si="130"/>
        <v>188097.80000000002</v>
      </c>
    </row>
    <row r="2564" spans="1:15">
      <c r="A2564" s="2" t="s">
        <v>19</v>
      </c>
      <c r="B2564" t="s">
        <v>41</v>
      </c>
      <c r="C2564" t="s">
        <v>42</v>
      </c>
      <c r="D2564">
        <v>25</v>
      </c>
      <c r="E2564" t="s">
        <v>46</v>
      </c>
      <c r="F2564">
        <v>5</v>
      </c>
      <c r="G2564">
        <v>2</v>
      </c>
      <c r="H2564">
        <v>3</v>
      </c>
      <c r="I2564">
        <v>1</v>
      </c>
      <c r="J2564" s="4" t="s">
        <v>53</v>
      </c>
      <c r="K2564" t="str">
        <f t="shared" ref="K2564:K2627" si="131">G2564&amp;"+"&amp;H2564</f>
        <v>2+3</v>
      </c>
      <c r="L2564">
        <f>VLOOKUP(A2564,'ZONE 1 PREMIUM'!$A$4:$N$16,14,0)</f>
        <v>10</v>
      </c>
      <c r="M2564">
        <f>VLOOKUP(D2564,DROPDOWN!B:C,2,0)</f>
        <v>9</v>
      </c>
      <c r="N2564" t="str">
        <f t="shared" si="129"/>
        <v>BR128:CJ139</v>
      </c>
      <c r="O2564" s="4">
        <f t="shared" ca="1" si="130"/>
        <v>241364.2</v>
      </c>
    </row>
    <row r="2565" spans="1:15">
      <c r="A2565" s="2" t="s">
        <v>20</v>
      </c>
      <c r="B2565" t="s">
        <v>43</v>
      </c>
      <c r="C2565" t="s">
        <v>44</v>
      </c>
      <c r="D2565">
        <v>25</v>
      </c>
      <c r="E2565" t="s">
        <v>46</v>
      </c>
      <c r="F2565">
        <v>5</v>
      </c>
      <c r="G2565">
        <v>2</v>
      </c>
      <c r="H2565">
        <v>3</v>
      </c>
      <c r="I2565">
        <v>1</v>
      </c>
      <c r="J2565" s="4" t="s">
        <v>53</v>
      </c>
      <c r="K2565" t="str">
        <f t="shared" si="131"/>
        <v>2+3</v>
      </c>
      <c r="L2565">
        <f>VLOOKUP(A2565,'ZONE 1 PREMIUM'!$A$4:$N$16,14,0)</f>
        <v>11</v>
      </c>
      <c r="M2565">
        <f>VLOOKUP(D2565,DROPDOWN!B:C,2,0)</f>
        <v>9</v>
      </c>
      <c r="N2565" t="str">
        <f t="shared" si="129"/>
        <v>BR128:CJ139</v>
      </c>
      <c r="O2565" s="4">
        <f t="shared" ca="1" si="130"/>
        <v>294652.60000000003</v>
      </c>
    </row>
    <row r="2566" spans="1:15">
      <c r="A2566" s="2" t="s">
        <v>21</v>
      </c>
      <c r="B2566" t="s">
        <v>22</v>
      </c>
      <c r="D2566">
        <v>25</v>
      </c>
      <c r="E2566" t="s">
        <v>46</v>
      </c>
      <c r="F2566">
        <v>5</v>
      </c>
      <c r="G2566">
        <v>2</v>
      </c>
      <c r="H2566">
        <v>3</v>
      </c>
      <c r="I2566">
        <v>1</v>
      </c>
      <c r="J2566" s="4" t="s">
        <v>53</v>
      </c>
      <c r="K2566" t="str">
        <f t="shared" si="131"/>
        <v>2+3</v>
      </c>
      <c r="L2566">
        <f>VLOOKUP(A2566,'ZONE 1 PREMIUM'!$A$4:$N$16,14,0)</f>
        <v>12</v>
      </c>
      <c r="M2566">
        <f>VLOOKUP(D2566,DROPDOWN!B:C,2,0)</f>
        <v>9</v>
      </c>
      <c r="N2566" t="str">
        <f t="shared" si="129"/>
        <v>BR128:CJ139</v>
      </c>
      <c r="O2566" s="4">
        <f t="shared" ca="1" si="130"/>
        <v>372574.4</v>
      </c>
    </row>
    <row r="2567" spans="1:15">
      <c r="A2567" s="2" t="s">
        <v>11</v>
      </c>
      <c r="B2567" t="s">
        <v>45</v>
      </c>
      <c r="C2567" t="s">
        <v>25</v>
      </c>
      <c r="D2567">
        <v>25</v>
      </c>
      <c r="E2567" t="s">
        <v>46</v>
      </c>
      <c r="F2567">
        <v>6</v>
      </c>
      <c r="G2567">
        <v>2</v>
      </c>
      <c r="H2567">
        <v>4</v>
      </c>
      <c r="I2567">
        <v>1</v>
      </c>
      <c r="J2567" s="4" t="s">
        <v>53</v>
      </c>
      <c r="K2567" t="str">
        <f t="shared" si="131"/>
        <v>2+4</v>
      </c>
      <c r="L2567">
        <f>VLOOKUP(A2567,'ZONE 1 PREMIUM'!$A$4:$N$16,14,0)</f>
        <v>2</v>
      </c>
      <c r="M2567">
        <f>VLOOKUP(D2567,DROPDOWN!B:C,2,0)</f>
        <v>9</v>
      </c>
      <c r="N2567" t="str">
        <f t="shared" si="129"/>
        <v>BR143:CJ154</v>
      </c>
      <c r="O2567" s="4">
        <f t="shared" ca="1" si="130"/>
        <v>60595.700000000004</v>
      </c>
    </row>
    <row r="2568" spans="1:15">
      <c r="A2568" s="2" t="s">
        <v>12</v>
      </c>
      <c r="B2568" t="s">
        <v>27</v>
      </c>
      <c r="C2568" t="s">
        <v>28</v>
      </c>
      <c r="D2568">
        <v>25</v>
      </c>
      <c r="E2568" t="s">
        <v>46</v>
      </c>
      <c r="F2568">
        <v>6</v>
      </c>
      <c r="G2568">
        <v>2</v>
      </c>
      <c r="H2568">
        <v>4</v>
      </c>
      <c r="I2568">
        <v>1</v>
      </c>
      <c r="J2568" s="4" t="s">
        <v>53</v>
      </c>
      <c r="K2568" t="str">
        <f t="shared" si="131"/>
        <v>2+4</v>
      </c>
      <c r="L2568">
        <f>VLOOKUP(A2568,'ZONE 1 PREMIUM'!$A$4:$N$16,14,0)</f>
        <v>3</v>
      </c>
      <c r="M2568">
        <f>VLOOKUP(D2568,DROPDOWN!B:C,2,0)</f>
        <v>9</v>
      </c>
      <c r="N2568" t="str">
        <f t="shared" si="129"/>
        <v>BR143:CJ154</v>
      </c>
      <c r="O2568" s="4">
        <f t="shared" ca="1" si="130"/>
        <v>64504.000000000007</v>
      </c>
    </row>
    <row r="2569" spans="1:15">
      <c r="A2569" s="2" t="s">
        <v>13</v>
      </c>
      <c r="B2569" t="s">
        <v>29</v>
      </c>
      <c r="C2569" t="s">
        <v>30</v>
      </c>
      <c r="D2569">
        <v>25</v>
      </c>
      <c r="E2569" t="s">
        <v>46</v>
      </c>
      <c r="F2569">
        <v>6</v>
      </c>
      <c r="G2569">
        <v>2</v>
      </c>
      <c r="H2569">
        <v>4</v>
      </c>
      <c r="I2569">
        <v>1</v>
      </c>
      <c r="J2569" s="4" t="s">
        <v>53</v>
      </c>
      <c r="K2569" t="str">
        <f t="shared" si="131"/>
        <v>2+4</v>
      </c>
      <c r="L2569">
        <f>VLOOKUP(A2569,'ZONE 1 PREMIUM'!$A$4:$N$16,14,0)</f>
        <v>4</v>
      </c>
      <c r="M2569">
        <f>VLOOKUP(D2569,DROPDOWN!B:C,2,0)</f>
        <v>9</v>
      </c>
      <c r="N2569" t="str">
        <f t="shared" si="129"/>
        <v>BR143:CJ154</v>
      </c>
      <c r="O2569" s="4">
        <f t="shared" ca="1" si="130"/>
        <v>73242.400000000009</v>
      </c>
    </row>
    <row r="2570" spans="1:15">
      <c r="A2570" s="2" t="s">
        <v>14</v>
      </c>
      <c r="B2570" t="s">
        <v>31</v>
      </c>
      <c r="C2570" t="s">
        <v>32</v>
      </c>
      <c r="D2570">
        <v>25</v>
      </c>
      <c r="E2570" t="s">
        <v>46</v>
      </c>
      <c r="F2570">
        <v>6</v>
      </c>
      <c r="G2570">
        <v>2</v>
      </c>
      <c r="H2570">
        <v>4</v>
      </c>
      <c r="I2570">
        <v>1</v>
      </c>
      <c r="J2570" s="4" t="s">
        <v>53</v>
      </c>
      <c r="K2570" t="str">
        <f t="shared" si="131"/>
        <v>2+4</v>
      </c>
      <c r="L2570">
        <f>VLOOKUP(A2570,'ZONE 1 PREMIUM'!$A$4:$N$16,14,0)</f>
        <v>5</v>
      </c>
      <c r="M2570">
        <f>VLOOKUP(D2570,DROPDOWN!B:C,2,0)</f>
        <v>9</v>
      </c>
      <c r="N2570" t="str">
        <f t="shared" si="129"/>
        <v>BR143:CJ154</v>
      </c>
      <c r="O2570" s="4">
        <f t="shared" ca="1" si="130"/>
        <v>81969.8</v>
      </c>
    </row>
    <row r="2571" spans="1:15">
      <c r="A2571" s="2" t="s">
        <v>15</v>
      </c>
      <c r="B2571" t="s">
        <v>33</v>
      </c>
      <c r="C2571" t="s">
        <v>34</v>
      </c>
      <c r="D2571">
        <v>25</v>
      </c>
      <c r="E2571" t="s">
        <v>46</v>
      </c>
      <c r="F2571">
        <v>6</v>
      </c>
      <c r="G2571">
        <v>2</v>
      </c>
      <c r="H2571">
        <v>4</v>
      </c>
      <c r="I2571">
        <v>1</v>
      </c>
      <c r="J2571" s="4" t="s">
        <v>53</v>
      </c>
      <c r="K2571" t="str">
        <f t="shared" si="131"/>
        <v>2+4</v>
      </c>
      <c r="L2571">
        <f>VLOOKUP(A2571,'ZONE 1 PREMIUM'!$A$4:$N$16,14,0)</f>
        <v>6</v>
      </c>
      <c r="M2571">
        <f>VLOOKUP(D2571,DROPDOWN!B:C,2,0)</f>
        <v>9</v>
      </c>
      <c r="N2571" t="str">
        <f t="shared" si="129"/>
        <v>BR143:CJ154</v>
      </c>
      <c r="O2571" s="4">
        <f t="shared" ca="1" si="130"/>
        <v>99797.500000000015</v>
      </c>
    </row>
    <row r="2572" spans="1:15">
      <c r="A2572" s="2" t="s">
        <v>16</v>
      </c>
      <c r="B2572" t="s">
        <v>35</v>
      </c>
      <c r="C2572" t="s">
        <v>36</v>
      </c>
      <c r="D2572">
        <v>25</v>
      </c>
      <c r="E2572" t="s">
        <v>46</v>
      </c>
      <c r="F2572">
        <v>6</v>
      </c>
      <c r="G2572">
        <v>2</v>
      </c>
      <c r="H2572">
        <v>4</v>
      </c>
      <c r="I2572">
        <v>1</v>
      </c>
      <c r="J2572" s="4" t="s">
        <v>53</v>
      </c>
      <c r="K2572" t="str">
        <f t="shared" si="131"/>
        <v>2+4</v>
      </c>
      <c r="L2572">
        <f>VLOOKUP(A2572,'ZONE 1 PREMIUM'!$A$4:$N$16,14,0)</f>
        <v>7</v>
      </c>
      <c r="M2572">
        <f>VLOOKUP(D2572,DROPDOWN!B:C,2,0)</f>
        <v>9</v>
      </c>
      <c r="N2572" t="str">
        <f t="shared" si="129"/>
        <v>BR143:CJ154</v>
      </c>
      <c r="O2572" s="4">
        <f t="shared" ca="1" si="130"/>
        <v>123948.00000000001</v>
      </c>
    </row>
    <row r="2573" spans="1:15">
      <c r="A2573" s="2" t="s">
        <v>17</v>
      </c>
      <c r="B2573" t="s">
        <v>37</v>
      </c>
      <c r="C2573" t="s">
        <v>38</v>
      </c>
      <c r="D2573">
        <v>25</v>
      </c>
      <c r="E2573" t="s">
        <v>46</v>
      </c>
      <c r="F2573">
        <v>6</v>
      </c>
      <c r="G2573">
        <v>2</v>
      </c>
      <c r="H2573">
        <v>4</v>
      </c>
      <c r="I2573">
        <v>1</v>
      </c>
      <c r="J2573" s="4" t="s">
        <v>53</v>
      </c>
      <c r="K2573" t="str">
        <f t="shared" si="131"/>
        <v>2+4</v>
      </c>
      <c r="L2573">
        <f>VLOOKUP(A2573,'ZONE 1 PREMIUM'!$A$4:$N$16,14,0)</f>
        <v>8</v>
      </c>
      <c r="M2573">
        <f>VLOOKUP(D2573,DROPDOWN!B:C,2,0)</f>
        <v>9</v>
      </c>
      <c r="N2573" t="str">
        <f t="shared" si="129"/>
        <v>BR143:CJ154</v>
      </c>
      <c r="O2573" s="4">
        <f t="shared" ca="1" si="130"/>
        <v>153543.5</v>
      </c>
    </row>
    <row r="2574" spans="1:15">
      <c r="A2574" s="2" t="s">
        <v>18</v>
      </c>
      <c r="B2574" t="s">
        <v>39</v>
      </c>
      <c r="C2574" t="s">
        <v>40</v>
      </c>
      <c r="D2574">
        <v>25</v>
      </c>
      <c r="E2574" t="s">
        <v>46</v>
      </c>
      <c r="F2574">
        <v>6</v>
      </c>
      <c r="G2574">
        <v>2</v>
      </c>
      <c r="H2574">
        <v>4</v>
      </c>
      <c r="I2574">
        <v>1</v>
      </c>
      <c r="J2574" s="4" t="s">
        <v>53</v>
      </c>
      <c r="K2574" t="str">
        <f t="shared" si="131"/>
        <v>2+4</v>
      </c>
      <c r="L2574">
        <f>VLOOKUP(A2574,'ZONE 1 PREMIUM'!$A$4:$N$16,14,0)</f>
        <v>9</v>
      </c>
      <c r="M2574">
        <f>VLOOKUP(D2574,DROPDOWN!B:C,2,0)</f>
        <v>9</v>
      </c>
      <c r="N2574" t="str">
        <f t="shared" si="129"/>
        <v>BR143:CJ154</v>
      </c>
      <c r="O2574" s="4">
        <f t="shared" ca="1" si="130"/>
        <v>196570.00000000003</v>
      </c>
    </row>
    <row r="2575" spans="1:15">
      <c r="A2575" s="2" t="s">
        <v>19</v>
      </c>
      <c r="B2575" t="s">
        <v>41</v>
      </c>
      <c r="C2575" t="s">
        <v>42</v>
      </c>
      <c r="D2575">
        <v>25</v>
      </c>
      <c r="E2575" t="s">
        <v>46</v>
      </c>
      <c r="F2575">
        <v>6</v>
      </c>
      <c r="G2575">
        <v>2</v>
      </c>
      <c r="H2575">
        <v>4</v>
      </c>
      <c r="I2575">
        <v>1</v>
      </c>
      <c r="J2575" s="4" t="s">
        <v>53</v>
      </c>
      <c r="K2575" t="str">
        <f t="shared" si="131"/>
        <v>2+4</v>
      </c>
      <c r="L2575">
        <f>VLOOKUP(A2575,'ZONE 1 PREMIUM'!$A$4:$N$16,14,0)</f>
        <v>10</v>
      </c>
      <c r="M2575">
        <f>VLOOKUP(D2575,DROPDOWN!B:C,2,0)</f>
        <v>9</v>
      </c>
      <c r="N2575" t="str">
        <f t="shared" si="129"/>
        <v>BR143:CJ154</v>
      </c>
      <c r="O2575" s="4">
        <f t="shared" ca="1" si="130"/>
        <v>250704.30000000002</v>
      </c>
    </row>
    <row r="2576" spans="1:15">
      <c r="A2576" s="2" t="s">
        <v>20</v>
      </c>
      <c r="B2576" t="s">
        <v>43</v>
      </c>
      <c r="C2576" t="s">
        <v>44</v>
      </c>
      <c r="D2576">
        <v>25</v>
      </c>
      <c r="E2576" t="s">
        <v>46</v>
      </c>
      <c r="F2576">
        <v>6</v>
      </c>
      <c r="G2576">
        <v>2</v>
      </c>
      <c r="H2576">
        <v>4</v>
      </c>
      <c r="I2576">
        <v>1</v>
      </c>
      <c r="J2576" s="4" t="s">
        <v>53</v>
      </c>
      <c r="K2576" t="str">
        <f t="shared" si="131"/>
        <v>2+4</v>
      </c>
      <c r="L2576">
        <f>VLOOKUP(A2576,'ZONE 1 PREMIUM'!$A$4:$N$16,14,0)</f>
        <v>11</v>
      </c>
      <c r="M2576">
        <f>VLOOKUP(D2576,DROPDOWN!B:C,2,0)</f>
        <v>9</v>
      </c>
      <c r="N2576" t="str">
        <f t="shared" si="129"/>
        <v>BR143:CJ154</v>
      </c>
      <c r="O2576" s="4">
        <f t="shared" ca="1" si="130"/>
        <v>303331.60000000003</v>
      </c>
    </row>
    <row r="2577" spans="1:15">
      <c r="A2577" s="2" t="s">
        <v>21</v>
      </c>
      <c r="B2577" t="s">
        <v>22</v>
      </c>
      <c r="D2577">
        <v>25</v>
      </c>
      <c r="E2577" t="s">
        <v>46</v>
      </c>
      <c r="F2577">
        <v>6</v>
      </c>
      <c r="G2577">
        <v>2</v>
      </c>
      <c r="H2577">
        <v>4</v>
      </c>
      <c r="I2577">
        <v>1</v>
      </c>
      <c r="J2577" s="4" t="s">
        <v>53</v>
      </c>
      <c r="K2577" t="str">
        <f t="shared" si="131"/>
        <v>2+4</v>
      </c>
      <c r="L2577">
        <f>VLOOKUP(A2577,'ZONE 1 PREMIUM'!$A$4:$N$16,14,0)</f>
        <v>12</v>
      </c>
      <c r="M2577">
        <f>VLOOKUP(D2577,DROPDOWN!B:C,2,0)</f>
        <v>9</v>
      </c>
      <c r="N2577" t="str">
        <f t="shared" si="129"/>
        <v>BR143:CJ154</v>
      </c>
      <c r="O2577" s="4">
        <f t="shared" ca="1" si="130"/>
        <v>379808.00000000006</v>
      </c>
    </row>
    <row r="2578" spans="1:15">
      <c r="A2578" s="2" t="s">
        <v>9</v>
      </c>
      <c r="B2578" t="s">
        <v>47</v>
      </c>
      <c r="C2578" t="s">
        <v>48</v>
      </c>
      <c r="D2578">
        <v>25</v>
      </c>
      <c r="E2578" t="s">
        <v>26</v>
      </c>
      <c r="F2578">
        <v>1</v>
      </c>
      <c r="H2578">
        <v>1</v>
      </c>
      <c r="I2578">
        <v>1</v>
      </c>
      <c r="J2578" s="4" t="s">
        <v>54</v>
      </c>
      <c r="K2578" t="str">
        <f t="shared" si="131"/>
        <v>+1</v>
      </c>
      <c r="N2578" t="e">
        <f t="shared" ref="N2578:N2641" si="132">VLOOKUP(K2578,$DH$4:$DI$13,2,0)</f>
        <v>#N/A</v>
      </c>
      <c r="O2578" s="13">
        <v>4388.9247387462819</v>
      </c>
    </row>
    <row r="2579" spans="1:15">
      <c r="A2579" s="2" t="s">
        <v>10</v>
      </c>
      <c r="B2579" t="s">
        <v>49</v>
      </c>
      <c r="C2579" t="s">
        <v>50</v>
      </c>
      <c r="D2579">
        <v>25</v>
      </c>
      <c r="E2579" t="s">
        <v>26</v>
      </c>
      <c r="F2579">
        <v>1</v>
      </c>
      <c r="G2579">
        <v>1</v>
      </c>
      <c r="H2579">
        <v>0</v>
      </c>
      <c r="I2579">
        <v>1</v>
      </c>
      <c r="J2579" s="4" t="s">
        <v>54</v>
      </c>
      <c r="K2579" t="str">
        <f t="shared" si="131"/>
        <v>1+0</v>
      </c>
      <c r="L2579">
        <f>VLOOKUP(A2579,'ZONE 1 PREMIUM'!$A$3:$M$16,13,0)</f>
        <v>3</v>
      </c>
      <c r="M2579">
        <f>VLOOKUP(D2579,DROPDOWN!B:C,2,0)</f>
        <v>9</v>
      </c>
      <c r="N2579" t="str">
        <f t="shared" si="132"/>
        <v>CO3:DG16</v>
      </c>
      <c r="O2579" s="4">
        <f t="shared" ca="1" si="130"/>
        <v>6997.8</v>
      </c>
    </row>
    <row r="2580" spans="1:15">
      <c r="A2580" s="2" t="s">
        <v>11</v>
      </c>
      <c r="B2580" t="s">
        <v>45</v>
      </c>
      <c r="C2580" t="s">
        <v>25</v>
      </c>
      <c r="D2580">
        <v>25</v>
      </c>
      <c r="E2580" t="s">
        <v>26</v>
      </c>
      <c r="F2580">
        <v>1</v>
      </c>
      <c r="G2580">
        <v>1</v>
      </c>
      <c r="H2580">
        <v>0</v>
      </c>
      <c r="I2580">
        <v>1</v>
      </c>
      <c r="J2580" s="4" t="s">
        <v>54</v>
      </c>
      <c r="K2580" t="str">
        <f t="shared" si="131"/>
        <v>1+0</v>
      </c>
      <c r="L2580">
        <f>VLOOKUP(A2580,'ZONE 1 PREMIUM'!$A$3:$M$16,13,0)</f>
        <v>4</v>
      </c>
      <c r="M2580">
        <f>VLOOKUP(D2580,DROPDOWN!B:C,2,0)</f>
        <v>9</v>
      </c>
      <c r="N2580" t="str">
        <f t="shared" si="132"/>
        <v>CO3:DG16</v>
      </c>
      <c r="O2580" s="4">
        <f t="shared" ca="1" si="130"/>
        <v>19311.530000000002</v>
      </c>
    </row>
    <row r="2581" spans="1:15">
      <c r="A2581" s="2" t="s">
        <v>12</v>
      </c>
      <c r="B2581" t="s">
        <v>27</v>
      </c>
      <c r="C2581" t="s">
        <v>28</v>
      </c>
      <c r="D2581">
        <v>25</v>
      </c>
      <c r="E2581" t="s">
        <v>26</v>
      </c>
      <c r="F2581">
        <v>1</v>
      </c>
      <c r="G2581">
        <v>1</v>
      </c>
      <c r="H2581">
        <v>0</v>
      </c>
      <c r="I2581">
        <v>1</v>
      </c>
      <c r="J2581" s="4" t="s">
        <v>54</v>
      </c>
      <c r="K2581" t="str">
        <f t="shared" si="131"/>
        <v>1+0</v>
      </c>
      <c r="L2581">
        <f>VLOOKUP(A2581,'ZONE 1 PREMIUM'!$A$3:$M$16,13,0)</f>
        <v>5</v>
      </c>
      <c r="M2581">
        <f>VLOOKUP(D2581,DROPDOWN!B:C,2,0)</f>
        <v>9</v>
      </c>
      <c r="N2581" t="str">
        <f t="shared" si="132"/>
        <v>CO3:DG16</v>
      </c>
      <c r="O2581" s="4">
        <f t="shared" ca="1" si="130"/>
        <v>22065.960000000003</v>
      </c>
    </row>
    <row r="2582" spans="1:15">
      <c r="A2582" s="2" t="s">
        <v>13</v>
      </c>
      <c r="B2582" t="s">
        <v>29</v>
      </c>
      <c r="C2582" t="s">
        <v>30</v>
      </c>
      <c r="D2582">
        <v>25</v>
      </c>
      <c r="E2582" t="s">
        <v>26</v>
      </c>
      <c r="F2582">
        <v>1</v>
      </c>
      <c r="G2582">
        <v>1</v>
      </c>
      <c r="H2582">
        <v>0</v>
      </c>
      <c r="I2582">
        <v>1</v>
      </c>
      <c r="J2582" s="4" t="s">
        <v>54</v>
      </c>
      <c r="K2582" t="str">
        <f t="shared" si="131"/>
        <v>1+0</v>
      </c>
      <c r="L2582">
        <f>VLOOKUP(A2582,'ZONE 1 PREMIUM'!$A$3:$M$16,13,0)</f>
        <v>6</v>
      </c>
      <c r="M2582">
        <f>VLOOKUP(D2582,DROPDOWN!B:C,2,0)</f>
        <v>9</v>
      </c>
      <c r="N2582" t="str">
        <f t="shared" si="132"/>
        <v>CO3:DG16</v>
      </c>
      <c r="O2582" s="4">
        <f t="shared" ca="1" si="130"/>
        <v>25486.38</v>
      </c>
    </row>
    <row r="2583" spans="1:15">
      <c r="A2583" s="2" t="s">
        <v>14</v>
      </c>
      <c r="B2583" t="s">
        <v>31</v>
      </c>
      <c r="C2583" t="s">
        <v>32</v>
      </c>
      <c r="D2583">
        <v>25</v>
      </c>
      <c r="E2583" t="s">
        <v>26</v>
      </c>
      <c r="F2583">
        <v>1</v>
      </c>
      <c r="G2583">
        <v>1</v>
      </c>
      <c r="H2583">
        <v>0</v>
      </c>
      <c r="I2583">
        <v>1</v>
      </c>
      <c r="J2583" s="4" t="s">
        <v>54</v>
      </c>
      <c r="K2583" t="str">
        <f t="shared" si="131"/>
        <v>1+0</v>
      </c>
      <c r="L2583">
        <f>VLOOKUP(A2583,'ZONE 1 PREMIUM'!$A$3:$M$16,13,0)</f>
        <v>7</v>
      </c>
      <c r="M2583">
        <f>VLOOKUP(D2583,DROPDOWN!B:C,2,0)</f>
        <v>9</v>
      </c>
      <c r="N2583" t="str">
        <f t="shared" si="132"/>
        <v>CO3:DG16</v>
      </c>
      <c r="O2583" s="4">
        <f t="shared" ca="1" si="130"/>
        <v>29519.38</v>
      </c>
    </row>
    <row r="2584" spans="1:15">
      <c r="A2584" s="2" t="s">
        <v>15</v>
      </c>
      <c r="B2584" t="s">
        <v>33</v>
      </c>
      <c r="C2584" t="s">
        <v>34</v>
      </c>
      <c r="D2584">
        <v>25</v>
      </c>
      <c r="E2584" t="s">
        <v>26</v>
      </c>
      <c r="F2584">
        <v>1</v>
      </c>
      <c r="G2584">
        <v>1</v>
      </c>
      <c r="H2584">
        <v>0</v>
      </c>
      <c r="I2584">
        <v>1</v>
      </c>
      <c r="J2584" s="4" t="s">
        <v>54</v>
      </c>
      <c r="K2584" t="str">
        <f t="shared" si="131"/>
        <v>1+0</v>
      </c>
      <c r="L2584">
        <f>VLOOKUP(A2584,'ZONE 1 PREMIUM'!$A$3:$M$16,13,0)</f>
        <v>8</v>
      </c>
      <c r="M2584">
        <f>VLOOKUP(D2584,DROPDOWN!B:C,2,0)</f>
        <v>9</v>
      </c>
      <c r="N2584" t="str">
        <f t="shared" si="132"/>
        <v>CO3:DG16</v>
      </c>
      <c r="O2584" s="4">
        <f t="shared" ca="1" si="130"/>
        <v>36789.68</v>
      </c>
    </row>
    <row r="2585" spans="1:15">
      <c r="A2585" s="2" t="s">
        <v>16</v>
      </c>
      <c r="B2585" t="s">
        <v>35</v>
      </c>
      <c r="C2585" t="s">
        <v>36</v>
      </c>
      <c r="D2585">
        <v>25</v>
      </c>
      <c r="E2585" t="s">
        <v>26</v>
      </c>
      <c r="F2585">
        <v>1</v>
      </c>
      <c r="G2585">
        <v>1</v>
      </c>
      <c r="H2585">
        <v>0</v>
      </c>
      <c r="I2585">
        <v>1</v>
      </c>
      <c r="J2585" s="4" t="s">
        <v>54</v>
      </c>
      <c r="K2585" t="str">
        <f t="shared" si="131"/>
        <v>1+0</v>
      </c>
      <c r="L2585">
        <f>VLOOKUP(A2585,'ZONE 1 PREMIUM'!$A$3:$M$16,13,0)</f>
        <v>9</v>
      </c>
      <c r="M2585">
        <f>VLOOKUP(D2585,DROPDOWN!B:C,2,0)</f>
        <v>9</v>
      </c>
      <c r="N2585" t="str">
        <f t="shared" si="132"/>
        <v>CO3:DG16</v>
      </c>
      <c r="O2585" s="4">
        <f t="shared" ca="1" si="130"/>
        <v>48545.33</v>
      </c>
    </row>
    <row r="2586" spans="1:15">
      <c r="A2586" s="2" t="s">
        <v>17</v>
      </c>
      <c r="B2586" t="s">
        <v>37</v>
      </c>
      <c r="C2586" t="s">
        <v>38</v>
      </c>
      <c r="D2586">
        <v>25</v>
      </c>
      <c r="E2586" t="s">
        <v>26</v>
      </c>
      <c r="F2586">
        <v>1</v>
      </c>
      <c r="G2586">
        <v>1</v>
      </c>
      <c r="H2586">
        <v>0</v>
      </c>
      <c r="I2586">
        <v>1</v>
      </c>
      <c r="J2586" s="4" t="s">
        <v>54</v>
      </c>
      <c r="K2586" t="str">
        <f t="shared" si="131"/>
        <v>1+0</v>
      </c>
      <c r="L2586">
        <f>VLOOKUP(A2586,'ZONE 1 PREMIUM'!$A$3:$M$16,13,0)</f>
        <v>10</v>
      </c>
      <c r="M2586">
        <f>VLOOKUP(D2586,DROPDOWN!B:C,2,0)</f>
        <v>9</v>
      </c>
      <c r="N2586" t="str">
        <f t="shared" si="132"/>
        <v>CO3:DG16</v>
      </c>
      <c r="O2586" s="4">
        <f t="shared" ca="1" si="130"/>
        <v>65191.810000000005</v>
      </c>
    </row>
    <row r="2587" spans="1:15">
      <c r="A2587" s="2" t="s">
        <v>18</v>
      </c>
      <c r="B2587" t="s">
        <v>39</v>
      </c>
      <c r="C2587" t="s">
        <v>40</v>
      </c>
      <c r="D2587">
        <v>25</v>
      </c>
      <c r="E2587" t="s">
        <v>26</v>
      </c>
      <c r="F2587">
        <v>1</v>
      </c>
      <c r="G2587">
        <v>1</v>
      </c>
      <c r="H2587">
        <v>0</v>
      </c>
      <c r="I2587">
        <v>1</v>
      </c>
      <c r="J2587" s="4" t="s">
        <v>54</v>
      </c>
      <c r="K2587" t="str">
        <f t="shared" si="131"/>
        <v>1+0</v>
      </c>
      <c r="L2587">
        <f>VLOOKUP(A2587,'ZONE 1 PREMIUM'!$A$3:$M$16,13,0)</f>
        <v>11</v>
      </c>
      <c r="M2587">
        <f>VLOOKUP(D2587,DROPDOWN!B:C,2,0)</f>
        <v>9</v>
      </c>
      <c r="N2587" t="str">
        <f t="shared" si="132"/>
        <v>CO3:DG16</v>
      </c>
      <c r="O2587" s="4">
        <f t="shared" ca="1" si="130"/>
        <v>90091.77</v>
      </c>
    </row>
    <row r="2588" spans="1:15">
      <c r="A2588" s="2" t="s">
        <v>19</v>
      </c>
      <c r="B2588" t="s">
        <v>41</v>
      </c>
      <c r="C2588" t="s">
        <v>42</v>
      </c>
      <c r="D2588">
        <v>25</v>
      </c>
      <c r="E2588" t="s">
        <v>26</v>
      </c>
      <c r="F2588">
        <v>1</v>
      </c>
      <c r="G2588">
        <v>1</v>
      </c>
      <c r="H2588">
        <v>0</v>
      </c>
      <c r="I2588">
        <v>1</v>
      </c>
      <c r="J2588" s="4" t="s">
        <v>54</v>
      </c>
      <c r="K2588" t="str">
        <f t="shared" si="131"/>
        <v>1+0</v>
      </c>
      <c r="L2588">
        <f>VLOOKUP(A2588,'ZONE 1 PREMIUM'!$A$3:$M$16,13,0)</f>
        <v>12</v>
      </c>
      <c r="M2588">
        <f>VLOOKUP(D2588,DROPDOWN!B:C,2,0)</f>
        <v>9</v>
      </c>
      <c r="N2588" t="str">
        <f t="shared" si="132"/>
        <v>CO3:DG16</v>
      </c>
      <c r="O2588" s="4">
        <f t="shared" ca="1" si="130"/>
        <v>117256.75000000001</v>
      </c>
    </row>
    <row r="2589" spans="1:15">
      <c r="A2589" s="2" t="s">
        <v>20</v>
      </c>
      <c r="B2589" t="s">
        <v>43</v>
      </c>
      <c r="C2589" t="s">
        <v>44</v>
      </c>
      <c r="D2589">
        <v>25</v>
      </c>
      <c r="E2589" t="s">
        <v>26</v>
      </c>
      <c r="F2589">
        <v>1</v>
      </c>
      <c r="G2589">
        <v>1</v>
      </c>
      <c r="H2589">
        <v>0</v>
      </c>
      <c r="I2589">
        <v>1</v>
      </c>
      <c r="J2589" s="4" t="s">
        <v>54</v>
      </c>
      <c r="K2589" t="str">
        <f t="shared" si="131"/>
        <v>1+0</v>
      </c>
      <c r="L2589">
        <f>VLOOKUP(A2589,'ZONE 1 PREMIUM'!$A$3:$M$16,13,0)</f>
        <v>13</v>
      </c>
      <c r="M2589">
        <f>VLOOKUP(D2589,DROPDOWN!B:C,2,0)</f>
        <v>9</v>
      </c>
      <c r="N2589" t="str">
        <f t="shared" si="132"/>
        <v>CO3:DG16</v>
      </c>
      <c r="O2589" s="4">
        <f t="shared" ca="1" si="130"/>
        <v>141234.57</v>
      </c>
    </row>
    <row r="2590" spans="1:15">
      <c r="A2590" s="2" t="s">
        <v>21</v>
      </c>
      <c r="B2590" t="s">
        <v>22</v>
      </c>
      <c r="D2590">
        <v>25</v>
      </c>
      <c r="E2590" t="s">
        <v>26</v>
      </c>
      <c r="F2590">
        <v>1</v>
      </c>
      <c r="G2590">
        <v>1</v>
      </c>
      <c r="H2590">
        <v>0</v>
      </c>
      <c r="I2590">
        <v>1</v>
      </c>
      <c r="J2590" s="4" t="s">
        <v>54</v>
      </c>
      <c r="K2590" t="str">
        <f t="shared" si="131"/>
        <v>1+0</v>
      </c>
      <c r="L2590">
        <f>VLOOKUP(A2590,'ZONE 1 PREMIUM'!$A$3:$M$16,13,0)</f>
        <v>14</v>
      </c>
      <c r="M2590">
        <f>VLOOKUP(D2590,DROPDOWN!B:C,2,0)</f>
        <v>9</v>
      </c>
      <c r="N2590" t="str">
        <f t="shared" si="132"/>
        <v>CO3:DG16</v>
      </c>
      <c r="O2590" s="4">
        <f t="shared" ca="1" si="130"/>
        <v>190137.42</v>
      </c>
    </row>
    <row r="2591" spans="1:15">
      <c r="A2591" s="2" t="s">
        <v>11</v>
      </c>
      <c r="B2591" t="s">
        <v>45</v>
      </c>
      <c r="C2591" t="s">
        <v>25</v>
      </c>
      <c r="D2591">
        <v>25</v>
      </c>
      <c r="E2591" t="s">
        <v>46</v>
      </c>
      <c r="F2591">
        <v>2</v>
      </c>
      <c r="G2591">
        <v>1</v>
      </c>
      <c r="H2591">
        <v>1</v>
      </c>
      <c r="I2591">
        <v>1</v>
      </c>
      <c r="J2591" s="4" t="s">
        <v>54</v>
      </c>
      <c r="K2591" t="str">
        <f t="shared" si="131"/>
        <v>1+1</v>
      </c>
      <c r="L2591">
        <f>VLOOKUP(A2591,'ZONE 1 PREMIUM'!$A$4:$N$16,14,0)</f>
        <v>2</v>
      </c>
      <c r="M2591">
        <f>VLOOKUP(D2591,DROPDOWN!B:C,2,0)</f>
        <v>9</v>
      </c>
      <c r="N2591" t="str">
        <f t="shared" si="132"/>
        <v>CO20:DG31</v>
      </c>
      <c r="O2591" s="4">
        <f t="shared" ca="1" si="130"/>
        <v>21644.13</v>
      </c>
    </row>
    <row r="2592" spans="1:15">
      <c r="A2592" s="2" t="s">
        <v>12</v>
      </c>
      <c r="B2592" t="s">
        <v>27</v>
      </c>
      <c r="C2592" t="s">
        <v>28</v>
      </c>
      <c r="D2592">
        <v>25</v>
      </c>
      <c r="E2592" t="s">
        <v>46</v>
      </c>
      <c r="F2592">
        <v>2</v>
      </c>
      <c r="G2592">
        <v>1</v>
      </c>
      <c r="H2592">
        <v>1</v>
      </c>
      <c r="I2592">
        <v>1</v>
      </c>
      <c r="J2592" s="4" t="s">
        <v>54</v>
      </c>
      <c r="K2592" t="str">
        <f t="shared" si="131"/>
        <v>1+1</v>
      </c>
      <c r="L2592">
        <f>VLOOKUP(A2592,'ZONE 1 PREMIUM'!$A$4:$N$16,14,0)</f>
        <v>3</v>
      </c>
      <c r="M2592">
        <f>VLOOKUP(D2592,DROPDOWN!B:C,2,0)</f>
        <v>9</v>
      </c>
      <c r="N2592" t="str">
        <f t="shared" si="132"/>
        <v>CO20:DG31</v>
      </c>
      <c r="O2592" s="4">
        <f t="shared" ca="1" si="130"/>
        <v>23844.84</v>
      </c>
    </row>
    <row r="2593" spans="1:15">
      <c r="A2593" s="2" t="s">
        <v>13</v>
      </c>
      <c r="B2593" t="s">
        <v>29</v>
      </c>
      <c r="C2593" t="s">
        <v>30</v>
      </c>
      <c r="D2593">
        <v>25</v>
      </c>
      <c r="E2593" t="s">
        <v>46</v>
      </c>
      <c r="F2593">
        <v>2</v>
      </c>
      <c r="G2593">
        <v>1</v>
      </c>
      <c r="H2593">
        <v>1</v>
      </c>
      <c r="I2593">
        <v>1</v>
      </c>
      <c r="J2593" s="4" t="s">
        <v>54</v>
      </c>
      <c r="K2593" t="str">
        <f t="shared" si="131"/>
        <v>1+1</v>
      </c>
      <c r="L2593">
        <f>VLOOKUP(A2593,'ZONE 1 PREMIUM'!$A$4:$N$16,14,0)</f>
        <v>4</v>
      </c>
      <c r="M2593">
        <f>VLOOKUP(D2593,DROPDOWN!B:C,2,0)</f>
        <v>9</v>
      </c>
      <c r="N2593" t="str">
        <f t="shared" si="132"/>
        <v>CO20:DG31</v>
      </c>
      <c r="O2593" s="4">
        <f t="shared" ca="1" si="130"/>
        <v>27642.400000000001</v>
      </c>
    </row>
    <row r="2594" spans="1:15">
      <c r="A2594" s="2" t="s">
        <v>14</v>
      </c>
      <c r="B2594" t="s">
        <v>31</v>
      </c>
      <c r="C2594" t="s">
        <v>32</v>
      </c>
      <c r="D2594">
        <v>25</v>
      </c>
      <c r="E2594" t="s">
        <v>46</v>
      </c>
      <c r="F2594">
        <v>2</v>
      </c>
      <c r="G2594">
        <v>1</v>
      </c>
      <c r="H2594">
        <v>1</v>
      </c>
      <c r="I2594">
        <v>1</v>
      </c>
      <c r="J2594" s="4" t="s">
        <v>54</v>
      </c>
      <c r="K2594" t="str">
        <f t="shared" si="131"/>
        <v>1+1</v>
      </c>
      <c r="L2594">
        <f>VLOOKUP(A2594,'ZONE 1 PREMIUM'!$A$4:$N$16,14,0)</f>
        <v>5</v>
      </c>
      <c r="M2594">
        <f>VLOOKUP(D2594,DROPDOWN!B:C,2,0)</f>
        <v>9</v>
      </c>
      <c r="N2594" t="str">
        <f t="shared" si="132"/>
        <v>CO20:DG31</v>
      </c>
      <c r="O2594" s="4">
        <f t="shared" ca="1" si="130"/>
        <v>32452.570000000003</v>
      </c>
    </row>
    <row r="2595" spans="1:15">
      <c r="A2595" s="2" t="s">
        <v>15</v>
      </c>
      <c r="B2595" t="s">
        <v>33</v>
      </c>
      <c r="C2595" t="s">
        <v>34</v>
      </c>
      <c r="D2595">
        <v>25</v>
      </c>
      <c r="E2595" t="s">
        <v>46</v>
      </c>
      <c r="F2595">
        <v>2</v>
      </c>
      <c r="G2595">
        <v>1</v>
      </c>
      <c r="H2595">
        <v>1</v>
      </c>
      <c r="I2595">
        <v>1</v>
      </c>
      <c r="J2595" s="4" t="s">
        <v>54</v>
      </c>
      <c r="K2595" t="str">
        <f t="shared" si="131"/>
        <v>1+1</v>
      </c>
      <c r="L2595">
        <f>VLOOKUP(A2595,'ZONE 1 PREMIUM'!$A$4:$N$16,14,0)</f>
        <v>6</v>
      </c>
      <c r="M2595">
        <f>VLOOKUP(D2595,DROPDOWN!B:C,2,0)</f>
        <v>9</v>
      </c>
      <c r="N2595" t="str">
        <f t="shared" si="132"/>
        <v>CO20:DG31</v>
      </c>
      <c r="O2595" s="4">
        <f t="shared" ca="1" si="130"/>
        <v>40109.82</v>
      </c>
    </row>
    <row r="2596" spans="1:15">
      <c r="A2596" s="2" t="s">
        <v>16</v>
      </c>
      <c r="B2596" t="s">
        <v>35</v>
      </c>
      <c r="C2596" t="s">
        <v>36</v>
      </c>
      <c r="D2596">
        <v>25</v>
      </c>
      <c r="E2596" t="s">
        <v>46</v>
      </c>
      <c r="F2596">
        <v>2</v>
      </c>
      <c r="G2596">
        <v>1</v>
      </c>
      <c r="H2596">
        <v>1</v>
      </c>
      <c r="I2596">
        <v>1</v>
      </c>
      <c r="J2596" s="4" t="s">
        <v>54</v>
      </c>
      <c r="K2596" t="str">
        <f t="shared" si="131"/>
        <v>1+1</v>
      </c>
      <c r="L2596">
        <f>VLOOKUP(A2596,'ZONE 1 PREMIUM'!$A$4:$N$16,14,0)</f>
        <v>7</v>
      </c>
      <c r="M2596">
        <f>VLOOKUP(D2596,DROPDOWN!B:C,2,0)</f>
        <v>9</v>
      </c>
      <c r="N2596" t="str">
        <f t="shared" si="132"/>
        <v>CO20:DG31</v>
      </c>
      <c r="O2596" s="4">
        <f t="shared" ca="1" si="130"/>
        <v>52212.090000000004</v>
      </c>
    </row>
    <row r="2597" spans="1:15">
      <c r="A2597" s="2" t="s">
        <v>17</v>
      </c>
      <c r="B2597" t="s">
        <v>37</v>
      </c>
      <c r="C2597" t="s">
        <v>38</v>
      </c>
      <c r="D2597">
        <v>25</v>
      </c>
      <c r="E2597" t="s">
        <v>46</v>
      </c>
      <c r="F2597">
        <v>2</v>
      </c>
      <c r="G2597">
        <v>1</v>
      </c>
      <c r="H2597">
        <v>1</v>
      </c>
      <c r="I2597">
        <v>1</v>
      </c>
      <c r="J2597" s="4" t="s">
        <v>54</v>
      </c>
      <c r="K2597" t="str">
        <f t="shared" si="131"/>
        <v>1+1</v>
      </c>
      <c r="L2597">
        <f>VLOOKUP(A2597,'ZONE 1 PREMIUM'!$A$4:$N$16,14,0)</f>
        <v>8</v>
      </c>
      <c r="M2597">
        <f>VLOOKUP(D2597,DROPDOWN!B:C,2,0)</f>
        <v>9</v>
      </c>
      <c r="N2597" t="str">
        <f t="shared" si="132"/>
        <v>CO20:DG31</v>
      </c>
      <c r="O2597" s="4">
        <f t="shared" ca="1" si="130"/>
        <v>69054.77</v>
      </c>
    </row>
    <row r="2598" spans="1:15">
      <c r="A2598" s="2" t="s">
        <v>18</v>
      </c>
      <c r="B2598" t="s">
        <v>39</v>
      </c>
      <c r="C2598" t="s">
        <v>40</v>
      </c>
      <c r="D2598">
        <v>25</v>
      </c>
      <c r="E2598" t="s">
        <v>46</v>
      </c>
      <c r="F2598">
        <v>2</v>
      </c>
      <c r="G2598">
        <v>1</v>
      </c>
      <c r="H2598">
        <v>1</v>
      </c>
      <c r="I2598">
        <v>1</v>
      </c>
      <c r="J2598" s="4" t="s">
        <v>54</v>
      </c>
      <c r="K2598" t="str">
        <f t="shared" si="131"/>
        <v>1+1</v>
      </c>
      <c r="L2598">
        <f>VLOOKUP(A2598,'ZONE 1 PREMIUM'!$A$4:$N$16,14,0)</f>
        <v>9</v>
      </c>
      <c r="M2598">
        <f>VLOOKUP(D2598,DROPDOWN!B:C,2,0)</f>
        <v>9</v>
      </c>
      <c r="N2598" t="str">
        <f t="shared" si="132"/>
        <v>CO20:DG31</v>
      </c>
      <c r="O2598" s="4">
        <f t="shared" ca="1" si="130"/>
        <v>95034.920000000013</v>
      </c>
    </row>
    <row r="2599" spans="1:15">
      <c r="A2599" s="2" t="s">
        <v>19</v>
      </c>
      <c r="B2599" t="s">
        <v>41</v>
      </c>
      <c r="C2599" t="s">
        <v>42</v>
      </c>
      <c r="D2599">
        <v>25</v>
      </c>
      <c r="E2599" t="s">
        <v>46</v>
      </c>
      <c r="F2599">
        <v>2</v>
      </c>
      <c r="G2599">
        <v>1</v>
      </c>
      <c r="H2599">
        <v>1</v>
      </c>
      <c r="I2599">
        <v>1</v>
      </c>
      <c r="J2599" s="4" t="s">
        <v>54</v>
      </c>
      <c r="K2599" t="str">
        <f t="shared" si="131"/>
        <v>1+1</v>
      </c>
      <c r="L2599">
        <f>VLOOKUP(A2599,'ZONE 1 PREMIUM'!$A$4:$N$16,14,0)</f>
        <v>10</v>
      </c>
      <c r="M2599">
        <f>VLOOKUP(D2599,DROPDOWN!B:C,2,0)</f>
        <v>9</v>
      </c>
      <c r="N2599" t="str">
        <f t="shared" si="132"/>
        <v>CO20:DG31</v>
      </c>
      <c r="O2599" s="4">
        <f t="shared" ca="1" si="130"/>
        <v>122129.05</v>
      </c>
    </row>
    <row r="2600" spans="1:15">
      <c r="A2600" s="2" t="s">
        <v>20</v>
      </c>
      <c r="B2600" t="s">
        <v>43</v>
      </c>
      <c r="C2600" t="s">
        <v>44</v>
      </c>
      <c r="D2600">
        <v>25</v>
      </c>
      <c r="E2600" t="s">
        <v>46</v>
      </c>
      <c r="F2600">
        <v>2</v>
      </c>
      <c r="G2600">
        <v>1</v>
      </c>
      <c r="H2600">
        <v>1</v>
      </c>
      <c r="I2600">
        <v>1</v>
      </c>
      <c r="J2600" s="4" t="s">
        <v>54</v>
      </c>
      <c r="K2600" t="str">
        <f t="shared" si="131"/>
        <v>1+1</v>
      </c>
      <c r="L2600">
        <f>VLOOKUP(A2600,'ZONE 1 PREMIUM'!$A$4:$N$16,14,0)</f>
        <v>11</v>
      </c>
      <c r="M2600">
        <f>VLOOKUP(D2600,DROPDOWN!B:C,2,0)</f>
        <v>9</v>
      </c>
      <c r="N2600" t="str">
        <f t="shared" si="132"/>
        <v>CO20:DG31</v>
      </c>
      <c r="O2600" s="4">
        <f t="shared" ca="1" si="130"/>
        <v>144300.74000000002</v>
      </c>
    </row>
    <row r="2601" spans="1:15">
      <c r="A2601" s="2" t="s">
        <v>21</v>
      </c>
      <c r="B2601" t="s">
        <v>22</v>
      </c>
      <c r="D2601">
        <v>25</v>
      </c>
      <c r="E2601" t="s">
        <v>46</v>
      </c>
      <c r="F2601">
        <v>2</v>
      </c>
      <c r="G2601">
        <v>1</v>
      </c>
      <c r="H2601">
        <v>1</v>
      </c>
      <c r="I2601">
        <v>1</v>
      </c>
      <c r="J2601" s="4" t="s">
        <v>54</v>
      </c>
      <c r="K2601" t="str">
        <f t="shared" si="131"/>
        <v>1+1</v>
      </c>
      <c r="L2601">
        <f>VLOOKUP(A2601,'ZONE 1 PREMIUM'!$A$4:$N$16,14,0)</f>
        <v>12</v>
      </c>
      <c r="M2601">
        <f>VLOOKUP(D2601,DROPDOWN!B:C,2,0)</f>
        <v>9</v>
      </c>
      <c r="N2601" t="str">
        <f t="shared" si="132"/>
        <v>CO20:DG31</v>
      </c>
      <c r="O2601" s="4">
        <f t="shared" ca="1" si="130"/>
        <v>196095.36000000002</v>
      </c>
    </row>
    <row r="2602" spans="1:15">
      <c r="A2602" s="2" t="s">
        <v>11</v>
      </c>
      <c r="B2602" t="s">
        <v>45</v>
      </c>
      <c r="C2602" t="s">
        <v>25</v>
      </c>
      <c r="D2602">
        <v>25</v>
      </c>
      <c r="E2602" t="s">
        <v>46</v>
      </c>
      <c r="F2602">
        <v>3</v>
      </c>
      <c r="G2602">
        <v>1</v>
      </c>
      <c r="H2602">
        <v>2</v>
      </c>
      <c r="I2602">
        <v>1</v>
      </c>
      <c r="J2602" s="4" t="s">
        <v>54</v>
      </c>
      <c r="K2602" t="str">
        <f t="shared" si="131"/>
        <v>1+2</v>
      </c>
      <c r="L2602">
        <f>VLOOKUP(A2602,'ZONE 1 PREMIUM'!$A$4:$N$16,14,0)</f>
        <v>2</v>
      </c>
      <c r="M2602">
        <f>VLOOKUP(D2602,DROPDOWN!B:C,2,0)</f>
        <v>9</v>
      </c>
      <c r="N2602" t="str">
        <f t="shared" si="132"/>
        <v>CO35:DG46</v>
      </c>
      <c r="O2602" s="4">
        <f t="shared" ca="1" si="130"/>
        <v>27961.77</v>
      </c>
    </row>
    <row r="2603" spans="1:15">
      <c r="A2603" s="2" t="s">
        <v>12</v>
      </c>
      <c r="B2603" t="s">
        <v>27</v>
      </c>
      <c r="C2603" t="s">
        <v>28</v>
      </c>
      <c r="D2603">
        <v>25</v>
      </c>
      <c r="E2603" t="s">
        <v>46</v>
      </c>
      <c r="F2603">
        <v>3</v>
      </c>
      <c r="G2603">
        <v>1</v>
      </c>
      <c r="H2603">
        <v>2</v>
      </c>
      <c r="I2603">
        <v>1</v>
      </c>
      <c r="J2603" s="4" t="s">
        <v>54</v>
      </c>
      <c r="K2603" t="str">
        <f t="shared" si="131"/>
        <v>1+2</v>
      </c>
      <c r="L2603">
        <f>VLOOKUP(A2603,'ZONE 1 PREMIUM'!$A$4:$N$16,14,0)</f>
        <v>3</v>
      </c>
      <c r="M2603">
        <f>VLOOKUP(D2603,DROPDOWN!B:C,2,0)</f>
        <v>9</v>
      </c>
      <c r="N2603" t="str">
        <f t="shared" si="132"/>
        <v>CO35:DG46</v>
      </c>
      <c r="O2603" s="4">
        <f t="shared" ca="1" si="130"/>
        <v>29932.49</v>
      </c>
    </row>
    <row r="2604" spans="1:15">
      <c r="A2604" s="2" t="s">
        <v>13</v>
      </c>
      <c r="B2604" t="s">
        <v>29</v>
      </c>
      <c r="C2604" t="s">
        <v>30</v>
      </c>
      <c r="D2604">
        <v>25</v>
      </c>
      <c r="E2604" t="s">
        <v>46</v>
      </c>
      <c r="F2604">
        <v>3</v>
      </c>
      <c r="G2604">
        <v>1</v>
      </c>
      <c r="H2604">
        <v>2</v>
      </c>
      <c r="I2604">
        <v>1</v>
      </c>
      <c r="J2604" s="4" t="s">
        <v>54</v>
      </c>
      <c r="K2604" t="str">
        <f t="shared" si="131"/>
        <v>1+2</v>
      </c>
      <c r="L2604">
        <f>VLOOKUP(A2604,'ZONE 1 PREMIUM'!$A$4:$N$16,14,0)</f>
        <v>4</v>
      </c>
      <c r="M2604">
        <f>VLOOKUP(D2604,DROPDOWN!B:C,2,0)</f>
        <v>9</v>
      </c>
      <c r="N2604" t="str">
        <f t="shared" si="132"/>
        <v>CO35:DG46</v>
      </c>
      <c r="O2604" s="4">
        <f t="shared" ca="1" si="130"/>
        <v>34754.65</v>
      </c>
    </row>
    <row r="2605" spans="1:15">
      <c r="A2605" s="2" t="s">
        <v>14</v>
      </c>
      <c r="B2605" t="s">
        <v>31</v>
      </c>
      <c r="C2605" t="s">
        <v>32</v>
      </c>
      <c r="D2605">
        <v>25</v>
      </c>
      <c r="E2605" t="s">
        <v>46</v>
      </c>
      <c r="F2605">
        <v>3</v>
      </c>
      <c r="G2605">
        <v>1</v>
      </c>
      <c r="H2605">
        <v>2</v>
      </c>
      <c r="I2605">
        <v>1</v>
      </c>
      <c r="J2605" s="4" t="s">
        <v>54</v>
      </c>
      <c r="K2605" t="str">
        <f t="shared" si="131"/>
        <v>1+2</v>
      </c>
      <c r="L2605">
        <f>VLOOKUP(A2605,'ZONE 1 PREMIUM'!$A$4:$N$16,14,0)</f>
        <v>5</v>
      </c>
      <c r="M2605">
        <f>VLOOKUP(D2605,DROPDOWN!B:C,2,0)</f>
        <v>9</v>
      </c>
      <c r="N2605" t="str">
        <f t="shared" si="132"/>
        <v>CO35:DG46</v>
      </c>
      <c r="O2605" s="4">
        <f t="shared" ca="1" si="130"/>
        <v>38959.870000000003</v>
      </c>
    </row>
    <row r="2606" spans="1:15">
      <c r="A2606" s="2" t="s">
        <v>15</v>
      </c>
      <c r="B2606" t="s">
        <v>33</v>
      </c>
      <c r="C2606" t="s">
        <v>34</v>
      </c>
      <c r="D2606">
        <v>25</v>
      </c>
      <c r="E2606" t="s">
        <v>46</v>
      </c>
      <c r="F2606">
        <v>3</v>
      </c>
      <c r="G2606">
        <v>1</v>
      </c>
      <c r="H2606">
        <v>2</v>
      </c>
      <c r="I2606">
        <v>1</v>
      </c>
      <c r="J2606" s="4" t="s">
        <v>54</v>
      </c>
      <c r="K2606" t="str">
        <f t="shared" si="131"/>
        <v>1+2</v>
      </c>
      <c r="L2606">
        <f>VLOOKUP(A2606,'ZONE 1 PREMIUM'!$A$4:$N$16,14,0)</f>
        <v>6</v>
      </c>
      <c r="M2606">
        <f>VLOOKUP(D2606,DROPDOWN!B:C,2,0)</f>
        <v>9</v>
      </c>
      <c r="N2606" t="str">
        <f t="shared" si="132"/>
        <v>CO35:DG46</v>
      </c>
      <c r="O2606" s="4">
        <f t="shared" ca="1" si="130"/>
        <v>48845.08</v>
      </c>
    </row>
    <row r="2607" spans="1:15">
      <c r="A2607" s="2" t="s">
        <v>16</v>
      </c>
      <c r="B2607" t="s">
        <v>35</v>
      </c>
      <c r="C2607" t="s">
        <v>36</v>
      </c>
      <c r="D2607">
        <v>25</v>
      </c>
      <c r="E2607" t="s">
        <v>46</v>
      </c>
      <c r="F2607">
        <v>3</v>
      </c>
      <c r="G2607">
        <v>1</v>
      </c>
      <c r="H2607">
        <v>2</v>
      </c>
      <c r="I2607">
        <v>1</v>
      </c>
      <c r="J2607" s="4" t="s">
        <v>54</v>
      </c>
      <c r="K2607" t="str">
        <f t="shared" si="131"/>
        <v>1+2</v>
      </c>
      <c r="L2607">
        <f>VLOOKUP(A2607,'ZONE 1 PREMIUM'!$A$4:$N$16,14,0)</f>
        <v>7</v>
      </c>
      <c r="M2607">
        <f>VLOOKUP(D2607,DROPDOWN!B:C,2,0)</f>
        <v>9</v>
      </c>
      <c r="N2607" t="str">
        <f t="shared" si="132"/>
        <v>CO35:DG46</v>
      </c>
      <c r="O2607" s="4">
        <f t="shared" ca="1" si="130"/>
        <v>63079.390000000007</v>
      </c>
    </row>
    <row r="2608" spans="1:15">
      <c r="A2608" s="2" t="s">
        <v>17</v>
      </c>
      <c r="B2608" t="s">
        <v>37</v>
      </c>
      <c r="C2608" t="s">
        <v>38</v>
      </c>
      <c r="D2608">
        <v>25</v>
      </c>
      <c r="E2608" t="s">
        <v>46</v>
      </c>
      <c r="F2608">
        <v>3</v>
      </c>
      <c r="G2608">
        <v>1</v>
      </c>
      <c r="H2608">
        <v>2</v>
      </c>
      <c r="I2608">
        <v>1</v>
      </c>
      <c r="J2608" s="4" t="s">
        <v>54</v>
      </c>
      <c r="K2608" t="str">
        <f t="shared" si="131"/>
        <v>1+2</v>
      </c>
      <c r="L2608">
        <f>VLOOKUP(A2608,'ZONE 1 PREMIUM'!$A$4:$N$16,14,0)</f>
        <v>8</v>
      </c>
      <c r="M2608">
        <f>VLOOKUP(D2608,DROPDOWN!B:C,2,0)</f>
        <v>9</v>
      </c>
      <c r="N2608" t="str">
        <f t="shared" si="132"/>
        <v>CO35:DG46</v>
      </c>
      <c r="O2608" s="4">
        <f t="shared" ca="1" si="130"/>
        <v>80775.540000000008</v>
      </c>
    </row>
    <row r="2609" spans="1:15">
      <c r="A2609" s="2" t="s">
        <v>18</v>
      </c>
      <c r="B2609" t="s">
        <v>39</v>
      </c>
      <c r="C2609" t="s">
        <v>40</v>
      </c>
      <c r="D2609">
        <v>25</v>
      </c>
      <c r="E2609" t="s">
        <v>46</v>
      </c>
      <c r="F2609">
        <v>3</v>
      </c>
      <c r="G2609">
        <v>1</v>
      </c>
      <c r="H2609">
        <v>2</v>
      </c>
      <c r="I2609">
        <v>1</v>
      </c>
      <c r="J2609" s="4" t="s">
        <v>54</v>
      </c>
      <c r="K2609" t="str">
        <f t="shared" si="131"/>
        <v>1+2</v>
      </c>
      <c r="L2609">
        <f>VLOOKUP(A2609,'ZONE 1 PREMIUM'!$A$4:$N$16,14,0)</f>
        <v>9</v>
      </c>
      <c r="M2609">
        <f>VLOOKUP(D2609,DROPDOWN!B:C,2,0)</f>
        <v>9</v>
      </c>
      <c r="N2609" t="str">
        <f t="shared" si="132"/>
        <v>CO35:DG46</v>
      </c>
      <c r="O2609" s="4">
        <f t="shared" ca="1" si="130"/>
        <v>104649.81000000001</v>
      </c>
    </row>
    <row r="2610" spans="1:15">
      <c r="A2610" s="2" t="s">
        <v>19</v>
      </c>
      <c r="B2610" t="s">
        <v>41</v>
      </c>
      <c r="C2610" t="s">
        <v>42</v>
      </c>
      <c r="D2610">
        <v>25</v>
      </c>
      <c r="E2610" t="s">
        <v>46</v>
      </c>
      <c r="F2610">
        <v>3</v>
      </c>
      <c r="G2610">
        <v>1</v>
      </c>
      <c r="H2610">
        <v>2</v>
      </c>
      <c r="I2610">
        <v>1</v>
      </c>
      <c r="J2610" s="4" t="s">
        <v>54</v>
      </c>
      <c r="K2610" t="str">
        <f t="shared" si="131"/>
        <v>1+2</v>
      </c>
      <c r="L2610">
        <f>VLOOKUP(A2610,'ZONE 1 PREMIUM'!$A$4:$N$16,14,0)</f>
        <v>10</v>
      </c>
      <c r="M2610">
        <f>VLOOKUP(D2610,DROPDOWN!B:C,2,0)</f>
        <v>9</v>
      </c>
      <c r="N2610" t="str">
        <f t="shared" si="132"/>
        <v>CO35:DG46</v>
      </c>
      <c r="O2610" s="4">
        <f t="shared" ca="1" si="130"/>
        <v>133838.92000000001</v>
      </c>
    </row>
    <row r="2611" spans="1:15">
      <c r="A2611" s="2" t="s">
        <v>20</v>
      </c>
      <c r="B2611" t="s">
        <v>43</v>
      </c>
      <c r="C2611" t="s">
        <v>44</v>
      </c>
      <c r="D2611">
        <v>25</v>
      </c>
      <c r="E2611" t="s">
        <v>46</v>
      </c>
      <c r="F2611">
        <v>3</v>
      </c>
      <c r="G2611">
        <v>1</v>
      </c>
      <c r="H2611">
        <v>2</v>
      </c>
      <c r="I2611">
        <v>1</v>
      </c>
      <c r="J2611" s="4" t="s">
        <v>54</v>
      </c>
      <c r="K2611" t="str">
        <f t="shared" si="131"/>
        <v>1+2</v>
      </c>
      <c r="L2611">
        <f>VLOOKUP(A2611,'ZONE 1 PREMIUM'!$A$4:$N$16,14,0)</f>
        <v>11</v>
      </c>
      <c r="M2611">
        <f>VLOOKUP(D2611,DROPDOWN!B:C,2,0)</f>
        <v>9</v>
      </c>
      <c r="N2611" t="str">
        <f t="shared" si="132"/>
        <v>CO35:DG46</v>
      </c>
      <c r="O2611" s="4">
        <f t="shared" ca="1" si="130"/>
        <v>158094.69</v>
      </c>
    </row>
    <row r="2612" spans="1:15">
      <c r="A2612" s="2" t="s">
        <v>21</v>
      </c>
      <c r="B2612" t="s">
        <v>22</v>
      </c>
      <c r="D2612">
        <v>25</v>
      </c>
      <c r="E2612" t="s">
        <v>46</v>
      </c>
      <c r="F2612">
        <v>3</v>
      </c>
      <c r="G2612">
        <v>1</v>
      </c>
      <c r="H2612">
        <v>2</v>
      </c>
      <c r="I2612">
        <v>1</v>
      </c>
      <c r="J2612" s="4" t="s">
        <v>54</v>
      </c>
      <c r="K2612" t="str">
        <f t="shared" si="131"/>
        <v>1+2</v>
      </c>
      <c r="L2612">
        <f>VLOOKUP(A2612,'ZONE 1 PREMIUM'!$A$4:$N$16,14,0)</f>
        <v>12</v>
      </c>
      <c r="M2612">
        <f>VLOOKUP(D2612,DROPDOWN!B:C,2,0)</f>
        <v>9</v>
      </c>
      <c r="N2612" t="str">
        <f t="shared" si="132"/>
        <v>CO35:DG46</v>
      </c>
      <c r="O2612" s="4">
        <f t="shared" ca="1" si="130"/>
        <v>206480.88</v>
      </c>
    </row>
    <row r="2613" spans="1:15">
      <c r="A2613" s="2" t="s">
        <v>11</v>
      </c>
      <c r="B2613" t="s">
        <v>45</v>
      </c>
      <c r="C2613" t="s">
        <v>25</v>
      </c>
      <c r="D2613">
        <v>25</v>
      </c>
      <c r="E2613" t="s">
        <v>46</v>
      </c>
      <c r="F2613">
        <v>4</v>
      </c>
      <c r="G2613">
        <v>1</v>
      </c>
      <c r="H2613">
        <v>3</v>
      </c>
      <c r="I2613">
        <v>1</v>
      </c>
      <c r="J2613" s="4" t="s">
        <v>54</v>
      </c>
      <c r="K2613" t="str">
        <f t="shared" si="131"/>
        <v>1+3</v>
      </c>
      <c r="L2613">
        <f>VLOOKUP(A2613,'ZONE 1 PREMIUM'!$A$4:$N$16,14,0)</f>
        <v>2</v>
      </c>
      <c r="M2613">
        <f>VLOOKUP(D2613,DROPDOWN!B:C,2,0)</f>
        <v>9</v>
      </c>
      <c r="N2613" t="str">
        <f t="shared" si="132"/>
        <v>CO50:DG61</v>
      </c>
      <c r="O2613" s="4">
        <f t="shared" ca="1" si="130"/>
        <v>34279.410000000003</v>
      </c>
    </row>
    <row r="2614" spans="1:15">
      <c r="A2614" s="2" t="s">
        <v>12</v>
      </c>
      <c r="B2614" t="s">
        <v>27</v>
      </c>
      <c r="C2614" t="s">
        <v>28</v>
      </c>
      <c r="D2614">
        <v>25</v>
      </c>
      <c r="E2614" t="s">
        <v>46</v>
      </c>
      <c r="F2614">
        <v>4</v>
      </c>
      <c r="G2614">
        <v>1</v>
      </c>
      <c r="H2614">
        <v>3</v>
      </c>
      <c r="I2614">
        <v>1</v>
      </c>
      <c r="J2614" s="4" t="s">
        <v>54</v>
      </c>
      <c r="K2614" t="str">
        <f t="shared" si="131"/>
        <v>1+3</v>
      </c>
      <c r="L2614">
        <f>VLOOKUP(A2614,'ZONE 1 PREMIUM'!$A$4:$N$16,14,0)</f>
        <v>3</v>
      </c>
      <c r="M2614">
        <f>VLOOKUP(D2614,DROPDOWN!B:C,2,0)</f>
        <v>9</v>
      </c>
      <c r="N2614" t="str">
        <f t="shared" si="132"/>
        <v>CO50:DG61</v>
      </c>
      <c r="O2614" s="4">
        <f t="shared" ca="1" si="130"/>
        <v>36137.86</v>
      </c>
    </row>
    <row r="2615" spans="1:15">
      <c r="A2615" s="2" t="s">
        <v>13</v>
      </c>
      <c r="B2615" t="s">
        <v>29</v>
      </c>
      <c r="C2615" t="s">
        <v>30</v>
      </c>
      <c r="D2615">
        <v>25</v>
      </c>
      <c r="E2615" t="s">
        <v>46</v>
      </c>
      <c r="F2615">
        <v>4</v>
      </c>
      <c r="G2615">
        <v>1</v>
      </c>
      <c r="H2615">
        <v>3</v>
      </c>
      <c r="I2615">
        <v>1</v>
      </c>
      <c r="J2615" s="4" t="s">
        <v>54</v>
      </c>
      <c r="K2615" t="str">
        <f t="shared" si="131"/>
        <v>1+3</v>
      </c>
      <c r="L2615">
        <f>VLOOKUP(A2615,'ZONE 1 PREMIUM'!$A$4:$N$16,14,0)</f>
        <v>4</v>
      </c>
      <c r="M2615">
        <f>VLOOKUP(D2615,DROPDOWN!B:C,2,0)</f>
        <v>9</v>
      </c>
      <c r="N2615" t="str">
        <f t="shared" si="132"/>
        <v>CO50:DG61</v>
      </c>
      <c r="O2615" s="4">
        <f t="shared" ca="1" si="130"/>
        <v>42005.33</v>
      </c>
    </row>
    <row r="2616" spans="1:15">
      <c r="A2616" s="2" t="s">
        <v>14</v>
      </c>
      <c r="B2616" t="s">
        <v>31</v>
      </c>
      <c r="C2616" t="s">
        <v>32</v>
      </c>
      <c r="D2616">
        <v>25</v>
      </c>
      <c r="E2616" t="s">
        <v>46</v>
      </c>
      <c r="F2616">
        <v>4</v>
      </c>
      <c r="G2616">
        <v>1</v>
      </c>
      <c r="H2616">
        <v>3</v>
      </c>
      <c r="I2616">
        <v>1</v>
      </c>
      <c r="J2616" s="4" t="s">
        <v>54</v>
      </c>
      <c r="K2616" t="str">
        <f t="shared" si="131"/>
        <v>1+3</v>
      </c>
      <c r="L2616">
        <f>VLOOKUP(A2616,'ZONE 1 PREMIUM'!$A$4:$N$16,14,0)</f>
        <v>5</v>
      </c>
      <c r="M2616">
        <f>VLOOKUP(D2616,DROPDOWN!B:C,2,0)</f>
        <v>9</v>
      </c>
      <c r="N2616" t="str">
        <f t="shared" si="132"/>
        <v>CO50:DG61</v>
      </c>
      <c r="O2616" s="4">
        <f t="shared" ca="1" si="130"/>
        <v>46715.22</v>
      </c>
    </row>
    <row r="2617" spans="1:15">
      <c r="A2617" s="2" t="s">
        <v>15</v>
      </c>
      <c r="B2617" t="s">
        <v>33</v>
      </c>
      <c r="C2617" t="s">
        <v>34</v>
      </c>
      <c r="D2617">
        <v>25</v>
      </c>
      <c r="E2617" t="s">
        <v>46</v>
      </c>
      <c r="F2617">
        <v>4</v>
      </c>
      <c r="G2617">
        <v>1</v>
      </c>
      <c r="H2617">
        <v>3</v>
      </c>
      <c r="I2617">
        <v>1</v>
      </c>
      <c r="J2617" s="4" t="s">
        <v>54</v>
      </c>
      <c r="K2617" t="str">
        <f t="shared" si="131"/>
        <v>1+3</v>
      </c>
      <c r="L2617">
        <f>VLOOKUP(A2617,'ZONE 1 PREMIUM'!$A$4:$N$16,14,0)</f>
        <v>6</v>
      </c>
      <c r="M2617">
        <f>VLOOKUP(D2617,DROPDOWN!B:C,2,0)</f>
        <v>9</v>
      </c>
      <c r="N2617" t="str">
        <f t="shared" si="132"/>
        <v>CO50:DG61</v>
      </c>
      <c r="O2617" s="4">
        <f t="shared" ca="1" si="130"/>
        <v>57580.340000000004</v>
      </c>
    </row>
    <row r="2618" spans="1:15">
      <c r="A2618" s="2" t="s">
        <v>16</v>
      </c>
      <c r="B2618" t="s">
        <v>35</v>
      </c>
      <c r="C2618" t="s">
        <v>36</v>
      </c>
      <c r="D2618">
        <v>25</v>
      </c>
      <c r="E2618" t="s">
        <v>46</v>
      </c>
      <c r="F2618">
        <v>4</v>
      </c>
      <c r="G2618">
        <v>1</v>
      </c>
      <c r="H2618">
        <v>3</v>
      </c>
      <c r="I2618">
        <v>1</v>
      </c>
      <c r="J2618" s="4" t="s">
        <v>54</v>
      </c>
      <c r="K2618" t="str">
        <f t="shared" si="131"/>
        <v>1+3</v>
      </c>
      <c r="L2618">
        <f>VLOOKUP(A2618,'ZONE 1 PREMIUM'!$A$4:$N$16,14,0)</f>
        <v>7</v>
      </c>
      <c r="M2618">
        <f>VLOOKUP(D2618,DROPDOWN!B:C,2,0)</f>
        <v>9</v>
      </c>
      <c r="N2618" t="str">
        <f t="shared" si="132"/>
        <v>CO50:DG61</v>
      </c>
      <c r="O2618" s="4">
        <f t="shared" ca="1" si="130"/>
        <v>72838.16</v>
      </c>
    </row>
    <row r="2619" spans="1:15">
      <c r="A2619" s="2" t="s">
        <v>17</v>
      </c>
      <c r="B2619" t="s">
        <v>37</v>
      </c>
      <c r="C2619" t="s">
        <v>38</v>
      </c>
      <c r="D2619">
        <v>25</v>
      </c>
      <c r="E2619" t="s">
        <v>46</v>
      </c>
      <c r="F2619">
        <v>4</v>
      </c>
      <c r="G2619">
        <v>1</v>
      </c>
      <c r="H2619">
        <v>3</v>
      </c>
      <c r="I2619">
        <v>1</v>
      </c>
      <c r="J2619" s="4" t="s">
        <v>54</v>
      </c>
      <c r="K2619" t="str">
        <f t="shared" si="131"/>
        <v>1+3</v>
      </c>
      <c r="L2619">
        <f>VLOOKUP(A2619,'ZONE 1 PREMIUM'!$A$4:$N$16,14,0)</f>
        <v>8</v>
      </c>
      <c r="M2619">
        <f>VLOOKUP(D2619,DROPDOWN!B:C,2,0)</f>
        <v>9</v>
      </c>
      <c r="N2619" t="str">
        <f t="shared" si="132"/>
        <v>CO50:DG61</v>
      </c>
      <c r="O2619" s="4">
        <f t="shared" ca="1" si="130"/>
        <v>89490.090000000011</v>
      </c>
    </row>
    <row r="2620" spans="1:15">
      <c r="A2620" s="2" t="s">
        <v>18</v>
      </c>
      <c r="B2620" t="s">
        <v>39</v>
      </c>
      <c r="C2620" t="s">
        <v>40</v>
      </c>
      <c r="D2620">
        <v>25</v>
      </c>
      <c r="E2620" t="s">
        <v>46</v>
      </c>
      <c r="F2620">
        <v>4</v>
      </c>
      <c r="G2620">
        <v>1</v>
      </c>
      <c r="H2620">
        <v>3</v>
      </c>
      <c r="I2620">
        <v>1</v>
      </c>
      <c r="J2620" s="4" t="s">
        <v>54</v>
      </c>
      <c r="K2620" t="str">
        <f t="shared" si="131"/>
        <v>1+3</v>
      </c>
      <c r="L2620">
        <f>VLOOKUP(A2620,'ZONE 1 PREMIUM'!$A$4:$N$16,14,0)</f>
        <v>9</v>
      </c>
      <c r="M2620">
        <f>VLOOKUP(D2620,DROPDOWN!B:C,2,0)</f>
        <v>9</v>
      </c>
      <c r="N2620" t="str">
        <f t="shared" si="132"/>
        <v>CO50:DG61</v>
      </c>
      <c r="O2620" s="4">
        <f t="shared" ca="1" si="130"/>
        <v>114252.71</v>
      </c>
    </row>
    <row r="2621" spans="1:15">
      <c r="A2621" s="2" t="s">
        <v>19</v>
      </c>
      <c r="B2621" t="s">
        <v>41</v>
      </c>
      <c r="C2621" t="s">
        <v>42</v>
      </c>
      <c r="D2621">
        <v>25</v>
      </c>
      <c r="E2621" t="s">
        <v>46</v>
      </c>
      <c r="F2621">
        <v>4</v>
      </c>
      <c r="G2621">
        <v>1</v>
      </c>
      <c r="H2621">
        <v>3</v>
      </c>
      <c r="I2621">
        <v>1</v>
      </c>
      <c r="J2621" s="4" t="s">
        <v>54</v>
      </c>
      <c r="K2621" t="str">
        <f t="shared" si="131"/>
        <v>1+3</v>
      </c>
      <c r="L2621">
        <f>VLOOKUP(A2621,'ZONE 1 PREMIUM'!$A$4:$N$16,14,0)</f>
        <v>10</v>
      </c>
      <c r="M2621">
        <f>VLOOKUP(D2621,DROPDOWN!B:C,2,0)</f>
        <v>9</v>
      </c>
      <c r="N2621" t="str">
        <f t="shared" si="132"/>
        <v>CO50:DG61</v>
      </c>
      <c r="O2621" s="4">
        <f t="shared" ca="1" si="130"/>
        <v>141633.51</v>
      </c>
    </row>
    <row r="2622" spans="1:15">
      <c r="A2622" s="2" t="s">
        <v>20</v>
      </c>
      <c r="B2622" t="s">
        <v>43</v>
      </c>
      <c r="C2622" t="s">
        <v>44</v>
      </c>
      <c r="D2622">
        <v>25</v>
      </c>
      <c r="E2622" t="s">
        <v>46</v>
      </c>
      <c r="F2622">
        <v>4</v>
      </c>
      <c r="G2622">
        <v>1</v>
      </c>
      <c r="H2622">
        <v>3</v>
      </c>
      <c r="I2622">
        <v>1</v>
      </c>
      <c r="J2622" s="4" t="s">
        <v>54</v>
      </c>
      <c r="K2622" t="str">
        <f t="shared" si="131"/>
        <v>1+3</v>
      </c>
      <c r="L2622">
        <f>VLOOKUP(A2622,'ZONE 1 PREMIUM'!$A$4:$N$16,14,0)</f>
        <v>11</v>
      </c>
      <c r="M2622">
        <f>VLOOKUP(D2622,DROPDOWN!B:C,2,0)</f>
        <v>9</v>
      </c>
      <c r="N2622" t="str">
        <f t="shared" si="132"/>
        <v>CO50:DG61</v>
      </c>
      <c r="O2622" s="4">
        <f t="shared" ca="1" si="130"/>
        <v>165514.32</v>
      </c>
    </row>
    <row r="2623" spans="1:15">
      <c r="A2623" s="2" t="s">
        <v>21</v>
      </c>
      <c r="B2623" t="s">
        <v>22</v>
      </c>
      <c r="D2623">
        <v>25</v>
      </c>
      <c r="E2623" t="s">
        <v>46</v>
      </c>
      <c r="F2623">
        <v>4</v>
      </c>
      <c r="G2623">
        <v>1</v>
      </c>
      <c r="H2623">
        <v>3</v>
      </c>
      <c r="I2623">
        <v>1</v>
      </c>
      <c r="J2623" s="4" t="s">
        <v>54</v>
      </c>
      <c r="K2623" t="str">
        <f t="shared" si="131"/>
        <v>1+3</v>
      </c>
      <c r="L2623">
        <f>VLOOKUP(A2623,'ZONE 1 PREMIUM'!$A$4:$N$16,14,0)</f>
        <v>12</v>
      </c>
      <c r="M2623">
        <f>VLOOKUP(D2623,DROPDOWN!B:C,2,0)</f>
        <v>9</v>
      </c>
      <c r="N2623" t="str">
        <f t="shared" si="132"/>
        <v>CO50:DG61</v>
      </c>
      <c r="O2623" s="4">
        <f t="shared" ca="1" si="130"/>
        <v>214321.25000000003</v>
      </c>
    </row>
    <row r="2624" spans="1:15">
      <c r="A2624" s="2" t="s">
        <v>11</v>
      </c>
      <c r="B2624" t="s">
        <v>45</v>
      </c>
      <c r="C2624" t="s">
        <v>25</v>
      </c>
      <c r="D2624">
        <v>25</v>
      </c>
      <c r="E2624" t="s">
        <v>46</v>
      </c>
      <c r="F2624">
        <v>5</v>
      </c>
      <c r="G2624">
        <v>1</v>
      </c>
      <c r="H2624">
        <v>4</v>
      </c>
      <c r="I2624">
        <v>1</v>
      </c>
      <c r="J2624" s="4" t="s">
        <v>54</v>
      </c>
      <c r="K2624" t="str">
        <f t="shared" si="131"/>
        <v>1+4</v>
      </c>
      <c r="L2624">
        <f>VLOOKUP(A2624,'ZONE 1 PREMIUM'!$A$4:$N$16,14,0)</f>
        <v>2</v>
      </c>
      <c r="M2624">
        <f>VLOOKUP(D2624,DROPDOWN!B:C,2,0)</f>
        <v>9</v>
      </c>
      <c r="N2624" t="str">
        <f t="shared" si="132"/>
        <v>CO65:DG76</v>
      </c>
      <c r="O2624" s="4">
        <f t="shared" ca="1" si="130"/>
        <v>40597.050000000003</v>
      </c>
    </row>
    <row r="2625" spans="1:15">
      <c r="A2625" s="2" t="s">
        <v>12</v>
      </c>
      <c r="B2625" t="s">
        <v>27</v>
      </c>
      <c r="C2625" t="s">
        <v>28</v>
      </c>
      <c r="D2625">
        <v>25</v>
      </c>
      <c r="E2625" t="s">
        <v>46</v>
      </c>
      <c r="F2625">
        <v>5</v>
      </c>
      <c r="G2625">
        <v>1</v>
      </c>
      <c r="H2625">
        <v>4</v>
      </c>
      <c r="I2625">
        <v>1</v>
      </c>
      <c r="J2625" s="4" t="s">
        <v>54</v>
      </c>
      <c r="K2625" t="str">
        <f t="shared" si="131"/>
        <v>1+4</v>
      </c>
      <c r="L2625">
        <f>VLOOKUP(A2625,'ZONE 1 PREMIUM'!$A$4:$N$16,14,0)</f>
        <v>3</v>
      </c>
      <c r="M2625">
        <f>VLOOKUP(D2625,DROPDOWN!B:C,2,0)</f>
        <v>9</v>
      </c>
      <c r="N2625" t="str">
        <f t="shared" si="132"/>
        <v>CO65:DG76</v>
      </c>
      <c r="O2625" s="4">
        <f t="shared" ca="1" si="130"/>
        <v>42343.23</v>
      </c>
    </row>
    <row r="2626" spans="1:15">
      <c r="A2626" s="2" t="s">
        <v>13</v>
      </c>
      <c r="B2626" t="s">
        <v>29</v>
      </c>
      <c r="C2626" t="s">
        <v>30</v>
      </c>
      <c r="D2626">
        <v>25</v>
      </c>
      <c r="E2626" t="s">
        <v>46</v>
      </c>
      <c r="F2626">
        <v>5</v>
      </c>
      <c r="G2626">
        <v>1</v>
      </c>
      <c r="H2626">
        <v>4</v>
      </c>
      <c r="I2626">
        <v>1</v>
      </c>
      <c r="J2626" s="4" t="s">
        <v>54</v>
      </c>
      <c r="K2626" t="str">
        <f t="shared" si="131"/>
        <v>1+4</v>
      </c>
      <c r="L2626">
        <f>VLOOKUP(A2626,'ZONE 1 PREMIUM'!$A$4:$N$16,14,0)</f>
        <v>4</v>
      </c>
      <c r="M2626">
        <f>VLOOKUP(D2626,DROPDOWN!B:C,2,0)</f>
        <v>9</v>
      </c>
      <c r="N2626" t="str">
        <f t="shared" si="132"/>
        <v>CO65:DG76</v>
      </c>
      <c r="O2626" s="4">
        <f t="shared" ref="O2626:O2689" ca="1" si="133">INDEX(INDIRECT(N2626),L2626,M2626)</f>
        <v>49254.920000000006</v>
      </c>
    </row>
    <row r="2627" spans="1:15">
      <c r="A2627" s="2" t="s">
        <v>14</v>
      </c>
      <c r="B2627" t="s">
        <v>31</v>
      </c>
      <c r="C2627" t="s">
        <v>32</v>
      </c>
      <c r="D2627">
        <v>25</v>
      </c>
      <c r="E2627" t="s">
        <v>46</v>
      </c>
      <c r="F2627">
        <v>5</v>
      </c>
      <c r="G2627">
        <v>1</v>
      </c>
      <c r="H2627">
        <v>4</v>
      </c>
      <c r="I2627">
        <v>1</v>
      </c>
      <c r="J2627" s="4" t="s">
        <v>54</v>
      </c>
      <c r="K2627" t="str">
        <f t="shared" si="131"/>
        <v>1+4</v>
      </c>
      <c r="L2627">
        <f>VLOOKUP(A2627,'ZONE 1 PREMIUM'!$A$4:$N$16,14,0)</f>
        <v>5</v>
      </c>
      <c r="M2627">
        <f>VLOOKUP(D2627,DROPDOWN!B:C,2,0)</f>
        <v>9</v>
      </c>
      <c r="N2627" t="str">
        <f t="shared" si="132"/>
        <v>CO65:DG76</v>
      </c>
      <c r="O2627" s="4">
        <f t="shared" ca="1" si="133"/>
        <v>54470.570000000007</v>
      </c>
    </row>
    <row r="2628" spans="1:15">
      <c r="A2628" s="2" t="s">
        <v>15</v>
      </c>
      <c r="B2628" t="s">
        <v>33</v>
      </c>
      <c r="C2628" t="s">
        <v>34</v>
      </c>
      <c r="D2628">
        <v>25</v>
      </c>
      <c r="E2628" t="s">
        <v>46</v>
      </c>
      <c r="F2628">
        <v>5</v>
      </c>
      <c r="G2628">
        <v>1</v>
      </c>
      <c r="H2628">
        <v>4</v>
      </c>
      <c r="I2628">
        <v>1</v>
      </c>
      <c r="J2628" s="4" t="s">
        <v>54</v>
      </c>
      <c r="K2628" t="str">
        <f t="shared" ref="K2628:K2691" si="134">G2628&amp;"+"&amp;H2628</f>
        <v>1+4</v>
      </c>
      <c r="L2628">
        <f>VLOOKUP(A2628,'ZONE 1 PREMIUM'!$A$4:$N$16,14,0)</f>
        <v>6</v>
      </c>
      <c r="M2628">
        <f>VLOOKUP(D2628,DROPDOWN!B:C,2,0)</f>
        <v>9</v>
      </c>
      <c r="N2628" t="str">
        <f t="shared" si="132"/>
        <v>CO65:DG76</v>
      </c>
      <c r="O2628" s="4">
        <f t="shared" ca="1" si="133"/>
        <v>66316.69</v>
      </c>
    </row>
    <row r="2629" spans="1:15">
      <c r="A2629" s="2" t="s">
        <v>16</v>
      </c>
      <c r="B2629" t="s">
        <v>35</v>
      </c>
      <c r="C2629" t="s">
        <v>36</v>
      </c>
      <c r="D2629">
        <v>25</v>
      </c>
      <c r="E2629" t="s">
        <v>46</v>
      </c>
      <c r="F2629">
        <v>5</v>
      </c>
      <c r="G2629">
        <v>1</v>
      </c>
      <c r="H2629">
        <v>4</v>
      </c>
      <c r="I2629">
        <v>1</v>
      </c>
      <c r="J2629" s="4" t="s">
        <v>54</v>
      </c>
      <c r="K2629" t="str">
        <f t="shared" si="134"/>
        <v>1+4</v>
      </c>
      <c r="L2629">
        <f>VLOOKUP(A2629,'ZONE 1 PREMIUM'!$A$4:$N$16,14,0)</f>
        <v>7</v>
      </c>
      <c r="M2629">
        <f>VLOOKUP(D2629,DROPDOWN!B:C,2,0)</f>
        <v>9</v>
      </c>
      <c r="N2629" t="str">
        <f t="shared" si="132"/>
        <v>CO65:DG76</v>
      </c>
      <c r="O2629" s="4">
        <f t="shared" ca="1" si="133"/>
        <v>80997.900000000009</v>
      </c>
    </row>
    <row r="2630" spans="1:15">
      <c r="A2630" s="2" t="s">
        <v>17</v>
      </c>
      <c r="B2630" t="s">
        <v>37</v>
      </c>
      <c r="C2630" t="s">
        <v>38</v>
      </c>
      <c r="D2630">
        <v>25</v>
      </c>
      <c r="E2630" t="s">
        <v>46</v>
      </c>
      <c r="F2630">
        <v>5</v>
      </c>
      <c r="G2630">
        <v>1</v>
      </c>
      <c r="H2630">
        <v>4</v>
      </c>
      <c r="I2630">
        <v>1</v>
      </c>
      <c r="J2630" s="4" t="s">
        <v>54</v>
      </c>
      <c r="K2630" t="str">
        <f t="shared" si="134"/>
        <v>1+4</v>
      </c>
      <c r="L2630">
        <f>VLOOKUP(A2630,'ZONE 1 PREMIUM'!$A$4:$N$16,14,0)</f>
        <v>8</v>
      </c>
      <c r="M2630">
        <f>VLOOKUP(D2630,DROPDOWN!B:C,2,0)</f>
        <v>9</v>
      </c>
      <c r="N2630" t="str">
        <f t="shared" si="132"/>
        <v>CO65:DG76</v>
      </c>
      <c r="O2630" s="4">
        <f t="shared" ca="1" si="133"/>
        <v>97442.73000000001</v>
      </c>
    </row>
    <row r="2631" spans="1:15">
      <c r="A2631" s="2" t="s">
        <v>18</v>
      </c>
      <c r="B2631" t="s">
        <v>39</v>
      </c>
      <c r="C2631" t="s">
        <v>40</v>
      </c>
      <c r="D2631">
        <v>25</v>
      </c>
      <c r="E2631" t="s">
        <v>46</v>
      </c>
      <c r="F2631">
        <v>5</v>
      </c>
      <c r="G2631">
        <v>1</v>
      </c>
      <c r="H2631">
        <v>4</v>
      </c>
      <c r="I2631">
        <v>1</v>
      </c>
      <c r="J2631" s="4" t="s">
        <v>54</v>
      </c>
      <c r="K2631" t="str">
        <f t="shared" si="134"/>
        <v>1+4</v>
      </c>
      <c r="L2631">
        <f>VLOOKUP(A2631,'ZONE 1 PREMIUM'!$A$4:$N$16,14,0)</f>
        <v>9</v>
      </c>
      <c r="M2631">
        <f>VLOOKUP(D2631,DROPDOWN!B:C,2,0)</f>
        <v>9</v>
      </c>
      <c r="N2631" t="str">
        <f t="shared" si="132"/>
        <v>CO65:DG76</v>
      </c>
      <c r="O2631" s="4">
        <f t="shared" ca="1" si="133"/>
        <v>122413.54000000001</v>
      </c>
    </row>
    <row r="2632" spans="1:15">
      <c r="A2632" s="2" t="s">
        <v>19</v>
      </c>
      <c r="B2632" t="s">
        <v>41</v>
      </c>
      <c r="C2632" t="s">
        <v>42</v>
      </c>
      <c r="D2632">
        <v>25</v>
      </c>
      <c r="E2632" t="s">
        <v>46</v>
      </c>
      <c r="F2632">
        <v>5</v>
      </c>
      <c r="G2632">
        <v>1</v>
      </c>
      <c r="H2632">
        <v>4</v>
      </c>
      <c r="I2632">
        <v>1</v>
      </c>
      <c r="J2632" s="4" t="s">
        <v>54</v>
      </c>
      <c r="K2632" t="str">
        <f t="shared" si="134"/>
        <v>1+4</v>
      </c>
      <c r="L2632">
        <f>VLOOKUP(A2632,'ZONE 1 PREMIUM'!$A$4:$N$16,14,0)</f>
        <v>10</v>
      </c>
      <c r="M2632">
        <f>VLOOKUP(D2632,DROPDOWN!B:C,2,0)</f>
        <v>9</v>
      </c>
      <c r="N2632" t="str">
        <f t="shared" si="132"/>
        <v>CO65:DG76</v>
      </c>
      <c r="O2632" s="4">
        <f t="shared" ca="1" si="133"/>
        <v>149646.1</v>
      </c>
    </row>
    <row r="2633" spans="1:15">
      <c r="A2633" s="2" t="s">
        <v>20</v>
      </c>
      <c r="B2633" t="s">
        <v>43</v>
      </c>
      <c r="C2633" t="s">
        <v>44</v>
      </c>
      <c r="D2633">
        <v>25</v>
      </c>
      <c r="E2633" t="s">
        <v>46</v>
      </c>
      <c r="F2633">
        <v>5</v>
      </c>
      <c r="G2633">
        <v>1</v>
      </c>
      <c r="H2633">
        <v>4</v>
      </c>
      <c r="I2633">
        <v>1</v>
      </c>
      <c r="J2633" s="4" t="s">
        <v>54</v>
      </c>
      <c r="K2633" t="str">
        <f t="shared" si="134"/>
        <v>1+4</v>
      </c>
      <c r="L2633">
        <f>VLOOKUP(A2633,'ZONE 1 PREMIUM'!$A$4:$N$16,14,0)</f>
        <v>11</v>
      </c>
      <c r="M2633">
        <f>VLOOKUP(D2633,DROPDOWN!B:C,2,0)</f>
        <v>9</v>
      </c>
      <c r="N2633" t="str">
        <f t="shared" si="132"/>
        <v>CO65:DG76</v>
      </c>
      <c r="O2633" s="4">
        <f t="shared" ca="1" si="133"/>
        <v>173566.15000000002</v>
      </c>
    </row>
    <row r="2634" spans="1:15">
      <c r="A2634" s="2" t="s">
        <v>21</v>
      </c>
      <c r="B2634" t="s">
        <v>22</v>
      </c>
      <c r="D2634">
        <v>25</v>
      </c>
      <c r="E2634" t="s">
        <v>46</v>
      </c>
      <c r="F2634">
        <v>5</v>
      </c>
      <c r="G2634">
        <v>1</v>
      </c>
      <c r="H2634">
        <v>4</v>
      </c>
      <c r="I2634">
        <v>1</v>
      </c>
      <c r="J2634" s="4" t="s">
        <v>54</v>
      </c>
      <c r="K2634" t="str">
        <f t="shared" si="134"/>
        <v>1+4</v>
      </c>
      <c r="L2634">
        <f>VLOOKUP(A2634,'ZONE 1 PREMIUM'!$A$4:$N$16,14,0)</f>
        <v>12</v>
      </c>
      <c r="M2634">
        <f>VLOOKUP(D2634,DROPDOWN!B:C,2,0)</f>
        <v>9</v>
      </c>
      <c r="N2634" t="str">
        <f t="shared" si="132"/>
        <v>CO65:DG76</v>
      </c>
      <c r="O2634" s="4">
        <f t="shared" ca="1" si="133"/>
        <v>222634.68000000002</v>
      </c>
    </row>
    <row r="2635" spans="1:15">
      <c r="A2635" s="2" t="s">
        <v>11</v>
      </c>
      <c r="B2635" t="s">
        <v>45</v>
      </c>
      <c r="C2635" t="s">
        <v>25</v>
      </c>
      <c r="D2635">
        <v>25</v>
      </c>
      <c r="E2635" t="s">
        <v>46</v>
      </c>
      <c r="F2635">
        <v>2</v>
      </c>
      <c r="G2635">
        <v>2</v>
      </c>
      <c r="H2635">
        <v>0</v>
      </c>
      <c r="I2635">
        <v>1</v>
      </c>
      <c r="J2635" s="4" t="s">
        <v>54</v>
      </c>
      <c r="K2635" t="str">
        <f t="shared" si="134"/>
        <v>2+0</v>
      </c>
      <c r="L2635">
        <f>VLOOKUP(A2635,'ZONE 1 PREMIUM'!$A$4:$N$16,14,0)</f>
        <v>2</v>
      </c>
      <c r="M2635">
        <f>VLOOKUP(D2635,DROPDOWN!B:C,2,0)</f>
        <v>9</v>
      </c>
      <c r="N2635" t="str">
        <f t="shared" si="132"/>
        <v>CO81:DG92</v>
      </c>
      <c r="O2635" s="4">
        <f t="shared" ca="1" si="133"/>
        <v>30358.680000000004</v>
      </c>
    </row>
    <row r="2636" spans="1:15">
      <c r="A2636" s="2" t="s">
        <v>12</v>
      </c>
      <c r="B2636" t="s">
        <v>27</v>
      </c>
      <c r="C2636" t="s">
        <v>28</v>
      </c>
      <c r="D2636">
        <v>25</v>
      </c>
      <c r="E2636" t="s">
        <v>46</v>
      </c>
      <c r="F2636">
        <v>2</v>
      </c>
      <c r="G2636">
        <v>2</v>
      </c>
      <c r="H2636">
        <v>0</v>
      </c>
      <c r="I2636">
        <v>1</v>
      </c>
      <c r="J2636" s="4" t="s">
        <v>54</v>
      </c>
      <c r="K2636" t="str">
        <f t="shared" si="134"/>
        <v>2+0</v>
      </c>
      <c r="L2636">
        <f>VLOOKUP(A2636,'ZONE 1 PREMIUM'!$A$4:$N$16,14,0)</f>
        <v>3</v>
      </c>
      <c r="M2636">
        <f>VLOOKUP(D2636,DROPDOWN!B:C,2,0)</f>
        <v>9</v>
      </c>
      <c r="N2636" t="str">
        <f t="shared" si="132"/>
        <v>CO81:DG92</v>
      </c>
      <c r="O2636" s="4">
        <f t="shared" ca="1" si="133"/>
        <v>34418.93</v>
      </c>
    </row>
    <row r="2637" spans="1:15">
      <c r="A2637" s="2" t="s">
        <v>13</v>
      </c>
      <c r="B2637" t="s">
        <v>29</v>
      </c>
      <c r="C2637" t="s">
        <v>30</v>
      </c>
      <c r="D2637">
        <v>25</v>
      </c>
      <c r="E2637" t="s">
        <v>46</v>
      </c>
      <c r="F2637">
        <v>2</v>
      </c>
      <c r="G2637">
        <v>2</v>
      </c>
      <c r="H2637">
        <v>0</v>
      </c>
      <c r="I2637">
        <v>1</v>
      </c>
      <c r="J2637" s="4" t="s">
        <v>54</v>
      </c>
      <c r="K2637" t="str">
        <f t="shared" si="134"/>
        <v>2+0</v>
      </c>
      <c r="L2637">
        <f>VLOOKUP(A2637,'ZONE 1 PREMIUM'!$A$4:$N$16,14,0)</f>
        <v>4</v>
      </c>
      <c r="M2637">
        <f>VLOOKUP(D2637,DROPDOWN!B:C,2,0)</f>
        <v>9</v>
      </c>
      <c r="N2637" t="str">
        <f t="shared" si="132"/>
        <v>CO81:DG92</v>
      </c>
      <c r="O2637" s="4">
        <f t="shared" ca="1" si="133"/>
        <v>38216.490000000005</v>
      </c>
    </row>
    <row r="2638" spans="1:15">
      <c r="A2638" s="2" t="s">
        <v>14</v>
      </c>
      <c r="B2638" t="s">
        <v>31</v>
      </c>
      <c r="C2638" t="s">
        <v>32</v>
      </c>
      <c r="D2638">
        <v>25</v>
      </c>
      <c r="E2638" t="s">
        <v>46</v>
      </c>
      <c r="F2638">
        <v>2</v>
      </c>
      <c r="G2638">
        <v>2</v>
      </c>
      <c r="H2638">
        <v>0</v>
      </c>
      <c r="I2638">
        <v>1</v>
      </c>
      <c r="J2638" s="4" t="s">
        <v>54</v>
      </c>
      <c r="K2638" t="str">
        <f t="shared" si="134"/>
        <v>2+0</v>
      </c>
      <c r="L2638">
        <f>VLOOKUP(A2638,'ZONE 1 PREMIUM'!$A$4:$N$16,14,0)</f>
        <v>5</v>
      </c>
      <c r="M2638">
        <f>VLOOKUP(D2638,DROPDOWN!B:C,2,0)</f>
        <v>9</v>
      </c>
      <c r="N2638" t="str">
        <f t="shared" si="132"/>
        <v>CO81:DG92</v>
      </c>
      <c r="O2638" s="4">
        <f t="shared" ca="1" si="133"/>
        <v>44174.43</v>
      </c>
    </row>
    <row r="2639" spans="1:15">
      <c r="A2639" s="2" t="s">
        <v>15</v>
      </c>
      <c r="B2639" t="s">
        <v>33</v>
      </c>
      <c r="C2639" t="s">
        <v>34</v>
      </c>
      <c r="D2639">
        <v>25</v>
      </c>
      <c r="E2639" t="s">
        <v>46</v>
      </c>
      <c r="F2639">
        <v>2</v>
      </c>
      <c r="G2639">
        <v>2</v>
      </c>
      <c r="H2639">
        <v>0</v>
      </c>
      <c r="I2639">
        <v>1</v>
      </c>
      <c r="J2639" s="4" t="s">
        <v>54</v>
      </c>
      <c r="K2639" t="str">
        <f t="shared" si="134"/>
        <v>2+0</v>
      </c>
      <c r="L2639">
        <f>VLOOKUP(A2639,'ZONE 1 PREMIUM'!$A$4:$N$16,14,0)</f>
        <v>6</v>
      </c>
      <c r="M2639">
        <f>VLOOKUP(D2639,DROPDOWN!B:C,2,0)</f>
        <v>9</v>
      </c>
      <c r="N2639" t="str">
        <f t="shared" si="132"/>
        <v>CO81:DG92</v>
      </c>
      <c r="O2639" s="4">
        <f t="shared" ca="1" si="133"/>
        <v>56603.700000000004</v>
      </c>
    </row>
    <row r="2640" spans="1:15">
      <c r="A2640" s="2" t="s">
        <v>16</v>
      </c>
      <c r="B2640" t="s">
        <v>35</v>
      </c>
      <c r="C2640" t="s">
        <v>36</v>
      </c>
      <c r="D2640">
        <v>25</v>
      </c>
      <c r="E2640" t="s">
        <v>46</v>
      </c>
      <c r="F2640">
        <v>2</v>
      </c>
      <c r="G2640">
        <v>2</v>
      </c>
      <c r="H2640">
        <v>0</v>
      </c>
      <c r="I2640">
        <v>1</v>
      </c>
      <c r="J2640" s="4" t="s">
        <v>54</v>
      </c>
      <c r="K2640" t="str">
        <f t="shared" si="134"/>
        <v>2+0</v>
      </c>
      <c r="L2640">
        <f>VLOOKUP(A2640,'ZONE 1 PREMIUM'!$A$4:$N$16,14,0)</f>
        <v>7</v>
      </c>
      <c r="M2640">
        <f>VLOOKUP(D2640,DROPDOWN!B:C,2,0)</f>
        <v>9</v>
      </c>
      <c r="N2640" t="str">
        <f t="shared" si="132"/>
        <v>CO81:DG92</v>
      </c>
      <c r="O2640" s="4">
        <f t="shared" ca="1" si="133"/>
        <v>74948.400000000009</v>
      </c>
    </row>
    <row r="2641" spans="1:15">
      <c r="A2641" s="2" t="s">
        <v>17</v>
      </c>
      <c r="B2641" t="s">
        <v>37</v>
      </c>
      <c r="C2641" t="s">
        <v>38</v>
      </c>
      <c r="D2641">
        <v>25</v>
      </c>
      <c r="E2641" t="s">
        <v>46</v>
      </c>
      <c r="F2641">
        <v>2</v>
      </c>
      <c r="G2641">
        <v>2</v>
      </c>
      <c r="H2641">
        <v>0</v>
      </c>
      <c r="I2641">
        <v>1</v>
      </c>
      <c r="J2641" s="4" t="s">
        <v>54</v>
      </c>
      <c r="K2641" t="str">
        <f t="shared" si="134"/>
        <v>2+0</v>
      </c>
      <c r="L2641">
        <f>VLOOKUP(A2641,'ZONE 1 PREMIUM'!$A$4:$N$16,14,0)</f>
        <v>8</v>
      </c>
      <c r="M2641">
        <f>VLOOKUP(D2641,DROPDOWN!B:C,2,0)</f>
        <v>9</v>
      </c>
      <c r="N2641" t="str">
        <f t="shared" si="132"/>
        <v>CO81:DG92</v>
      </c>
      <c r="O2641" s="4">
        <f t="shared" ca="1" si="133"/>
        <v>102598.43000000001</v>
      </c>
    </row>
    <row r="2642" spans="1:15">
      <c r="A2642" s="2" t="s">
        <v>18</v>
      </c>
      <c r="B2642" t="s">
        <v>39</v>
      </c>
      <c r="C2642" t="s">
        <v>40</v>
      </c>
      <c r="D2642">
        <v>25</v>
      </c>
      <c r="E2642" t="s">
        <v>46</v>
      </c>
      <c r="F2642">
        <v>2</v>
      </c>
      <c r="G2642">
        <v>2</v>
      </c>
      <c r="H2642">
        <v>0</v>
      </c>
      <c r="I2642">
        <v>1</v>
      </c>
      <c r="J2642" s="4" t="s">
        <v>54</v>
      </c>
      <c r="K2642" t="str">
        <f t="shared" si="134"/>
        <v>2+0</v>
      </c>
      <c r="L2642">
        <f>VLOOKUP(A2642,'ZONE 1 PREMIUM'!$A$4:$N$16,14,0)</f>
        <v>9</v>
      </c>
      <c r="M2642">
        <f>VLOOKUP(D2642,DROPDOWN!B:C,2,0)</f>
        <v>9</v>
      </c>
      <c r="N2642" t="str">
        <f t="shared" ref="N2642:N2689" si="135">VLOOKUP(K2642,$DH$4:$DI$13,2,0)</f>
        <v>CO81:DG92</v>
      </c>
      <c r="O2642" s="4">
        <f t="shared" ca="1" si="133"/>
        <v>144234.25</v>
      </c>
    </row>
    <row r="2643" spans="1:15">
      <c r="A2643" s="2" t="s">
        <v>19</v>
      </c>
      <c r="B2643" t="s">
        <v>41</v>
      </c>
      <c r="C2643" t="s">
        <v>42</v>
      </c>
      <c r="D2643">
        <v>25</v>
      </c>
      <c r="E2643" t="s">
        <v>46</v>
      </c>
      <c r="F2643">
        <v>2</v>
      </c>
      <c r="G2643">
        <v>2</v>
      </c>
      <c r="H2643">
        <v>0</v>
      </c>
      <c r="I2643">
        <v>1</v>
      </c>
      <c r="J2643" s="4" t="s">
        <v>54</v>
      </c>
      <c r="K2643" t="str">
        <f t="shared" si="134"/>
        <v>2+0</v>
      </c>
      <c r="L2643">
        <f>VLOOKUP(A2643,'ZONE 1 PREMIUM'!$A$4:$N$16,14,0)</f>
        <v>10</v>
      </c>
      <c r="M2643">
        <f>VLOOKUP(D2643,DROPDOWN!B:C,2,0)</f>
        <v>9</v>
      </c>
      <c r="N2643" t="str">
        <f t="shared" si="135"/>
        <v>CO81:DG92</v>
      </c>
      <c r="O2643" s="4">
        <f t="shared" ca="1" si="133"/>
        <v>202528.54</v>
      </c>
    </row>
    <row r="2644" spans="1:15">
      <c r="A2644" s="2" t="s">
        <v>20</v>
      </c>
      <c r="B2644" t="s">
        <v>43</v>
      </c>
      <c r="C2644" t="s">
        <v>44</v>
      </c>
      <c r="D2644">
        <v>25</v>
      </c>
      <c r="E2644" t="s">
        <v>46</v>
      </c>
      <c r="F2644">
        <v>2</v>
      </c>
      <c r="G2644">
        <v>2</v>
      </c>
      <c r="H2644">
        <v>0</v>
      </c>
      <c r="I2644">
        <v>1</v>
      </c>
      <c r="J2644" s="4" t="s">
        <v>54</v>
      </c>
      <c r="K2644" t="str">
        <f t="shared" si="134"/>
        <v>2+0</v>
      </c>
      <c r="L2644">
        <f>VLOOKUP(A2644,'ZONE 1 PREMIUM'!$A$4:$N$16,14,0)</f>
        <v>11</v>
      </c>
      <c r="M2644">
        <f>VLOOKUP(D2644,DROPDOWN!B:C,2,0)</f>
        <v>9</v>
      </c>
      <c r="N2644" t="str">
        <f t="shared" si="135"/>
        <v>CO81:DG92</v>
      </c>
      <c r="O2644" s="4">
        <f t="shared" ca="1" si="133"/>
        <v>251974.21000000002</v>
      </c>
    </row>
    <row r="2645" spans="1:15">
      <c r="A2645" s="2" t="s">
        <v>21</v>
      </c>
      <c r="B2645" t="s">
        <v>22</v>
      </c>
      <c r="D2645">
        <v>25</v>
      </c>
      <c r="E2645" t="s">
        <v>46</v>
      </c>
      <c r="F2645">
        <v>2</v>
      </c>
      <c r="G2645">
        <v>2</v>
      </c>
      <c r="H2645">
        <v>0</v>
      </c>
      <c r="I2645">
        <v>1</v>
      </c>
      <c r="J2645" s="4" t="s">
        <v>54</v>
      </c>
      <c r="K2645" t="str">
        <f t="shared" si="134"/>
        <v>2+0</v>
      </c>
      <c r="L2645">
        <f>VLOOKUP(A2645,'ZONE 1 PREMIUM'!$A$4:$N$16,14,0)</f>
        <v>12</v>
      </c>
      <c r="M2645">
        <f>VLOOKUP(D2645,DROPDOWN!B:C,2,0)</f>
        <v>9</v>
      </c>
      <c r="N2645" t="str">
        <f t="shared" si="135"/>
        <v>CO81:DG92</v>
      </c>
      <c r="O2645" s="4">
        <f t="shared" ca="1" si="133"/>
        <v>323169.74000000005</v>
      </c>
    </row>
    <row r="2646" spans="1:15">
      <c r="A2646" s="2" t="s">
        <v>11</v>
      </c>
      <c r="B2646" t="s">
        <v>45</v>
      </c>
      <c r="C2646" t="s">
        <v>25</v>
      </c>
      <c r="D2646">
        <v>25</v>
      </c>
      <c r="E2646" t="s">
        <v>46</v>
      </c>
      <c r="F2646">
        <v>3</v>
      </c>
      <c r="G2646">
        <v>2</v>
      </c>
      <c r="H2646">
        <v>1</v>
      </c>
      <c r="I2646">
        <v>1</v>
      </c>
      <c r="J2646" s="4" t="s">
        <v>54</v>
      </c>
      <c r="K2646" t="str">
        <f t="shared" si="134"/>
        <v>2+1</v>
      </c>
      <c r="L2646">
        <f>VLOOKUP(A2646,'ZONE 1 PREMIUM'!$A$4:$N$16,14,0)</f>
        <v>2</v>
      </c>
      <c r="M2646">
        <f>VLOOKUP(D2646,DROPDOWN!B:C,2,0)</f>
        <v>9</v>
      </c>
      <c r="N2646" t="str">
        <f t="shared" si="135"/>
        <v>CO98:DG109</v>
      </c>
      <c r="O2646" s="4">
        <f t="shared" ca="1" si="133"/>
        <v>36823.47</v>
      </c>
    </row>
    <row r="2647" spans="1:15">
      <c r="A2647" s="2" t="s">
        <v>12</v>
      </c>
      <c r="B2647" t="s">
        <v>27</v>
      </c>
      <c r="C2647" t="s">
        <v>28</v>
      </c>
      <c r="D2647">
        <v>25</v>
      </c>
      <c r="E2647" t="s">
        <v>46</v>
      </c>
      <c r="F2647">
        <v>3</v>
      </c>
      <c r="G2647">
        <v>2</v>
      </c>
      <c r="H2647">
        <v>1</v>
      </c>
      <c r="I2647">
        <v>1</v>
      </c>
      <c r="J2647" s="4" t="s">
        <v>54</v>
      </c>
      <c r="K2647" t="str">
        <f t="shared" si="134"/>
        <v>2+1</v>
      </c>
      <c r="L2647">
        <f>VLOOKUP(A2647,'ZONE 1 PREMIUM'!$A$4:$N$16,14,0)</f>
        <v>3</v>
      </c>
      <c r="M2647">
        <f>VLOOKUP(D2647,DROPDOWN!B:C,2,0)</f>
        <v>9</v>
      </c>
      <c r="N2647" t="str">
        <f t="shared" si="135"/>
        <v>CO98:DG109</v>
      </c>
      <c r="O2647" s="4">
        <f t="shared" ca="1" si="133"/>
        <v>40771.450000000004</v>
      </c>
    </row>
    <row r="2648" spans="1:15">
      <c r="A2648" s="2" t="s">
        <v>13</v>
      </c>
      <c r="B2648" t="s">
        <v>29</v>
      </c>
      <c r="C2648" t="s">
        <v>30</v>
      </c>
      <c r="D2648">
        <v>25</v>
      </c>
      <c r="E2648" t="s">
        <v>46</v>
      </c>
      <c r="F2648">
        <v>3</v>
      </c>
      <c r="G2648">
        <v>2</v>
      </c>
      <c r="H2648">
        <v>1</v>
      </c>
      <c r="I2648">
        <v>1</v>
      </c>
      <c r="J2648" s="4" t="s">
        <v>54</v>
      </c>
      <c r="K2648" t="str">
        <f t="shared" si="134"/>
        <v>2+1</v>
      </c>
      <c r="L2648">
        <f>VLOOKUP(A2648,'ZONE 1 PREMIUM'!$A$4:$N$16,14,0)</f>
        <v>4</v>
      </c>
      <c r="M2648">
        <f>VLOOKUP(D2648,DROPDOWN!B:C,2,0)</f>
        <v>9</v>
      </c>
      <c r="N2648" t="str">
        <f t="shared" si="135"/>
        <v>CO98:DG109</v>
      </c>
      <c r="O2648" s="4">
        <f t="shared" ca="1" si="133"/>
        <v>45679.72</v>
      </c>
    </row>
    <row r="2649" spans="1:15">
      <c r="A2649" s="2" t="s">
        <v>14</v>
      </c>
      <c r="B2649" t="s">
        <v>31</v>
      </c>
      <c r="C2649" t="s">
        <v>32</v>
      </c>
      <c r="D2649">
        <v>25</v>
      </c>
      <c r="E2649" t="s">
        <v>46</v>
      </c>
      <c r="F2649">
        <v>3</v>
      </c>
      <c r="G2649">
        <v>2</v>
      </c>
      <c r="H2649">
        <v>1</v>
      </c>
      <c r="I2649">
        <v>1</v>
      </c>
      <c r="J2649" s="4" t="s">
        <v>54</v>
      </c>
      <c r="K2649" t="str">
        <f t="shared" si="134"/>
        <v>2+1</v>
      </c>
      <c r="L2649">
        <f>VLOOKUP(A2649,'ZONE 1 PREMIUM'!$A$4:$N$16,14,0)</f>
        <v>5</v>
      </c>
      <c r="M2649">
        <f>VLOOKUP(D2649,DROPDOWN!B:C,2,0)</f>
        <v>9</v>
      </c>
      <c r="N2649" t="str">
        <f t="shared" si="135"/>
        <v>CO98:DG109</v>
      </c>
      <c r="O2649" s="4">
        <f t="shared" ca="1" si="133"/>
        <v>52190.29</v>
      </c>
    </row>
    <row r="2650" spans="1:15">
      <c r="A2650" s="2" t="s">
        <v>15</v>
      </c>
      <c r="B2650" t="s">
        <v>33</v>
      </c>
      <c r="C2650" t="s">
        <v>34</v>
      </c>
      <c r="D2650">
        <v>25</v>
      </c>
      <c r="E2650" t="s">
        <v>46</v>
      </c>
      <c r="F2650">
        <v>3</v>
      </c>
      <c r="G2650">
        <v>2</v>
      </c>
      <c r="H2650">
        <v>1</v>
      </c>
      <c r="I2650">
        <v>1</v>
      </c>
      <c r="J2650" s="4" t="s">
        <v>54</v>
      </c>
      <c r="K2650" t="str">
        <f t="shared" si="134"/>
        <v>2+1</v>
      </c>
      <c r="L2650">
        <f>VLOOKUP(A2650,'ZONE 1 PREMIUM'!$A$4:$N$16,14,0)</f>
        <v>6</v>
      </c>
      <c r="M2650">
        <f>VLOOKUP(D2650,DROPDOWN!B:C,2,0)</f>
        <v>9</v>
      </c>
      <c r="N2650" t="str">
        <f t="shared" si="135"/>
        <v>CO98:DG109</v>
      </c>
      <c r="O2650" s="4">
        <f t="shared" ca="1" si="133"/>
        <v>65658.33</v>
      </c>
    </row>
    <row r="2651" spans="1:15">
      <c r="A2651" s="2" t="s">
        <v>16</v>
      </c>
      <c r="B2651" t="s">
        <v>35</v>
      </c>
      <c r="C2651" t="s">
        <v>36</v>
      </c>
      <c r="D2651">
        <v>25</v>
      </c>
      <c r="E2651" t="s">
        <v>46</v>
      </c>
      <c r="F2651">
        <v>3</v>
      </c>
      <c r="G2651">
        <v>2</v>
      </c>
      <c r="H2651">
        <v>1</v>
      </c>
      <c r="I2651">
        <v>1</v>
      </c>
      <c r="J2651" s="4" t="s">
        <v>54</v>
      </c>
      <c r="K2651" t="str">
        <f t="shared" si="134"/>
        <v>2+1</v>
      </c>
      <c r="L2651">
        <f>VLOOKUP(A2651,'ZONE 1 PREMIUM'!$A$4:$N$16,14,0)</f>
        <v>7</v>
      </c>
      <c r="M2651">
        <f>VLOOKUP(D2651,DROPDOWN!B:C,2,0)</f>
        <v>9</v>
      </c>
      <c r="N2651" t="str">
        <f t="shared" si="135"/>
        <v>CO98:DG109</v>
      </c>
      <c r="O2651" s="4">
        <f t="shared" ca="1" si="133"/>
        <v>86229.900000000009</v>
      </c>
    </row>
    <row r="2652" spans="1:15">
      <c r="A2652" s="2" t="s">
        <v>17</v>
      </c>
      <c r="B2652" t="s">
        <v>37</v>
      </c>
      <c r="C2652" t="s">
        <v>38</v>
      </c>
      <c r="D2652">
        <v>25</v>
      </c>
      <c r="E2652" t="s">
        <v>46</v>
      </c>
      <c r="F2652">
        <v>3</v>
      </c>
      <c r="G2652">
        <v>2</v>
      </c>
      <c r="H2652">
        <v>1</v>
      </c>
      <c r="I2652">
        <v>1</v>
      </c>
      <c r="J2652" s="4" t="s">
        <v>54</v>
      </c>
      <c r="K2652" t="str">
        <f t="shared" si="134"/>
        <v>2+1</v>
      </c>
      <c r="L2652">
        <f>VLOOKUP(A2652,'ZONE 1 PREMIUM'!$A$4:$N$16,14,0)</f>
        <v>8</v>
      </c>
      <c r="M2652">
        <f>VLOOKUP(D2652,DROPDOWN!B:C,2,0)</f>
        <v>9</v>
      </c>
      <c r="N2652" t="str">
        <f t="shared" si="135"/>
        <v>CO98:DG109</v>
      </c>
      <c r="O2652" s="4">
        <f t="shared" ca="1" si="133"/>
        <v>114770.46</v>
      </c>
    </row>
    <row r="2653" spans="1:15">
      <c r="A2653" s="2" t="s">
        <v>18</v>
      </c>
      <c r="B2653" t="s">
        <v>39</v>
      </c>
      <c r="C2653" t="s">
        <v>40</v>
      </c>
      <c r="D2653">
        <v>25</v>
      </c>
      <c r="E2653" t="s">
        <v>46</v>
      </c>
      <c r="F2653">
        <v>3</v>
      </c>
      <c r="G2653">
        <v>2</v>
      </c>
      <c r="H2653">
        <v>1</v>
      </c>
      <c r="I2653">
        <v>1</v>
      </c>
      <c r="J2653" s="4" t="s">
        <v>54</v>
      </c>
      <c r="K2653" t="str">
        <f t="shared" si="134"/>
        <v>2+1</v>
      </c>
      <c r="L2653">
        <f>VLOOKUP(A2653,'ZONE 1 PREMIUM'!$A$4:$N$16,14,0)</f>
        <v>9</v>
      </c>
      <c r="M2653">
        <f>VLOOKUP(D2653,DROPDOWN!B:C,2,0)</f>
        <v>9</v>
      </c>
      <c r="N2653" t="str">
        <f t="shared" si="135"/>
        <v>CO98:DG109</v>
      </c>
      <c r="O2653" s="4">
        <f t="shared" ca="1" si="133"/>
        <v>156630.82</v>
      </c>
    </row>
    <row r="2654" spans="1:15">
      <c r="A2654" s="2" t="s">
        <v>19</v>
      </c>
      <c r="B2654" t="s">
        <v>41</v>
      </c>
      <c r="C2654" t="s">
        <v>42</v>
      </c>
      <c r="D2654">
        <v>25</v>
      </c>
      <c r="E2654" t="s">
        <v>46</v>
      </c>
      <c r="F2654">
        <v>3</v>
      </c>
      <c r="G2654">
        <v>2</v>
      </c>
      <c r="H2654">
        <v>1</v>
      </c>
      <c r="I2654">
        <v>1</v>
      </c>
      <c r="J2654" s="4" t="s">
        <v>54</v>
      </c>
      <c r="K2654" t="str">
        <f t="shared" si="134"/>
        <v>2+1</v>
      </c>
      <c r="L2654">
        <f>VLOOKUP(A2654,'ZONE 1 PREMIUM'!$A$4:$N$16,14,0)</f>
        <v>10</v>
      </c>
      <c r="M2654">
        <f>VLOOKUP(D2654,DROPDOWN!B:C,2,0)</f>
        <v>9</v>
      </c>
      <c r="N2654" t="str">
        <f t="shared" si="135"/>
        <v>CO98:DG109</v>
      </c>
      <c r="O2654" s="4">
        <f t="shared" ca="1" si="133"/>
        <v>210420.14</v>
      </c>
    </row>
    <row r="2655" spans="1:15">
      <c r="A2655" s="2" t="s">
        <v>20</v>
      </c>
      <c r="B2655" t="s">
        <v>43</v>
      </c>
      <c r="C2655" t="s">
        <v>44</v>
      </c>
      <c r="D2655">
        <v>25</v>
      </c>
      <c r="E2655" t="s">
        <v>46</v>
      </c>
      <c r="F2655">
        <v>3</v>
      </c>
      <c r="G2655">
        <v>2</v>
      </c>
      <c r="H2655">
        <v>1</v>
      </c>
      <c r="I2655">
        <v>1</v>
      </c>
      <c r="J2655" s="4" t="s">
        <v>54</v>
      </c>
      <c r="K2655" t="str">
        <f t="shared" si="134"/>
        <v>2+1</v>
      </c>
      <c r="L2655">
        <f>VLOOKUP(A2655,'ZONE 1 PREMIUM'!$A$4:$N$16,14,0)</f>
        <v>11</v>
      </c>
      <c r="M2655">
        <f>VLOOKUP(D2655,DROPDOWN!B:C,2,0)</f>
        <v>9</v>
      </c>
      <c r="N2655" t="str">
        <f t="shared" si="135"/>
        <v>CO98:DG109</v>
      </c>
      <c r="O2655" s="4">
        <f t="shared" ca="1" si="133"/>
        <v>258182.85</v>
      </c>
    </row>
    <row r="2656" spans="1:15">
      <c r="A2656" s="2" t="s">
        <v>21</v>
      </c>
      <c r="B2656" t="s">
        <v>22</v>
      </c>
      <c r="D2656">
        <v>25</v>
      </c>
      <c r="E2656" t="s">
        <v>46</v>
      </c>
      <c r="F2656">
        <v>3</v>
      </c>
      <c r="G2656">
        <v>2</v>
      </c>
      <c r="H2656">
        <v>1</v>
      </c>
      <c r="I2656">
        <v>1</v>
      </c>
      <c r="J2656" s="4" t="s">
        <v>54</v>
      </c>
      <c r="K2656" t="str">
        <f t="shared" si="134"/>
        <v>2+1</v>
      </c>
      <c r="L2656">
        <f>VLOOKUP(A2656,'ZONE 1 PREMIUM'!$A$4:$N$16,14,0)</f>
        <v>12</v>
      </c>
      <c r="M2656">
        <f>VLOOKUP(D2656,DROPDOWN!B:C,2,0)</f>
        <v>9</v>
      </c>
      <c r="N2656" t="str">
        <f t="shared" si="135"/>
        <v>CO98:DG109</v>
      </c>
      <c r="O2656" s="4">
        <f t="shared" ca="1" si="133"/>
        <v>329103.7</v>
      </c>
    </row>
    <row r="2657" spans="1:15">
      <c r="A2657" s="2" t="s">
        <v>11</v>
      </c>
      <c r="B2657" t="s">
        <v>45</v>
      </c>
      <c r="C2657" t="s">
        <v>25</v>
      </c>
      <c r="D2657">
        <v>25</v>
      </c>
      <c r="E2657" t="s">
        <v>46</v>
      </c>
      <c r="F2657">
        <v>4</v>
      </c>
      <c r="G2657">
        <v>2</v>
      </c>
      <c r="H2657">
        <v>2</v>
      </c>
      <c r="I2657">
        <v>1</v>
      </c>
      <c r="J2657" s="4" t="s">
        <v>54</v>
      </c>
      <c r="K2657" t="str">
        <f t="shared" si="134"/>
        <v>2+2</v>
      </c>
      <c r="L2657">
        <f>VLOOKUP(A2657,'ZONE 1 PREMIUM'!$A$4:$N$16,14,0)</f>
        <v>2</v>
      </c>
      <c r="M2657">
        <f>VLOOKUP(D2657,DROPDOWN!B:C,2,0)</f>
        <v>9</v>
      </c>
      <c r="N2657" t="str">
        <f t="shared" si="135"/>
        <v>CO113:DG124</v>
      </c>
      <c r="O2657" s="4">
        <f t="shared" ca="1" si="133"/>
        <v>43141.11</v>
      </c>
    </row>
    <row r="2658" spans="1:15">
      <c r="A2658" s="2" t="s">
        <v>12</v>
      </c>
      <c r="B2658" t="s">
        <v>27</v>
      </c>
      <c r="C2658" t="s">
        <v>28</v>
      </c>
      <c r="D2658">
        <v>25</v>
      </c>
      <c r="E2658" t="s">
        <v>46</v>
      </c>
      <c r="F2658">
        <v>4</v>
      </c>
      <c r="G2658">
        <v>2</v>
      </c>
      <c r="H2658">
        <v>2</v>
      </c>
      <c r="I2658">
        <v>1</v>
      </c>
      <c r="J2658" s="4" t="s">
        <v>54</v>
      </c>
      <c r="K2658" t="str">
        <f t="shared" si="134"/>
        <v>2+2</v>
      </c>
      <c r="L2658">
        <f>VLOOKUP(A2658,'ZONE 1 PREMIUM'!$A$4:$N$16,14,0)</f>
        <v>3</v>
      </c>
      <c r="M2658">
        <f>VLOOKUP(D2658,DROPDOWN!B:C,2,0)</f>
        <v>9</v>
      </c>
      <c r="N2658" t="str">
        <f t="shared" si="135"/>
        <v>CO113:DG124</v>
      </c>
      <c r="O2658" s="4">
        <f t="shared" ca="1" si="133"/>
        <v>46976.820000000007</v>
      </c>
    </row>
    <row r="2659" spans="1:15">
      <c r="A2659" s="2" t="s">
        <v>13</v>
      </c>
      <c r="B2659" t="s">
        <v>29</v>
      </c>
      <c r="C2659" t="s">
        <v>30</v>
      </c>
      <c r="D2659">
        <v>25</v>
      </c>
      <c r="E2659" t="s">
        <v>46</v>
      </c>
      <c r="F2659">
        <v>4</v>
      </c>
      <c r="G2659">
        <v>2</v>
      </c>
      <c r="H2659">
        <v>2</v>
      </c>
      <c r="I2659">
        <v>1</v>
      </c>
      <c r="J2659" s="4" t="s">
        <v>54</v>
      </c>
      <c r="K2659" t="str">
        <f t="shared" si="134"/>
        <v>2+2</v>
      </c>
      <c r="L2659">
        <f>VLOOKUP(A2659,'ZONE 1 PREMIUM'!$A$4:$N$16,14,0)</f>
        <v>4</v>
      </c>
      <c r="M2659">
        <f>VLOOKUP(D2659,DROPDOWN!B:C,2,0)</f>
        <v>9</v>
      </c>
      <c r="N2659" t="str">
        <f t="shared" si="135"/>
        <v>CO113:DG124</v>
      </c>
      <c r="O2659" s="4">
        <f t="shared" ca="1" si="133"/>
        <v>52929.310000000005</v>
      </c>
    </row>
    <row r="2660" spans="1:15">
      <c r="A2660" s="2" t="s">
        <v>14</v>
      </c>
      <c r="B2660" t="s">
        <v>31</v>
      </c>
      <c r="C2660" t="s">
        <v>32</v>
      </c>
      <c r="D2660">
        <v>25</v>
      </c>
      <c r="E2660" t="s">
        <v>46</v>
      </c>
      <c r="F2660">
        <v>4</v>
      </c>
      <c r="G2660">
        <v>2</v>
      </c>
      <c r="H2660">
        <v>2</v>
      </c>
      <c r="I2660">
        <v>1</v>
      </c>
      <c r="J2660" s="4" t="s">
        <v>54</v>
      </c>
      <c r="K2660" t="str">
        <f t="shared" si="134"/>
        <v>2+2</v>
      </c>
      <c r="L2660">
        <f>VLOOKUP(A2660,'ZONE 1 PREMIUM'!$A$4:$N$16,14,0)</f>
        <v>5</v>
      </c>
      <c r="M2660">
        <f>VLOOKUP(D2660,DROPDOWN!B:C,2,0)</f>
        <v>9</v>
      </c>
      <c r="N2660" t="str">
        <f t="shared" si="135"/>
        <v>CO113:DG124</v>
      </c>
      <c r="O2660" s="4">
        <f t="shared" ca="1" si="133"/>
        <v>59945.640000000007</v>
      </c>
    </row>
    <row r="2661" spans="1:15">
      <c r="A2661" s="2" t="s">
        <v>15</v>
      </c>
      <c r="B2661" t="s">
        <v>33</v>
      </c>
      <c r="C2661" t="s">
        <v>34</v>
      </c>
      <c r="D2661">
        <v>25</v>
      </c>
      <c r="E2661" t="s">
        <v>46</v>
      </c>
      <c r="F2661">
        <v>4</v>
      </c>
      <c r="G2661">
        <v>2</v>
      </c>
      <c r="H2661">
        <v>2</v>
      </c>
      <c r="I2661">
        <v>1</v>
      </c>
      <c r="J2661" s="4" t="s">
        <v>54</v>
      </c>
      <c r="K2661" t="str">
        <f t="shared" si="134"/>
        <v>2+2</v>
      </c>
      <c r="L2661">
        <f>VLOOKUP(A2661,'ZONE 1 PREMIUM'!$A$4:$N$16,14,0)</f>
        <v>6</v>
      </c>
      <c r="M2661">
        <f>VLOOKUP(D2661,DROPDOWN!B:C,2,0)</f>
        <v>9</v>
      </c>
      <c r="N2661" t="str">
        <f t="shared" si="135"/>
        <v>CO113:DG124</v>
      </c>
      <c r="O2661" s="4">
        <f t="shared" ca="1" si="133"/>
        <v>74393.590000000011</v>
      </c>
    </row>
    <row r="2662" spans="1:15">
      <c r="A2662" s="2" t="s">
        <v>16</v>
      </c>
      <c r="B2662" t="s">
        <v>35</v>
      </c>
      <c r="C2662" t="s">
        <v>36</v>
      </c>
      <c r="D2662">
        <v>25</v>
      </c>
      <c r="E2662" t="s">
        <v>46</v>
      </c>
      <c r="F2662">
        <v>4</v>
      </c>
      <c r="G2662">
        <v>2</v>
      </c>
      <c r="H2662">
        <v>2</v>
      </c>
      <c r="I2662">
        <v>1</v>
      </c>
      <c r="J2662" s="4" t="s">
        <v>54</v>
      </c>
      <c r="K2662" t="str">
        <f t="shared" si="134"/>
        <v>2+2</v>
      </c>
      <c r="L2662">
        <f>VLOOKUP(A2662,'ZONE 1 PREMIUM'!$A$4:$N$16,14,0)</f>
        <v>7</v>
      </c>
      <c r="M2662">
        <f>VLOOKUP(D2662,DROPDOWN!B:C,2,0)</f>
        <v>9</v>
      </c>
      <c r="N2662" t="str">
        <f t="shared" si="135"/>
        <v>CO113:DG124</v>
      </c>
      <c r="O2662" s="4">
        <f t="shared" ca="1" si="133"/>
        <v>97097.200000000012</v>
      </c>
    </row>
    <row r="2663" spans="1:15">
      <c r="A2663" s="2" t="s">
        <v>17</v>
      </c>
      <c r="B2663" t="s">
        <v>37</v>
      </c>
      <c r="C2663" t="s">
        <v>38</v>
      </c>
      <c r="D2663">
        <v>25</v>
      </c>
      <c r="E2663" t="s">
        <v>46</v>
      </c>
      <c r="F2663">
        <v>4</v>
      </c>
      <c r="G2663">
        <v>2</v>
      </c>
      <c r="H2663">
        <v>2</v>
      </c>
      <c r="I2663">
        <v>1</v>
      </c>
      <c r="J2663" s="4" t="s">
        <v>54</v>
      </c>
      <c r="K2663" t="str">
        <f t="shared" si="134"/>
        <v>2+2</v>
      </c>
      <c r="L2663">
        <f>VLOOKUP(A2663,'ZONE 1 PREMIUM'!$A$4:$N$16,14,0)</f>
        <v>8</v>
      </c>
      <c r="M2663">
        <f>VLOOKUP(D2663,DROPDOWN!B:C,2,0)</f>
        <v>9</v>
      </c>
      <c r="N2663" t="str">
        <f t="shared" si="135"/>
        <v>CO113:DG124</v>
      </c>
      <c r="O2663" s="4">
        <f t="shared" ca="1" si="133"/>
        <v>125037.17000000001</v>
      </c>
    </row>
    <row r="2664" spans="1:15">
      <c r="A2664" s="2" t="s">
        <v>18</v>
      </c>
      <c r="B2664" t="s">
        <v>39</v>
      </c>
      <c r="C2664" t="s">
        <v>40</v>
      </c>
      <c r="D2664">
        <v>25</v>
      </c>
      <c r="E2664" t="s">
        <v>46</v>
      </c>
      <c r="F2664">
        <v>4</v>
      </c>
      <c r="G2664">
        <v>2</v>
      </c>
      <c r="H2664">
        <v>2</v>
      </c>
      <c r="I2664">
        <v>1</v>
      </c>
      <c r="J2664" s="4" t="s">
        <v>54</v>
      </c>
      <c r="K2664" t="str">
        <f t="shared" si="134"/>
        <v>2+2</v>
      </c>
      <c r="L2664">
        <f>VLOOKUP(A2664,'ZONE 1 PREMIUM'!$A$4:$N$16,14,0)</f>
        <v>9</v>
      </c>
      <c r="M2664">
        <f>VLOOKUP(D2664,DROPDOWN!B:C,2,0)</f>
        <v>9</v>
      </c>
      <c r="N2664" t="str">
        <f t="shared" si="135"/>
        <v>CO113:DG124</v>
      </c>
      <c r="O2664" s="4">
        <f t="shared" ca="1" si="133"/>
        <v>164939.89000000001</v>
      </c>
    </row>
    <row r="2665" spans="1:15">
      <c r="A2665" s="2" t="s">
        <v>19</v>
      </c>
      <c r="B2665" t="s">
        <v>41</v>
      </c>
      <c r="C2665" t="s">
        <v>42</v>
      </c>
      <c r="D2665">
        <v>25</v>
      </c>
      <c r="E2665" t="s">
        <v>46</v>
      </c>
      <c r="F2665">
        <v>4</v>
      </c>
      <c r="G2665">
        <v>2</v>
      </c>
      <c r="H2665">
        <v>2</v>
      </c>
      <c r="I2665">
        <v>1</v>
      </c>
      <c r="J2665" s="4" t="s">
        <v>54</v>
      </c>
      <c r="K2665" t="str">
        <f t="shared" si="134"/>
        <v>2+2</v>
      </c>
      <c r="L2665">
        <f>VLOOKUP(A2665,'ZONE 1 PREMIUM'!$A$4:$N$16,14,0)</f>
        <v>10</v>
      </c>
      <c r="M2665">
        <f>VLOOKUP(D2665,DROPDOWN!B:C,2,0)</f>
        <v>9</v>
      </c>
      <c r="N2665" t="str">
        <f t="shared" si="135"/>
        <v>CO113:DG124</v>
      </c>
      <c r="O2665" s="4">
        <f t="shared" ca="1" si="133"/>
        <v>214314.71000000002</v>
      </c>
    </row>
    <row r="2666" spans="1:15">
      <c r="A2666" s="2" t="s">
        <v>20</v>
      </c>
      <c r="B2666" t="s">
        <v>43</v>
      </c>
      <c r="C2666" t="s">
        <v>44</v>
      </c>
      <c r="D2666">
        <v>25</v>
      </c>
      <c r="E2666" t="s">
        <v>46</v>
      </c>
      <c r="F2666">
        <v>4</v>
      </c>
      <c r="G2666">
        <v>2</v>
      </c>
      <c r="H2666">
        <v>2</v>
      </c>
      <c r="I2666">
        <v>1</v>
      </c>
      <c r="J2666" s="4" t="s">
        <v>54</v>
      </c>
      <c r="K2666" t="str">
        <f t="shared" si="134"/>
        <v>2+2</v>
      </c>
      <c r="L2666">
        <f>VLOOKUP(A2666,'ZONE 1 PREMIUM'!$A$4:$N$16,14,0)</f>
        <v>11</v>
      </c>
      <c r="M2666">
        <f>VLOOKUP(D2666,DROPDOWN!B:C,2,0)</f>
        <v>9</v>
      </c>
      <c r="N2666" t="str">
        <f t="shared" si="135"/>
        <v>CO113:DG124</v>
      </c>
      <c r="O2666" s="4">
        <f t="shared" ca="1" si="133"/>
        <v>262470.91000000003</v>
      </c>
    </row>
    <row r="2667" spans="1:15">
      <c r="A2667" s="2" t="s">
        <v>21</v>
      </c>
      <c r="B2667" t="s">
        <v>22</v>
      </c>
      <c r="D2667">
        <v>25</v>
      </c>
      <c r="E2667" t="s">
        <v>46</v>
      </c>
      <c r="F2667">
        <v>4</v>
      </c>
      <c r="G2667">
        <v>2</v>
      </c>
      <c r="H2667">
        <v>2</v>
      </c>
      <c r="I2667">
        <v>1</v>
      </c>
      <c r="J2667" s="4" t="s">
        <v>54</v>
      </c>
      <c r="K2667" t="str">
        <f t="shared" si="134"/>
        <v>2+2</v>
      </c>
      <c r="L2667">
        <f>VLOOKUP(A2667,'ZONE 1 PREMIUM'!$A$4:$N$16,14,0)</f>
        <v>12</v>
      </c>
      <c r="M2667">
        <f>VLOOKUP(D2667,DROPDOWN!B:C,2,0)</f>
        <v>9</v>
      </c>
      <c r="N2667" t="str">
        <f t="shared" si="135"/>
        <v>CO113:DG124</v>
      </c>
      <c r="O2667" s="4">
        <f t="shared" ca="1" si="133"/>
        <v>333593.41000000003</v>
      </c>
    </row>
    <row r="2668" spans="1:15">
      <c r="A2668" s="2" t="s">
        <v>11</v>
      </c>
      <c r="B2668" t="s">
        <v>45</v>
      </c>
      <c r="C2668" t="s">
        <v>25</v>
      </c>
      <c r="D2668">
        <v>25</v>
      </c>
      <c r="E2668" t="s">
        <v>46</v>
      </c>
      <c r="F2668">
        <v>5</v>
      </c>
      <c r="G2668">
        <v>2</v>
      </c>
      <c r="H2668">
        <v>3</v>
      </c>
      <c r="I2668">
        <v>1</v>
      </c>
      <c r="J2668" s="4" t="s">
        <v>54</v>
      </c>
      <c r="K2668" t="str">
        <f t="shared" si="134"/>
        <v>2+3</v>
      </c>
      <c r="L2668">
        <f>VLOOKUP(A2668,'ZONE 1 PREMIUM'!$A$4:$N$16,14,0)</f>
        <v>2</v>
      </c>
      <c r="M2668">
        <f>VLOOKUP(D2668,DROPDOWN!B:C,2,0)</f>
        <v>9</v>
      </c>
      <c r="N2668" t="str">
        <f t="shared" si="135"/>
        <v>CO128:DG139</v>
      </c>
      <c r="O2668" s="4">
        <f t="shared" ca="1" si="133"/>
        <v>49458.75</v>
      </c>
    </row>
    <row r="2669" spans="1:15">
      <c r="A2669" s="2" t="s">
        <v>12</v>
      </c>
      <c r="B2669" t="s">
        <v>27</v>
      </c>
      <c r="C2669" t="s">
        <v>28</v>
      </c>
      <c r="D2669">
        <v>25</v>
      </c>
      <c r="E2669" t="s">
        <v>46</v>
      </c>
      <c r="F2669">
        <v>5</v>
      </c>
      <c r="G2669">
        <v>2</v>
      </c>
      <c r="H2669">
        <v>3</v>
      </c>
      <c r="I2669">
        <v>1</v>
      </c>
      <c r="J2669" s="4" t="s">
        <v>54</v>
      </c>
      <c r="K2669" t="str">
        <f t="shared" si="134"/>
        <v>2+3</v>
      </c>
      <c r="L2669">
        <f>VLOOKUP(A2669,'ZONE 1 PREMIUM'!$A$4:$N$16,14,0)</f>
        <v>3</v>
      </c>
      <c r="M2669">
        <f>VLOOKUP(D2669,DROPDOWN!B:C,2,0)</f>
        <v>9</v>
      </c>
      <c r="N2669" t="str">
        <f t="shared" si="135"/>
        <v>CO128:DG139</v>
      </c>
      <c r="O2669" s="4">
        <f t="shared" ca="1" si="133"/>
        <v>53183.280000000006</v>
      </c>
    </row>
    <row r="2670" spans="1:15">
      <c r="A2670" s="2" t="s">
        <v>13</v>
      </c>
      <c r="B2670" t="s">
        <v>29</v>
      </c>
      <c r="C2670" t="s">
        <v>30</v>
      </c>
      <c r="D2670">
        <v>25</v>
      </c>
      <c r="E2670" t="s">
        <v>46</v>
      </c>
      <c r="F2670">
        <v>5</v>
      </c>
      <c r="G2670">
        <v>2</v>
      </c>
      <c r="H2670">
        <v>3</v>
      </c>
      <c r="I2670">
        <v>1</v>
      </c>
      <c r="J2670" s="4" t="s">
        <v>54</v>
      </c>
      <c r="K2670" t="str">
        <f t="shared" si="134"/>
        <v>2+3</v>
      </c>
      <c r="L2670">
        <f>VLOOKUP(A2670,'ZONE 1 PREMIUM'!$A$4:$N$16,14,0)</f>
        <v>4</v>
      </c>
      <c r="M2670">
        <f>VLOOKUP(D2670,DROPDOWN!B:C,2,0)</f>
        <v>9</v>
      </c>
      <c r="N2670" t="str">
        <f t="shared" si="135"/>
        <v>CO128:DG139</v>
      </c>
      <c r="O2670" s="4">
        <f t="shared" ca="1" si="133"/>
        <v>60178.9</v>
      </c>
    </row>
    <row r="2671" spans="1:15">
      <c r="A2671" s="2" t="s">
        <v>14</v>
      </c>
      <c r="B2671" t="s">
        <v>31</v>
      </c>
      <c r="C2671" t="s">
        <v>32</v>
      </c>
      <c r="D2671">
        <v>25</v>
      </c>
      <c r="E2671" t="s">
        <v>46</v>
      </c>
      <c r="F2671">
        <v>5</v>
      </c>
      <c r="G2671">
        <v>2</v>
      </c>
      <c r="H2671">
        <v>3</v>
      </c>
      <c r="I2671">
        <v>1</v>
      </c>
      <c r="J2671" s="4" t="s">
        <v>54</v>
      </c>
      <c r="K2671" t="str">
        <f t="shared" si="134"/>
        <v>2+3</v>
      </c>
      <c r="L2671">
        <f>VLOOKUP(A2671,'ZONE 1 PREMIUM'!$A$4:$N$16,14,0)</f>
        <v>5</v>
      </c>
      <c r="M2671">
        <f>VLOOKUP(D2671,DROPDOWN!B:C,2,0)</f>
        <v>9</v>
      </c>
      <c r="N2671" t="str">
        <f t="shared" si="135"/>
        <v>CO128:DG139</v>
      </c>
      <c r="O2671" s="4">
        <f t="shared" ca="1" si="133"/>
        <v>67700.990000000005</v>
      </c>
    </row>
    <row r="2672" spans="1:15">
      <c r="A2672" s="2" t="s">
        <v>15</v>
      </c>
      <c r="B2672" t="s">
        <v>33</v>
      </c>
      <c r="C2672" t="s">
        <v>34</v>
      </c>
      <c r="D2672">
        <v>25</v>
      </c>
      <c r="E2672" t="s">
        <v>46</v>
      </c>
      <c r="F2672">
        <v>5</v>
      </c>
      <c r="G2672">
        <v>2</v>
      </c>
      <c r="H2672">
        <v>3</v>
      </c>
      <c r="I2672">
        <v>1</v>
      </c>
      <c r="J2672" s="4" t="s">
        <v>54</v>
      </c>
      <c r="K2672" t="str">
        <f t="shared" si="134"/>
        <v>2+3</v>
      </c>
      <c r="L2672">
        <f>VLOOKUP(A2672,'ZONE 1 PREMIUM'!$A$4:$N$16,14,0)</f>
        <v>6</v>
      </c>
      <c r="M2672">
        <f>VLOOKUP(D2672,DROPDOWN!B:C,2,0)</f>
        <v>9</v>
      </c>
      <c r="N2672" t="str">
        <f t="shared" si="135"/>
        <v>CO128:DG139</v>
      </c>
      <c r="O2672" s="4">
        <f t="shared" ca="1" si="133"/>
        <v>83128.850000000006</v>
      </c>
    </row>
    <row r="2673" spans="1:15">
      <c r="A2673" s="2" t="s">
        <v>16</v>
      </c>
      <c r="B2673" t="s">
        <v>35</v>
      </c>
      <c r="C2673" t="s">
        <v>36</v>
      </c>
      <c r="D2673">
        <v>25</v>
      </c>
      <c r="E2673" t="s">
        <v>46</v>
      </c>
      <c r="F2673">
        <v>5</v>
      </c>
      <c r="G2673">
        <v>2</v>
      </c>
      <c r="H2673">
        <v>3</v>
      </c>
      <c r="I2673">
        <v>1</v>
      </c>
      <c r="J2673" s="4" t="s">
        <v>54</v>
      </c>
      <c r="K2673" t="str">
        <f t="shared" si="134"/>
        <v>2+3</v>
      </c>
      <c r="L2673">
        <f>VLOOKUP(A2673,'ZONE 1 PREMIUM'!$A$4:$N$16,14,0)</f>
        <v>7</v>
      </c>
      <c r="M2673">
        <f>VLOOKUP(D2673,DROPDOWN!B:C,2,0)</f>
        <v>9</v>
      </c>
      <c r="N2673" t="str">
        <f t="shared" si="135"/>
        <v>CO128:DG139</v>
      </c>
      <c r="O2673" s="4">
        <f t="shared" ca="1" si="133"/>
        <v>106022.12000000001</v>
      </c>
    </row>
    <row r="2674" spans="1:15">
      <c r="A2674" s="2" t="s">
        <v>17</v>
      </c>
      <c r="B2674" t="s">
        <v>37</v>
      </c>
      <c r="C2674" t="s">
        <v>38</v>
      </c>
      <c r="D2674">
        <v>25</v>
      </c>
      <c r="E2674" t="s">
        <v>46</v>
      </c>
      <c r="F2674">
        <v>5</v>
      </c>
      <c r="G2674">
        <v>2</v>
      </c>
      <c r="H2674">
        <v>3</v>
      </c>
      <c r="I2674">
        <v>1</v>
      </c>
      <c r="J2674" s="4" t="s">
        <v>54</v>
      </c>
      <c r="K2674" t="str">
        <f t="shared" si="134"/>
        <v>2+3</v>
      </c>
      <c r="L2674">
        <f>VLOOKUP(A2674,'ZONE 1 PREMIUM'!$A$4:$N$16,14,0)</f>
        <v>8</v>
      </c>
      <c r="M2674">
        <f>VLOOKUP(D2674,DROPDOWN!B:C,2,0)</f>
        <v>9</v>
      </c>
      <c r="N2674" t="str">
        <f t="shared" si="135"/>
        <v>CO128:DG139</v>
      </c>
      <c r="O2674" s="4">
        <f t="shared" ca="1" si="133"/>
        <v>133236.15000000002</v>
      </c>
    </row>
    <row r="2675" spans="1:15">
      <c r="A2675" s="2" t="s">
        <v>18</v>
      </c>
      <c r="B2675" t="s">
        <v>39</v>
      </c>
      <c r="C2675" t="s">
        <v>40</v>
      </c>
      <c r="D2675">
        <v>25</v>
      </c>
      <c r="E2675" t="s">
        <v>46</v>
      </c>
      <c r="F2675">
        <v>5</v>
      </c>
      <c r="G2675">
        <v>2</v>
      </c>
      <c r="H2675">
        <v>3</v>
      </c>
      <c r="I2675">
        <v>1</v>
      </c>
      <c r="J2675" s="4" t="s">
        <v>54</v>
      </c>
      <c r="K2675" t="str">
        <f t="shared" si="134"/>
        <v>2+3</v>
      </c>
      <c r="L2675">
        <f>VLOOKUP(A2675,'ZONE 1 PREMIUM'!$A$4:$N$16,14,0)</f>
        <v>9</v>
      </c>
      <c r="M2675">
        <f>VLOOKUP(D2675,DROPDOWN!B:C,2,0)</f>
        <v>9</v>
      </c>
      <c r="N2675" t="str">
        <f t="shared" si="135"/>
        <v>CO128:DG139</v>
      </c>
      <c r="O2675" s="4">
        <f t="shared" ca="1" si="133"/>
        <v>173097.45</v>
      </c>
    </row>
    <row r="2676" spans="1:15">
      <c r="A2676" s="2" t="s">
        <v>19</v>
      </c>
      <c r="B2676" t="s">
        <v>41</v>
      </c>
      <c r="C2676" t="s">
        <v>42</v>
      </c>
      <c r="D2676">
        <v>25</v>
      </c>
      <c r="E2676" t="s">
        <v>46</v>
      </c>
      <c r="F2676">
        <v>5</v>
      </c>
      <c r="G2676">
        <v>2</v>
      </c>
      <c r="H2676">
        <v>3</v>
      </c>
      <c r="I2676">
        <v>1</v>
      </c>
      <c r="J2676" s="4" t="s">
        <v>54</v>
      </c>
      <c r="K2676" t="str">
        <f t="shared" si="134"/>
        <v>2+3</v>
      </c>
      <c r="L2676">
        <f>VLOOKUP(A2676,'ZONE 1 PREMIUM'!$A$4:$N$16,14,0)</f>
        <v>10</v>
      </c>
      <c r="M2676">
        <f>VLOOKUP(D2676,DROPDOWN!B:C,2,0)</f>
        <v>9</v>
      </c>
      <c r="N2676" t="str">
        <f t="shared" si="135"/>
        <v>CO128:DG139</v>
      </c>
      <c r="O2676" s="4">
        <f t="shared" ca="1" si="133"/>
        <v>222077.69</v>
      </c>
    </row>
    <row r="2677" spans="1:15">
      <c r="A2677" s="2" t="s">
        <v>20</v>
      </c>
      <c r="B2677" t="s">
        <v>43</v>
      </c>
      <c r="C2677" t="s">
        <v>44</v>
      </c>
      <c r="D2677">
        <v>25</v>
      </c>
      <c r="E2677" t="s">
        <v>46</v>
      </c>
      <c r="F2677">
        <v>5</v>
      </c>
      <c r="G2677">
        <v>2</v>
      </c>
      <c r="H2677">
        <v>3</v>
      </c>
      <c r="I2677">
        <v>1</v>
      </c>
      <c r="J2677" s="4" t="s">
        <v>54</v>
      </c>
      <c r="K2677" t="str">
        <f t="shared" si="134"/>
        <v>2+3</v>
      </c>
      <c r="L2677">
        <f>VLOOKUP(A2677,'ZONE 1 PREMIUM'!$A$4:$N$16,14,0)</f>
        <v>11</v>
      </c>
      <c r="M2677">
        <f>VLOOKUP(D2677,DROPDOWN!B:C,2,0)</f>
        <v>9</v>
      </c>
      <c r="N2677" t="str">
        <f t="shared" si="135"/>
        <v>CO128:DG139</v>
      </c>
      <c r="O2677" s="4">
        <f t="shared" ca="1" si="133"/>
        <v>271079.73000000004</v>
      </c>
    </row>
    <row r="2678" spans="1:15">
      <c r="A2678" s="2" t="s">
        <v>21</v>
      </c>
      <c r="B2678" t="s">
        <v>22</v>
      </c>
      <c r="D2678">
        <v>25</v>
      </c>
      <c r="E2678" t="s">
        <v>46</v>
      </c>
      <c r="F2678">
        <v>5</v>
      </c>
      <c r="G2678">
        <v>2</v>
      </c>
      <c r="H2678">
        <v>3</v>
      </c>
      <c r="I2678">
        <v>1</v>
      </c>
      <c r="J2678" s="4" t="s">
        <v>54</v>
      </c>
      <c r="K2678" t="str">
        <f t="shared" si="134"/>
        <v>2+3</v>
      </c>
      <c r="L2678">
        <f>VLOOKUP(A2678,'ZONE 1 PREMIUM'!$A$4:$N$16,14,0)</f>
        <v>12</v>
      </c>
      <c r="M2678">
        <f>VLOOKUP(D2678,DROPDOWN!B:C,2,0)</f>
        <v>9</v>
      </c>
      <c r="N2678" t="str">
        <f t="shared" si="135"/>
        <v>CO128:DG139</v>
      </c>
      <c r="O2678" s="4">
        <f t="shared" ca="1" si="133"/>
        <v>342731.97000000003</v>
      </c>
    </row>
    <row r="2679" spans="1:15">
      <c r="A2679" s="2" t="s">
        <v>11</v>
      </c>
      <c r="B2679" t="s">
        <v>45</v>
      </c>
      <c r="C2679" t="s">
        <v>25</v>
      </c>
      <c r="D2679">
        <v>25</v>
      </c>
      <c r="E2679" t="s">
        <v>46</v>
      </c>
      <c r="F2679">
        <v>6</v>
      </c>
      <c r="G2679">
        <v>2</v>
      </c>
      <c r="H2679">
        <v>4</v>
      </c>
      <c r="I2679">
        <v>1</v>
      </c>
      <c r="J2679" s="4" t="s">
        <v>54</v>
      </c>
      <c r="K2679" t="str">
        <f t="shared" si="134"/>
        <v>2+4</v>
      </c>
      <c r="L2679">
        <f>VLOOKUP(A2679,'ZONE 1 PREMIUM'!$A$4:$N$16,14,0)</f>
        <v>2</v>
      </c>
      <c r="M2679">
        <f>VLOOKUP(D2679,DROPDOWN!B:C,2,0)</f>
        <v>9</v>
      </c>
      <c r="N2679" t="str">
        <f t="shared" si="135"/>
        <v>CO143:DG154</v>
      </c>
      <c r="O2679" s="4">
        <f t="shared" ca="1" si="133"/>
        <v>55776.390000000007</v>
      </c>
    </row>
    <row r="2680" spans="1:15">
      <c r="A2680" s="2" t="s">
        <v>12</v>
      </c>
      <c r="B2680" t="s">
        <v>27</v>
      </c>
      <c r="C2680" t="s">
        <v>28</v>
      </c>
      <c r="D2680">
        <v>25</v>
      </c>
      <c r="E2680" t="s">
        <v>46</v>
      </c>
      <c r="F2680">
        <v>6</v>
      </c>
      <c r="G2680">
        <v>2</v>
      </c>
      <c r="H2680">
        <v>4</v>
      </c>
      <c r="I2680">
        <v>1</v>
      </c>
      <c r="J2680" s="4" t="s">
        <v>54</v>
      </c>
      <c r="K2680" t="str">
        <f t="shared" si="134"/>
        <v>2+4</v>
      </c>
      <c r="L2680">
        <f>VLOOKUP(A2680,'ZONE 1 PREMIUM'!$A$4:$N$16,14,0)</f>
        <v>3</v>
      </c>
      <c r="M2680">
        <f>VLOOKUP(D2680,DROPDOWN!B:C,2,0)</f>
        <v>9</v>
      </c>
      <c r="N2680" t="str">
        <f t="shared" si="135"/>
        <v>CO143:DG154</v>
      </c>
      <c r="O2680" s="4">
        <f t="shared" ca="1" si="133"/>
        <v>59388.65</v>
      </c>
    </row>
    <row r="2681" spans="1:15">
      <c r="A2681" s="2" t="s">
        <v>13</v>
      </c>
      <c r="B2681" t="s">
        <v>29</v>
      </c>
      <c r="C2681" t="s">
        <v>30</v>
      </c>
      <c r="D2681">
        <v>25</v>
      </c>
      <c r="E2681" t="s">
        <v>46</v>
      </c>
      <c r="F2681">
        <v>6</v>
      </c>
      <c r="G2681">
        <v>2</v>
      </c>
      <c r="H2681">
        <v>4</v>
      </c>
      <c r="I2681">
        <v>1</v>
      </c>
      <c r="J2681" s="4" t="s">
        <v>54</v>
      </c>
      <c r="K2681" t="str">
        <f t="shared" si="134"/>
        <v>2+4</v>
      </c>
      <c r="L2681">
        <f>VLOOKUP(A2681,'ZONE 1 PREMIUM'!$A$4:$N$16,14,0)</f>
        <v>4</v>
      </c>
      <c r="M2681">
        <f>VLOOKUP(D2681,DROPDOWN!B:C,2,0)</f>
        <v>9</v>
      </c>
      <c r="N2681" t="str">
        <f t="shared" si="135"/>
        <v>CO143:DG154</v>
      </c>
      <c r="O2681" s="4">
        <f t="shared" ca="1" si="133"/>
        <v>67429.58</v>
      </c>
    </row>
    <row r="2682" spans="1:15">
      <c r="A2682" s="2" t="s">
        <v>14</v>
      </c>
      <c r="B2682" t="s">
        <v>31</v>
      </c>
      <c r="C2682" t="s">
        <v>32</v>
      </c>
      <c r="D2682">
        <v>25</v>
      </c>
      <c r="E2682" t="s">
        <v>46</v>
      </c>
      <c r="F2682">
        <v>6</v>
      </c>
      <c r="G2682">
        <v>2</v>
      </c>
      <c r="H2682">
        <v>4</v>
      </c>
      <c r="I2682">
        <v>1</v>
      </c>
      <c r="J2682" s="4" t="s">
        <v>54</v>
      </c>
      <c r="K2682" t="str">
        <f t="shared" si="134"/>
        <v>2+4</v>
      </c>
      <c r="L2682">
        <f>VLOOKUP(A2682,'ZONE 1 PREMIUM'!$A$4:$N$16,14,0)</f>
        <v>5</v>
      </c>
      <c r="M2682">
        <f>VLOOKUP(D2682,DROPDOWN!B:C,2,0)</f>
        <v>9</v>
      </c>
      <c r="N2682" t="str">
        <f t="shared" si="135"/>
        <v>CO143:DG154</v>
      </c>
      <c r="O2682" s="4">
        <f t="shared" ca="1" si="133"/>
        <v>75456.340000000011</v>
      </c>
    </row>
    <row r="2683" spans="1:15">
      <c r="A2683" s="2" t="s">
        <v>15</v>
      </c>
      <c r="B2683" t="s">
        <v>33</v>
      </c>
      <c r="C2683" t="s">
        <v>34</v>
      </c>
      <c r="D2683">
        <v>25</v>
      </c>
      <c r="E2683" t="s">
        <v>46</v>
      </c>
      <c r="F2683">
        <v>6</v>
      </c>
      <c r="G2683">
        <v>2</v>
      </c>
      <c r="H2683">
        <v>4</v>
      </c>
      <c r="I2683">
        <v>1</v>
      </c>
      <c r="J2683" s="4" t="s">
        <v>54</v>
      </c>
      <c r="K2683" t="str">
        <f t="shared" si="134"/>
        <v>2+4</v>
      </c>
      <c r="L2683">
        <f>VLOOKUP(A2683,'ZONE 1 PREMIUM'!$A$4:$N$16,14,0)</f>
        <v>6</v>
      </c>
      <c r="M2683">
        <f>VLOOKUP(D2683,DROPDOWN!B:C,2,0)</f>
        <v>9</v>
      </c>
      <c r="N2683" t="str">
        <f t="shared" si="135"/>
        <v>CO143:DG154</v>
      </c>
      <c r="O2683" s="4">
        <f t="shared" ca="1" si="133"/>
        <v>91865.200000000012</v>
      </c>
    </row>
    <row r="2684" spans="1:15">
      <c r="A2684" s="2" t="s">
        <v>16</v>
      </c>
      <c r="B2684" t="s">
        <v>35</v>
      </c>
      <c r="C2684" t="s">
        <v>36</v>
      </c>
      <c r="D2684">
        <v>25</v>
      </c>
      <c r="E2684" t="s">
        <v>46</v>
      </c>
      <c r="F2684">
        <v>6</v>
      </c>
      <c r="G2684">
        <v>2</v>
      </c>
      <c r="H2684">
        <v>4</v>
      </c>
      <c r="I2684">
        <v>1</v>
      </c>
      <c r="J2684" s="4" t="s">
        <v>54</v>
      </c>
      <c r="K2684" t="str">
        <f t="shared" si="134"/>
        <v>2+4</v>
      </c>
      <c r="L2684">
        <f>VLOOKUP(A2684,'ZONE 1 PREMIUM'!$A$4:$N$16,14,0)</f>
        <v>7</v>
      </c>
      <c r="M2684">
        <f>VLOOKUP(D2684,DROPDOWN!B:C,2,0)</f>
        <v>9</v>
      </c>
      <c r="N2684" t="str">
        <f t="shared" si="135"/>
        <v>CO143:DG154</v>
      </c>
      <c r="O2684" s="4">
        <f t="shared" ca="1" si="133"/>
        <v>114079.40000000001</v>
      </c>
    </row>
    <row r="2685" spans="1:15">
      <c r="A2685" s="2" t="s">
        <v>17</v>
      </c>
      <c r="B2685" t="s">
        <v>37</v>
      </c>
      <c r="C2685" t="s">
        <v>38</v>
      </c>
      <c r="D2685">
        <v>25</v>
      </c>
      <c r="E2685" t="s">
        <v>46</v>
      </c>
      <c r="F2685">
        <v>6</v>
      </c>
      <c r="G2685">
        <v>2</v>
      </c>
      <c r="H2685">
        <v>4</v>
      </c>
      <c r="I2685">
        <v>1</v>
      </c>
      <c r="J2685" s="4" t="s">
        <v>54</v>
      </c>
      <c r="K2685" t="str">
        <f t="shared" si="134"/>
        <v>2+4</v>
      </c>
      <c r="L2685">
        <f>VLOOKUP(A2685,'ZONE 1 PREMIUM'!$A$4:$N$16,14,0)</f>
        <v>8</v>
      </c>
      <c r="M2685">
        <f>VLOOKUP(D2685,DROPDOWN!B:C,2,0)</f>
        <v>9</v>
      </c>
      <c r="N2685" t="str">
        <f t="shared" si="135"/>
        <v>CO143:DG154</v>
      </c>
      <c r="O2685" s="4">
        <f t="shared" ca="1" si="133"/>
        <v>141310.87000000002</v>
      </c>
    </row>
    <row r="2686" spans="1:15">
      <c r="A2686" s="2" t="s">
        <v>18</v>
      </c>
      <c r="B2686" t="s">
        <v>39</v>
      </c>
      <c r="C2686" t="s">
        <v>40</v>
      </c>
      <c r="D2686">
        <v>25</v>
      </c>
      <c r="E2686" t="s">
        <v>46</v>
      </c>
      <c r="F2686">
        <v>6</v>
      </c>
      <c r="G2686">
        <v>2</v>
      </c>
      <c r="H2686">
        <v>4</v>
      </c>
      <c r="I2686">
        <v>1</v>
      </c>
      <c r="J2686" s="4" t="s">
        <v>54</v>
      </c>
      <c r="K2686" t="str">
        <f t="shared" si="134"/>
        <v>2+4</v>
      </c>
      <c r="L2686">
        <f>VLOOKUP(A2686,'ZONE 1 PREMIUM'!$A$4:$N$16,14,0)</f>
        <v>9</v>
      </c>
      <c r="M2686">
        <f>VLOOKUP(D2686,DROPDOWN!B:C,2,0)</f>
        <v>9</v>
      </c>
      <c r="N2686" t="str">
        <f t="shared" si="135"/>
        <v>CO143:DG154</v>
      </c>
      <c r="O2686" s="4">
        <f t="shared" ca="1" si="133"/>
        <v>180885.5</v>
      </c>
    </row>
    <row r="2687" spans="1:15">
      <c r="A2687" s="2" t="s">
        <v>19</v>
      </c>
      <c r="B2687" t="s">
        <v>41</v>
      </c>
      <c r="C2687" t="s">
        <v>42</v>
      </c>
      <c r="D2687">
        <v>25</v>
      </c>
      <c r="E2687" t="s">
        <v>46</v>
      </c>
      <c r="F2687">
        <v>6</v>
      </c>
      <c r="G2687">
        <v>2</v>
      </c>
      <c r="H2687">
        <v>4</v>
      </c>
      <c r="I2687">
        <v>1</v>
      </c>
      <c r="J2687" s="4" t="s">
        <v>54</v>
      </c>
      <c r="K2687" t="str">
        <f t="shared" si="134"/>
        <v>2+4</v>
      </c>
      <c r="L2687">
        <f>VLOOKUP(A2687,'ZONE 1 PREMIUM'!$A$4:$N$16,14,0)</f>
        <v>10</v>
      </c>
      <c r="M2687">
        <f>VLOOKUP(D2687,DROPDOWN!B:C,2,0)</f>
        <v>9</v>
      </c>
      <c r="N2687" t="str">
        <f t="shared" si="135"/>
        <v>CO143:DG154</v>
      </c>
      <c r="O2687" s="4">
        <f t="shared" ca="1" si="133"/>
        <v>230663.62000000002</v>
      </c>
    </row>
    <row r="2688" spans="1:15">
      <c r="A2688" s="2" t="s">
        <v>20</v>
      </c>
      <c r="B2688" t="s">
        <v>43</v>
      </c>
      <c r="C2688" t="s">
        <v>44</v>
      </c>
      <c r="D2688">
        <v>25</v>
      </c>
      <c r="E2688" t="s">
        <v>46</v>
      </c>
      <c r="F2688">
        <v>6</v>
      </c>
      <c r="G2688">
        <v>2</v>
      </c>
      <c r="H2688">
        <v>4</v>
      </c>
      <c r="I2688">
        <v>1</v>
      </c>
      <c r="J2688" s="4" t="s">
        <v>54</v>
      </c>
      <c r="K2688" t="str">
        <f t="shared" si="134"/>
        <v>2+4</v>
      </c>
      <c r="L2688">
        <f>VLOOKUP(A2688,'ZONE 1 PREMIUM'!$A$4:$N$16,14,0)</f>
        <v>11</v>
      </c>
      <c r="M2688">
        <f>VLOOKUP(D2688,DROPDOWN!B:C,2,0)</f>
        <v>9</v>
      </c>
      <c r="N2688" t="str">
        <f t="shared" si="135"/>
        <v>CO143:DG154</v>
      </c>
      <c r="O2688" s="4">
        <f t="shared" ca="1" si="133"/>
        <v>279059.62</v>
      </c>
    </row>
    <row r="2689" spans="1:15">
      <c r="A2689" s="2" t="s">
        <v>21</v>
      </c>
      <c r="B2689" t="s">
        <v>22</v>
      </c>
      <c r="D2689">
        <v>25</v>
      </c>
      <c r="E2689" t="s">
        <v>46</v>
      </c>
      <c r="F2689">
        <v>6</v>
      </c>
      <c r="G2689">
        <v>2</v>
      </c>
      <c r="H2689">
        <v>4</v>
      </c>
      <c r="I2689">
        <v>1</v>
      </c>
      <c r="J2689" s="4" t="s">
        <v>54</v>
      </c>
      <c r="K2689" t="str">
        <f t="shared" si="134"/>
        <v>2+4</v>
      </c>
      <c r="L2689">
        <f>VLOOKUP(A2689,'ZONE 1 PREMIUM'!$A$4:$N$16,14,0)</f>
        <v>12</v>
      </c>
      <c r="M2689">
        <f>VLOOKUP(D2689,DROPDOWN!B:C,2,0)</f>
        <v>9</v>
      </c>
      <c r="N2689" t="str">
        <f t="shared" si="135"/>
        <v>CO143:DG154</v>
      </c>
      <c r="O2689" s="4">
        <f t="shared" ca="1" si="133"/>
        <v>349380.97000000003</v>
      </c>
    </row>
    <row r="2690" spans="1:15">
      <c r="A2690" s="2" t="s">
        <v>9</v>
      </c>
      <c r="B2690" t="s">
        <v>47</v>
      </c>
      <c r="C2690" t="s">
        <v>48</v>
      </c>
      <c r="D2690">
        <v>30</v>
      </c>
      <c r="E2690" t="s">
        <v>26</v>
      </c>
      <c r="F2690">
        <v>1</v>
      </c>
      <c r="H2690">
        <v>1</v>
      </c>
      <c r="I2690">
        <v>1</v>
      </c>
      <c r="J2690" s="4" t="s">
        <v>52</v>
      </c>
      <c r="K2690" t="str">
        <f t="shared" si="134"/>
        <v>+1</v>
      </c>
      <c r="L2690">
        <f>VLOOKUP(A2690,'ZONE 1 PREMIUM'!$A$3:$M$16,13,0)</f>
        <v>2</v>
      </c>
      <c r="M2690">
        <f>VLOOKUP(D2690,DROPDOWN!B:C,2,0)</f>
        <v>10</v>
      </c>
      <c r="N2690" t="e">
        <f t="shared" ref="N2690:N2753" si="136">VLOOKUP(K2690,$AQ$3:$AR$12,2,0)</f>
        <v>#N/A</v>
      </c>
      <c r="O2690" s="13">
        <v>5858.8142539097298</v>
      </c>
    </row>
    <row r="2691" spans="1:15">
      <c r="A2691" s="2" t="s">
        <v>10</v>
      </c>
      <c r="B2691" t="s">
        <v>49</v>
      </c>
      <c r="C2691" t="s">
        <v>50</v>
      </c>
      <c r="D2691">
        <v>30</v>
      </c>
      <c r="E2691" t="s">
        <v>26</v>
      </c>
      <c r="F2691">
        <v>1</v>
      </c>
      <c r="G2691">
        <v>1</v>
      </c>
      <c r="H2691">
        <v>0</v>
      </c>
      <c r="I2691">
        <v>1</v>
      </c>
      <c r="J2691" s="4" t="s">
        <v>52</v>
      </c>
      <c r="K2691" t="str">
        <f t="shared" si="134"/>
        <v>1+0</v>
      </c>
      <c r="L2691">
        <f>VLOOKUP(A2691,'ZONE 1 PREMIUM'!$A$3:$M$16,13,0)</f>
        <v>3</v>
      </c>
      <c r="M2691">
        <f>VLOOKUP(D2691,DROPDOWN!B:C,2,0)</f>
        <v>10</v>
      </c>
      <c r="N2691" t="str">
        <f t="shared" si="136"/>
        <v>X3:AP16</v>
      </c>
      <c r="O2691" s="4">
        <f t="shared" ref="O2691:O2753" ca="1" si="137">INDEX(INDIRECT(N2691),L2691,M2691)</f>
        <v>10374.15</v>
      </c>
    </row>
    <row r="2692" spans="1:15">
      <c r="A2692" s="2" t="s">
        <v>11</v>
      </c>
      <c r="B2692" t="s">
        <v>45</v>
      </c>
      <c r="C2692" t="s">
        <v>25</v>
      </c>
      <c r="D2692">
        <v>30</v>
      </c>
      <c r="E2692" t="s">
        <v>26</v>
      </c>
      <c r="F2692">
        <v>1</v>
      </c>
      <c r="G2692">
        <v>1</v>
      </c>
      <c r="H2692">
        <v>0</v>
      </c>
      <c r="I2692">
        <v>1</v>
      </c>
      <c r="J2692" s="4" t="s">
        <v>52</v>
      </c>
      <c r="K2692" t="str">
        <f t="shared" ref="K2692:K2755" si="138">G2692&amp;"+"&amp;H2692</f>
        <v>1+0</v>
      </c>
      <c r="L2692">
        <f>VLOOKUP(A2692,'ZONE 1 PREMIUM'!$A$3:$M$16,13,0)</f>
        <v>4</v>
      </c>
      <c r="M2692">
        <f>VLOOKUP(D2692,DROPDOWN!B:C,2,0)</f>
        <v>10</v>
      </c>
      <c r="N2692" t="str">
        <f t="shared" si="136"/>
        <v>X3:AP16</v>
      </c>
      <c r="O2692" s="4">
        <f t="shared" ca="1" si="137"/>
        <v>28574.05</v>
      </c>
    </row>
    <row r="2693" spans="1:15">
      <c r="A2693" s="2" t="s">
        <v>12</v>
      </c>
      <c r="B2693" t="s">
        <v>27</v>
      </c>
      <c r="C2693" t="s">
        <v>28</v>
      </c>
      <c r="D2693">
        <v>30</v>
      </c>
      <c r="E2693" t="s">
        <v>26</v>
      </c>
      <c r="F2693">
        <v>1</v>
      </c>
      <c r="G2693">
        <v>1</v>
      </c>
      <c r="H2693">
        <v>0</v>
      </c>
      <c r="I2693">
        <v>1</v>
      </c>
      <c r="J2693" s="4" t="s">
        <v>52</v>
      </c>
      <c r="K2693" t="str">
        <f t="shared" si="138"/>
        <v>1+0</v>
      </c>
      <c r="L2693">
        <f>VLOOKUP(A2693,'ZONE 1 PREMIUM'!$A$3:$M$16,13,0)</f>
        <v>5</v>
      </c>
      <c r="M2693">
        <f>VLOOKUP(D2693,DROPDOWN!B:C,2,0)</f>
        <v>10</v>
      </c>
      <c r="N2693" t="str">
        <f t="shared" si="136"/>
        <v>X3:AP16</v>
      </c>
      <c r="O2693" s="4">
        <f t="shared" ca="1" si="137"/>
        <v>32623.199999999997</v>
      </c>
    </row>
    <row r="2694" spans="1:15">
      <c r="A2694" s="2" t="s">
        <v>13</v>
      </c>
      <c r="B2694" t="s">
        <v>29</v>
      </c>
      <c r="C2694" t="s">
        <v>30</v>
      </c>
      <c r="D2694">
        <v>30</v>
      </c>
      <c r="E2694" t="s">
        <v>26</v>
      </c>
      <c r="F2694">
        <v>1</v>
      </c>
      <c r="G2694">
        <v>1</v>
      </c>
      <c r="H2694">
        <v>0</v>
      </c>
      <c r="I2694">
        <v>1</v>
      </c>
      <c r="J2694" s="4" t="s">
        <v>52</v>
      </c>
      <c r="K2694" t="str">
        <f t="shared" si="138"/>
        <v>1+0</v>
      </c>
      <c r="L2694">
        <f>VLOOKUP(A2694,'ZONE 1 PREMIUM'!$A$3:$M$16,13,0)</f>
        <v>6</v>
      </c>
      <c r="M2694">
        <f>VLOOKUP(D2694,DROPDOWN!B:C,2,0)</f>
        <v>10</v>
      </c>
      <c r="N2694" t="str">
        <f t="shared" si="136"/>
        <v>X3:AP16</v>
      </c>
      <c r="O2694" s="4">
        <f t="shared" ca="1" si="137"/>
        <v>37761.399999999994</v>
      </c>
    </row>
    <row r="2695" spans="1:15">
      <c r="A2695" s="2" t="s">
        <v>14</v>
      </c>
      <c r="B2695" t="s">
        <v>31</v>
      </c>
      <c r="C2695" t="s">
        <v>32</v>
      </c>
      <c r="D2695">
        <v>30</v>
      </c>
      <c r="E2695" t="s">
        <v>26</v>
      </c>
      <c r="F2695">
        <v>1</v>
      </c>
      <c r="G2695">
        <v>1</v>
      </c>
      <c r="H2695">
        <v>0</v>
      </c>
      <c r="I2695">
        <v>1</v>
      </c>
      <c r="J2695" s="4" t="s">
        <v>52</v>
      </c>
      <c r="K2695" t="str">
        <f t="shared" si="138"/>
        <v>1+0</v>
      </c>
      <c r="L2695">
        <f>VLOOKUP(A2695,'ZONE 1 PREMIUM'!$A$3:$M$16,13,0)</f>
        <v>7</v>
      </c>
      <c r="M2695">
        <f>VLOOKUP(D2695,DROPDOWN!B:C,2,0)</f>
        <v>10</v>
      </c>
      <c r="N2695" t="str">
        <f t="shared" si="136"/>
        <v>X3:AP16</v>
      </c>
      <c r="O2695" s="4">
        <f t="shared" ca="1" si="137"/>
        <v>43826.5</v>
      </c>
    </row>
    <row r="2696" spans="1:15">
      <c r="A2696" s="2" t="s">
        <v>15</v>
      </c>
      <c r="B2696" t="s">
        <v>33</v>
      </c>
      <c r="C2696" t="s">
        <v>34</v>
      </c>
      <c r="D2696">
        <v>30</v>
      </c>
      <c r="E2696" t="s">
        <v>26</v>
      </c>
      <c r="F2696">
        <v>1</v>
      </c>
      <c r="G2696">
        <v>1</v>
      </c>
      <c r="H2696">
        <v>0</v>
      </c>
      <c r="I2696">
        <v>1</v>
      </c>
      <c r="J2696" s="4" t="s">
        <v>52</v>
      </c>
      <c r="K2696" t="str">
        <f t="shared" si="138"/>
        <v>1+0</v>
      </c>
      <c r="L2696">
        <f>VLOOKUP(A2696,'ZONE 1 PREMIUM'!$A$3:$M$16,13,0)</f>
        <v>8</v>
      </c>
      <c r="M2696">
        <f>VLOOKUP(D2696,DROPDOWN!B:C,2,0)</f>
        <v>10</v>
      </c>
      <c r="N2696" t="str">
        <f t="shared" si="136"/>
        <v>X3:AP16</v>
      </c>
      <c r="O2696" s="4">
        <f t="shared" ca="1" si="137"/>
        <v>54664.1</v>
      </c>
    </row>
    <row r="2697" spans="1:15">
      <c r="A2697" s="2" t="s">
        <v>16</v>
      </c>
      <c r="B2697" t="s">
        <v>35</v>
      </c>
      <c r="C2697" t="s">
        <v>36</v>
      </c>
      <c r="D2697">
        <v>30</v>
      </c>
      <c r="E2697" t="s">
        <v>26</v>
      </c>
      <c r="F2697">
        <v>1</v>
      </c>
      <c r="G2697">
        <v>1</v>
      </c>
      <c r="H2697">
        <v>0</v>
      </c>
      <c r="I2697">
        <v>1</v>
      </c>
      <c r="J2697" s="4" t="s">
        <v>52</v>
      </c>
      <c r="K2697" t="str">
        <f t="shared" si="138"/>
        <v>1+0</v>
      </c>
      <c r="L2697">
        <f>VLOOKUP(A2697,'ZONE 1 PREMIUM'!$A$3:$M$16,13,0)</f>
        <v>9</v>
      </c>
      <c r="M2697">
        <f>VLOOKUP(D2697,DROPDOWN!B:C,2,0)</f>
        <v>10</v>
      </c>
      <c r="N2697" t="str">
        <f t="shared" si="136"/>
        <v>X3:AP16</v>
      </c>
      <c r="O2697" s="4">
        <f t="shared" ca="1" si="137"/>
        <v>72322.349999999991</v>
      </c>
    </row>
    <row r="2698" spans="1:15">
      <c r="A2698" s="2" t="s">
        <v>17</v>
      </c>
      <c r="B2698" t="s">
        <v>37</v>
      </c>
      <c r="C2698" t="s">
        <v>38</v>
      </c>
      <c r="D2698">
        <v>30</v>
      </c>
      <c r="E2698" t="s">
        <v>26</v>
      </c>
      <c r="F2698">
        <v>1</v>
      </c>
      <c r="G2698">
        <v>1</v>
      </c>
      <c r="H2698">
        <v>0</v>
      </c>
      <c r="I2698">
        <v>1</v>
      </c>
      <c r="J2698" s="4" t="s">
        <v>52</v>
      </c>
      <c r="K2698" t="str">
        <f t="shared" si="138"/>
        <v>1+0</v>
      </c>
      <c r="L2698">
        <f>VLOOKUP(A2698,'ZONE 1 PREMIUM'!$A$3:$M$16,13,0)</f>
        <v>10</v>
      </c>
      <c r="M2698">
        <f>VLOOKUP(D2698,DROPDOWN!B:C,2,0)</f>
        <v>10</v>
      </c>
      <c r="N2698" t="str">
        <f t="shared" si="136"/>
        <v>X3:AP16</v>
      </c>
      <c r="O2698" s="4">
        <f t="shared" ca="1" si="137"/>
        <v>97227.9</v>
      </c>
    </row>
    <row r="2699" spans="1:15">
      <c r="A2699" s="2" t="s">
        <v>18</v>
      </c>
      <c r="B2699" t="s">
        <v>39</v>
      </c>
      <c r="C2699" t="s">
        <v>40</v>
      </c>
      <c r="D2699">
        <v>30</v>
      </c>
      <c r="E2699" t="s">
        <v>26</v>
      </c>
      <c r="F2699">
        <v>1</v>
      </c>
      <c r="G2699">
        <v>1</v>
      </c>
      <c r="H2699">
        <v>0</v>
      </c>
      <c r="I2699">
        <v>1</v>
      </c>
      <c r="J2699" s="4" t="s">
        <v>52</v>
      </c>
      <c r="K2699" t="str">
        <f t="shared" si="138"/>
        <v>1+0</v>
      </c>
      <c r="L2699">
        <f>VLOOKUP(A2699,'ZONE 1 PREMIUM'!$A$3:$M$16,13,0)</f>
        <v>11</v>
      </c>
      <c r="M2699">
        <f>VLOOKUP(D2699,DROPDOWN!B:C,2,0)</f>
        <v>10</v>
      </c>
      <c r="N2699" t="str">
        <f t="shared" si="136"/>
        <v>X3:AP16</v>
      </c>
      <c r="O2699" s="4">
        <f t="shared" ca="1" si="137"/>
        <v>134693.75</v>
      </c>
    </row>
    <row r="2700" spans="1:15">
      <c r="A2700" s="2" t="s">
        <v>19</v>
      </c>
      <c r="B2700" t="s">
        <v>41</v>
      </c>
      <c r="C2700" t="s">
        <v>42</v>
      </c>
      <c r="D2700">
        <v>30</v>
      </c>
      <c r="E2700" t="s">
        <v>26</v>
      </c>
      <c r="F2700">
        <v>1</v>
      </c>
      <c r="G2700">
        <v>1</v>
      </c>
      <c r="H2700">
        <v>0</v>
      </c>
      <c r="I2700">
        <v>1</v>
      </c>
      <c r="J2700" s="4" t="s">
        <v>52</v>
      </c>
      <c r="K2700" t="str">
        <f t="shared" si="138"/>
        <v>1+0</v>
      </c>
      <c r="L2700">
        <f>VLOOKUP(A2700,'ZONE 1 PREMIUM'!$A$3:$M$16,13,0)</f>
        <v>12</v>
      </c>
      <c r="M2700">
        <f>VLOOKUP(D2700,DROPDOWN!B:C,2,0)</f>
        <v>10</v>
      </c>
      <c r="N2700" t="str">
        <f t="shared" si="136"/>
        <v>X3:AP16</v>
      </c>
      <c r="O2700" s="4">
        <f t="shared" ca="1" si="137"/>
        <v>175617.65</v>
      </c>
    </row>
    <row r="2701" spans="1:15">
      <c r="A2701" s="2" t="s">
        <v>20</v>
      </c>
      <c r="B2701" t="s">
        <v>43</v>
      </c>
      <c r="C2701" t="s">
        <v>44</v>
      </c>
      <c r="D2701">
        <v>30</v>
      </c>
      <c r="E2701" t="s">
        <v>26</v>
      </c>
      <c r="F2701">
        <v>1</v>
      </c>
      <c r="G2701">
        <v>1</v>
      </c>
      <c r="H2701">
        <v>0</v>
      </c>
      <c r="I2701">
        <v>1</v>
      </c>
      <c r="J2701" s="4" t="s">
        <v>52</v>
      </c>
      <c r="K2701" t="str">
        <f t="shared" si="138"/>
        <v>1+0</v>
      </c>
      <c r="L2701">
        <f>VLOOKUP(A2701,'ZONE 1 PREMIUM'!$A$3:$M$16,13,0)</f>
        <v>13</v>
      </c>
      <c r="M2701">
        <f>VLOOKUP(D2701,DROPDOWN!B:C,2,0)</f>
        <v>10</v>
      </c>
      <c r="N2701" t="str">
        <f t="shared" si="136"/>
        <v>X3:AP16</v>
      </c>
      <c r="O2701" s="4">
        <f t="shared" ca="1" si="137"/>
        <v>211866.8</v>
      </c>
    </row>
    <row r="2702" spans="1:15">
      <c r="A2702" s="2" t="s">
        <v>21</v>
      </c>
      <c r="B2702" t="s">
        <v>22</v>
      </c>
      <c r="D2702">
        <v>30</v>
      </c>
      <c r="E2702" t="s">
        <v>26</v>
      </c>
      <c r="F2702">
        <v>1</v>
      </c>
      <c r="G2702">
        <v>1</v>
      </c>
      <c r="H2702">
        <v>0</v>
      </c>
      <c r="I2702">
        <v>1</v>
      </c>
      <c r="J2702" s="4" t="s">
        <v>52</v>
      </c>
      <c r="K2702" t="str">
        <f t="shared" si="138"/>
        <v>1+0</v>
      </c>
      <c r="L2702">
        <f>VLOOKUP(A2702,'ZONE 1 PREMIUM'!$A$3:$M$16,13,0)</f>
        <v>14</v>
      </c>
      <c r="M2702">
        <f>VLOOKUP(D2702,DROPDOWN!B:C,2,0)</f>
        <v>10</v>
      </c>
      <c r="N2702" t="str">
        <f t="shared" si="136"/>
        <v>X3:AP16</v>
      </c>
      <c r="O2702" s="4">
        <f t="shared" ca="1" si="137"/>
        <v>285723.25</v>
      </c>
    </row>
    <row r="2703" spans="1:15">
      <c r="A2703" s="2" t="s">
        <v>11</v>
      </c>
      <c r="B2703" t="s">
        <v>45</v>
      </c>
      <c r="C2703" t="s">
        <v>25</v>
      </c>
      <c r="D2703">
        <v>30</v>
      </c>
      <c r="E2703" t="s">
        <v>46</v>
      </c>
      <c r="F2703">
        <v>2</v>
      </c>
      <c r="G2703">
        <v>1</v>
      </c>
      <c r="H2703">
        <v>1</v>
      </c>
      <c r="I2703">
        <v>1</v>
      </c>
      <c r="J2703" s="4" t="s">
        <v>52</v>
      </c>
      <c r="K2703" t="str">
        <f t="shared" si="138"/>
        <v>1+1</v>
      </c>
      <c r="L2703">
        <f>VLOOKUP(A2703,'ZONE 1 PREMIUM'!$A$4:$N$16,14,0)</f>
        <v>2</v>
      </c>
      <c r="M2703">
        <f>VLOOKUP(D2703,DROPDOWN!B:C,2,0)</f>
        <v>10</v>
      </c>
      <c r="N2703" t="str">
        <f t="shared" si="136"/>
        <v>X20:AP31</v>
      </c>
      <c r="O2703" s="4">
        <f t="shared" ca="1" si="137"/>
        <v>31984.949999999997</v>
      </c>
    </row>
    <row r="2704" spans="1:15">
      <c r="A2704" s="2" t="s">
        <v>12</v>
      </c>
      <c r="B2704" t="s">
        <v>27</v>
      </c>
      <c r="C2704" t="s">
        <v>28</v>
      </c>
      <c r="D2704">
        <v>30</v>
      </c>
      <c r="E2704" t="s">
        <v>46</v>
      </c>
      <c r="F2704">
        <v>2</v>
      </c>
      <c r="G2704">
        <v>1</v>
      </c>
      <c r="H2704">
        <v>1</v>
      </c>
      <c r="I2704">
        <v>1</v>
      </c>
      <c r="J2704" s="4" t="s">
        <v>52</v>
      </c>
      <c r="K2704" t="str">
        <f t="shared" si="138"/>
        <v>1+1</v>
      </c>
      <c r="L2704">
        <f>VLOOKUP(A2704,'ZONE 1 PREMIUM'!$A$4:$N$16,14,0)</f>
        <v>3</v>
      </c>
      <c r="M2704">
        <f>VLOOKUP(D2704,DROPDOWN!B:C,2,0)</f>
        <v>10</v>
      </c>
      <c r="N2704" t="str">
        <f t="shared" si="136"/>
        <v>X20:AP31</v>
      </c>
      <c r="O2704" s="4">
        <f t="shared" ca="1" si="137"/>
        <v>35203.799999999996</v>
      </c>
    </row>
    <row r="2705" spans="1:15">
      <c r="A2705" s="2" t="s">
        <v>13</v>
      </c>
      <c r="B2705" t="s">
        <v>29</v>
      </c>
      <c r="C2705" t="s">
        <v>30</v>
      </c>
      <c r="D2705">
        <v>30</v>
      </c>
      <c r="E2705" t="s">
        <v>46</v>
      </c>
      <c r="F2705">
        <v>2</v>
      </c>
      <c r="G2705">
        <v>1</v>
      </c>
      <c r="H2705">
        <v>1</v>
      </c>
      <c r="I2705">
        <v>1</v>
      </c>
      <c r="J2705" s="4" t="s">
        <v>52</v>
      </c>
      <c r="K2705" t="str">
        <f t="shared" si="138"/>
        <v>1+1</v>
      </c>
      <c r="L2705">
        <f>VLOOKUP(A2705,'ZONE 1 PREMIUM'!$A$4:$N$16,14,0)</f>
        <v>4</v>
      </c>
      <c r="M2705">
        <f>VLOOKUP(D2705,DROPDOWN!B:C,2,0)</f>
        <v>10</v>
      </c>
      <c r="N2705" t="str">
        <f t="shared" si="136"/>
        <v>X20:AP31</v>
      </c>
      <c r="O2705" s="4">
        <f t="shared" ca="1" si="137"/>
        <v>40872.149999999994</v>
      </c>
    </row>
    <row r="2706" spans="1:15">
      <c r="A2706" s="2" t="s">
        <v>14</v>
      </c>
      <c r="B2706" t="s">
        <v>31</v>
      </c>
      <c r="C2706" t="s">
        <v>32</v>
      </c>
      <c r="D2706">
        <v>30</v>
      </c>
      <c r="E2706" t="s">
        <v>46</v>
      </c>
      <c r="F2706">
        <v>2</v>
      </c>
      <c r="G2706">
        <v>1</v>
      </c>
      <c r="H2706">
        <v>1</v>
      </c>
      <c r="I2706">
        <v>1</v>
      </c>
      <c r="J2706" s="4" t="s">
        <v>52</v>
      </c>
      <c r="K2706" t="str">
        <f t="shared" si="138"/>
        <v>1+1</v>
      </c>
      <c r="L2706">
        <f>VLOOKUP(A2706,'ZONE 1 PREMIUM'!$A$4:$N$16,14,0)</f>
        <v>5</v>
      </c>
      <c r="M2706">
        <f>VLOOKUP(D2706,DROPDOWN!B:C,2,0)</f>
        <v>10</v>
      </c>
      <c r="N2706" t="str">
        <f t="shared" si="136"/>
        <v>X20:AP31</v>
      </c>
      <c r="O2706" s="4">
        <f t="shared" ca="1" si="137"/>
        <v>48057.35</v>
      </c>
    </row>
    <row r="2707" spans="1:15">
      <c r="A2707" s="2" t="s">
        <v>15</v>
      </c>
      <c r="B2707" t="s">
        <v>33</v>
      </c>
      <c r="C2707" t="s">
        <v>34</v>
      </c>
      <c r="D2707">
        <v>30</v>
      </c>
      <c r="E2707" t="s">
        <v>46</v>
      </c>
      <c r="F2707">
        <v>2</v>
      </c>
      <c r="G2707">
        <v>1</v>
      </c>
      <c r="H2707">
        <v>1</v>
      </c>
      <c r="I2707">
        <v>1</v>
      </c>
      <c r="J2707" s="4" t="s">
        <v>52</v>
      </c>
      <c r="K2707" t="str">
        <f t="shared" si="138"/>
        <v>1+1</v>
      </c>
      <c r="L2707">
        <f>VLOOKUP(A2707,'ZONE 1 PREMIUM'!$A$4:$N$16,14,0)</f>
        <v>6</v>
      </c>
      <c r="M2707">
        <f>VLOOKUP(D2707,DROPDOWN!B:C,2,0)</f>
        <v>10</v>
      </c>
      <c r="N2707" t="str">
        <f t="shared" si="136"/>
        <v>X20:AP31</v>
      </c>
      <c r="O2707" s="4">
        <f t="shared" ca="1" si="137"/>
        <v>59457.299999999996</v>
      </c>
    </row>
    <row r="2708" spans="1:15">
      <c r="A2708" s="2" t="s">
        <v>16</v>
      </c>
      <c r="B2708" t="s">
        <v>35</v>
      </c>
      <c r="C2708" t="s">
        <v>36</v>
      </c>
      <c r="D2708">
        <v>30</v>
      </c>
      <c r="E2708" t="s">
        <v>46</v>
      </c>
      <c r="F2708">
        <v>2</v>
      </c>
      <c r="G2708">
        <v>1</v>
      </c>
      <c r="H2708">
        <v>1</v>
      </c>
      <c r="I2708">
        <v>1</v>
      </c>
      <c r="J2708" s="4" t="s">
        <v>52</v>
      </c>
      <c r="K2708" t="str">
        <f t="shared" si="138"/>
        <v>1+1</v>
      </c>
      <c r="L2708">
        <f>VLOOKUP(A2708,'ZONE 1 PREMIUM'!$A$4:$N$16,14,0)</f>
        <v>7</v>
      </c>
      <c r="M2708">
        <f>VLOOKUP(D2708,DROPDOWN!B:C,2,0)</f>
        <v>10</v>
      </c>
      <c r="N2708" t="str">
        <f t="shared" si="136"/>
        <v>X20:AP31</v>
      </c>
      <c r="O2708" s="4">
        <f t="shared" ca="1" si="137"/>
        <v>77572.099999999991</v>
      </c>
    </row>
    <row r="2709" spans="1:15">
      <c r="A2709" s="2" t="s">
        <v>17</v>
      </c>
      <c r="B2709" t="s">
        <v>37</v>
      </c>
      <c r="C2709" t="s">
        <v>38</v>
      </c>
      <c r="D2709">
        <v>30</v>
      </c>
      <c r="E2709" t="s">
        <v>46</v>
      </c>
      <c r="F2709">
        <v>2</v>
      </c>
      <c r="G2709">
        <v>1</v>
      </c>
      <c r="H2709">
        <v>1</v>
      </c>
      <c r="I2709">
        <v>1</v>
      </c>
      <c r="J2709" s="4" t="s">
        <v>52</v>
      </c>
      <c r="K2709" t="str">
        <f t="shared" si="138"/>
        <v>1+1</v>
      </c>
      <c r="L2709">
        <f>VLOOKUP(A2709,'ZONE 1 PREMIUM'!$A$4:$N$16,14,0)</f>
        <v>8</v>
      </c>
      <c r="M2709">
        <f>VLOOKUP(D2709,DROPDOWN!B:C,2,0)</f>
        <v>10</v>
      </c>
      <c r="N2709" t="str">
        <f t="shared" si="136"/>
        <v>X20:AP31</v>
      </c>
      <c r="O2709" s="4">
        <f t="shared" ca="1" si="137"/>
        <v>102737.54999999999</v>
      </c>
    </row>
    <row r="2710" spans="1:15">
      <c r="A2710" s="2" t="s">
        <v>18</v>
      </c>
      <c r="B2710" t="s">
        <v>39</v>
      </c>
      <c r="C2710" t="s">
        <v>40</v>
      </c>
      <c r="D2710">
        <v>30</v>
      </c>
      <c r="E2710" t="s">
        <v>46</v>
      </c>
      <c r="F2710">
        <v>2</v>
      </c>
      <c r="G2710">
        <v>1</v>
      </c>
      <c r="H2710">
        <v>1</v>
      </c>
      <c r="I2710">
        <v>1</v>
      </c>
      <c r="J2710" s="4" t="s">
        <v>52</v>
      </c>
      <c r="K2710" t="str">
        <f t="shared" si="138"/>
        <v>1+1</v>
      </c>
      <c r="L2710">
        <f>VLOOKUP(A2710,'ZONE 1 PREMIUM'!$A$4:$N$16,14,0)</f>
        <v>9</v>
      </c>
      <c r="M2710">
        <f>VLOOKUP(D2710,DROPDOWN!B:C,2,0)</f>
        <v>10</v>
      </c>
      <c r="N2710" t="str">
        <f t="shared" si="136"/>
        <v>X20:AP31</v>
      </c>
      <c r="O2710" s="4">
        <f t="shared" ca="1" si="137"/>
        <v>141784.65</v>
      </c>
    </row>
    <row r="2711" spans="1:15">
      <c r="A2711" s="2" t="s">
        <v>19</v>
      </c>
      <c r="B2711" t="s">
        <v>41</v>
      </c>
      <c r="C2711" t="s">
        <v>42</v>
      </c>
      <c r="D2711">
        <v>30</v>
      </c>
      <c r="E2711" t="s">
        <v>46</v>
      </c>
      <c r="F2711">
        <v>2</v>
      </c>
      <c r="G2711">
        <v>1</v>
      </c>
      <c r="H2711">
        <v>1</v>
      </c>
      <c r="I2711">
        <v>1</v>
      </c>
      <c r="J2711" s="4" t="s">
        <v>52</v>
      </c>
      <c r="K2711" t="str">
        <f t="shared" si="138"/>
        <v>1+1</v>
      </c>
      <c r="L2711">
        <f>VLOOKUP(A2711,'ZONE 1 PREMIUM'!$A$4:$N$16,14,0)</f>
        <v>10</v>
      </c>
      <c r="M2711">
        <f>VLOOKUP(D2711,DROPDOWN!B:C,2,0)</f>
        <v>10</v>
      </c>
      <c r="N2711" t="str">
        <f t="shared" si="136"/>
        <v>X20:AP31</v>
      </c>
      <c r="O2711" s="4">
        <f t="shared" ca="1" si="137"/>
        <v>182611.94999999998</v>
      </c>
    </row>
    <row r="2712" spans="1:15">
      <c r="A2712" s="2" t="s">
        <v>20</v>
      </c>
      <c r="B2712" t="s">
        <v>43</v>
      </c>
      <c r="C2712" t="s">
        <v>44</v>
      </c>
      <c r="D2712">
        <v>30</v>
      </c>
      <c r="E2712" t="s">
        <v>46</v>
      </c>
      <c r="F2712">
        <v>2</v>
      </c>
      <c r="G2712">
        <v>1</v>
      </c>
      <c r="H2712">
        <v>1</v>
      </c>
      <c r="I2712">
        <v>1</v>
      </c>
      <c r="J2712" s="4" t="s">
        <v>52</v>
      </c>
      <c r="K2712" t="str">
        <f t="shared" si="138"/>
        <v>1+1</v>
      </c>
      <c r="L2712">
        <f>VLOOKUP(A2712,'ZONE 1 PREMIUM'!$A$4:$N$16,14,0)</f>
        <v>11</v>
      </c>
      <c r="M2712">
        <f>VLOOKUP(D2712,DROPDOWN!B:C,2,0)</f>
        <v>10</v>
      </c>
      <c r="N2712" t="str">
        <f t="shared" si="136"/>
        <v>X20:AP31</v>
      </c>
      <c r="O2712" s="4">
        <f t="shared" ca="1" si="137"/>
        <v>216127.55</v>
      </c>
    </row>
    <row r="2713" spans="1:15">
      <c r="A2713" s="2" t="s">
        <v>21</v>
      </c>
      <c r="B2713" t="s">
        <v>22</v>
      </c>
      <c r="D2713">
        <v>30</v>
      </c>
      <c r="E2713" t="s">
        <v>46</v>
      </c>
      <c r="F2713">
        <v>2</v>
      </c>
      <c r="G2713">
        <v>1</v>
      </c>
      <c r="H2713">
        <v>1</v>
      </c>
      <c r="I2713">
        <v>1</v>
      </c>
      <c r="J2713" s="4" t="s">
        <v>52</v>
      </c>
      <c r="K2713" t="str">
        <f t="shared" si="138"/>
        <v>1+1</v>
      </c>
      <c r="L2713">
        <f>VLOOKUP(A2713,'ZONE 1 PREMIUM'!$A$4:$N$16,14,0)</f>
        <v>12</v>
      </c>
      <c r="M2713">
        <f>VLOOKUP(D2713,DROPDOWN!B:C,2,0)</f>
        <v>10</v>
      </c>
      <c r="N2713" t="str">
        <f t="shared" si="136"/>
        <v>X20:AP31</v>
      </c>
      <c r="O2713" s="4">
        <f t="shared" ca="1" si="137"/>
        <v>294289.59999999998</v>
      </c>
    </row>
    <row r="2714" spans="1:15">
      <c r="A2714" s="2" t="s">
        <v>11</v>
      </c>
      <c r="B2714" t="s">
        <v>45</v>
      </c>
      <c r="C2714" t="s">
        <v>25</v>
      </c>
      <c r="D2714">
        <v>30</v>
      </c>
      <c r="E2714" t="s">
        <v>46</v>
      </c>
      <c r="F2714">
        <v>3</v>
      </c>
      <c r="G2714">
        <v>1</v>
      </c>
      <c r="H2714">
        <v>2</v>
      </c>
      <c r="I2714">
        <v>1</v>
      </c>
      <c r="J2714" s="4" t="s">
        <v>52</v>
      </c>
      <c r="K2714" t="str">
        <f t="shared" si="138"/>
        <v>1+2</v>
      </c>
      <c r="L2714">
        <f>VLOOKUP(A2714,'ZONE 1 PREMIUM'!$A$4:$N$16,14,0)</f>
        <v>2</v>
      </c>
      <c r="M2714">
        <f>VLOOKUP(D2714,DROPDOWN!B:C,2,0)</f>
        <v>10</v>
      </c>
      <c r="N2714" t="str">
        <f t="shared" si="136"/>
        <v>X35:AP46</v>
      </c>
      <c r="O2714" s="4">
        <f t="shared" ca="1" si="137"/>
        <v>41389.649999999994</v>
      </c>
    </row>
    <row r="2715" spans="1:15">
      <c r="A2715" s="2" t="s">
        <v>12</v>
      </c>
      <c r="B2715" t="s">
        <v>27</v>
      </c>
      <c r="C2715" t="s">
        <v>28</v>
      </c>
      <c r="D2715">
        <v>30</v>
      </c>
      <c r="E2715" t="s">
        <v>46</v>
      </c>
      <c r="F2715">
        <v>3</v>
      </c>
      <c r="G2715">
        <v>1</v>
      </c>
      <c r="H2715">
        <v>2</v>
      </c>
      <c r="I2715">
        <v>1</v>
      </c>
      <c r="J2715" s="4" t="s">
        <v>52</v>
      </c>
      <c r="K2715" t="str">
        <f t="shared" si="138"/>
        <v>1+2</v>
      </c>
      <c r="L2715">
        <f>VLOOKUP(A2715,'ZONE 1 PREMIUM'!$A$4:$N$16,14,0)</f>
        <v>3</v>
      </c>
      <c r="M2715">
        <f>VLOOKUP(D2715,DROPDOWN!B:C,2,0)</f>
        <v>10</v>
      </c>
      <c r="N2715" t="str">
        <f t="shared" si="136"/>
        <v>X35:AP46</v>
      </c>
      <c r="O2715" s="4">
        <f t="shared" ca="1" si="137"/>
        <v>44268.1</v>
      </c>
    </row>
    <row r="2716" spans="1:15">
      <c r="A2716" s="2" t="s">
        <v>13</v>
      </c>
      <c r="B2716" t="s">
        <v>29</v>
      </c>
      <c r="C2716" t="s">
        <v>30</v>
      </c>
      <c r="D2716">
        <v>30</v>
      </c>
      <c r="E2716" t="s">
        <v>46</v>
      </c>
      <c r="F2716">
        <v>3</v>
      </c>
      <c r="G2716">
        <v>1</v>
      </c>
      <c r="H2716">
        <v>2</v>
      </c>
      <c r="I2716">
        <v>1</v>
      </c>
      <c r="J2716" s="4" t="s">
        <v>52</v>
      </c>
      <c r="K2716" t="str">
        <f t="shared" si="138"/>
        <v>1+2</v>
      </c>
      <c r="L2716">
        <f>VLOOKUP(A2716,'ZONE 1 PREMIUM'!$A$4:$N$16,14,0)</f>
        <v>4</v>
      </c>
      <c r="M2716">
        <f>VLOOKUP(D2716,DROPDOWN!B:C,2,0)</f>
        <v>10</v>
      </c>
      <c r="N2716" t="str">
        <f t="shared" si="136"/>
        <v>X35:AP46</v>
      </c>
      <c r="O2716" s="4">
        <f t="shared" ca="1" si="137"/>
        <v>51467.1</v>
      </c>
    </row>
    <row r="2717" spans="1:15">
      <c r="A2717" s="2" t="s">
        <v>14</v>
      </c>
      <c r="B2717" t="s">
        <v>31</v>
      </c>
      <c r="C2717" t="s">
        <v>32</v>
      </c>
      <c r="D2717">
        <v>30</v>
      </c>
      <c r="E2717" t="s">
        <v>46</v>
      </c>
      <c r="F2717">
        <v>3</v>
      </c>
      <c r="G2717">
        <v>1</v>
      </c>
      <c r="H2717">
        <v>2</v>
      </c>
      <c r="I2717">
        <v>1</v>
      </c>
      <c r="J2717" s="4" t="s">
        <v>52</v>
      </c>
      <c r="K2717" t="str">
        <f t="shared" si="138"/>
        <v>1+2</v>
      </c>
      <c r="L2717">
        <f>VLOOKUP(A2717,'ZONE 1 PREMIUM'!$A$4:$N$16,14,0)</f>
        <v>5</v>
      </c>
      <c r="M2717">
        <f>VLOOKUP(D2717,DROPDOWN!B:C,2,0)</f>
        <v>10</v>
      </c>
      <c r="N2717" t="str">
        <f t="shared" si="136"/>
        <v>X35:AP46</v>
      </c>
      <c r="O2717" s="4">
        <f t="shared" ca="1" si="137"/>
        <v>57763.35</v>
      </c>
    </row>
    <row r="2718" spans="1:15">
      <c r="A2718" s="2" t="s">
        <v>15</v>
      </c>
      <c r="B2718" t="s">
        <v>33</v>
      </c>
      <c r="C2718" t="s">
        <v>34</v>
      </c>
      <c r="D2718">
        <v>30</v>
      </c>
      <c r="E2718" t="s">
        <v>46</v>
      </c>
      <c r="F2718">
        <v>3</v>
      </c>
      <c r="G2718">
        <v>1</v>
      </c>
      <c r="H2718">
        <v>2</v>
      </c>
      <c r="I2718">
        <v>1</v>
      </c>
      <c r="J2718" s="4" t="s">
        <v>52</v>
      </c>
      <c r="K2718" t="str">
        <f t="shared" si="138"/>
        <v>1+2</v>
      </c>
      <c r="L2718">
        <f>VLOOKUP(A2718,'ZONE 1 PREMIUM'!$A$4:$N$16,14,0)</f>
        <v>6</v>
      </c>
      <c r="M2718">
        <f>VLOOKUP(D2718,DROPDOWN!B:C,2,0)</f>
        <v>10</v>
      </c>
      <c r="N2718" t="str">
        <f t="shared" si="136"/>
        <v>X35:AP46</v>
      </c>
      <c r="O2718" s="4">
        <f t="shared" ca="1" si="137"/>
        <v>72474.149999999994</v>
      </c>
    </row>
    <row r="2719" spans="1:15">
      <c r="A2719" s="2" t="s">
        <v>16</v>
      </c>
      <c r="B2719" t="s">
        <v>35</v>
      </c>
      <c r="C2719" t="s">
        <v>36</v>
      </c>
      <c r="D2719">
        <v>30</v>
      </c>
      <c r="E2719" t="s">
        <v>46</v>
      </c>
      <c r="F2719">
        <v>3</v>
      </c>
      <c r="G2719">
        <v>1</v>
      </c>
      <c r="H2719">
        <v>2</v>
      </c>
      <c r="I2719">
        <v>1</v>
      </c>
      <c r="J2719" s="4" t="s">
        <v>52</v>
      </c>
      <c r="K2719" t="str">
        <f t="shared" si="138"/>
        <v>1+2</v>
      </c>
      <c r="L2719">
        <f>VLOOKUP(A2719,'ZONE 1 PREMIUM'!$A$4:$N$16,14,0)</f>
        <v>7</v>
      </c>
      <c r="M2719">
        <f>VLOOKUP(D2719,DROPDOWN!B:C,2,0)</f>
        <v>10</v>
      </c>
      <c r="N2719" t="str">
        <f t="shared" si="136"/>
        <v>X35:AP46</v>
      </c>
      <c r="O2719" s="4">
        <f t="shared" ca="1" si="137"/>
        <v>93766.399999999994</v>
      </c>
    </row>
    <row r="2720" spans="1:15">
      <c r="A2720" s="2" t="s">
        <v>17</v>
      </c>
      <c r="B2720" t="s">
        <v>37</v>
      </c>
      <c r="C2720" t="s">
        <v>38</v>
      </c>
      <c r="D2720">
        <v>30</v>
      </c>
      <c r="E2720" t="s">
        <v>46</v>
      </c>
      <c r="F2720">
        <v>3</v>
      </c>
      <c r="G2720">
        <v>1</v>
      </c>
      <c r="H2720">
        <v>2</v>
      </c>
      <c r="I2720">
        <v>1</v>
      </c>
      <c r="J2720" s="4" t="s">
        <v>52</v>
      </c>
      <c r="K2720" t="str">
        <f t="shared" si="138"/>
        <v>1+2</v>
      </c>
      <c r="L2720">
        <f>VLOOKUP(A2720,'ZONE 1 PREMIUM'!$A$4:$N$16,14,0)</f>
        <v>8</v>
      </c>
      <c r="M2720">
        <f>VLOOKUP(D2720,DROPDOWN!B:C,2,0)</f>
        <v>10</v>
      </c>
      <c r="N2720" t="str">
        <f t="shared" si="136"/>
        <v>X35:AP46</v>
      </c>
      <c r="O2720" s="4">
        <f t="shared" ca="1" si="137"/>
        <v>120201.45</v>
      </c>
    </row>
    <row r="2721" spans="1:15">
      <c r="A2721" s="2" t="s">
        <v>18</v>
      </c>
      <c r="B2721" t="s">
        <v>39</v>
      </c>
      <c r="C2721" t="s">
        <v>40</v>
      </c>
      <c r="D2721">
        <v>30</v>
      </c>
      <c r="E2721" t="s">
        <v>46</v>
      </c>
      <c r="F2721">
        <v>3</v>
      </c>
      <c r="G2721">
        <v>1</v>
      </c>
      <c r="H2721">
        <v>2</v>
      </c>
      <c r="I2721">
        <v>1</v>
      </c>
      <c r="J2721" s="4" t="s">
        <v>52</v>
      </c>
      <c r="K2721" t="str">
        <f t="shared" si="138"/>
        <v>1+2</v>
      </c>
      <c r="L2721">
        <f>VLOOKUP(A2721,'ZONE 1 PREMIUM'!$A$4:$N$16,14,0)</f>
        <v>9</v>
      </c>
      <c r="M2721">
        <f>VLOOKUP(D2721,DROPDOWN!B:C,2,0)</f>
        <v>10</v>
      </c>
      <c r="N2721" t="str">
        <f t="shared" si="136"/>
        <v>X35:AP46</v>
      </c>
      <c r="O2721" s="4">
        <f t="shared" ca="1" si="137"/>
        <v>156107.9</v>
      </c>
    </row>
    <row r="2722" spans="1:15">
      <c r="A2722" s="2" t="s">
        <v>19</v>
      </c>
      <c r="B2722" t="s">
        <v>41</v>
      </c>
      <c r="C2722" t="s">
        <v>42</v>
      </c>
      <c r="D2722">
        <v>30</v>
      </c>
      <c r="E2722" t="s">
        <v>46</v>
      </c>
      <c r="F2722">
        <v>3</v>
      </c>
      <c r="G2722">
        <v>1</v>
      </c>
      <c r="H2722">
        <v>2</v>
      </c>
      <c r="I2722">
        <v>1</v>
      </c>
      <c r="J2722" s="4" t="s">
        <v>52</v>
      </c>
      <c r="K2722" t="str">
        <f t="shared" si="138"/>
        <v>1+2</v>
      </c>
      <c r="L2722">
        <f>VLOOKUP(A2722,'ZONE 1 PREMIUM'!$A$4:$N$16,14,0)</f>
        <v>10</v>
      </c>
      <c r="M2722">
        <f>VLOOKUP(D2722,DROPDOWN!B:C,2,0)</f>
        <v>10</v>
      </c>
      <c r="N2722" t="str">
        <f t="shared" si="136"/>
        <v>X35:AP46</v>
      </c>
      <c r="O2722" s="4">
        <f t="shared" ca="1" si="137"/>
        <v>200056.3</v>
      </c>
    </row>
    <row r="2723" spans="1:15">
      <c r="A2723" s="2" t="s">
        <v>20</v>
      </c>
      <c r="B2723" t="s">
        <v>43</v>
      </c>
      <c r="C2723" t="s">
        <v>44</v>
      </c>
      <c r="D2723">
        <v>30</v>
      </c>
      <c r="E2723" t="s">
        <v>46</v>
      </c>
      <c r="F2723">
        <v>3</v>
      </c>
      <c r="G2723">
        <v>1</v>
      </c>
      <c r="H2723">
        <v>2</v>
      </c>
      <c r="I2723">
        <v>1</v>
      </c>
      <c r="J2723" s="4" t="s">
        <v>52</v>
      </c>
      <c r="K2723" t="str">
        <f t="shared" si="138"/>
        <v>1+2</v>
      </c>
      <c r="L2723">
        <f>VLOOKUP(A2723,'ZONE 1 PREMIUM'!$A$4:$N$16,14,0)</f>
        <v>11</v>
      </c>
      <c r="M2723">
        <f>VLOOKUP(D2723,DROPDOWN!B:C,2,0)</f>
        <v>10</v>
      </c>
      <c r="N2723" t="str">
        <f t="shared" si="136"/>
        <v>X35:AP46</v>
      </c>
      <c r="O2723" s="4">
        <f t="shared" ca="1" si="137"/>
        <v>236688.4</v>
      </c>
    </row>
    <row r="2724" spans="1:15">
      <c r="A2724" s="2" t="s">
        <v>21</v>
      </c>
      <c r="B2724" t="s">
        <v>22</v>
      </c>
      <c r="D2724">
        <v>30</v>
      </c>
      <c r="E2724" t="s">
        <v>46</v>
      </c>
      <c r="F2724">
        <v>3</v>
      </c>
      <c r="G2724">
        <v>1</v>
      </c>
      <c r="H2724">
        <v>2</v>
      </c>
      <c r="I2724">
        <v>1</v>
      </c>
      <c r="J2724" s="4" t="s">
        <v>52</v>
      </c>
      <c r="K2724" t="str">
        <f t="shared" si="138"/>
        <v>1+2</v>
      </c>
      <c r="L2724">
        <f>VLOOKUP(A2724,'ZONE 1 PREMIUM'!$A$4:$N$16,14,0)</f>
        <v>12</v>
      </c>
      <c r="M2724">
        <f>VLOOKUP(D2724,DROPDOWN!B:C,2,0)</f>
        <v>10</v>
      </c>
      <c r="N2724" t="str">
        <f t="shared" si="136"/>
        <v>X35:AP46</v>
      </c>
      <c r="O2724" s="4">
        <f t="shared" ca="1" si="137"/>
        <v>309738.69999999995</v>
      </c>
    </row>
    <row r="2725" spans="1:15">
      <c r="A2725" s="2" t="s">
        <v>11</v>
      </c>
      <c r="B2725" t="s">
        <v>45</v>
      </c>
      <c r="C2725" t="s">
        <v>25</v>
      </c>
      <c r="D2725">
        <v>30</v>
      </c>
      <c r="E2725" t="s">
        <v>46</v>
      </c>
      <c r="F2725">
        <v>4</v>
      </c>
      <c r="G2725">
        <v>1</v>
      </c>
      <c r="H2725">
        <v>3</v>
      </c>
      <c r="I2725">
        <v>1</v>
      </c>
      <c r="J2725" s="4" t="s">
        <v>52</v>
      </c>
      <c r="K2725" t="str">
        <f t="shared" si="138"/>
        <v>1+3</v>
      </c>
      <c r="L2725">
        <f>VLOOKUP(A2725,'ZONE 1 PREMIUM'!$A$4:$N$16,14,0)</f>
        <v>2</v>
      </c>
      <c r="M2725">
        <f>VLOOKUP(D2725,DROPDOWN!B:C,2,0)</f>
        <v>10</v>
      </c>
      <c r="N2725" t="str">
        <f t="shared" si="136"/>
        <v>X50:AP61</v>
      </c>
      <c r="O2725" s="4">
        <f t="shared" ca="1" si="137"/>
        <v>50795.499999999993</v>
      </c>
    </row>
    <row r="2726" spans="1:15">
      <c r="A2726" s="2" t="s">
        <v>12</v>
      </c>
      <c r="B2726" t="s">
        <v>27</v>
      </c>
      <c r="C2726" t="s">
        <v>28</v>
      </c>
      <c r="D2726">
        <v>30</v>
      </c>
      <c r="E2726" t="s">
        <v>46</v>
      </c>
      <c r="F2726">
        <v>4</v>
      </c>
      <c r="G2726">
        <v>1</v>
      </c>
      <c r="H2726">
        <v>3</v>
      </c>
      <c r="I2726">
        <v>1</v>
      </c>
      <c r="J2726" s="4" t="s">
        <v>52</v>
      </c>
      <c r="K2726" t="str">
        <f t="shared" si="138"/>
        <v>1+3</v>
      </c>
      <c r="L2726">
        <f>VLOOKUP(A2726,'ZONE 1 PREMIUM'!$A$4:$N$16,14,0)</f>
        <v>3</v>
      </c>
      <c r="M2726">
        <f>VLOOKUP(D2726,DROPDOWN!B:C,2,0)</f>
        <v>10</v>
      </c>
      <c r="N2726" t="str">
        <f t="shared" si="136"/>
        <v>X50:AP61</v>
      </c>
      <c r="O2726" s="4">
        <f t="shared" ca="1" si="137"/>
        <v>53507.199999999997</v>
      </c>
    </row>
    <row r="2727" spans="1:15">
      <c r="A2727" s="2" t="s">
        <v>13</v>
      </c>
      <c r="B2727" t="s">
        <v>29</v>
      </c>
      <c r="C2727" t="s">
        <v>30</v>
      </c>
      <c r="D2727">
        <v>30</v>
      </c>
      <c r="E2727" t="s">
        <v>46</v>
      </c>
      <c r="F2727">
        <v>4</v>
      </c>
      <c r="G2727">
        <v>1</v>
      </c>
      <c r="H2727">
        <v>3</v>
      </c>
      <c r="I2727">
        <v>1</v>
      </c>
      <c r="J2727" s="4" t="s">
        <v>52</v>
      </c>
      <c r="K2727" t="str">
        <f t="shared" si="138"/>
        <v>1+3</v>
      </c>
      <c r="L2727">
        <f>VLOOKUP(A2727,'ZONE 1 PREMIUM'!$A$4:$N$16,14,0)</f>
        <v>4</v>
      </c>
      <c r="M2727">
        <f>VLOOKUP(D2727,DROPDOWN!B:C,2,0)</f>
        <v>10</v>
      </c>
      <c r="N2727" t="str">
        <f t="shared" si="136"/>
        <v>X50:AP61</v>
      </c>
      <c r="O2727" s="4">
        <f t="shared" ca="1" si="137"/>
        <v>62264.45</v>
      </c>
    </row>
    <row r="2728" spans="1:15">
      <c r="A2728" s="2" t="s">
        <v>14</v>
      </c>
      <c r="B2728" t="s">
        <v>31</v>
      </c>
      <c r="C2728" t="s">
        <v>32</v>
      </c>
      <c r="D2728">
        <v>30</v>
      </c>
      <c r="E2728" t="s">
        <v>46</v>
      </c>
      <c r="F2728">
        <v>4</v>
      </c>
      <c r="G2728">
        <v>1</v>
      </c>
      <c r="H2728">
        <v>3</v>
      </c>
      <c r="I2728">
        <v>1</v>
      </c>
      <c r="J2728" s="4" t="s">
        <v>52</v>
      </c>
      <c r="K2728" t="str">
        <f t="shared" si="138"/>
        <v>1+3</v>
      </c>
      <c r="L2728">
        <f>VLOOKUP(A2728,'ZONE 1 PREMIUM'!$A$4:$N$16,14,0)</f>
        <v>5</v>
      </c>
      <c r="M2728">
        <f>VLOOKUP(D2728,DROPDOWN!B:C,2,0)</f>
        <v>10</v>
      </c>
      <c r="N2728" t="str">
        <f t="shared" si="136"/>
        <v>X50:AP61</v>
      </c>
      <c r="O2728" s="4">
        <f t="shared" ca="1" si="137"/>
        <v>69317.399999999994</v>
      </c>
    </row>
    <row r="2729" spans="1:15">
      <c r="A2729" s="2" t="s">
        <v>15</v>
      </c>
      <c r="B2729" t="s">
        <v>33</v>
      </c>
      <c r="C2729" t="s">
        <v>34</v>
      </c>
      <c r="D2729">
        <v>30</v>
      </c>
      <c r="E2729" t="s">
        <v>46</v>
      </c>
      <c r="F2729">
        <v>4</v>
      </c>
      <c r="G2729">
        <v>1</v>
      </c>
      <c r="H2729">
        <v>3</v>
      </c>
      <c r="I2729">
        <v>1</v>
      </c>
      <c r="J2729" s="4" t="s">
        <v>52</v>
      </c>
      <c r="K2729" t="str">
        <f t="shared" si="138"/>
        <v>1+3</v>
      </c>
      <c r="L2729">
        <f>VLOOKUP(A2729,'ZONE 1 PREMIUM'!$A$4:$N$16,14,0)</f>
        <v>6</v>
      </c>
      <c r="M2729">
        <f>VLOOKUP(D2729,DROPDOWN!B:C,2,0)</f>
        <v>10</v>
      </c>
      <c r="N2729" t="str">
        <f t="shared" si="136"/>
        <v>X50:AP61</v>
      </c>
      <c r="O2729" s="4">
        <f t="shared" ca="1" si="137"/>
        <v>85491</v>
      </c>
    </row>
    <row r="2730" spans="1:15">
      <c r="A2730" s="2" t="s">
        <v>16</v>
      </c>
      <c r="B2730" t="s">
        <v>35</v>
      </c>
      <c r="C2730" t="s">
        <v>36</v>
      </c>
      <c r="D2730">
        <v>30</v>
      </c>
      <c r="E2730" t="s">
        <v>46</v>
      </c>
      <c r="F2730">
        <v>4</v>
      </c>
      <c r="G2730">
        <v>1</v>
      </c>
      <c r="H2730">
        <v>3</v>
      </c>
      <c r="I2730">
        <v>1</v>
      </c>
      <c r="J2730" s="4" t="s">
        <v>52</v>
      </c>
      <c r="K2730" t="str">
        <f t="shared" si="138"/>
        <v>1+3</v>
      </c>
      <c r="L2730">
        <f>VLOOKUP(A2730,'ZONE 1 PREMIUM'!$A$4:$N$16,14,0)</f>
        <v>7</v>
      </c>
      <c r="M2730">
        <f>VLOOKUP(D2730,DROPDOWN!B:C,2,0)</f>
        <v>10</v>
      </c>
      <c r="N2730" t="str">
        <f t="shared" si="136"/>
        <v>X50:AP61</v>
      </c>
      <c r="O2730" s="4">
        <f t="shared" ca="1" si="137"/>
        <v>108309.29999999999</v>
      </c>
    </row>
    <row r="2731" spans="1:15">
      <c r="A2731" s="2" t="s">
        <v>17</v>
      </c>
      <c r="B2731" t="s">
        <v>37</v>
      </c>
      <c r="C2731" t="s">
        <v>38</v>
      </c>
      <c r="D2731">
        <v>30</v>
      </c>
      <c r="E2731" t="s">
        <v>46</v>
      </c>
      <c r="F2731">
        <v>4</v>
      </c>
      <c r="G2731">
        <v>1</v>
      </c>
      <c r="H2731">
        <v>3</v>
      </c>
      <c r="I2731">
        <v>1</v>
      </c>
      <c r="J2731" s="4" t="s">
        <v>52</v>
      </c>
      <c r="K2731" t="str">
        <f t="shared" si="138"/>
        <v>1+3</v>
      </c>
      <c r="L2731">
        <f>VLOOKUP(A2731,'ZONE 1 PREMIUM'!$A$4:$N$16,14,0)</f>
        <v>8</v>
      </c>
      <c r="M2731">
        <f>VLOOKUP(D2731,DROPDOWN!B:C,2,0)</f>
        <v>10</v>
      </c>
      <c r="N2731" t="str">
        <f t="shared" si="136"/>
        <v>X50:AP61</v>
      </c>
      <c r="O2731" s="4">
        <f t="shared" ca="1" si="137"/>
        <v>133191.84999999998</v>
      </c>
    </row>
    <row r="2732" spans="1:15">
      <c r="A2732" s="2" t="s">
        <v>18</v>
      </c>
      <c r="B2732" t="s">
        <v>39</v>
      </c>
      <c r="C2732" t="s">
        <v>40</v>
      </c>
      <c r="D2732">
        <v>30</v>
      </c>
      <c r="E2732" t="s">
        <v>46</v>
      </c>
      <c r="F2732">
        <v>4</v>
      </c>
      <c r="G2732">
        <v>1</v>
      </c>
      <c r="H2732">
        <v>3</v>
      </c>
      <c r="I2732">
        <v>1</v>
      </c>
      <c r="J2732" s="4" t="s">
        <v>52</v>
      </c>
      <c r="K2732" t="str">
        <f t="shared" si="138"/>
        <v>1+3</v>
      </c>
      <c r="L2732">
        <f>VLOOKUP(A2732,'ZONE 1 PREMIUM'!$A$4:$N$16,14,0)</f>
        <v>9</v>
      </c>
      <c r="M2732">
        <f>VLOOKUP(D2732,DROPDOWN!B:C,2,0)</f>
        <v>10</v>
      </c>
      <c r="N2732" t="str">
        <f t="shared" si="136"/>
        <v>X50:AP61</v>
      </c>
      <c r="O2732" s="4">
        <f t="shared" ca="1" si="137"/>
        <v>170411.59999999998</v>
      </c>
    </row>
    <row r="2733" spans="1:15">
      <c r="A2733" s="2" t="s">
        <v>19</v>
      </c>
      <c r="B2733" t="s">
        <v>41</v>
      </c>
      <c r="C2733" t="s">
        <v>42</v>
      </c>
      <c r="D2733">
        <v>30</v>
      </c>
      <c r="E2733" t="s">
        <v>46</v>
      </c>
      <c r="F2733">
        <v>4</v>
      </c>
      <c r="G2733">
        <v>1</v>
      </c>
      <c r="H2733">
        <v>3</v>
      </c>
      <c r="I2733">
        <v>1</v>
      </c>
      <c r="J2733" s="4" t="s">
        <v>52</v>
      </c>
      <c r="K2733" t="str">
        <f t="shared" si="138"/>
        <v>1+3</v>
      </c>
      <c r="L2733">
        <f>VLOOKUP(A2733,'ZONE 1 PREMIUM'!$A$4:$N$16,14,0)</f>
        <v>10</v>
      </c>
      <c r="M2733">
        <f>VLOOKUP(D2733,DROPDOWN!B:C,2,0)</f>
        <v>10</v>
      </c>
      <c r="N2733" t="str">
        <f t="shared" si="136"/>
        <v>X50:AP61</v>
      </c>
      <c r="O2733" s="4">
        <f t="shared" ca="1" si="137"/>
        <v>211650.59999999998</v>
      </c>
    </row>
    <row r="2734" spans="1:15">
      <c r="A2734" s="2" t="s">
        <v>20</v>
      </c>
      <c r="B2734" t="s">
        <v>43</v>
      </c>
      <c r="C2734" t="s">
        <v>44</v>
      </c>
      <c r="D2734">
        <v>30</v>
      </c>
      <c r="E2734" t="s">
        <v>46</v>
      </c>
      <c r="F2734">
        <v>4</v>
      </c>
      <c r="G2734">
        <v>1</v>
      </c>
      <c r="H2734">
        <v>3</v>
      </c>
      <c r="I2734">
        <v>1</v>
      </c>
      <c r="J2734" s="4" t="s">
        <v>52</v>
      </c>
      <c r="K2734" t="str">
        <f t="shared" si="138"/>
        <v>1+3</v>
      </c>
      <c r="L2734">
        <f>VLOOKUP(A2734,'ZONE 1 PREMIUM'!$A$4:$N$16,14,0)</f>
        <v>11</v>
      </c>
      <c r="M2734">
        <f>VLOOKUP(D2734,DROPDOWN!B:C,2,0)</f>
        <v>10</v>
      </c>
      <c r="N2734" t="str">
        <f t="shared" si="136"/>
        <v>X50:AP61</v>
      </c>
      <c r="O2734" s="4">
        <f t="shared" ca="1" si="137"/>
        <v>247709.99999999997</v>
      </c>
    </row>
    <row r="2735" spans="1:15">
      <c r="A2735" s="2" t="s">
        <v>21</v>
      </c>
      <c r="B2735" t="s">
        <v>22</v>
      </c>
      <c r="D2735">
        <v>30</v>
      </c>
      <c r="E2735" t="s">
        <v>46</v>
      </c>
      <c r="F2735">
        <v>4</v>
      </c>
      <c r="G2735">
        <v>1</v>
      </c>
      <c r="H2735">
        <v>3</v>
      </c>
      <c r="I2735">
        <v>1</v>
      </c>
      <c r="J2735" s="4" t="s">
        <v>52</v>
      </c>
      <c r="K2735" t="str">
        <f t="shared" si="138"/>
        <v>1+3</v>
      </c>
      <c r="L2735">
        <f>VLOOKUP(A2735,'ZONE 1 PREMIUM'!$A$4:$N$16,14,0)</f>
        <v>12</v>
      </c>
      <c r="M2735">
        <f>VLOOKUP(D2735,DROPDOWN!B:C,2,0)</f>
        <v>10</v>
      </c>
      <c r="N2735" t="str">
        <f t="shared" si="136"/>
        <v>X50:AP61</v>
      </c>
      <c r="O2735" s="4">
        <f t="shared" ca="1" si="137"/>
        <v>321373.25</v>
      </c>
    </row>
    <row r="2736" spans="1:15">
      <c r="A2736" s="2" t="s">
        <v>11</v>
      </c>
      <c r="B2736" t="s">
        <v>45</v>
      </c>
      <c r="C2736" t="s">
        <v>25</v>
      </c>
      <c r="D2736">
        <v>30</v>
      </c>
      <c r="E2736" t="s">
        <v>46</v>
      </c>
      <c r="F2736">
        <v>5</v>
      </c>
      <c r="G2736">
        <v>1</v>
      </c>
      <c r="H2736">
        <v>4</v>
      </c>
      <c r="I2736">
        <v>1</v>
      </c>
      <c r="J2736" s="4" t="s">
        <v>52</v>
      </c>
      <c r="K2736" t="str">
        <f t="shared" si="138"/>
        <v>1+4</v>
      </c>
      <c r="L2736">
        <f>VLOOKUP(A2736,'ZONE 1 PREMIUM'!$A$4:$N$16,14,0)</f>
        <v>2</v>
      </c>
      <c r="M2736">
        <f>VLOOKUP(D2736,DROPDOWN!B:C,2,0)</f>
        <v>10</v>
      </c>
      <c r="N2736" t="str">
        <f t="shared" si="136"/>
        <v>X65:AP76</v>
      </c>
      <c r="O2736" s="4">
        <f t="shared" ca="1" si="137"/>
        <v>60200.2</v>
      </c>
    </row>
    <row r="2737" spans="1:15">
      <c r="A2737" s="2" t="s">
        <v>12</v>
      </c>
      <c r="B2737" t="s">
        <v>27</v>
      </c>
      <c r="C2737" t="s">
        <v>28</v>
      </c>
      <c r="D2737">
        <v>30</v>
      </c>
      <c r="E2737" t="s">
        <v>46</v>
      </c>
      <c r="F2737">
        <v>5</v>
      </c>
      <c r="G2737">
        <v>1</v>
      </c>
      <c r="H2737">
        <v>4</v>
      </c>
      <c r="I2737">
        <v>1</v>
      </c>
      <c r="J2737" s="4" t="s">
        <v>52</v>
      </c>
      <c r="K2737" t="str">
        <f t="shared" si="138"/>
        <v>1+4</v>
      </c>
      <c r="L2737">
        <f>VLOOKUP(A2737,'ZONE 1 PREMIUM'!$A$4:$N$16,14,0)</f>
        <v>3</v>
      </c>
      <c r="M2737">
        <f>VLOOKUP(D2737,DROPDOWN!B:C,2,0)</f>
        <v>10</v>
      </c>
      <c r="N2737" t="str">
        <f t="shared" si="136"/>
        <v>X65:AP76</v>
      </c>
      <c r="O2737" s="4">
        <f t="shared" ca="1" si="137"/>
        <v>62745.149999999994</v>
      </c>
    </row>
    <row r="2738" spans="1:15">
      <c r="A2738" s="2" t="s">
        <v>13</v>
      </c>
      <c r="B2738" t="s">
        <v>29</v>
      </c>
      <c r="C2738" t="s">
        <v>30</v>
      </c>
      <c r="D2738">
        <v>30</v>
      </c>
      <c r="E2738" t="s">
        <v>46</v>
      </c>
      <c r="F2738">
        <v>5</v>
      </c>
      <c r="G2738">
        <v>1</v>
      </c>
      <c r="H2738">
        <v>4</v>
      </c>
      <c r="I2738">
        <v>1</v>
      </c>
      <c r="J2738" s="4" t="s">
        <v>52</v>
      </c>
      <c r="K2738" t="str">
        <f t="shared" si="138"/>
        <v>1+4</v>
      </c>
      <c r="L2738">
        <f>VLOOKUP(A2738,'ZONE 1 PREMIUM'!$A$4:$N$16,14,0)</f>
        <v>4</v>
      </c>
      <c r="M2738">
        <f>VLOOKUP(D2738,DROPDOWN!B:C,2,0)</f>
        <v>10</v>
      </c>
      <c r="N2738" t="str">
        <f t="shared" si="136"/>
        <v>X65:AP76</v>
      </c>
      <c r="O2738" s="4">
        <f t="shared" ca="1" si="137"/>
        <v>73061.799999999988</v>
      </c>
    </row>
    <row r="2739" spans="1:15">
      <c r="A2739" s="2" t="s">
        <v>14</v>
      </c>
      <c r="B2739" t="s">
        <v>31</v>
      </c>
      <c r="C2739" t="s">
        <v>32</v>
      </c>
      <c r="D2739">
        <v>30</v>
      </c>
      <c r="E2739" t="s">
        <v>46</v>
      </c>
      <c r="F2739">
        <v>5</v>
      </c>
      <c r="G2739">
        <v>1</v>
      </c>
      <c r="H2739">
        <v>4</v>
      </c>
      <c r="I2739">
        <v>1</v>
      </c>
      <c r="J2739" s="4" t="s">
        <v>52</v>
      </c>
      <c r="K2739" t="str">
        <f t="shared" si="138"/>
        <v>1+4</v>
      </c>
      <c r="L2739">
        <f>VLOOKUP(A2739,'ZONE 1 PREMIUM'!$A$4:$N$16,14,0)</f>
        <v>5</v>
      </c>
      <c r="M2739">
        <f>VLOOKUP(D2739,DROPDOWN!B:C,2,0)</f>
        <v>10</v>
      </c>
      <c r="N2739" t="str">
        <f t="shared" si="136"/>
        <v>X65:AP76</v>
      </c>
      <c r="O2739" s="4">
        <f t="shared" ca="1" si="137"/>
        <v>80872.599999999991</v>
      </c>
    </row>
    <row r="2740" spans="1:15">
      <c r="A2740" s="2" t="s">
        <v>15</v>
      </c>
      <c r="B2740" t="s">
        <v>33</v>
      </c>
      <c r="C2740" t="s">
        <v>34</v>
      </c>
      <c r="D2740">
        <v>30</v>
      </c>
      <c r="E2740" t="s">
        <v>46</v>
      </c>
      <c r="F2740">
        <v>5</v>
      </c>
      <c r="G2740">
        <v>1</v>
      </c>
      <c r="H2740">
        <v>4</v>
      </c>
      <c r="I2740">
        <v>1</v>
      </c>
      <c r="J2740" s="4" t="s">
        <v>52</v>
      </c>
      <c r="K2740" t="str">
        <f t="shared" si="138"/>
        <v>1+4</v>
      </c>
      <c r="L2740">
        <f>VLOOKUP(A2740,'ZONE 1 PREMIUM'!$A$4:$N$16,14,0)</f>
        <v>6</v>
      </c>
      <c r="M2740">
        <f>VLOOKUP(D2740,DROPDOWN!B:C,2,0)</f>
        <v>10</v>
      </c>
      <c r="N2740" t="str">
        <f t="shared" si="136"/>
        <v>X65:AP76</v>
      </c>
      <c r="O2740" s="4">
        <f t="shared" ca="1" si="137"/>
        <v>98507.849999999991</v>
      </c>
    </row>
    <row r="2741" spans="1:15">
      <c r="A2741" s="2" t="s">
        <v>16</v>
      </c>
      <c r="B2741" t="s">
        <v>35</v>
      </c>
      <c r="C2741" t="s">
        <v>36</v>
      </c>
      <c r="D2741">
        <v>30</v>
      </c>
      <c r="E2741" t="s">
        <v>46</v>
      </c>
      <c r="F2741">
        <v>5</v>
      </c>
      <c r="G2741">
        <v>1</v>
      </c>
      <c r="H2741">
        <v>4</v>
      </c>
      <c r="I2741">
        <v>1</v>
      </c>
      <c r="J2741" s="4" t="s">
        <v>52</v>
      </c>
      <c r="K2741" t="str">
        <f t="shared" si="138"/>
        <v>1+4</v>
      </c>
      <c r="L2741">
        <f>VLOOKUP(A2741,'ZONE 1 PREMIUM'!$A$4:$N$16,14,0)</f>
        <v>7</v>
      </c>
      <c r="M2741">
        <f>VLOOKUP(D2741,DROPDOWN!B:C,2,0)</f>
        <v>10</v>
      </c>
      <c r="N2741" t="str">
        <f t="shared" si="136"/>
        <v>X65:AP76</v>
      </c>
      <c r="O2741" s="4">
        <f t="shared" ca="1" si="137"/>
        <v>120475.15</v>
      </c>
    </row>
    <row r="2742" spans="1:15">
      <c r="A2742" s="2" t="s">
        <v>17</v>
      </c>
      <c r="B2742" t="s">
        <v>37</v>
      </c>
      <c r="C2742" t="s">
        <v>38</v>
      </c>
      <c r="D2742">
        <v>30</v>
      </c>
      <c r="E2742" t="s">
        <v>46</v>
      </c>
      <c r="F2742">
        <v>5</v>
      </c>
      <c r="G2742">
        <v>1</v>
      </c>
      <c r="H2742">
        <v>4</v>
      </c>
      <c r="I2742">
        <v>1</v>
      </c>
      <c r="J2742" s="4" t="s">
        <v>52</v>
      </c>
      <c r="K2742" t="str">
        <f t="shared" si="138"/>
        <v>1+4</v>
      </c>
      <c r="L2742">
        <f>VLOOKUP(A2742,'ZONE 1 PREMIUM'!$A$4:$N$16,14,0)</f>
        <v>8</v>
      </c>
      <c r="M2742">
        <f>VLOOKUP(D2742,DROPDOWN!B:C,2,0)</f>
        <v>10</v>
      </c>
      <c r="N2742" t="str">
        <f t="shared" si="136"/>
        <v>X65:AP76</v>
      </c>
      <c r="O2742" s="4">
        <f t="shared" ca="1" si="137"/>
        <v>145046.04999999999</v>
      </c>
    </row>
    <row r="2743" spans="1:15">
      <c r="A2743" s="2" t="s">
        <v>18</v>
      </c>
      <c r="B2743" t="s">
        <v>39</v>
      </c>
      <c r="C2743" t="s">
        <v>40</v>
      </c>
      <c r="D2743">
        <v>30</v>
      </c>
      <c r="E2743" t="s">
        <v>46</v>
      </c>
      <c r="F2743">
        <v>5</v>
      </c>
      <c r="G2743">
        <v>1</v>
      </c>
      <c r="H2743">
        <v>4</v>
      </c>
      <c r="I2743">
        <v>1</v>
      </c>
      <c r="J2743" s="4" t="s">
        <v>52</v>
      </c>
      <c r="K2743" t="str">
        <f t="shared" si="138"/>
        <v>1+4</v>
      </c>
      <c r="L2743">
        <f>VLOOKUP(A2743,'ZONE 1 PREMIUM'!$A$4:$N$16,14,0)</f>
        <v>9</v>
      </c>
      <c r="M2743">
        <f>VLOOKUP(D2743,DROPDOWN!B:C,2,0)</f>
        <v>10</v>
      </c>
      <c r="N2743" t="str">
        <f t="shared" si="136"/>
        <v>X65:AP76</v>
      </c>
      <c r="O2743" s="4">
        <f t="shared" ca="1" si="137"/>
        <v>182567.09999999998</v>
      </c>
    </row>
    <row r="2744" spans="1:15">
      <c r="A2744" s="2" t="s">
        <v>19</v>
      </c>
      <c r="B2744" t="s">
        <v>41</v>
      </c>
      <c r="C2744" t="s">
        <v>42</v>
      </c>
      <c r="D2744">
        <v>30</v>
      </c>
      <c r="E2744" t="s">
        <v>46</v>
      </c>
      <c r="F2744">
        <v>5</v>
      </c>
      <c r="G2744">
        <v>1</v>
      </c>
      <c r="H2744">
        <v>4</v>
      </c>
      <c r="I2744">
        <v>1</v>
      </c>
      <c r="J2744" s="4" t="s">
        <v>52</v>
      </c>
      <c r="K2744" t="str">
        <f t="shared" si="138"/>
        <v>1+4</v>
      </c>
      <c r="L2744">
        <f>VLOOKUP(A2744,'ZONE 1 PREMIUM'!$A$4:$N$16,14,0)</f>
        <v>10</v>
      </c>
      <c r="M2744">
        <f>VLOOKUP(D2744,DROPDOWN!B:C,2,0)</f>
        <v>10</v>
      </c>
      <c r="N2744" t="str">
        <f t="shared" si="136"/>
        <v>X65:AP76</v>
      </c>
      <c r="O2744" s="4">
        <f t="shared" ca="1" si="137"/>
        <v>223573.8</v>
      </c>
    </row>
    <row r="2745" spans="1:15">
      <c r="A2745" s="2" t="s">
        <v>20</v>
      </c>
      <c r="B2745" t="s">
        <v>43</v>
      </c>
      <c r="C2745" t="s">
        <v>44</v>
      </c>
      <c r="D2745">
        <v>30</v>
      </c>
      <c r="E2745" t="s">
        <v>46</v>
      </c>
      <c r="F2745">
        <v>5</v>
      </c>
      <c r="G2745">
        <v>1</v>
      </c>
      <c r="H2745">
        <v>4</v>
      </c>
      <c r="I2745">
        <v>1</v>
      </c>
      <c r="J2745" s="4" t="s">
        <v>52</v>
      </c>
      <c r="K2745" t="str">
        <f t="shared" si="138"/>
        <v>1+4</v>
      </c>
      <c r="L2745">
        <f>VLOOKUP(A2745,'ZONE 1 PREMIUM'!$A$4:$N$16,14,0)</f>
        <v>11</v>
      </c>
      <c r="M2745">
        <f>VLOOKUP(D2745,DROPDOWN!B:C,2,0)</f>
        <v>10</v>
      </c>
      <c r="N2745" t="str">
        <f t="shared" si="136"/>
        <v>X65:AP76</v>
      </c>
      <c r="O2745" s="4">
        <f t="shared" ca="1" si="137"/>
        <v>259681.49999999997</v>
      </c>
    </row>
    <row r="2746" spans="1:15">
      <c r="A2746" s="2" t="s">
        <v>21</v>
      </c>
      <c r="B2746" t="s">
        <v>22</v>
      </c>
      <c r="D2746">
        <v>30</v>
      </c>
      <c r="E2746" t="s">
        <v>46</v>
      </c>
      <c r="F2746">
        <v>5</v>
      </c>
      <c r="G2746">
        <v>1</v>
      </c>
      <c r="H2746">
        <v>4</v>
      </c>
      <c r="I2746">
        <v>1</v>
      </c>
      <c r="J2746" s="4" t="s">
        <v>52</v>
      </c>
      <c r="K2746" t="str">
        <f t="shared" si="138"/>
        <v>1+4</v>
      </c>
      <c r="L2746">
        <f>VLOOKUP(A2746,'ZONE 1 PREMIUM'!$A$4:$N$16,14,0)</f>
        <v>12</v>
      </c>
      <c r="M2746">
        <f>VLOOKUP(D2746,DROPDOWN!B:C,2,0)</f>
        <v>10</v>
      </c>
      <c r="N2746" t="str">
        <f t="shared" si="136"/>
        <v>X65:AP76</v>
      </c>
      <c r="O2746" s="4">
        <f t="shared" ca="1" si="137"/>
        <v>333721.94999999995</v>
      </c>
    </row>
    <row r="2747" spans="1:15">
      <c r="A2747" s="2" t="s">
        <v>11</v>
      </c>
      <c r="B2747" t="s">
        <v>45</v>
      </c>
      <c r="C2747" t="s">
        <v>25</v>
      </c>
      <c r="D2747">
        <v>30</v>
      </c>
      <c r="E2747" t="s">
        <v>46</v>
      </c>
      <c r="F2747">
        <v>2</v>
      </c>
      <c r="G2747">
        <v>2</v>
      </c>
      <c r="H2747">
        <v>0</v>
      </c>
      <c r="I2747">
        <v>1</v>
      </c>
      <c r="J2747" s="4" t="s">
        <v>52</v>
      </c>
      <c r="K2747" t="str">
        <f t="shared" si="138"/>
        <v>2+0</v>
      </c>
      <c r="L2747">
        <f>VLOOKUP(A2747,'ZONE 1 PREMIUM'!$A$4:$N$16,14,0)</f>
        <v>2</v>
      </c>
      <c r="M2747">
        <f>VLOOKUP(D2747,DROPDOWN!B:C,2,0)</f>
        <v>10</v>
      </c>
      <c r="N2747" t="str">
        <f t="shared" si="136"/>
        <v>X81:AP92</v>
      </c>
      <c r="O2747" s="4">
        <f t="shared" ca="1" si="137"/>
        <v>44833.899999999994</v>
      </c>
    </row>
    <row r="2748" spans="1:15">
      <c r="A2748" s="2" t="s">
        <v>12</v>
      </c>
      <c r="B2748" t="s">
        <v>27</v>
      </c>
      <c r="C2748" t="s">
        <v>28</v>
      </c>
      <c r="D2748">
        <v>30</v>
      </c>
      <c r="E2748" t="s">
        <v>46</v>
      </c>
      <c r="F2748">
        <v>2</v>
      </c>
      <c r="G2748">
        <v>2</v>
      </c>
      <c r="H2748">
        <v>0</v>
      </c>
      <c r="I2748">
        <v>1</v>
      </c>
      <c r="J2748" s="4" t="s">
        <v>52</v>
      </c>
      <c r="K2748" t="str">
        <f t="shared" si="138"/>
        <v>2+0</v>
      </c>
      <c r="L2748">
        <f>VLOOKUP(A2748,'ZONE 1 PREMIUM'!$A$4:$N$16,14,0)</f>
        <v>3</v>
      </c>
      <c r="M2748">
        <f>VLOOKUP(D2748,DROPDOWN!B:C,2,0)</f>
        <v>10</v>
      </c>
      <c r="N2748" t="str">
        <f t="shared" si="136"/>
        <v>X81:AP92</v>
      </c>
      <c r="O2748" s="4">
        <f t="shared" ca="1" si="137"/>
        <v>50773.649999999994</v>
      </c>
    </row>
    <row r="2749" spans="1:15">
      <c r="A2749" s="2" t="s">
        <v>13</v>
      </c>
      <c r="B2749" t="s">
        <v>29</v>
      </c>
      <c r="C2749" t="s">
        <v>30</v>
      </c>
      <c r="D2749">
        <v>30</v>
      </c>
      <c r="E2749" t="s">
        <v>46</v>
      </c>
      <c r="F2749">
        <v>2</v>
      </c>
      <c r="G2749">
        <v>2</v>
      </c>
      <c r="H2749">
        <v>0</v>
      </c>
      <c r="I2749">
        <v>1</v>
      </c>
      <c r="J2749" s="4" t="s">
        <v>52</v>
      </c>
      <c r="K2749" t="str">
        <f t="shared" si="138"/>
        <v>2+0</v>
      </c>
      <c r="L2749">
        <f>VLOOKUP(A2749,'ZONE 1 PREMIUM'!$A$4:$N$16,14,0)</f>
        <v>4</v>
      </c>
      <c r="M2749">
        <f>VLOOKUP(D2749,DROPDOWN!B:C,2,0)</f>
        <v>10</v>
      </c>
      <c r="N2749" t="str">
        <f t="shared" si="136"/>
        <v>X81:AP92</v>
      </c>
      <c r="O2749" s="4">
        <f t="shared" ca="1" si="137"/>
        <v>56464.999999999993</v>
      </c>
    </row>
    <row r="2750" spans="1:15">
      <c r="A2750" s="2" t="s">
        <v>14</v>
      </c>
      <c r="B2750" t="s">
        <v>31</v>
      </c>
      <c r="C2750" t="s">
        <v>32</v>
      </c>
      <c r="D2750">
        <v>30</v>
      </c>
      <c r="E2750" t="s">
        <v>46</v>
      </c>
      <c r="F2750">
        <v>2</v>
      </c>
      <c r="G2750">
        <v>2</v>
      </c>
      <c r="H2750">
        <v>0</v>
      </c>
      <c r="I2750">
        <v>1</v>
      </c>
      <c r="J2750" s="4" t="s">
        <v>52</v>
      </c>
      <c r="K2750" t="str">
        <f t="shared" si="138"/>
        <v>2+0</v>
      </c>
      <c r="L2750">
        <f>VLOOKUP(A2750,'ZONE 1 PREMIUM'!$A$4:$N$16,14,0)</f>
        <v>5</v>
      </c>
      <c r="M2750">
        <f>VLOOKUP(D2750,DROPDOWN!B:C,2,0)</f>
        <v>10</v>
      </c>
      <c r="N2750" t="str">
        <f t="shared" si="136"/>
        <v>X81:AP92</v>
      </c>
      <c r="O2750" s="4">
        <f t="shared" ca="1" si="137"/>
        <v>65418.899999999994</v>
      </c>
    </row>
    <row r="2751" spans="1:15">
      <c r="A2751" s="2" t="s">
        <v>15</v>
      </c>
      <c r="B2751" t="s">
        <v>33</v>
      </c>
      <c r="C2751" t="s">
        <v>34</v>
      </c>
      <c r="D2751">
        <v>30</v>
      </c>
      <c r="E2751" t="s">
        <v>46</v>
      </c>
      <c r="F2751">
        <v>2</v>
      </c>
      <c r="G2751">
        <v>2</v>
      </c>
      <c r="H2751">
        <v>0</v>
      </c>
      <c r="I2751">
        <v>1</v>
      </c>
      <c r="J2751" s="4" t="s">
        <v>52</v>
      </c>
      <c r="K2751" t="str">
        <f t="shared" si="138"/>
        <v>2+0</v>
      </c>
      <c r="L2751">
        <f>VLOOKUP(A2751,'ZONE 1 PREMIUM'!$A$4:$N$16,14,0)</f>
        <v>6</v>
      </c>
      <c r="M2751">
        <f>VLOOKUP(D2751,DROPDOWN!B:C,2,0)</f>
        <v>10</v>
      </c>
      <c r="N2751" t="str">
        <f t="shared" si="136"/>
        <v>X81:AP92</v>
      </c>
      <c r="O2751" s="4">
        <f t="shared" ca="1" si="137"/>
        <v>83968.4</v>
      </c>
    </row>
    <row r="2752" spans="1:15">
      <c r="A2752" s="2" t="s">
        <v>16</v>
      </c>
      <c r="B2752" t="s">
        <v>35</v>
      </c>
      <c r="C2752" t="s">
        <v>36</v>
      </c>
      <c r="D2752">
        <v>30</v>
      </c>
      <c r="E2752" t="s">
        <v>46</v>
      </c>
      <c r="F2752">
        <v>2</v>
      </c>
      <c r="G2752">
        <v>2</v>
      </c>
      <c r="H2752">
        <v>0</v>
      </c>
      <c r="I2752">
        <v>1</v>
      </c>
      <c r="J2752" s="4" t="s">
        <v>52</v>
      </c>
      <c r="K2752" t="str">
        <f t="shared" si="138"/>
        <v>2+0</v>
      </c>
      <c r="L2752">
        <f>VLOOKUP(A2752,'ZONE 1 PREMIUM'!$A$4:$N$16,14,0)</f>
        <v>7</v>
      </c>
      <c r="M2752">
        <f>VLOOKUP(D2752,DROPDOWN!B:C,2,0)</f>
        <v>10</v>
      </c>
      <c r="N2752" t="str">
        <f t="shared" si="136"/>
        <v>X81:AP92</v>
      </c>
      <c r="O2752" s="4">
        <f t="shared" ca="1" si="137"/>
        <v>111455.7</v>
      </c>
    </row>
    <row r="2753" spans="1:15">
      <c r="A2753" s="2" t="s">
        <v>17</v>
      </c>
      <c r="B2753" t="s">
        <v>37</v>
      </c>
      <c r="C2753" t="s">
        <v>38</v>
      </c>
      <c r="D2753">
        <v>30</v>
      </c>
      <c r="E2753" t="s">
        <v>46</v>
      </c>
      <c r="F2753">
        <v>2</v>
      </c>
      <c r="G2753">
        <v>2</v>
      </c>
      <c r="H2753">
        <v>0</v>
      </c>
      <c r="I2753">
        <v>1</v>
      </c>
      <c r="J2753" s="4" t="s">
        <v>52</v>
      </c>
      <c r="K2753" t="str">
        <f t="shared" si="138"/>
        <v>2+0</v>
      </c>
      <c r="L2753">
        <f>VLOOKUP(A2753,'ZONE 1 PREMIUM'!$A$4:$N$16,14,0)</f>
        <v>8</v>
      </c>
      <c r="M2753">
        <f>VLOOKUP(D2753,DROPDOWN!B:C,2,0)</f>
        <v>10</v>
      </c>
      <c r="N2753" t="str">
        <f t="shared" si="136"/>
        <v>X81:AP92</v>
      </c>
      <c r="O2753" s="4">
        <f t="shared" ca="1" si="137"/>
        <v>152846.5</v>
      </c>
    </row>
    <row r="2754" spans="1:15">
      <c r="A2754" s="2" t="s">
        <v>18</v>
      </c>
      <c r="B2754" t="s">
        <v>39</v>
      </c>
      <c r="C2754" t="s">
        <v>40</v>
      </c>
      <c r="D2754">
        <v>30</v>
      </c>
      <c r="E2754" t="s">
        <v>46</v>
      </c>
      <c r="F2754">
        <v>2</v>
      </c>
      <c r="G2754">
        <v>2</v>
      </c>
      <c r="H2754">
        <v>0</v>
      </c>
      <c r="I2754">
        <v>1</v>
      </c>
      <c r="J2754" s="4" t="s">
        <v>52</v>
      </c>
      <c r="K2754" t="str">
        <f t="shared" si="138"/>
        <v>2+0</v>
      </c>
      <c r="L2754">
        <f>VLOOKUP(A2754,'ZONE 1 PREMIUM'!$A$4:$N$16,14,0)</f>
        <v>9</v>
      </c>
      <c r="M2754">
        <f>VLOOKUP(D2754,DROPDOWN!B:C,2,0)</f>
        <v>10</v>
      </c>
      <c r="N2754" t="str">
        <f t="shared" ref="N2754:N2801" si="139">VLOOKUP(K2754,$AQ$3:$AR$12,2,0)</f>
        <v>X81:AP92</v>
      </c>
      <c r="O2754" s="4">
        <f t="shared" ref="O2754:O2817" ca="1" si="140">INDEX(INDIRECT(N2754),L2754,M2754)</f>
        <v>215382.34999999998</v>
      </c>
    </row>
    <row r="2755" spans="1:15">
      <c r="A2755" s="2" t="s">
        <v>19</v>
      </c>
      <c r="B2755" t="s">
        <v>41</v>
      </c>
      <c r="C2755" t="s">
        <v>42</v>
      </c>
      <c r="D2755">
        <v>30</v>
      </c>
      <c r="E2755" t="s">
        <v>46</v>
      </c>
      <c r="F2755">
        <v>2</v>
      </c>
      <c r="G2755">
        <v>2</v>
      </c>
      <c r="H2755">
        <v>0</v>
      </c>
      <c r="I2755">
        <v>1</v>
      </c>
      <c r="J2755" s="4" t="s">
        <v>52</v>
      </c>
      <c r="K2755" t="str">
        <f t="shared" si="138"/>
        <v>2+0</v>
      </c>
      <c r="L2755">
        <f>VLOOKUP(A2755,'ZONE 1 PREMIUM'!$A$4:$N$16,14,0)</f>
        <v>10</v>
      </c>
      <c r="M2755">
        <f>VLOOKUP(D2755,DROPDOWN!B:C,2,0)</f>
        <v>10</v>
      </c>
      <c r="N2755" t="str">
        <f t="shared" si="139"/>
        <v>X81:AP92</v>
      </c>
      <c r="O2755" s="4">
        <f t="shared" ca="1" si="140"/>
        <v>303118.14999999997</v>
      </c>
    </row>
    <row r="2756" spans="1:15">
      <c r="A2756" s="2" t="s">
        <v>20</v>
      </c>
      <c r="B2756" t="s">
        <v>43</v>
      </c>
      <c r="C2756" t="s">
        <v>44</v>
      </c>
      <c r="D2756">
        <v>30</v>
      </c>
      <c r="E2756" t="s">
        <v>46</v>
      </c>
      <c r="F2756">
        <v>2</v>
      </c>
      <c r="G2756">
        <v>2</v>
      </c>
      <c r="H2756">
        <v>0</v>
      </c>
      <c r="I2756">
        <v>1</v>
      </c>
      <c r="J2756" s="4" t="s">
        <v>52</v>
      </c>
      <c r="K2756" t="str">
        <f t="shared" ref="K2756:K2819" si="141">G2756&amp;"+"&amp;H2756</f>
        <v>2+0</v>
      </c>
      <c r="L2756">
        <f>VLOOKUP(A2756,'ZONE 1 PREMIUM'!$A$4:$N$16,14,0)</f>
        <v>11</v>
      </c>
      <c r="M2756">
        <f>VLOOKUP(D2756,DROPDOWN!B:C,2,0)</f>
        <v>10</v>
      </c>
      <c r="N2756" t="str">
        <f t="shared" si="139"/>
        <v>X81:AP92</v>
      </c>
      <c r="O2756" s="4">
        <f t="shared" ca="1" si="140"/>
        <v>377762.35</v>
      </c>
    </row>
    <row r="2757" spans="1:15">
      <c r="A2757" s="2" t="s">
        <v>21</v>
      </c>
      <c r="B2757" t="s">
        <v>22</v>
      </c>
      <c r="D2757">
        <v>30</v>
      </c>
      <c r="E2757" t="s">
        <v>46</v>
      </c>
      <c r="F2757">
        <v>2</v>
      </c>
      <c r="G2757">
        <v>2</v>
      </c>
      <c r="H2757">
        <v>0</v>
      </c>
      <c r="I2757">
        <v>1</v>
      </c>
      <c r="J2757" s="4" t="s">
        <v>52</v>
      </c>
      <c r="K2757" t="str">
        <f t="shared" si="141"/>
        <v>2+0</v>
      </c>
      <c r="L2757">
        <f>VLOOKUP(A2757,'ZONE 1 PREMIUM'!$A$4:$N$16,14,0)</f>
        <v>12</v>
      </c>
      <c r="M2757">
        <f>VLOOKUP(D2757,DROPDOWN!B:C,2,0)</f>
        <v>10</v>
      </c>
      <c r="N2757" t="str">
        <f t="shared" si="139"/>
        <v>X81:AP92</v>
      </c>
      <c r="O2757" s="4">
        <f t="shared" ca="1" si="140"/>
        <v>485351.74999999994</v>
      </c>
    </row>
    <row r="2758" spans="1:15">
      <c r="A2758" s="2" t="s">
        <v>11</v>
      </c>
      <c r="B2758" t="s">
        <v>45</v>
      </c>
      <c r="C2758" t="s">
        <v>25</v>
      </c>
      <c r="D2758">
        <v>30</v>
      </c>
      <c r="E2758" t="s">
        <v>46</v>
      </c>
      <c r="F2758">
        <v>3</v>
      </c>
      <c r="G2758">
        <v>2</v>
      </c>
      <c r="H2758">
        <v>1</v>
      </c>
      <c r="I2758">
        <v>1</v>
      </c>
      <c r="J2758" s="4" t="s">
        <v>52</v>
      </c>
      <c r="K2758" t="str">
        <f t="shared" si="141"/>
        <v>2+1</v>
      </c>
      <c r="L2758">
        <f>VLOOKUP(A2758,'ZONE 1 PREMIUM'!$A$4:$N$16,14,0)</f>
        <v>2</v>
      </c>
      <c r="M2758">
        <f>VLOOKUP(D2758,DROPDOWN!B:C,2,0)</f>
        <v>10</v>
      </c>
      <c r="N2758" t="str">
        <f t="shared" si="139"/>
        <v>X98:AP109</v>
      </c>
      <c r="O2758" s="4">
        <f t="shared" ca="1" si="140"/>
        <v>54400.749999999993</v>
      </c>
    </row>
    <row r="2759" spans="1:15">
      <c r="A2759" s="2" t="s">
        <v>12</v>
      </c>
      <c r="B2759" t="s">
        <v>27</v>
      </c>
      <c r="C2759" t="s">
        <v>28</v>
      </c>
      <c r="D2759">
        <v>30</v>
      </c>
      <c r="E2759" t="s">
        <v>46</v>
      </c>
      <c r="F2759">
        <v>3</v>
      </c>
      <c r="G2759">
        <v>2</v>
      </c>
      <c r="H2759">
        <v>1</v>
      </c>
      <c r="I2759">
        <v>1</v>
      </c>
      <c r="J2759" s="4" t="s">
        <v>52</v>
      </c>
      <c r="K2759" t="str">
        <f t="shared" si="141"/>
        <v>2+1</v>
      </c>
      <c r="L2759">
        <f>VLOOKUP(A2759,'ZONE 1 PREMIUM'!$A$4:$N$16,14,0)</f>
        <v>3</v>
      </c>
      <c r="M2759">
        <f>VLOOKUP(D2759,DROPDOWN!B:C,2,0)</f>
        <v>10</v>
      </c>
      <c r="N2759" t="str">
        <f t="shared" si="139"/>
        <v>X98:AP109</v>
      </c>
      <c r="O2759" s="4">
        <f t="shared" ca="1" si="140"/>
        <v>60174.899999999994</v>
      </c>
    </row>
    <row r="2760" spans="1:15">
      <c r="A2760" s="2" t="s">
        <v>13</v>
      </c>
      <c r="B2760" t="s">
        <v>29</v>
      </c>
      <c r="C2760" t="s">
        <v>30</v>
      </c>
      <c r="D2760">
        <v>30</v>
      </c>
      <c r="E2760" t="s">
        <v>46</v>
      </c>
      <c r="F2760">
        <v>3</v>
      </c>
      <c r="G2760">
        <v>2</v>
      </c>
      <c r="H2760">
        <v>1</v>
      </c>
      <c r="I2760">
        <v>1</v>
      </c>
      <c r="J2760" s="4" t="s">
        <v>52</v>
      </c>
      <c r="K2760" t="str">
        <f t="shared" si="141"/>
        <v>2+1</v>
      </c>
      <c r="L2760">
        <f>VLOOKUP(A2760,'ZONE 1 PREMIUM'!$A$4:$N$16,14,0)</f>
        <v>4</v>
      </c>
      <c r="M2760">
        <f>VLOOKUP(D2760,DROPDOWN!B:C,2,0)</f>
        <v>10</v>
      </c>
      <c r="N2760" t="str">
        <f t="shared" si="139"/>
        <v>X98:AP109</v>
      </c>
      <c r="O2760" s="4">
        <f t="shared" ca="1" si="140"/>
        <v>67499.25</v>
      </c>
    </row>
    <row r="2761" spans="1:15">
      <c r="A2761" s="2" t="s">
        <v>14</v>
      </c>
      <c r="B2761" t="s">
        <v>31</v>
      </c>
      <c r="C2761" t="s">
        <v>32</v>
      </c>
      <c r="D2761">
        <v>30</v>
      </c>
      <c r="E2761" t="s">
        <v>46</v>
      </c>
      <c r="F2761">
        <v>3</v>
      </c>
      <c r="G2761">
        <v>2</v>
      </c>
      <c r="H2761">
        <v>1</v>
      </c>
      <c r="I2761">
        <v>1</v>
      </c>
      <c r="J2761" s="4" t="s">
        <v>52</v>
      </c>
      <c r="K2761" t="str">
        <f t="shared" si="141"/>
        <v>2+1</v>
      </c>
      <c r="L2761">
        <f>VLOOKUP(A2761,'ZONE 1 PREMIUM'!$A$4:$N$16,14,0)</f>
        <v>5</v>
      </c>
      <c r="M2761">
        <f>VLOOKUP(D2761,DROPDOWN!B:C,2,0)</f>
        <v>10</v>
      </c>
      <c r="N2761" t="str">
        <f t="shared" si="139"/>
        <v>X98:AP109</v>
      </c>
      <c r="O2761" s="4">
        <f t="shared" ca="1" si="140"/>
        <v>77263.899999999994</v>
      </c>
    </row>
    <row r="2762" spans="1:15">
      <c r="A2762" s="2" t="s">
        <v>15</v>
      </c>
      <c r="B2762" t="s">
        <v>33</v>
      </c>
      <c r="C2762" t="s">
        <v>34</v>
      </c>
      <c r="D2762">
        <v>30</v>
      </c>
      <c r="E2762" t="s">
        <v>46</v>
      </c>
      <c r="F2762">
        <v>3</v>
      </c>
      <c r="G2762">
        <v>2</v>
      </c>
      <c r="H2762">
        <v>1</v>
      </c>
      <c r="I2762">
        <v>1</v>
      </c>
      <c r="J2762" s="4" t="s">
        <v>52</v>
      </c>
      <c r="K2762" t="str">
        <f t="shared" si="141"/>
        <v>2+1</v>
      </c>
      <c r="L2762">
        <f>VLOOKUP(A2762,'ZONE 1 PREMIUM'!$A$4:$N$16,14,0)</f>
        <v>6</v>
      </c>
      <c r="M2762">
        <f>VLOOKUP(D2762,DROPDOWN!B:C,2,0)</f>
        <v>10</v>
      </c>
      <c r="N2762" t="str">
        <f t="shared" si="139"/>
        <v>X98:AP109</v>
      </c>
      <c r="O2762" s="4">
        <f t="shared" ca="1" si="140"/>
        <v>97339.45</v>
      </c>
    </row>
    <row r="2763" spans="1:15">
      <c r="A2763" s="2" t="s">
        <v>16</v>
      </c>
      <c r="B2763" t="s">
        <v>35</v>
      </c>
      <c r="C2763" t="s">
        <v>36</v>
      </c>
      <c r="D2763">
        <v>30</v>
      </c>
      <c r="E2763" t="s">
        <v>46</v>
      </c>
      <c r="F2763">
        <v>3</v>
      </c>
      <c r="G2763">
        <v>2</v>
      </c>
      <c r="H2763">
        <v>1</v>
      </c>
      <c r="I2763">
        <v>1</v>
      </c>
      <c r="J2763" s="4" t="s">
        <v>52</v>
      </c>
      <c r="K2763" t="str">
        <f t="shared" si="141"/>
        <v>2+1</v>
      </c>
      <c r="L2763">
        <f>VLOOKUP(A2763,'ZONE 1 PREMIUM'!$A$4:$N$16,14,0)</f>
        <v>7</v>
      </c>
      <c r="M2763">
        <f>VLOOKUP(D2763,DROPDOWN!B:C,2,0)</f>
        <v>10</v>
      </c>
      <c r="N2763" t="str">
        <f t="shared" si="139"/>
        <v>X98:AP109</v>
      </c>
      <c r="O2763" s="4">
        <f t="shared" ca="1" si="140"/>
        <v>128108.84999999999</v>
      </c>
    </row>
    <row r="2764" spans="1:15">
      <c r="A2764" s="2" t="s">
        <v>17</v>
      </c>
      <c r="B2764" t="s">
        <v>37</v>
      </c>
      <c r="C2764" t="s">
        <v>38</v>
      </c>
      <c r="D2764">
        <v>30</v>
      </c>
      <c r="E2764" t="s">
        <v>46</v>
      </c>
      <c r="F2764">
        <v>3</v>
      </c>
      <c r="G2764">
        <v>2</v>
      </c>
      <c r="H2764">
        <v>1</v>
      </c>
      <c r="I2764">
        <v>1</v>
      </c>
      <c r="J2764" s="4" t="s">
        <v>52</v>
      </c>
      <c r="K2764" t="str">
        <f t="shared" si="141"/>
        <v>2+1</v>
      </c>
      <c r="L2764">
        <f>VLOOKUP(A2764,'ZONE 1 PREMIUM'!$A$4:$N$16,14,0)</f>
        <v>8</v>
      </c>
      <c r="M2764">
        <f>VLOOKUP(D2764,DROPDOWN!B:C,2,0)</f>
        <v>10</v>
      </c>
      <c r="N2764" t="str">
        <f t="shared" si="139"/>
        <v>X98:AP109</v>
      </c>
      <c r="O2764" s="4">
        <f t="shared" ca="1" si="140"/>
        <v>170812.94999999998</v>
      </c>
    </row>
    <row r="2765" spans="1:15">
      <c r="A2765" s="2" t="s">
        <v>18</v>
      </c>
      <c r="B2765" t="s">
        <v>39</v>
      </c>
      <c r="C2765" t="s">
        <v>40</v>
      </c>
      <c r="D2765">
        <v>30</v>
      </c>
      <c r="E2765" t="s">
        <v>46</v>
      </c>
      <c r="F2765">
        <v>3</v>
      </c>
      <c r="G2765">
        <v>2</v>
      </c>
      <c r="H2765">
        <v>1</v>
      </c>
      <c r="I2765">
        <v>1</v>
      </c>
      <c r="J2765" s="4" t="s">
        <v>52</v>
      </c>
      <c r="K2765" t="str">
        <f t="shared" si="141"/>
        <v>2+1</v>
      </c>
      <c r="L2765">
        <f>VLOOKUP(A2765,'ZONE 1 PREMIUM'!$A$4:$N$16,14,0)</f>
        <v>9</v>
      </c>
      <c r="M2765">
        <f>VLOOKUP(D2765,DROPDOWN!B:C,2,0)</f>
        <v>10</v>
      </c>
      <c r="N2765" t="str">
        <f t="shared" si="139"/>
        <v>X98:AP109</v>
      </c>
      <c r="O2765" s="4">
        <f t="shared" ca="1" si="140"/>
        <v>233676.55</v>
      </c>
    </row>
    <row r="2766" spans="1:15">
      <c r="A2766" s="2" t="s">
        <v>19</v>
      </c>
      <c r="B2766" t="s">
        <v>41</v>
      </c>
      <c r="C2766" t="s">
        <v>42</v>
      </c>
      <c r="D2766">
        <v>30</v>
      </c>
      <c r="E2766" t="s">
        <v>46</v>
      </c>
      <c r="F2766">
        <v>3</v>
      </c>
      <c r="G2766">
        <v>2</v>
      </c>
      <c r="H2766">
        <v>1</v>
      </c>
      <c r="I2766">
        <v>1</v>
      </c>
      <c r="J2766" s="4" t="s">
        <v>52</v>
      </c>
      <c r="K2766" t="str">
        <f t="shared" si="141"/>
        <v>2+1</v>
      </c>
      <c r="L2766">
        <f>VLOOKUP(A2766,'ZONE 1 PREMIUM'!$A$4:$N$16,14,0)</f>
        <v>10</v>
      </c>
      <c r="M2766">
        <f>VLOOKUP(D2766,DROPDOWN!B:C,2,0)</f>
        <v>10</v>
      </c>
      <c r="N2766" t="str">
        <f t="shared" si="139"/>
        <v>X98:AP109</v>
      </c>
      <c r="O2766" s="4">
        <f t="shared" ca="1" si="140"/>
        <v>314658.39999999997</v>
      </c>
    </row>
    <row r="2767" spans="1:15">
      <c r="A2767" s="2" t="s">
        <v>20</v>
      </c>
      <c r="B2767" t="s">
        <v>43</v>
      </c>
      <c r="C2767" t="s">
        <v>44</v>
      </c>
      <c r="D2767">
        <v>30</v>
      </c>
      <c r="E2767" t="s">
        <v>46</v>
      </c>
      <c r="F2767">
        <v>3</v>
      </c>
      <c r="G2767">
        <v>2</v>
      </c>
      <c r="H2767">
        <v>1</v>
      </c>
      <c r="I2767">
        <v>1</v>
      </c>
      <c r="J2767" s="4" t="s">
        <v>52</v>
      </c>
      <c r="K2767" t="str">
        <f t="shared" si="141"/>
        <v>2+1</v>
      </c>
      <c r="L2767">
        <f>VLOOKUP(A2767,'ZONE 1 PREMIUM'!$A$4:$N$16,14,0)</f>
        <v>11</v>
      </c>
      <c r="M2767">
        <f>VLOOKUP(D2767,DROPDOWN!B:C,2,0)</f>
        <v>10</v>
      </c>
      <c r="N2767" t="str">
        <f t="shared" si="139"/>
        <v>X98:AP109</v>
      </c>
      <c r="O2767" s="4">
        <f t="shared" ca="1" si="140"/>
        <v>386761.1</v>
      </c>
    </row>
    <row r="2768" spans="1:15">
      <c r="A2768" s="2" t="s">
        <v>21</v>
      </c>
      <c r="B2768" t="s">
        <v>22</v>
      </c>
      <c r="D2768">
        <v>30</v>
      </c>
      <c r="E2768" t="s">
        <v>46</v>
      </c>
      <c r="F2768">
        <v>3</v>
      </c>
      <c r="G2768">
        <v>2</v>
      </c>
      <c r="H2768">
        <v>1</v>
      </c>
      <c r="I2768">
        <v>1</v>
      </c>
      <c r="J2768" s="4" t="s">
        <v>52</v>
      </c>
      <c r="K2768" t="str">
        <f t="shared" si="141"/>
        <v>2+1</v>
      </c>
      <c r="L2768">
        <f>VLOOKUP(A2768,'ZONE 1 PREMIUM'!$A$4:$N$16,14,0)</f>
        <v>12</v>
      </c>
      <c r="M2768">
        <f>VLOOKUP(D2768,DROPDOWN!B:C,2,0)</f>
        <v>10</v>
      </c>
      <c r="N2768" t="str">
        <f t="shared" si="139"/>
        <v>X98:AP109</v>
      </c>
      <c r="O2768" s="4">
        <f t="shared" ca="1" si="140"/>
        <v>493918.1</v>
      </c>
    </row>
    <row r="2769" spans="1:15">
      <c r="A2769" s="2" t="s">
        <v>11</v>
      </c>
      <c r="B2769" t="s">
        <v>45</v>
      </c>
      <c r="C2769" t="s">
        <v>25</v>
      </c>
      <c r="D2769">
        <v>30</v>
      </c>
      <c r="E2769" t="s">
        <v>46</v>
      </c>
      <c r="F2769">
        <v>4</v>
      </c>
      <c r="G2769">
        <v>2</v>
      </c>
      <c r="H2769">
        <v>2</v>
      </c>
      <c r="I2769">
        <v>1</v>
      </c>
      <c r="J2769" s="4" t="s">
        <v>52</v>
      </c>
      <c r="K2769" t="str">
        <f t="shared" si="141"/>
        <v>2+2</v>
      </c>
      <c r="L2769">
        <f>VLOOKUP(A2769,'ZONE 1 PREMIUM'!$A$4:$N$16,14,0)</f>
        <v>2</v>
      </c>
      <c r="M2769">
        <f>VLOOKUP(D2769,DROPDOWN!B:C,2,0)</f>
        <v>10</v>
      </c>
      <c r="N2769" t="str">
        <f t="shared" si="139"/>
        <v>X113:AP124</v>
      </c>
      <c r="O2769" s="4">
        <f t="shared" ca="1" si="140"/>
        <v>63806.6</v>
      </c>
    </row>
    <row r="2770" spans="1:15">
      <c r="A2770" s="2" t="s">
        <v>12</v>
      </c>
      <c r="B2770" t="s">
        <v>27</v>
      </c>
      <c r="C2770" t="s">
        <v>28</v>
      </c>
      <c r="D2770">
        <v>30</v>
      </c>
      <c r="E2770" t="s">
        <v>46</v>
      </c>
      <c r="F2770">
        <v>4</v>
      </c>
      <c r="G2770">
        <v>2</v>
      </c>
      <c r="H2770">
        <v>2</v>
      </c>
      <c r="I2770">
        <v>1</v>
      </c>
      <c r="J2770" s="4" t="s">
        <v>52</v>
      </c>
      <c r="K2770" t="str">
        <f t="shared" si="141"/>
        <v>2+2</v>
      </c>
      <c r="L2770">
        <f>VLOOKUP(A2770,'ZONE 1 PREMIUM'!$A$4:$N$16,14,0)</f>
        <v>3</v>
      </c>
      <c r="M2770">
        <f>VLOOKUP(D2770,DROPDOWN!B:C,2,0)</f>
        <v>10</v>
      </c>
      <c r="N2770" t="str">
        <f t="shared" si="139"/>
        <v>X113:AP124</v>
      </c>
      <c r="O2770" s="4">
        <f t="shared" ca="1" si="140"/>
        <v>69414</v>
      </c>
    </row>
    <row r="2771" spans="1:15">
      <c r="A2771" s="2" t="s">
        <v>13</v>
      </c>
      <c r="B2771" t="s">
        <v>29</v>
      </c>
      <c r="C2771" t="s">
        <v>30</v>
      </c>
      <c r="D2771">
        <v>30</v>
      </c>
      <c r="E2771" t="s">
        <v>46</v>
      </c>
      <c r="F2771">
        <v>4</v>
      </c>
      <c r="G2771">
        <v>2</v>
      </c>
      <c r="H2771">
        <v>2</v>
      </c>
      <c r="I2771">
        <v>1</v>
      </c>
      <c r="J2771" s="4" t="s">
        <v>52</v>
      </c>
      <c r="K2771" t="str">
        <f t="shared" si="141"/>
        <v>2+2</v>
      </c>
      <c r="L2771">
        <f>VLOOKUP(A2771,'ZONE 1 PREMIUM'!$A$4:$N$16,14,0)</f>
        <v>4</v>
      </c>
      <c r="M2771">
        <f>VLOOKUP(D2771,DROPDOWN!B:C,2,0)</f>
        <v>10</v>
      </c>
      <c r="N2771" t="str">
        <f t="shared" si="139"/>
        <v>X113:AP124</v>
      </c>
      <c r="O2771" s="4">
        <f t="shared" ca="1" si="140"/>
        <v>78296.599999999991</v>
      </c>
    </row>
    <row r="2772" spans="1:15">
      <c r="A2772" s="2" t="s">
        <v>14</v>
      </c>
      <c r="B2772" t="s">
        <v>31</v>
      </c>
      <c r="C2772" t="s">
        <v>32</v>
      </c>
      <c r="D2772">
        <v>30</v>
      </c>
      <c r="E2772" t="s">
        <v>46</v>
      </c>
      <c r="F2772">
        <v>4</v>
      </c>
      <c r="G2772">
        <v>2</v>
      </c>
      <c r="H2772">
        <v>2</v>
      </c>
      <c r="I2772">
        <v>1</v>
      </c>
      <c r="J2772" s="4" t="s">
        <v>52</v>
      </c>
      <c r="K2772" t="str">
        <f t="shared" si="141"/>
        <v>2+2</v>
      </c>
      <c r="L2772">
        <f>VLOOKUP(A2772,'ZONE 1 PREMIUM'!$A$4:$N$16,14,0)</f>
        <v>5</v>
      </c>
      <c r="M2772">
        <f>VLOOKUP(D2772,DROPDOWN!B:C,2,0)</f>
        <v>10</v>
      </c>
      <c r="N2772" t="str">
        <f t="shared" si="139"/>
        <v>X113:AP124</v>
      </c>
      <c r="O2772" s="4">
        <f t="shared" ca="1" si="140"/>
        <v>88817.95</v>
      </c>
    </row>
    <row r="2773" spans="1:15">
      <c r="A2773" s="2" t="s">
        <v>15</v>
      </c>
      <c r="B2773" t="s">
        <v>33</v>
      </c>
      <c r="C2773" t="s">
        <v>34</v>
      </c>
      <c r="D2773">
        <v>30</v>
      </c>
      <c r="E2773" t="s">
        <v>46</v>
      </c>
      <c r="F2773">
        <v>4</v>
      </c>
      <c r="G2773">
        <v>2</v>
      </c>
      <c r="H2773">
        <v>2</v>
      </c>
      <c r="I2773">
        <v>1</v>
      </c>
      <c r="J2773" s="4" t="s">
        <v>52</v>
      </c>
      <c r="K2773" t="str">
        <f t="shared" si="141"/>
        <v>2+2</v>
      </c>
      <c r="L2773">
        <f>VLOOKUP(A2773,'ZONE 1 PREMIUM'!$A$4:$N$16,14,0)</f>
        <v>6</v>
      </c>
      <c r="M2773">
        <f>VLOOKUP(D2773,DROPDOWN!B:C,2,0)</f>
        <v>10</v>
      </c>
      <c r="N2773" t="str">
        <f t="shared" si="139"/>
        <v>X113:AP124</v>
      </c>
      <c r="O2773" s="4">
        <f t="shared" ca="1" si="140"/>
        <v>110356.29999999999</v>
      </c>
    </row>
    <row r="2774" spans="1:15">
      <c r="A2774" s="2" t="s">
        <v>16</v>
      </c>
      <c r="B2774" t="s">
        <v>35</v>
      </c>
      <c r="C2774" t="s">
        <v>36</v>
      </c>
      <c r="D2774">
        <v>30</v>
      </c>
      <c r="E2774" t="s">
        <v>46</v>
      </c>
      <c r="F2774">
        <v>4</v>
      </c>
      <c r="G2774">
        <v>2</v>
      </c>
      <c r="H2774">
        <v>2</v>
      </c>
      <c r="I2774">
        <v>1</v>
      </c>
      <c r="J2774" s="4" t="s">
        <v>52</v>
      </c>
      <c r="K2774" t="str">
        <f t="shared" si="141"/>
        <v>2+2</v>
      </c>
      <c r="L2774">
        <f>VLOOKUP(A2774,'ZONE 1 PREMIUM'!$A$4:$N$16,14,0)</f>
        <v>7</v>
      </c>
      <c r="M2774">
        <f>VLOOKUP(D2774,DROPDOWN!B:C,2,0)</f>
        <v>10</v>
      </c>
      <c r="N2774" t="str">
        <f t="shared" si="139"/>
        <v>X113:AP124</v>
      </c>
      <c r="O2774" s="4">
        <f t="shared" ca="1" si="140"/>
        <v>144303.15</v>
      </c>
    </row>
    <row r="2775" spans="1:15">
      <c r="A2775" s="2" t="s">
        <v>17</v>
      </c>
      <c r="B2775" t="s">
        <v>37</v>
      </c>
      <c r="C2775" t="s">
        <v>38</v>
      </c>
      <c r="D2775">
        <v>30</v>
      </c>
      <c r="E2775" t="s">
        <v>46</v>
      </c>
      <c r="F2775">
        <v>4</v>
      </c>
      <c r="G2775">
        <v>2</v>
      </c>
      <c r="H2775">
        <v>2</v>
      </c>
      <c r="I2775">
        <v>1</v>
      </c>
      <c r="J2775" s="4" t="s">
        <v>52</v>
      </c>
      <c r="K2775" t="str">
        <f t="shared" si="141"/>
        <v>2+2</v>
      </c>
      <c r="L2775">
        <f>VLOOKUP(A2775,'ZONE 1 PREMIUM'!$A$4:$N$16,14,0)</f>
        <v>8</v>
      </c>
      <c r="M2775">
        <f>VLOOKUP(D2775,DROPDOWN!B:C,2,0)</f>
        <v>10</v>
      </c>
      <c r="N2775" t="str">
        <f t="shared" si="139"/>
        <v>X113:AP124</v>
      </c>
      <c r="O2775" s="4">
        <f t="shared" ca="1" si="140"/>
        <v>186111.4</v>
      </c>
    </row>
    <row r="2776" spans="1:15">
      <c r="A2776" s="2" t="s">
        <v>18</v>
      </c>
      <c r="B2776" t="s">
        <v>39</v>
      </c>
      <c r="C2776" t="s">
        <v>40</v>
      </c>
      <c r="D2776">
        <v>30</v>
      </c>
      <c r="E2776" t="s">
        <v>46</v>
      </c>
      <c r="F2776">
        <v>4</v>
      </c>
      <c r="G2776">
        <v>2</v>
      </c>
      <c r="H2776">
        <v>2</v>
      </c>
      <c r="I2776">
        <v>1</v>
      </c>
      <c r="J2776" s="4" t="s">
        <v>52</v>
      </c>
      <c r="K2776" t="str">
        <f t="shared" si="141"/>
        <v>2+2</v>
      </c>
      <c r="L2776">
        <f>VLOOKUP(A2776,'ZONE 1 PREMIUM'!$A$4:$N$16,14,0)</f>
        <v>9</v>
      </c>
      <c r="M2776">
        <f>VLOOKUP(D2776,DROPDOWN!B:C,2,0)</f>
        <v>10</v>
      </c>
      <c r="N2776" t="str">
        <f t="shared" si="139"/>
        <v>X113:AP124</v>
      </c>
      <c r="O2776" s="4">
        <f t="shared" ca="1" si="140"/>
        <v>246051.69999999998</v>
      </c>
    </row>
    <row r="2777" spans="1:15">
      <c r="A2777" s="2" t="s">
        <v>19</v>
      </c>
      <c r="B2777" t="s">
        <v>41</v>
      </c>
      <c r="C2777" t="s">
        <v>42</v>
      </c>
      <c r="D2777">
        <v>30</v>
      </c>
      <c r="E2777" t="s">
        <v>46</v>
      </c>
      <c r="F2777">
        <v>4</v>
      </c>
      <c r="G2777">
        <v>2</v>
      </c>
      <c r="H2777">
        <v>2</v>
      </c>
      <c r="I2777">
        <v>1</v>
      </c>
      <c r="J2777" s="4" t="s">
        <v>52</v>
      </c>
      <c r="K2777" t="str">
        <f t="shared" si="141"/>
        <v>2+2</v>
      </c>
      <c r="L2777">
        <f>VLOOKUP(A2777,'ZONE 1 PREMIUM'!$A$4:$N$16,14,0)</f>
        <v>10</v>
      </c>
      <c r="M2777">
        <f>VLOOKUP(D2777,DROPDOWN!B:C,2,0)</f>
        <v>10</v>
      </c>
      <c r="N2777" t="str">
        <f t="shared" si="139"/>
        <v>X113:AP124</v>
      </c>
      <c r="O2777" s="4">
        <f t="shared" ca="1" si="140"/>
        <v>320417.59999999998</v>
      </c>
    </row>
    <row r="2778" spans="1:15">
      <c r="A2778" s="2" t="s">
        <v>20</v>
      </c>
      <c r="B2778" t="s">
        <v>43</v>
      </c>
      <c r="C2778" t="s">
        <v>44</v>
      </c>
      <c r="D2778">
        <v>30</v>
      </c>
      <c r="E2778" t="s">
        <v>46</v>
      </c>
      <c r="F2778">
        <v>4</v>
      </c>
      <c r="G2778">
        <v>2</v>
      </c>
      <c r="H2778">
        <v>2</v>
      </c>
      <c r="I2778">
        <v>1</v>
      </c>
      <c r="J2778" s="4" t="s">
        <v>52</v>
      </c>
      <c r="K2778" t="str">
        <f t="shared" si="141"/>
        <v>2+2</v>
      </c>
      <c r="L2778">
        <f>VLOOKUP(A2778,'ZONE 1 PREMIUM'!$A$4:$N$16,14,0)</f>
        <v>11</v>
      </c>
      <c r="M2778">
        <f>VLOOKUP(D2778,DROPDOWN!B:C,2,0)</f>
        <v>10</v>
      </c>
      <c r="N2778" t="str">
        <f t="shared" si="139"/>
        <v>X113:AP124</v>
      </c>
      <c r="O2778" s="4">
        <f t="shared" ca="1" si="140"/>
        <v>393086.1</v>
      </c>
    </row>
    <row r="2779" spans="1:15">
      <c r="A2779" s="2" t="s">
        <v>21</v>
      </c>
      <c r="B2779" t="s">
        <v>22</v>
      </c>
      <c r="D2779">
        <v>30</v>
      </c>
      <c r="E2779" t="s">
        <v>46</v>
      </c>
      <c r="F2779">
        <v>4</v>
      </c>
      <c r="G2779">
        <v>2</v>
      </c>
      <c r="H2779">
        <v>2</v>
      </c>
      <c r="I2779">
        <v>1</v>
      </c>
      <c r="J2779" s="4" t="s">
        <v>52</v>
      </c>
      <c r="K2779" t="str">
        <f t="shared" si="141"/>
        <v>2+2</v>
      </c>
      <c r="L2779">
        <f>VLOOKUP(A2779,'ZONE 1 PREMIUM'!$A$4:$N$16,14,0)</f>
        <v>12</v>
      </c>
      <c r="M2779">
        <f>VLOOKUP(D2779,DROPDOWN!B:C,2,0)</f>
        <v>10</v>
      </c>
      <c r="N2779" t="str">
        <f t="shared" si="139"/>
        <v>X113:AP124</v>
      </c>
      <c r="O2779" s="4">
        <f t="shared" ca="1" si="140"/>
        <v>500522.55</v>
      </c>
    </row>
    <row r="2780" spans="1:15">
      <c r="A2780" s="2" t="s">
        <v>11</v>
      </c>
      <c r="B2780" t="s">
        <v>45</v>
      </c>
      <c r="C2780" t="s">
        <v>25</v>
      </c>
      <c r="D2780">
        <v>30</v>
      </c>
      <c r="E2780" t="s">
        <v>46</v>
      </c>
      <c r="F2780">
        <v>5</v>
      </c>
      <c r="G2780">
        <v>2</v>
      </c>
      <c r="H2780">
        <v>3</v>
      </c>
      <c r="I2780">
        <v>1</v>
      </c>
      <c r="J2780" s="4" t="s">
        <v>52</v>
      </c>
      <c r="K2780" t="str">
        <f t="shared" si="141"/>
        <v>2+3</v>
      </c>
      <c r="L2780">
        <f>VLOOKUP(A2780,'ZONE 1 PREMIUM'!$A$4:$N$16,14,0)</f>
        <v>2</v>
      </c>
      <c r="M2780">
        <f>VLOOKUP(D2780,DROPDOWN!B:C,2,0)</f>
        <v>10</v>
      </c>
      <c r="N2780" t="str">
        <f t="shared" si="139"/>
        <v>X128:AP139</v>
      </c>
      <c r="O2780" s="4">
        <f t="shared" ca="1" si="140"/>
        <v>73211.299999999988</v>
      </c>
    </row>
    <row r="2781" spans="1:15">
      <c r="A2781" s="2" t="s">
        <v>12</v>
      </c>
      <c r="B2781" t="s">
        <v>27</v>
      </c>
      <c r="C2781" t="s">
        <v>28</v>
      </c>
      <c r="D2781">
        <v>30</v>
      </c>
      <c r="E2781" t="s">
        <v>46</v>
      </c>
      <c r="F2781">
        <v>5</v>
      </c>
      <c r="G2781">
        <v>2</v>
      </c>
      <c r="H2781">
        <v>3</v>
      </c>
      <c r="I2781">
        <v>1</v>
      </c>
      <c r="J2781" s="4" t="s">
        <v>52</v>
      </c>
      <c r="K2781" t="str">
        <f t="shared" si="141"/>
        <v>2+3</v>
      </c>
      <c r="L2781">
        <f>VLOOKUP(A2781,'ZONE 1 PREMIUM'!$A$4:$N$16,14,0)</f>
        <v>3</v>
      </c>
      <c r="M2781">
        <f>VLOOKUP(D2781,DROPDOWN!B:C,2,0)</f>
        <v>10</v>
      </c>
      <c r="N2781" t="str">
        <f t="shared" si="139"/>
        <v>X128:AP139</v>
      </c>
      <c r="O2781" s="4">
        <f t="shared" ca="1" si="140"/>
        <v>78651.95</v>
      </c>
    </row>
    <row r="2782" spans="1:15">
      <c r="A2782" s="2" t="s">
        <v>13</v>
      </c>
      <c r="B2782" t="s">
        <v>29</v>
      </c>
      <c r="C2782" t="s">
        <v>30</v>
      </c>
      <c r="D2782">
        <v>30</v>
      </c>
      <c r="E2782" t="s">
        <v>46</v>
      </c>
      <c r="F2782">
        <v>5</v>
      </c>
      <c r="G2782">
        <v>2</v>
      </c>
      <c r="H2782">
        <v>3</v>
      </c>
      <c r="I2782">
        <v>1</v>
      </c>
      <c r="J2782" s="4" t="s">
        <v>52</v>
      </c>
      <c r="K2782" t="str">
        <f t="shared" si="141"/>
        <v>2+3</v>
      </c>
      <c r="L2782">
        <f>VLOOKUP(A2782,'ZONE 1 PREMIUM'!$A$4:$N$16,14,0)</f>
        <v>4</v>
      </c>
      <c r="M2782">
        <f>VLOOKUP(D2782,DROPDOWN!B:C,2,0)</f>
        <v>10</v>
      </c>
      <c r="N2782" t="str">
        <f t="shared" si="139"/>
        <v>X128:AP139</v>
      </c>
      <c r="O2782" s="4">
        <f t="shared" ca="1" si="140"/>
        <v>89093.95</v>
      </c>
    </row>
    <row r="2783" spans="1:15">
      <c r="A2783" s="2" t="s">
        <v>14</v>
      </c>
      <c r="B2783" t="s">
        <v>31</v>
      </c>
      <c r="C2783" t="s">
        <v>32</v>
      </c>
      <c r="D2783">
        <v>30</v>
      </c>
      <c r="E2783" t="s">
        <v>46</v>
      </c>
      <c r="F2783">
        <v>5</v>
      </c>
      <c r="G2783">
        <v>2</v>
      </c>
      <c r="H2783">
        <v>3</v>
      </c>
      <c r="I2783">
        <v>1</v>
      </c>
      <c r="J2783" s="4" t="s">
        <v>52</v>
      </c>
      <c r="K2783" t="str">
        <f t="shared" si="141"/>
        <v>2+3</v>
      </c>
      <c r="L2783">
        <f>VLOOKUP(A2783,'ZONE 1 PREMIUM'!$A$4:$N$16,14,0)</f>
        <v>5</v>
      </c>
      <c r="M2783">
        <f>VLOOKUP(D2783,DROPDOWN!B:C,2,0)</f>
        <v>10</v>
      </c>
      <c r="N2783" t="str">
        <f t="shared" si="139"/>
        <v>X128:AP139</v>
      </c>
      <c r="O2783" s="4">
        <f t="shared" ca="1" si="140"/>
        <v>100371.99999999999</v>
      </c>
    </row>
    <row r="2784" spans="1:15">
      <c r="A2784" s="2" t="s">
        <v>15</v>
      </c>
      <c r="B2784" t="s">
        <v>33</v>
      </c>
      <c r="C2784" t="s">
        <v>34</v>
      </c>
      <c r="D2784">
        <v>30</v>
      </c>
      <c r="E2784" t="s">
        <v>46</v>
      </c>
      <c r="F2784">
        <v>5</v>
      </c>
      <c r="G2784">
        <v>2</v>
      </c>
      <c r="H2784">
        <v>3</v>
      </c>
      <c r="I2784">
        <v>1</v>
      </c>
      <c r="J2784" s="4" t="s">
        <v>52</v>
      </c>
      <c r="K2784" t="str">
        <f t="shared" si="141"/>
        <v>2+3</v>
      </c>
      <c r="L2784">
        <f>VLOOKUP(A2784,'ZONE 1 PREMIUM'!$A$4:$N$16,14,0)</f>
        <v>6</v>
      </c>
      <c r="M2784">
        <f>VLOOKUP(D2784,DROPDOWN!B:C,2,0)</f>
        <v>10</v>
      </c>
      <c r="N2784" t="str">
        <f t="shared" si="139"/>
        <v>X128:AP139</v>
      </c>
      <c r="O2784" s="4">
        <f t="shared" ca="1" si="140"/>
        <v>123373.15</v>
      </c>
    </row>
    <row r="2785" spans="1:15">
      <c r="A2785" s="2" t="s">
        <v>16</v>
      </c>
      <c r="B2785" t="s">
        <v>35</v>
      </c>
      <c r="C2785" t="s">
        <v>36</v>
      </c>
      <c r="D2785">
        <v>30</v>
      </c>
      <c r="E2785" t="s">
        <v>46</v>
      </c>
      <c r="F2785">
        <v>5</v>
      </c>
      <c r="G2785">
        <v>2</v>
      </c>
      <c r="H2785">
        <v>3</v>
      </c>
      <c r="I2785">
        <v>1</v>
      </c>
      <c r="J2785" s="4" t="s">
        <v>52</v>
      </c>
      <c r="K2785" t="str">
        <f t="shared" si="141"/>
        <v>2+3</v>
      </c>
      <c r="L2785">
        <f>VLOOKUP(A2785,'ZONE 1 PREMIUM'!$A$4:$N$16,14,0)</f>
        <v>7</v>
      </c>
      <c r="M2785">
        <f>VLOOKUP(D2785,DROPDOWN!B:C,2,0)</f>
        <v>10</v>
      </c>
      <c r="N2785" t="str">
        <f t="shared" si="139"/>
        <v>X128:AP139</v>
      </c>
      <c r="O2785" s="4">
        <f t="shared" ca="1" si="140"/>
        <v>157606.34999999998</v>
      </c>
    </row>
    <row r="2786" spans="1:15">
      <c r="A2786" s="2" t="s">
        <v>17</v>
      </c>
      <c r="B2786" t="s">
        <v>37</v>
      </c>
      <c r="C2786" t="s">
        <v>38</v>
      </c>
      <c r="D2786">
        <v>30</v>
      </c>
      <c r="E2786" t="s">
        <v>46</v>
      </c>
      <c r="F2786">
        <v>5</v>
      </c>
      <c r="G2786">
        <v>2</v>
      </c>
      <c r="H2786">
        <v>3</v>
      </c>
      <c r="I2786">
        <v>1</v>
      </c>
      <c r="J2786" s="4" t="s">
        <v>52</v>
      </c>
      <c r="K2786" t="str">
        <f t="shared" si="141"/>
        <v>2+3</v>
      </c>
      <c r="L2786">
        <f>VLOOKUP(A2786,'ZONE 1 PREMIUM'!$A$4:$N$16,14,0)</f>
        <v>8</v>
      </c>
      <c r="M2786">
        <f>VLOOKUP(D2786,DROPDOWN!B:C,2,0)</f>
        <v>10</v>
      </c>
      <c r="N2786" t="str">
        <f t="shared" si="139"/>
        <v>X128:AP139</v>
      </c>
      <c r="O2786" s="4">
        <f t="shared" ca="1" si="140"/>
        <v>198334.74999999997</v>
      </c>
    </row>
    <row r="2787" spans="1:15">
      <c r="A2787" s="2" t="s">
        <v>18</v>
      </c>
      <c r="B2787" t="s">
        <v>39</v>
      </c>
      <c r="C2787" t="s">
        <v>40</v>
      </c>
      <c r="D2787">
        <v>30</v>
      </c>
      <c r="E2787" t="s">
        <v>46</v>
      </c>
      <c r="F2787">
        <v>5</v>
      </c>
      <c r="G2787">
        <v>2</v>
      </c>
      <c r="H2787">
        <v>3</v>
      </c>
      <c r="I2787">
        <v>1</v>
      </c>
      <c r="J2787" s="4" t="s">
        <v>52</v>
      </c>
      <c r="K2787" t="str">
        <f t="shared" si="141"/>
        <v>2+3</v>
      </c>
      <c r="L2787">
        <f>VLOOKUP(A2787,'ZONE 1 PREMIUM'!$A$4:$N$16,14,0)</f>
        <v>9</v>
      </c>
      <c r="M2787">
        <f>VLOOKUP(D2787,DROPDOWN!B:C,2,0)</f>
        <v>10</v>
      </c>
      <c r="N2787" t="str">
        <f t="shared" si="139"/>
        <v>X128:AP139</v>
      </c>
      <c r="O2787" s="4">
        <f t="shared" ca="1" si="140"/>
        <v>258200.3</v>
      </c>
    </row>
    <row r="2788" spans="1:15">
      <c r="A2788" s="2" t="s">
        <v>19</v>
      </c>
      <c r="B2788" t="s">
        <v>41</v>
      </c>
      <c r="C2788" t="s">
        <v>42</v>
      </c>
      <c r="D2788">
        <v>30</v>
      </c>
      <c r="E2788" t="s">
        <v>46</v>
      </c>
      <c r="F2788">
        <v>5</v>
      </c>
      <c r="G2788">
        <v>2</v>
      </c>
      <c r="H2788">
        <v>3</v>
      </c>
      <c r="I2788">
        <v>1</v>
      </c>
      <c r="J2788" s="4" t="s">
        <v>52</v>
      </c>
      <c r="K2788" t="str">
        <f t="shared" si="141"/>
        <v>2+3</v>
      </c>
      <c r="L2788">
        <f>VLOOKUP(A2788,'ZONE 1 PREMIUM'!$A$4:$N$16,14,0)</f>
        <v>10</v>
      </c>
      <c r="M2788">
        <f>VLOOKUP(D2788,DROPDOWN!B:C,2,0)</f>
        <v>10</v>
      </c>
      <c r="N2788" t="str">
        <f t="shared" si="139"/>
        <v>X128:AP139</v>
      </c>
      <c r="O2788" s="4">
        <f t="shared" ca="1" si="140"/>
        <v>331963.59999999998</v>
      </c>
    </row>
    <row r="2789" spans="1:15">
      <c r="A2789" s="2" t="s">
        <v>20</v>
      </c>
      <c r="B2789" t="s">
        <v>43</v>
      </c>
      <c r="C2789" t="s">
        <v>44</v>
      </c>
      <c r="D2789">
        <v>30</v>
      </c>
      <c r="E2789" t="s">
        <v>46</v>
      </c>
      <c r="F2789">
        <v>5</v>
      </c>
      <c r="G2789">
        <v>2</v>
      </c>
      <c r="H2789">
        <v>3</v>
      </c>
      <c r="I2789">
        <v>1</v>
      </c>
      <c r="J2789" s="4" t="s">
        <v>52</v>
      </c>
      <c r="K2789" t="str">
        <f t="shared" si="141"/>
        <v>2+3</v>
      </c>
      <c r="L2789">
        <f>VLOOKUP(A2789,'ZONE 1 PREMIUM'!$A$4:$N$16,14,0)</f>
        <v>11</v>
      </c>
      <c r="M2789">
        <f>VLOOKUP(D2789,DROPDOWN!B:C,2,0)</f>
        <v>10</v>
      </c>
      <c r="N2789" t="str">
        <f t="shared" si="139"/>
        <v>X128:AP139</v>
      </c>
      <c r="O2789" s="4">
        <f t="shared" ca="1" si="140"/>
        <v>405886.74999999994</v>
      </c>
    </row>
    <row r="2790" spans="1:15">
      <c r="A2790" s="2" t="s">
        <v>21</v>
      </c>
      <c r="B2790" t="s">
        <v>22</v>
      </c>
      <c r="D2790">
        <v>30</v>
      </c>
      <c r="E2790" t="s">
        <v>46</v>
      </c>
      <c r="F2790">
        <v>5</v>
      </c>
      <c r="G2790">
        <v>2</v>
      </c>
      <c r="H2790">
        <v>3</v>
      </c>
      <c r="I2790">
        <v>1</v>
      </c>
      <c r="J2790" s="4" t="s">
        <v>52</v>
      </c>
      <c r="K2790" t="str">
        <f t="shared" si="141"/>
        <v>2+3</v>
      </c>
      <c r="L2790">
        <f>VLOOKUP(A2790,'ZONE 1 PREMIUM'!$A$4:$N$16,14,0)</f>
        <v>12</v>
      </c>
      <c r="M2790">
        <f>VLOOKUP(D2790,DROPDOWN!B:C,2,0)</f>
        <v>10</v>
      </c>
      <c r="N2790" t="str">
        <f t="shared" si="139"/>
        <v>X128:AP139</v>
      </c>
      <c r="O2790" s="4">
        <f t="shared" ca="1" si="140"/>
        <v>514105.19999999995</v>
      </c>
    </row>
    <row r="2791" spans="1:15">
      <c r="A2791" s="2" t="s">
        <v>11</v>
      </c>
      <c r="B2791" t="s">
        <v>45</v>
      </c>
      <c r="C2791" t="s">
        <v>25</v>
      </c>
      <c r="D2791">
        <v>30</v>
      </c>
      <c r="E2791" t="s">
        <v>46</v>
      </c>
      <c r="F2791">
        <v>6</v>
      </c>
      <c r="G2791">
        <v>2</v>
      </c>
      <c r="H2791">
        <v>4</v>
      </c>
      <c r="I2791">
        <v>1</v>
      </c>
      <c r="J2791" s="4" t="s">
        <v>52</v>
      </c>
      <c r="K2791" t="str">
        <f t="shared" si="141"/>
        <v>2+4</v>
      </c>
      <c r="L2791">
        <f>VLOOKUP(A2791,'ZONE 1 PREMIUM'!$A$4:$N$16,14,0)</f>
        <v>2</v>
      </c>
      <c r="M2791">
        <f>VLOOKUP(D2791,DROPDOWN!B:C,2,0)</f>
        <v>10</v>
      </c>
      <c r="N2791" t="str">
        <f t="shared" si="139"/>
        <v>X143:AP154</v>
      </c>
      <c r="O2791" s="4">
        <f t="shared" ca="1" si="140"/>
        <v>82617.149999999994</v>
      </c>
    </row>
    <row r="2792" spans="1:15">
      <c r="A2792" s="2" t="s">
        <v>12</v>
      </c>
      <c r="B2792" t="s">
        <v>27</v>
      </c>
      <c r="C2792" t="s">
        <v>28</v>
      </c>
      <c r="D2792">
        <v>30</v>
      </c>
      <c r="E2792" t="s">
        <v>46</v>
      </c>
      <c r="F2792">
        <v>6</v>
      </c>
      <c r="G2792">
        <v>2</v>
      </c>
      <c r="H2792">
        <v>4</v>
      </c>
      <c r="I2792">
        <v>1</v>
      </c>
      <c r="J2792" s="4" t="s">
        <v>52</v>
      </c>
      <c r="K2792" t="str">
        <f t="shared" si="141"/>
        <v>2+4</v>
      </c>
      <c r="L2792">
        <f>VLOOKUP(A2792,'ZONE 1 PREMIUM'!$A$4:$N$16,14,0)</f>
        <v>3</v>
      </c>
      <c r="M2792">
        <f>VLOOKUP(D2792,DROPDOWN!B:C,2,0)</f>
        <v>10</v>
      </c>
      <c r="N2792" t="str">
        <f t="shared" si="139"/>
        <v>X143:AP154</v>
      </c>
      <c r="O2792" s="4">
        <f t="shared" ca="1" si="140"/>
        <v>87891.049999999988</v>
      </c>
    </row>
    <row r="2793" spans="1:15">
      <c r="A2793" s="2" t="s">
        <v>13</v>
      </c>
      <c r="B2793" t="s">
        <v>29</v>
      </c>
      <c r="C2793" t="s">
        <v>30</v>
      </c>
      <c r="D2793">
        <v>30</v>
      </c>
      <c r="E2793" t="s">
        <v>46</v>
      </c>
      <c r="F2793">
        <v>6</v>
      </c>
      <c r="G2793">
        <v>2</v>
      </c>
      <c r="H2793">
        <v>4</v>
      </c>
      <c r="I2793">
        <v>1</v>
      </c>
      <c r="J2793" s="4" t="s">
        <v>52</v>
      </c>
      <c r="K2793" t="str">
        <f t="shared" si="141"/>
        <v>2+4</v>
      </c>
      <c r="L2793">
        <f>VLOOKUP(A2793,'ZONE 1 PREMIUM'!$A$4:$N$16,14,0)</f>
        <v>4</v>
      </c>
      <c r="M2793">
        <f>VLOOKUP(D2793,DROPDOWN!B:C,2,0)</f>
        <v>10</v>
      </c>
      <c r="N2793" t="str">
        <f t="shared" si="139"/>
        <v>X143:AP154</v>
      </c>
      <c r="O2793" s="4">
        <f t="shared" ca="1" si="140"/>
        <v>99891.299999999988</v>
      </c>
    </row>
    <row r="2794" spans="1:15">
      <c r="A2794" s="2" t="s">
        <v>14</v>
      </c>
      <c r="B2794" t="s">
        <v>31</v>
      </c>
      <c r="C2794" t="s">
        <v>32</v>
      </c>
      <c r="D2794">
        <v>30</v>
      </c>
      <c r="E2794" t="s">
        <v>46</v>
      </c>
      <c r="F2794">
        <v>6</v>
      </c>
      <c r="G2794">
        <v>2</v>
      </c>
      <c r="H2794">
        <v>4</v>
      </c>
      <c r="I2794">
        <v>1</v>
      </c>
      <c r="J2794" s="4" t="s">
        <v>52</v>
      </c>
      <c r="K2794" t="str">
        <f t="shared" si="141"/>
        <v>2+4</v>
      </c>
      <c r="L2794">
        <f>VLOOKUP(A2794,'ZONE 1 PREMIUM'!$A$4:$N$16,14,0)</f>
        <v>5</v>
      </c>
      <c r="M2794">
        <f>VLOOKUP(D2794,DROPDOWN!B:C,2,0)</f>
        <v>10</v>
      </c>
      <c r="N2794" t="str">
        <f t="shared" si="139"/>
        <v>X143:AP154</v>
      </c>
      <c r="O2794" s="4">
        <f t="shared" ca="1" si="140"/>
        <v>111926.04999999999</v>
      </c>
    </row>
    <row r="2795" spans="1:15">
      <c r="A2795" s="2" t="s">
        <v>15</v>
      </c>
      <c r="B2795" t="s">
        <v>33</v>
      </c>
      <c r="C2795" t="s">
        <v>34</v>
      </c>
      <c r="D2795">
        <v>30</v>
      </c>
      <c r="E2795" t="s">
        <v>46</v>
      </c>
      <c r="F2795">
        <v>6</v>
      </c>
      <c r="G2795">
        <v>2</v>
      </c>
      <c r="H2795">
        <v>4</v>
      </c>
      <c r="I2795">
        <v>1</v>
      </c>
      <c r="J2795" s="4" t="s">
        <v>52</v>
      </c>
      <c r="K2795" t="str">
        <f t="shared" si="141"/>
        <v>2+4</v>
      </c>
      <c r="L2795">
        <f>VLOOKUP(A2795,'ZONE 1 PREMIUM'!$A$4:$N$16,14,0)</f>
        <v>6</v>
      </c>
      <c r="M2795">
        <f>VLOOKUP(D2795,DROPDOWN!B:C,2,0)</f>
        <v>10</v>
      </c>
      <c r="N2795" t="str">
        <f t="shared" si="139"/>
        <v>X143:AP154</v>
      </c>
      <c r="O2795" s="4">
        <f t="shared" ca="1" si="140"/>
        <v>136388.84999999998</v>
      </c>
    </row>
    <row r="2796" spans="1:15">
      <c r="A2796" s="2" t="s">
        <v>16</v>
      </c>
      <c r="B2796" t="s">
        <v>35</v>
      </c>
      <c r="C2796" t="s">
        <v>36</v>
      </c>
      <c r="D2796">
        <v>30</v>
      </c>
      <c r="E2796" t="s">
        <v>46</v>
      </c>
      <c r="F2796">
        <v>6</v>
      </c>
      <c r="G2796">
        <v>2</v>
      </c>
      <c r="H2796">
        <v>4</v>
      </c>
      <c r="I2796">
        <v>1</v>
      </c>
      <c r="J2796" s="4" t="s">
        <v>52</v>
      </c>
      <c r="K2796" t="str">
        <f t="shared" si="141"/>
        <v>2+4</v>
      </c>
      <c r="L2796">
        <f>VLOOKUP(A2796,'ZONE 1 PREMIUM'!$A$4:$N$16,14,0)</f>
        <v>7</v>
      </c>
      <c r="M2796">
        <f>VLOOKUP(D2796,DROPDOWN!B:C,2,0)</f>
        <v>10</v>
      </c>
      <c r="N2796" t="str">
        <f t="shared" si="139"/>
        <v>X143:AP154</v>
      </c>
      <c r="O2796" s="4">
        <f t="shared" ca="1" si="140"/>
        <v>169621.55</v>
      </c>
    </row>
    <row r="2797" spans="1:15">
      <c r="A2797" s="2" t="s">
        <v>17</v>
      </c>
      <c r="B2797" t="s">
        <v>37</v>
      </c>
      <c r="C2797" t="s">
        <v>38</v>
      </c>
      <c r="D2797">
        <v>30</v>
      </c>
      <c r="E2797" t="s">
        <v>46</v>
      </c>
      <c r="F2797">
        <v>6</v>
      </c>
      <c r="G2797">
        <v>2</v>
      </c>
      <c r="H2797">
        <v>4</v>
      </c>
      <c r="I2797">
        <v>1</v>
      </c>
      <c r="J2797" s="4" t="s">
        <v>52</v>
      </c>
      <c r="K2797" t="str">
        <f t="shared" si="141"/>
        <v>2+4</v>
      </c>
      <c r="L2797">
        <f>VLOOKUP(A2797,'ZONE 1 PREMIUM'!$A$4:$N$16,14,0)</f>
        <v>8</v>
      </c>
      <c r="M2797">
        <f>VLOOKUP(D2797,DROPDOWN!B:C,2,0)</f>
        <v>10</v>
      </c>
      <c r="N2797" t="str">
        <f t="shared" si="139"/>
        <v>X143:AP154</v>
      </c>
      <c r="O2797" s="4">
        <f t="shared" ca="1" si="140"/>
        <v>210370.65</v>
      </c>
    </row>
    <row r="2798" spans="1:15">
      <c r="A2798" s="2" t="s">
        <v>18</v>
      </c>
      <c r="B2798" t="s">
        <v>39</v>
      </c>
      <c r="C2798" t="s">
        <v>40</v>
      </c>
      <c r="D2798">
        <v>30</v>
      </c>
      <c r="E2798" t="s">
        <v>46</v>
      </c>
      <c r="F2798">
        <v>6</v>
      </c>
      <c r="G2798">
        <v>2</v>
      </c>
      <c r="H2798">
        <v>4</v>
      </c>
      <c r="I2798">
        <v>1</v>
      </c>
      <c r="J2798" s="4" t="s">
        <v>52</v>
      </c>
      <c r="K2798" t="str">
        <f t="shared" si="141"/>
        <v>2+4</v>
      </c>
      <c r="L2798">
        <f>VLOOKUP(A2798,'ZONE 1 PREMIUM'!$A$4:$N$16,14,0)</f>
        <v>9</v>
      </c>
      <c r="M2798">
        <f>VLOOKUP(D2798,DROPDOWN!B:C,2,0)</f>
        <v>10</v>
      </c>
      <c r="N2798" t="str">
        <f t="shared" si="139"/>
        <v>X143:AP154</v>
      </c>
      <c r="O2798" s="4">
        <f t="shared" ca="1" si="140"/>
        <v>269799.19999999995</v>
      </c>
    </row>
    <row r="2799" spans="1:15">
      <c r="A2799" s="2" t="s">
        <v>19</v>
      </c>
      <c r="B2799" t="s">
        <v>41</v>
      </c>
      <c r="C2799" t="s">
        <v>42</v>
      </c>
      <c r="D2799">
        <v>30</v>
      </c>
      <c r="E2799" t="s">
        <v>46</v>
      </c>
      <c r="F2799">
        <v>6</v>
      </c>
      <c r="G2799">
        <v>2</v>
      </c>
      <c r="H2799">
        <v>4</v>
      </c>
      <c r="I2799">
        <v>1</v>
      </c>
      <c r="J2799" s="4" t="s">
        <v>52</v>
      </c>
      <c r="K2799" t="str">
        <f t="shared" si="141"/>
        <v>2+4</v>
      </c>
      <c r="L2799">
        <f>VLOOKUP(A2799,'ZONE 1 PREMIUM'!$A$4:$N$16,14,0)</f>
        <v>10</v>
      </c>
      <c r="M2799">
        <f>VLOOKUP(D2799,DROPDOWN!B:C,2,0)</f>
        <v>10</v>
      </c>
      <c r="N2799" t="str">
        <f t="shared" si="139"/>
        <v>X143:AP154</v>
      </c>
      <c r="O2799" s="4">
        <f t="shared" ca="1" si="140"/>
        <v>344743.55</v>
      </c>
    </row>
    <row r="2800" spans="1:15">
      <c r="A2800" s="2" t="s">
        <v>20</v>
      </c>
      <c r="B2800" t="s">
        <v>43</v>
      </c>
      <c r="C2800" t="s">
        <v>44</v>
      </c>
      <c r="D2800">
        <v>30</v>
      </c>
      <c r="E2800" t="s">
        <v>46</v>
      </c>
      <c r="F2800">
        <v>6</v>
      </c>
      <c r="G2800">
        <v>2</v>
      </c>
      <c r="H2800">
        <v>4</v>
      </c>
      <c r="I2800">
        <v>1</v>
      </c>
      <c r="J2800" s="4" t="s">
        <v>52</v>
      </c>
      <c r="K2800" t="str">
        <f t="shared" si="141"/>
        <v>2+4</v>
      </c>
      <c r="L2800">
        <f>VLOOKUP(A2800,'ZONE 1 PREMIUM'!$A$4:$N$16,14,0)</f>
        <v>11</v>
      </c>
      <c r="M2800">
        <f>VLOOKUP(D2800,DROPDOWN!B:C,2,0)</f>
        <v>10</v>
      </c>
      <c r="N2800" t="str">
        <f t="shared" si="139"/>
        <v>X143:AP154</v>
      </c>
      <c r="O2800" s="4">
        <f t="shared" ca="1" si="140"/>
        <v>417747.85</v>
      </c>
    </row>
    <row r="2801" spans="1:15">
      <c r="A2801" s="2" t="s">
        <v>21</v>
      </c>
      <c r="B2801" t="s">
        <v>22</v>
      </c>
      <c r="D2801">
        <v>30</v>
      </c>
      <c r="E2801" t="s">
        <v>46</v>
      </c>
      <c r="F2801">
        <v>6</v>
      </c>
      <c r="G2801">
        <v>2</v>
      </c>
      <c r="H2801">
        <v>4</v>
      </c>
      <c r="I2801">
        <v>1</v>
      </c>
      <c r="J2801" s="4" t="s">
        <v>52</v>
      </c>
      <c r="K2801" t="str">
        <f t="shared" si="141"/>
        <v>2+4</v>
      </c>
      <c r="L2801">
        <f>VLOOKUP(A2801,'ZONE 1 PREMIUM'!$A$4:$N$16,14,0)</f>
        <v>12</v>
      </c>
      <c r="M2801">
        <f>VLOOKUP(D2801,DROPDOWN!B:C,2,0)</f>
        <v>10</v>
      </c>
      <c r="N2801" t="str">
        <f t="shared" si="139"/>
        <v>X143:AP154</v>
      </c>
      <c r="O2801" s="4">
        <f t="shared" ca="1" si="140"/>
        <v>523958.39999999997</v>
      </c>
    </row>
    <row r="2802" spans="1:15">
      <c r="A2802" s="2" t="s">
        <v>9</v>
      </c>
      <c r="B2802" t="s">
        <v>47</v>
      </c>
      <c r="C2802" t="s">
        <v>48</v>
      </c>
      <c r="D2802">
        <v>30</v>
      </c>
      <c r="E2802" t="s">
        <v>26</v>
      </c>
      <c r="F2802">
        <v>1</v>
      </c>
      <c r="H2802">
        <v>1</v>
      </c>
      <c r="I2802">
        <v>1</v>
      </c>
      <c r="J2802" s="4" t="s">
        <v>55</v>
      </c>
      <c r="K2802" t="str">
        <f t="shared" si="141"/>
        <v>+1</v>
      </c>
      <c r="N2802" t="e">
        <f t="shared" ref="N2802:N2865" si="142">VLOOKUP(K2802,$BN$3:$BO$12,2,0)</f>
        <v>#N/A</v>
      </c>
      <c r="O2802" s="7">
        <v>5376.4728719409022</v>
      </c>
    </row>
    <row r="2803" spans="1:15">
      <c r="A2803" s="2" t="s">
        <v>10</v>
      </c>
      <c r="B2803" t="s">
        <v>49</v>
      </c>
      <c r="C2803" t="s">
        <v>50</v>
      </c>
      <c r="D2803">
        <v>30</v>
      </c>
      <c r="E2803" t="s">
        <v>26</v>
      </c>
      <c r="F2803">
        <v>1</v>
      </c>
      <c r="G2803">
        <v>1</v>
      </c>
      <c r="H2803">
        <v>0</v>
      </c>
      <c r="I2803">
        <v>1</v>
      </c>
      <c r="J2803" s="4" t="s">
        <v>55</v>
      </c>
      <c r="K2803" t="str">
        <f t="shared" si="141"/>
        <v>1+0</v>
      </c>
      <c r="L2803">
        <f>VLOOKUP(A2803,'ZONE 1 PREMIUM'!$A$3:$M$16,13,0)</f>
        <v>3</v>
      </c>
      <c r="M2803">
        <f>VLOOKUP(D2803,DROPDOWN!B:C,2,0)</f>
        <v>10</v>
      </c>
      <c r="N2803" t="str">
        <f t="shared" si="142"/>
        <v>AU3:BM16</v>
      </c>
      <c r="O2803" s="4">
        <f t="shared" ca="1" si="140"/>
        <v>9199.125</v>
      </c>
    </row>
    <row r="2804" spans="1:15">
      <c r="A2804" s="2" t="s">
        <v>11</v>
      </c>
      <c r="B2804" t="s">
        <v>45</v>
      </c>
      <c r="C2804" t="s">
        <v>25</v>
      </c>
      <c r="D2804">
        <v>30</v>
      </c>
      <c r="E2804" t="s">
        <v>26</v>
      </c>
      <c r="F2804">
        <v>1</v>
      </c>
      <c r="G2804">
        <v>1</v>
      </c>
      <c r="H2804">
        <v>0</v>
      </c>
      <c r="I2804">
        <v>1</v>
      </c>
      <c r="J2804" s="4" t="s">
        <v>55</v>
      </c>
      <c r="K2804" t="str">
        <f t="shared" si="141"/>
        <v>1+0</v>
      </c>
      <c r="L2804">
        <f>VLOOKUP(A2804,'ZONE 1 PREMIUM'!$A$3:$M$16,13,0)</f>
        <v>4</v>
      </c>
      <c r="M2804">
        <f>VLOOKUP(D2804,DROPDOWN!B:C,2,0)</f>
        <v>10</v>
      </c>
      <c r="N2804" t="str">
        <f t="shared" si="142"/>
        <v>AU3:BM16</v>
      </c>
      <c r="O2804" s="4">
        <f t="shared" ca="1" si="140"/>
        <v>25349.625</v>
      </c>
    </row>
    <row r="2805" spans="1:15">
      <c r="A2805" s="2" t="s">
        <v>12</v>
      </c>
      <c r="B2805" t="s">
        <v>27</v>
      </c>
      <c r="C2805" t="s">
        <v>28</v>
      </c>
      <c r="D2805">
        <v>30</v>
      </c>
      <c r="E2805" t="s">
        <v>26</v>
      </c>
      <c r="F2805">
        <v>1</v>
      </c>
      <c r="G2805">
        <v>1</v>
      </c>
      <c r="H2805">
        <v>0</v>
      </c>
      <c r="I2805">
        <v>1</v>
      </c>
      <c r="J2805" s="4" t="s">
        <v>55</v>
      </c>
      <c r="K2805" t="str">
        <f t="shared" si="141"/>
        <v>1+0</v>
      </c>
      <c r="L2805">
        <f>VLOOKUP(A2805,'ZONE 1 PREMIUM'!$A$3:$M$16,13,0)</f>
        <v>5</v>
      </c>
      <c r="M2805">
        <f>VLOOKUP(D2805,DROPDOWN!B:C,2,0)</f>
        <v>10</v>
      </c>
      <c r="N2805" t="str">
        <f t="shared" si="142"/>
        <v>AU3:BM16</v>
      </c>
      <c r="O2805" s="4">
        <f t="shared" ca="1" si="140"/>
        <v>28955.25</v>
      </c>
    </row>
    <row r="2806" spans="1:15">
      <c r="A2806" s="2" t="s">
        <v>13</v>
      </c>
      <c r="B2806" t="s">
        <v>29</v>
      </c>
      <c r="C2806" t="s">
        <v>30</v>
      </c>
      <c r="D2806">
        <v>30</v>
      </c>
      <c r="E2806" t="s">
        <v>26</v>
      </c>
      <c r="F2806">
        <v>1</v>
      </c>
      <c r="G2806">
        <v>1</v>
      </c>
      <c r="H2806">
        <v>0</v>
      </c>
      <c r="I2806">
        <v>1</v>
      </c>
      <c r="J2806" s="4" t="s">
        <v>55</v>
      </c>
      <c r="K2806" t="str">
        <f t="shared" si="141"/>
        <v>1+0</v>
      </c>
      <c r="L2806">
        <f>VLOOKUP(A2806,'ZONE 1 PREMIUM'!$A$3:$M$16,13,0)</f>
        <v>6</v>
      </c>
      <c r="M2806">
        <f>VLOOKUP(D2806,DROPDOWN!B:C,2,0)</f>
        <v>10</v>
      </c>
      <c r="N2806" t="str">
        <f t="shared" si="142"/>
        <v>AU3:BM16</v>
      </c>
      <c r="O2806" s="4">
        <f t="shared" ca="1" si="140"/>
        <v>33504.75</v>
      </c>
    </row>
    <row r="2807" spans="1:15">
      <c r="A2807" s="2" t="s">
        <v>14</v>
      </c>
      <c r="B2807" t="s">
        <v>31</v>
      </c>
      <c r="C2807" t="s">
        <v>32</v>
      </c>
      <c r="D2807">
        <v>30</v>
      </c>
      <c r="E2807" t="s">
        <v>26</v>
      </c>
      <c r="F2807">
        <v>1</v>
      </c>
      <c r="G2807">
        <v>1</v>
      </c>
      <c r="H2807">
        <v>0</v>
      </c>
      <c r="I2807">
        <v>1</v>
      </c>
      <c r="J2807" s="4" t="s">
        <v>55</v>
      </c>
      <c r="K2807" t="str">
        <f t="shared" si="141"/>
        <v>1+0</v>
      </c>
      <c r="L2807">
        <f>VLOOKUP(A2807,'ZONE 1 PREMIUM'!$A$3:$M$16,13,0)</f>
        <v>7</v>
      </c>
      <c r="M2807">
        <f>VLOOKUP(D2807,DROPDOWN!B:C,2,0)</f>
        <v>10</v>
      </c>
      <c r="N2807" t="str">
        <f t="shared" si="142"/>
        <v>AU3:BM16</v>
      </c>
      <c r="O2807" s="4">
        <f t="shared" ca="1" si="140"/>
        <v>38875.5</v>
      </c>
    </row>
    <row r="2808" spans="1:15">
      <c r="A2808" s="2" t="s">
        <v>15</v>
      </c>
      <c r="B2808" t="s">
        <v>33</v>
      </c>
      <c r="C2808" t="s">
        <v>34</v>
      </c>
      <c r="D2808">
        <v>30</v>
      </c>
      <c r="E2808" t="s">
        <v>26</v>
      </c>
      <c r="F2808">
        <v>1</v>
      </c>
      <c r="G2808">
        <v>1</v>
      </c>
      <c r="H2808">
        <v>0</v>
      </c>
      <c r="I2808">
        <v>1</v>
      </c>
      <c r="J2808" s="4" t="s">
        <v>55</v>
      </c>
      <c r="K2808" t="str">
        <f t="shared" si="141"/>
        <v>1+0</v>
      </c>
      <c r="L2808">
        <f>VLOOKUP(A2808,'ZONE 1 PREMIUM'!$A$3:$M$16,13,0)</f>
        <v>8</v>
      </c>
      <c r="M2808">
        <f>VLOOKUP(D2808,DROPDOWN!B:C,2,0)</f>
        <v>10</v>
      </c>
      <c r="N2808" t="str">
        <f t="shared" si="142"/>
        <v>AU3:BM16</v>
      </c>
      <c r="O2808" s="4">
        <f t="shared" ca="1" si="140"/>
        <v>48492</v>
      </c>
    </row>
    <row r="2809" spans="1:15">
      <c r="A2809" s="2" t="s">
        <v>16</v>
      </c>
      <c r="B2809" t="s">
        <v>35</v>
      </c>
      <c r="C2809" t="s">
        <v>36</v>
      </c>
      <c r="D2809">
        <v>30</v>
      </c>
      <c r="E2809" t="s">
        <v>26</v>
      </c>
      <c r="F2809">
        <v>1</v>
      </c>
      <c r="G2809">
        <v>1</v>
      </c>
      <c r="H2809">
        <v>0</v>
      </c>
      <c r="I2809">
        <v>1</v>
      </c>
      <c r="J2809" s="4" t="s">
        <v>55</v>
      </c>
      <c r="K2809" t="str">
        <f t="shared" si="141"/>
        <v>1+0</v>
      </c>
      <c r="L2809">
        <f>VLOOKUP(A2809,'ZONE 1 PREMIUM'!$A$3:$M$16,13,0)</f>
        <v>9</v>
      </c>
      <c r="M2809">
        <f>VLOOKUP(D2809,DROPDOWN!B:C,2,0)</f>
        <v>10</v>
      </c>
      <c r="N2809" t="str">
        <f t="shared" si="142"/>
        <v>AU3:BM16</v>
      </c>
      <c r="O2809" s="4">
        <f t="shared" ca="1" si="140"/>
        <v>64128.375</v>
      </c>
    </row>
    <row r="2810" spans="1:15">
      <c r="A2810" s="2" t="s">
        <v>17</v>
      </c>
      <c r="B2810" t="s">
        <v>37</v>
      </c>
      <c r="C2810" t="s">
        <v>38</v>
      </c>
      <c r="D2810">
        <v>30</v>
      </c>
      <c r="E2810" t="s">
        <v>26</v>
      </c>
      <c r="F2810">
        <v>1</v>
      </c>
      <c r="G2810">
        <v>1</v>
      </c>
      <c r="H2810">
        <v>0</v>
      </c>
      <c r="I2810">
        <v>1</v>
      </c>
      <c r="J2810" s="4" t="s">
        <v>55</v>
      </c>
      <c r="K2810" t="str">
        <f t="shared" si="141"/>
        <v>1+0</v>
      </c>
      <c r="L2810">
        <f>VLOOKUP(A2810,'ZONE 1 PREMIUM'!$A$3:$M$16,13,0)</f>
        <v>10</v>
      </c>
      <c r="M2810">
        <f>VLOOKUP(D2810,DROPDOWN!B:C,2,0)</f>
        <v>10</v>
      </c>
      <c r="N2810" t="str">
        <f t="shared" si="142"/>
        <v>AU3:BM16</v>
      </c>
      <c r="O2810" s="4">
        <f t="shared" ca="1" si="140"/>
        <v>86212.125</v>
      </c>
    </row>
    <row r="2811" spans="1:15">
      <c r="A2811" s="2" t="s">
        <v>18</v>
      </c>
      <c r="B2811" t="s">
        <v>39</v>
      </c>
      <c r="C2811" t="s">
        <v>40</v>
      </c>
      <c r="D2811">
        <v>30</v>
      </c>
      <c r="E2811" t="s">
        <v>26</v>
      </c>
      <c r="F2811">
        <v>1</v>
      </c>
      <c r="G2811">
        <v>1</v>
      </c>
      <c r="H2811">
        <v>0</v>
      </c>
      <c r="I2811">
        <v>1</v>
      </c>
      <c r="J2811" s="4" t="s">
        <v>55</v>
      </c>
      <c r="K2811" t="str">
        <f t="shared" si="141"/>
        <v>1+0</v>
      </c>
      <c r="L2811">
        <f>VLOOKUP(A2811,'ZONE 1 PREMIUM'!$A$3:$M$16,13,0)</f>
        <v>11</v>
      </c>
      <c r="M2811">
        <f>VLOOKUP(D2811,DROPDOWN!B:C,2,0)</f>
        <v>10</v>
      </c>
      <c r="N2811" t="str">
        <f t="shared" si="142"/>
        <v>AU3:BM16</v>
      </c>
      <c r="O2811" s="4">
        <f t="shared" ca="1" si="140"/>
        <v>119388.375</v>
      </c>
    </row>
    <row r="2812" spans="1:15">
      <c r="A2812" s="2" t="s">
        <v>19</v>
      </c>
      <c r="B2812" t="s">
        <v>41</v>
      </c>
      <c r="C2812" t="s">
        <v>42</v>
      </c>
      <c r="D2812">
        <v>30</v>
      </c>
      <c r="E2812" t="s">
        <v>26</v>
      </c>
      <c r="F2812">
        <v>1</v>
      </c>
      <c r="G2812">
        <v>1</v>
      </c>
      <c r="H2812">
        <v>0</v>
      </c>
      <c r="I2812">
        <v>1</v>
      </c>
      <c r="J2812" s="4" t="s">
        <v>55</v>
      </c>
      <c r="K2812" t="str">
        <f t="shared" si="141"/>
        <v>1+0</v>
      </c>
      <c r="L2812">
        <f>VLOOKUP(A2812,'ZONE 1 PREMIUM'!$A$3:$M$16,13,0)</f>
        <v>12</v>
      </c>
      <c r="M2812">
        <f>VLOOKUP(D2812,DROPDOWN!B:C,2,0)</f>
        <v>10</v>
      </c>
      <c r="N2812" t="str">
        <f t="shared" si="142"/>
        <v>AU3:BM16</v>
      </c>
      <c r="O2812" s="4">
        <f t="shared" ca="1" si="140"/>
        <v>155633.625</v>
      </c>
    </row>
    <row r="2813" spans="1:15">
      <c r="A2813" s="2" t="s">
        <v>20</v>
      </c>
      <c r="B2813" t="s">
        <v>43</v>
      </c>
      <c r="C2813" t="s">
        <v>44</v>
      </c>
      <c r="D2813">
        <v>30</v>
      </c>
      <c r="E2813" t="s">
        <v>26</v>
      </c>
      <c r="F2813">
        <v>1</v>
      </c>
      <c r="G2813">
        <v>1</v>
      </c>
      <c r="H2813">
        <v>0</v>
      </c>
      <c r="I2813">
        <v>1</v>
      </c>
      <c r="J2813" s="4" t="s">
        <v>55</v>
      </c>
      <c r="K2813" t="str">
        <f t="shared" si="141"/>
        <v>1+0</v>
      </c>
      <c r="L2813">
        <f>VLOOKUP(A2813,'ZONE 1 PREMIUM'!$A$3:$M$16,13,0)</f>
        <v>13</v>
      </c>
      <c r="M2813">
        <f>VLOOKUP(D2813,DROPDOWN!B:C,2,0)</f>
        <v>10</v>
      </c>
      <c r="N2813" t="str">
        <f t="shared" si="142"/>
        <v>AU3:BM16</v>
      </c>
      <c r="O2813" s="4">
        <f t="shared" ca="1" si="140"/>
        <v>187734.375</v>
      </c>
    </row>
    <row r="2814" spans="1:15">
      <c r="A2814" s="2" t="s">
        <v>21</v>
      </c>
      <c r="B2814" t="s">
        <v>22</v>
      </c>
      <c r="D2814">
        <v>30</v>
      </c>
      <c r="E2814" t="s">
        <v>26</v>
      </c>
      <c r="F2814">
        <v>1</v>
      </c>
      <c r="G2814">
        <v>1</v>
      </c>
      <c r="H2814">
        <v>0</v>
      </c>
      <c r="I2814">
        <v>1</v>
      </c>
      <c r="J2814" s="4" t="s">
        <v>55</v>
      </c>
      <c r="K2814" t="str">
        <f t="shared" si="141"/>
        <v>1+0</v>
      </c>
      <c r="L2814">
        <f>VLOOKUP(A2814,'ZONE 1 PREMIUM'!$A$3:$M$16,13,0)</f>
        <v>14</v>
      </c>
      <c r="M2814">
        <f>VLOOKUP(D2814,DROPDOWN!B:C,2,0)</f>
        <v>10</v>
      </c>
      <c r="N2814" t="str">
        <f t="shared" si="142"/>
        <v>AU3:BM16</v>
      </c>
      <c r="O2814" s="4">
        <f t="shared" ca="1" si="140"/>
        <v>253136.25</v>
      </c>
    </row>
    <row r="2815" spans="1:15">
      <c r="A2815" s="2" t="s">
        <v>11</v>
      </c>
      <c r="B2815" t="s">
        <v>45</v>
      </c>
      <c r="C2815" t="s">
        <v>25</v>
      </c>
      <c r="D2815">
        <v>30</v>
      </c>
      <c r="E2815" t="s">
        <v>46</v>
      </c>
      <c r="F2815">
        <v>2</v>
      </c>
      <c r="G2815">
        <v>1</v>
      </c>
      <c r="H2815">
        <v>1</v>
      </c>
      <c r="I2815">
        <v>1</v>
      </c>
      <c r="J2815" s="4" t="s">
        <v>55</v>
      </c>
      <c r="K2815" t="str">
        <f t="shared" si="141"/>
        <v>1+1</v>
      </c>
      <c r="L2815">
        <f>VLOOKUP(A2815,'ZONE 1 PREMIUM'!$A$4:$N$16,14,0)</f>
        <v>2</v>
      </c>
      <c r="M2815">
        <f>VLOOKUP(D2815,DROPDOWN!B:C,2,0)</f>
        <v>10</v>
      </c>
      <c r="N2815" t="str">
        <f t="shared" si="142"/>
        <v>AU20:BM31</v>
      </c>
      <c r="O2815" s="4">
        <f t="shared" ca="1" si="140"/>
        <v>28383.75</v>
      </c>
    </row>
    <row r="2816" spans="1:15">
      <c r="A2816" s="2" t="s">
        <v>12</v>
      </c>
      <c r="B2816" t="s">
        <v>27</v>
      </c>
      <c r="C2816" t="s">
        <v>28</v>
      </c>
      <c r="D2816">
        <v>30</v>
      </c>
      <c r="E2816" t="s">
        <v>46</v>
      </c>
      <c r="F2816">
        <v>2</v>
      </c>
      <c r="G2816">
        <v>1</v>
      </c>
      <c r="H2816">
        <v>1</v>
      </c>
      <c r="I2816">
        <v>1</v>
      </c>
      <c r="J2816" s="4" t="s">
        <v>55</v>
      </c>
      <c r="K2816" t="str">
        <f t="shared" si="141"/>
        <v>1+1</v>
      </c>
      <c r="L2816">
        <f>VLOOKUP(A2816,'ZONE 1 PREMIUM'!$A$4:$N$16,14,0)</f>
        <v>3</v>
      </c>
      <c r="M2816">
        <f>VLOOKUP(D2816,DROPDOWN!B:C,2,0)</f>
        <v>10</v>
      </c>
      <c r="N2816" t="str">
        <f t="shared" si="142"/>
        <v>AU20:BM31</v>
      </c>
      <c r="O2816" s="4">
        <f t="shared" ca="1" si="140"/>
        <v>31253.625</v>
      </c>
    </row>
    <row r="2817" spans="1:15">
      <c r="A2817" s="2" t="s">
        <v>13</v>
      </c>
      <c r="B2817" t="s">
        <v>29</v>
      </c>
      <c r="C2817" t="s">
        <v>30</v>
      </c>
      <c r="D2817">
        <v>30</v>
      </c>
      <c r="E2817" t="s">
        <v>46</v>
      </c>
      <c r="F2817">
        <v>2</v>
      </c>
      <c r="G2817">
        <v>1</v>
      </c>
      <c r="H2817">
        <v>1</v>
      </c>
      <c r="I2817">
        <v>1</v>
      </c>
      <c r="J2817" s="4" t="s">
        <v>55</v>
      </c>
      <c r="K2817" t="str">
        <f t="shared" si="141"/>
        <v>1+1</v>
      </c>
      <c r="L2817">
        <f>VLOOKUP(A2817,'ZONE 1 PREMIUM'!$A$4:$N$16,14,0)</f>
        <v>4</v>
      </c>
      <c r="M2817">
        <f>VLOOKUP(D2817,DROPDOWN!B:C,2,0)</f>
        <v>10</v>
      </c>
      <c r="N2817" t="str">
        <f t="shared" si="142"/>
        <v>AU20:BM31</v>
      </c>
      <c r="O2817" s="4">
        <f t="shared" ca="1" si="140"/>
        <v>36279</v>
      </c>
    </row>
    <row r="2818" spans="1:15">
      <c r="A2818" s="2" t="s">
        <v>14</v>
      </c>
      <c r="B2818" t="s">
        <v>31</v>
      </c>
      <c r="C2818" t="s">
        <v>32</v>
      </c>
      <c r="D2818">
        <v>30</v>
      </c>
      <c r="E2818" t="s">
        <v>46</v>
      </c>
      <c r="F2818">
        <v>2</v>
      </c>
      <c r="G2818">
        <v>1</v>
      </c>
      <c r="H2818">
        <v>1</v>
      </c>
      <c r="I2818">
        <v>1</v>
      </c>
      <c r="J2818" s="4" t="s">
        <v>55</v>
      </c>
      <c r="K2818" t="str">
        <f t="shared" si="141"/>
        <v>1+1</v>
      </c>
      <c r="L2818">
        <f>VLOOKUP(A2818,'ZONE 1 PREMIUM'!$A$4:$N$16,14,0)</f>
        <v>5</v>
      </c>
      <c r="M2818">
        <f>VLOOKUP(D2818,DROPDOWN!B:C,2,0)</f>
        <v>10</v>
      </c>
      <c r="N2818" t="str">
        <f t="shared" si="142"/>
        <v>AU20:BM31</v>
      </c>
      <c r="O2818" s="4">
        <f t="shared" ref="O2818:O2881" ca="1" si="143">INDEX(INDIRECT(N2818),L2818,M2818)</f>
        <v>42649.875</v>
      </c>
    </row>
    <row r="2819" spans="1:15">
      <c r="A2819" s="2" t="s">
        <v>15</v>
      </c>
      <c r="B2819" t="s">
        <v>33</v>
      </c>
      <c r="C2819" t="s">
        <v>34</v>
      </c>
      <c r="D2819">
        <v>30</v>
      </c>
      <c r="E2819" t="s">
        <v>46</v>
      </c>
      <c r="F2819">
        <v>2</v>
      </c>
      <c r="G2819">
        <v>1</v>
      </c>
      <c r="H2819">
        <v>1</v>
      </c>
      <c r="I2819">
        <v>1</v>
      </c>
      <c r="J2819" s="4" t="s">
        <v>55</v>
      </c>
      <c r="K2819" t="str">
        <f t="shared" si="141"/>
        <v>1+1</v>
      </c>
      <c r="L2819">
        <f>VLOOKUP(A2819,'ZONE 1 PREMIUM'!$A$4:$N$16,14,0)</f>
        <v>6</v>
      </c>
      <c r="M2819">
        <f>VLOOKUP(D2819,DROPDOWN!B:C,2,0)</f>
        <v>10</v>
      </c>
      <c r="N2819" t="str">
        <f t="shared" si="142"/>
        <v>AU20:BM31</v>
      </c>
      <c r="O2819" s="4">
        <f t="shared" ca="1" si="143"/>
        <v>52764.75</v>
      </c>
    </row>
    <row r="2820" spans="1:15">
      <c r="A2820" s="2" t="s">
        <v>16</v>
      </c>
      <c r="B2820" t="s">
        <v>35</v>
      </c>
      <c r="C2820" t="s">
        <v>36</v>
      </c>
      <c r="D2820">
        <v>30</v>
      </c>
      <c r="E2820" t="s">
        <v>46</v>
      </c>
      <c r="F2820">
        <v>2</v>
      </c>
      <c r="G2820">
        <v>1</v>
      </c>
      <c r="H2820">
        <v>1</v>
      </c>
      <c r="I2820">
        <v>1</v>
      </c>
      <c r="J2820" s="4" t="s">
        <v>55</v>
      </c>
      <c r="K2820" t="str">
        <f t="shared" ref="K2820:K2883" si="144">G2820&amp;"+"&amp;H2820</f>
        <v>1+1</v>
      </c>
      <c r="L2820">
        <f>VLOOKUP(A2820,'ZONE 1 PREMIUM'!$A$4:$N$16,14,0)</f>
        <v>7</v>
      </c>
      <c r="M2820">
        <f>VLOOKUP(D2820,DROPDOWN!B:C,2,0)</f>
        <v>10</v>
      </c>
      <c r="N2820" t="str">
        <f t="shared" si="142"/>
        <v>AU20:BM31</v>
      </c>
      <c r="O2820" s="4">
        <f t="shared" ca="1" si="143"/>
        <v>68815.125</v>
      </c>
    </row>
    <row r="2821" spans="1:15">
      <c r="A2821" s="2" t="s">
        <v>17</v>
      </c>
      <c r="B2821" t="s">
        <v>37</v>
      </c>
      <c r="C2821" t="s">
        <v>38</v>
      </c>
      <c r="D2821">
        <v>30</v>
      </c>
      <c r="E2821" t="s">
        <v>46</v>
      </c>
      <c r="F2821">
        <v>2</v>
      </c>
      <c r="G2821">
        <v>1</v>
      </c>
      <c r="H2821">
        <v>1</v>
      </c>
      <c r="I2821">
        <v>1</v>
      </c>
      <c r="J2821" s="4" t="s">
        <v>55</v>
      </c>
      <c r="K2821" t="str">
        <f t="shared" si="144"/>
        <v>1+1</v>
      </c>
      <c r="L2821">
        <f>VLOOKUP(A2821,'ZONE 1 PREMIUM'!$A$4:$N$16,14,0)</f>
        <v>8</v>
      </c>
      <c r="M2821">
        <f>VLOOKUP(D2821,DROPDOWN!B:C,2,0)</f>
        <v>10</v>
      </c>
      <c r="N2821" t="str">
        <f t="shared" si="142"/>
        <v>AU20:BM31</v>
      </c>
      <c r="O2821" s="4">
        <f t="shared" ca="1" si="143"/>
        <v>91131.75</v>
      </c>
    </row>
    <row r="2822" spans="1:15">
      <c r="A2822" s="2" t="s">
        <v>18</v>
      </c>
      <c r="B2822" t="s">
        <v>39</v>
      </c>
      <c r="C2822" t="s">
        <v>40</v>
      </c>
      <c r="D2822">
        <v>30</v>
      </c>
      <c r="E2822" t="s">
        <v>46</v>
      </c>
      <c r="F2822">
        <v>2</v>
      </c>
      <c r="G2822">
        <v>1</v>
      </c>
      <c r="H2822">
        <v>1</v>
      </c>
      <c r="I2822">
        <v>1</v>
      </c>
      <c r="J2822" s="4" t="s">
        <v>55</v>
      </c>
      <c r="K2822" t="str">
        <f t="shared" si="144"/>
        <v>1+1</v>
      </c>
      <c r="L2822">
        <f>VLOOKUP(A2822,'ZONE 1 PREMIUM'!$A$4:$N$16,14,0)</f>
        <v>9</v>
      </c>
      <c r="M2822">
        <f>VLOOKUP(D2822,DROPDOWN!B:C,2,0)</f>
        <v>10</v>
      </c>
      <c r="N2822" t="str">
        <f t="shared" si="142"/>
        <v>AU20:BM31</v>
      </c>
      <c r="O2822" s="4">
        <f t="shared" ca="1" si="143"/>
        <v>125713.125</v>
      </c>
    </row>
    <row r="2823" spans="1:15">
      <c r="A2823" s="2" t="s">
        <v>19</v>
      </c>
      <c r="B2823" t="s">
        <v>41</v>
      </c>
      <c r="C2823" t="s">
        <v>42</v>
      </c>
      <c r="D2823">
        <v>30</v>
      </c>
      <c r="E2823" t="s">
        <v>46</v>
      </c>
      <c r="F2823">
        <v>2</v>
      </c>
      <c r="G2823">
        <v>1</v>
      </c>
      <c r="H2823">
        <v>1</v>
      </c>
      <c r="I2823">
        <v>1</v>
      </c>
      <c r="J2823" s="4" t="s">
        <v>55</v>
      </c>
      <c r="K2823" t="str">
        <f t="shared" si="144"/>
        <v>1+1</v>
      </c>
      <c r="L2823">
        <f>VLOOKUP(A2823,'ZONE 1 PREMIUM'!$A$4:$N$16,14,0)</f>
        <v>10</v>
      </c>
      <c r="M2823">
        <f>VLOOKUP(D2823,DROPDOWN!B:C,2,0)</f>
        <v>10</v>
      </c>
      <c r="N2823" t="str">
        <f t="shared" si="142"/>
        <v>AU20:BM31</v>
      </c>
      <c r="O2823" s="4">
        <f t="shared" ca="1" si="143"/>
        <v>161868.375</v>
      </c>
    </row>
    <row r="2824" spans="1:15">
      <c r="A2824" s="2" t="s">
        <v>20</v>
      </c>
      <c r="B2824" t="s">
        <v>43</v>
      </c>
      <c r="C2824" t="s">
        <v>44</v>
      </c>
      <c r="D2824">
        <v>30</v>
      </c>
      <c r="E2824" t="s">
        <v>46</v>
      </c>
      <c r="F2824">
        <v>2</v>
      </c>
      <c r="G2824">
        <v>1</v>
      </c>
      <c r="H2824">
        <v>1</v>
      </c>
      <c r="I2824">
        <v>1</v>
      </c>
      <c r="J2824" s="4" t="s">
        <v>55</v>
      </c>
      <c r="K2824" t="str">
        <f t="shared" si="144"/>
        <v>1+1</v>
      </c>
      <c r="L2824">
        <f>VLOOKUP(A2824,'ZONE 1 PREMIUM'!$A$4:$N$16,14,0)</f>
        <v>11</v>
      </c>
      <c r="M2824">
        <f>VLOOKUP(D2824,DROPDOWN!B:C,2,0)</f>
        <v>10</v>
      </c>
      <c r="N2824" t="str">
        <f t="shared" si="142"/>
        <v>AU20:BM31</v>
      </c>
      <c r="O2824" s="4">
        <f t="shared" ca="1" si="143"/>
        <v>191548.125</v>
      </c>
    </row>
    <row r="2825" spans="1:15">
      <c r="A2825" s="2" t="s">
        <v>21</v>
      </c>
      <c r="B2825" t="s">
        <v>22</v>
      </c>
      <c r="D2825">
        <v>30</v>
      </c>
      <c r="E2825" t="s">
        <v>46</v>
      </c>
      <c r="F2825">
        <v>2</v>
      </c>
      <c r="G2825">
        <v>1</v>
      </c>
      <c r="H2825">
        <v>1</v>
      </c>
      <c r="I2825">
        <v>1</v>
      </c>
      <c r="J2825" s="4" t="s">
        <v>55</v>
      </c>
      <c r="K2825" t="str">
        <f t="shared" si="144"/>
        <v>1+1</v>
      </c>
      <c r="L2825">
        <f>VLOOKUP(A2825,'ZONE 1 PREMIUM'!$A$4:$N$16,14,0)</f>
        <v>12</v>
      </c>
      <c r="M2825">
        <f>VLOOKUP(D2825,DROPDOWN!B:C,2,0)</f>
        <v>10</v>
      </c>
      <c r="N2825" t="str">
        <f t="shared" si="142"/>
        <v>AU20:BM31</v>
      </c>
      <c r="O2825" s="4">
        <f t="shared" ca="1" si="143"/>
        <v>260767.125</v>
      </c>
    </row>
    <row r="2826" spans="1:15">
      <c r="A2826" s="2" t="s">
        <v>11</v>
      </c>
      <c r="B2826" t="s">
        <v>45</v>
      </c>
      <c r="C2826" t="s">
        <v>25</v>
      </c>
      <c r="D2826">
        <v>30</v>
      </c>
      <c r="E2826" t="s">
        <v>46</v>
      </c>
      <c r="F2826">
        <v>3</v>
      </c>
      <c r="G2826">
        <v>1</v>
      </c>
      <c r="H2826">
        <v>2</v>
      </c>
      <c r="I2826">
        <v>1</v>
      </c>
      <c r="J2826" s="4" t="s">
        <v>55</v>
      </c>
      <c r="K2826" t="str">
        <f t="shared" si="144"/>
        <v>1+2</v>
      </c>
      <c r="L2826">
        <f>VLOOKUP(A2826,'ZONE 1 PREMIUM'!$A$4:$N$16,14,0)</f>
        <v>2</v>
      </c>
      <c r="M2826">
        <f>VLOOKUP(D2826,DROPDOWN!B:C,2,0)</f>
        <v>10</v>
      </c>
      <c r="N2826" t="str">
        <f t="shared" si="142"/>
        <v>AU35:BM46</v>
      </c>
      <c r="O2826" s="4">
        <f t="shared" ca="1" si="143"/>
        <v>36712.125</v>
      </c>
    </row>
    <row r="2827" spans="1:15">
      <c r="A2827" s="2" t="s">
        <v>12</v>
      </c>
      <c r="B2827" t="s">
        <v>27</v>
      </c>
      <c r="C2827" t="s">
        <v>28</v>
      </c>
      <c r="D2827">
        <v>30</v>
      </c>
      <c r="E2827" t="s">
        <v>46</v>
      </c>
      <c r="F2827">
        <v>3</v>
      </c>
      <c r="G2827">
        <v>1</v>
      </c>
      <c r="H2827">
        <v>2</v>
      </c>
      <c r="I2827">
        <v>1</v>
      </c>
      <c r="J2827" s="4" t="s">
        <v>55</v>
      </c>
      <c r="K2827" t="str">
        <f t="shared" si="144"/>
        <v>1+2</v>
      </c>
      <c r="L2827">
        <f>VLOOKUP(A2827,'ZONE 1 PREMIUM'!$A$4:$N$16,14,0)</f>
        <v>3</v>
      </c>
      <c r="M2827">
        <f>VLOOKUP(D2827,DROPDOWN!B:C,2,0)</f>
        <v>10</v>
      </c>
      <c r="N2827" t="str">
        <f t="shared" si="142"/>
        <v>AU35:BM46</v>
      </c>
      <c r="O2827" s="4">
        <f t="shared" ca="1" si="143"/>
        <v>39279.375</v>
      </c>
    </row>
    <row r="2828" spans="1:15">
      <c r="A2828" s="2" t="s">
        <v>13</v>
      </c>
      <c r="B2828" t="s">
        <v>29</v>
      </c>
      <c r="C2828" t="s">
        <v>30</v>
      </c>
      <c r="D2828">
        <v>30</v>
      </c>
      <c r="E2828" t="s">
        <v>46</v>
      </c>
      <c r="F2828">
        <v>3</v>
      </c>
      <c r="G2828">
        <v>1</v>
      </c>
      <c r="H2828">
        <v>2</v>
      </c>
      <c r="I2828">
        <v>1</v>
      </c>
      <c r="J2828" s="4" t="s">
        <v>55</v>
      </c>
      <c r="K2828" t="str">
        <f t="shared" si="144"/>
        <v>1+2</v>
      </c>
      <c r="L2828">
        <f>VLOOKUP(A2828,'ZONE 1 PREMIUM'!$A$4:$N$16,14,0)</f>
        <v>4</v>
      </c>
      <c r="M2828">
        <f>VLOOKUP(D2828,DROPDOWN!B:C,2,0)</f>
        <v>10</v>
      </c>
      <c r="N2828" t="str">
        <f t="shared" si="142"/>
        <v>AU35:BM46</v>
      </c>
      <c r="O2828" s="4">
        <f t="shared" ca="1" si="143"/>
        <v>45660.375</v>
      </c>
    </row>
    <row r="2829" spans="1:15">
      <c r="A2829" s="2" t="s">
        <v>14</v>
      </c>
      <c r="B2829" t="s">
        <v>31</v>
      </c>
      <c r="C2829" t="s">
        <v>32</v>
      </c>
      <c r="D2829">
        <v>30</v>
      </c>
      <c r="E2829" t="s">
        <v>46</v>
      </c>
      <c r="F2829">
        <v>3</v>
      </c>
      <c r="G2829">
        <v>1</v>
      </c>
      <c r="H2829">
        <v>2</v>
      </c>
      <c r="I2829">
        <v>1</v>
      </c>
      <c r="J2829" s="4" t="s">
        <v>55</v>
      </c>
      <c r="K2829" t="str">
        <f t="shared" si="144"/>
        <v>1+2</v>
      </c>
      <c r="L2829">
        <f>VLOOKUP(A2829,'ZONE 1 PREMIUM'!$A$4:$N$16,14,0)</f>
        <v>5</v>
      </c>
      <c r="M2829">
        <f>VLOOKUP(D2829,DROPDOWN!B:C,2,0)</f>
        <v>10</v>
      </c>
      <c r="N2829" t="str">
        <f t="shared" si="142"/>
        <v>AU35:BM46</v>
      </c>
      <c r="O2829" s="4">
        <f t="shared" ca="1" si="143"/>
        <v>51241.5</v>
      </c>
    </row>
    <row r="2830" spans="1:15">
      <c r="A2830" s="2" t="s">
        <v>15</v>
      </c>
      <c r="B2830" t="s">
        <v>33</v>
      </c>
      <c r="C2830" t="s">
        <v>34</v>
      </c>
      <c r="D2830">
        <v>30</v>
      </c>
      <c r="E2830" t="s">
        <v>46</v>
      </c>
      <c r="F2830">
        <v>3</v>
      </c>
      <c r="G2830">
        <v>1</v>
      </c>
      <c r="H2830">
        <v>2</v>
      </c>
      <c r="I2830">
        <v>1</v>
      </c>
      <c r="J2830" s="4" t="s">
        <v>55</v>
      </c>
      <c r="K2830" t="str">
        <f t="shared" si="144"/>
        <v>1+2</v>
      </c>
      <c r="L2830">
        <f>VLOOKUP(A2830,'ZONE 1 PREMIUM'!$A$4:$N$16,14,0)</f>
        <v>6</v>
      </c>
      <c r="M2830">
        <f>VLOOKUP(D2830,DROPDOWN!B:C,2,0)</f>
        <v>10</v>
      </c>
      <c r="N2830" t="str">
        <f t="shared" si="142"/>
        <v>AU35:BM46</v>
      </c>
      <c r="O2830" s="4">
        <f t="shared" ca="1" si="143"/>
        <v>64291.5</v>
      </c>
    </row>
    <row r="2831" spans="1:15">
      <c r="A2831" s="2" t="s">
        <v>16</v>
      </c>
      <c r="B2831" t="s">
        <v>35</v>
      </c>
      <c r="C2831" t="s">
        <v>36</v>
      </c>
      <c r="D2831">
        <v>30</v>
      </c>
      <c r="E2831" t="s">
        <v>46</v>
      </c>
      <c r="F2831">
        <v>3</v>
      </c>
      <c r="G2831">
        <v>1</v>
      </c>
      <c r="H2831">
        <v>2</v>
      </c>
      <c r="I2831">
        <v>1</v>
      </c>
      <c r="J2831" s="4" t="s">
        <v>55</v>
      </c>
      <c r="K2831" t="str">
        <f t="shared" si="144"/>
        <v>1+2</v>
      </c>
      <c r="L2831">
        <f>VLOOKUP(A2831,'ZONE 1 PREMIUM'!$A$4:$N$16,14,0)</f>
        <v>7</v>
      </c>
      <c r="M2831">
        <f>VLOOKUP(D2831,DROPDOWN!B:C,2,0)</f>
        <v>10</v>
      </c>
      <c r="N2831" t="str">
        <f t="shared" si="142"/>
        <v>AU35:BM46</v>
      </c>
      <c r="O2831" s="4">
        <f t="shared" ca="1" si="143"/>
        <v>83154.375</v>
      </c>
    </row>
    <row r="2832" spans="1:15">
      <c r="A2832" s="2" t="s">
        <v>17</v>
      </c>
      <c r="B2832" t="s">
        <v>37</v>
      </c>
      <c r="C2832" t="s">
        <v>38</v>
      </c>
      <c r="D2832">
        <v>30</v>
      </c>
      <c r="E2832" t="s">
        <v>46</v>
      </c>
      <c r="F2832">
        <v>3</v>
      </c>
      <c r="G2832">
        <v>1</v>
      </c>
      <c r="H2832">
        <v>2</v>
      </c>
      <c r="I2832">
        <v>1</v>
      </c>
      <c r="J2832" s="4" t="s">
        <v>55</v>
      </c>
      <c r="K2832" t="str">
        <f t="shared" si="144"/>
        <v>1+2</v>
      </c>
      <c r="L2832">
        <f>VLOOKUP(A2832,'ZONE 1 PREMIUM'!$A$4:$N$16,14,0)</f>
        <v>8</v>
      </c>
      <c r="M2832">
        <f>VLOOKUP(D2832,DROPDOWN!B:C,2,0)</f>
        <v>10</v>
      </c>
      <c r="N2832" t="str">
        <f t="shared" si="142"/>
        <v>AU35:BM46</v>
      </c>
      <c r="O2832" s="4">
        <f t="shared" ca="1" si="143"/>
        <v>106596</v>
      </c>
    </row>
    <row r="2833" spans="1:15">
      <c r="A2833" s="2" t="s">
        <v>18</v>
      </c>
      <c r="B2833" t="s">
        <v>39</v>
      </c>
      <c r="C2833" t="s">
        <v>40</v>
      </c>
      <c r="D2833">
        <v>30</v>
      </c>
      <c r="E2833" t="s">
        <v>46</v>
      </c>
      <c r="F2833">
        <v>3</v>
      </c>
      <c r="G2833">
        <v>1</v>
      </c>
      <c r="H2833">
        <v>2</v>
      </c>
      <c r="I2833">
        <v>1</v>
      </c>
      <c r="J2833" s="4" t="s">
        <v>55</v>
      </c>
      <c r="K2833" t="str">
        <f t="shared" si="144"/>
        <v>1+2</v>
      </c>
      <c r="L2833">
        <f>VLOOKUP(A2833,'ZONE 1 PREMIUM'!$A$4:$N$16,14,0)</f>
        <v>9</v>
      </c>
      <c r="M2833">
        <f>VLOOKUP(D2833,DROPDOWN!B:C,2,0)</f>
        <v>10</v>
      </c>
      <c r="N2833" t="str">
        <f t="shared" si="142"/>
        <v>AU35:BM46</v>
      </c>
      <c r="O2833" s="4">
        <f t="shared" ca="1" si="143"/>
        <v>138393</v>
      </c>
    </row>
    <row r="2834" spans="1:15">
      <c r="A2834" s="2" t="s">
        <v>19</v>
      </c>
      <c r="B2834" t="s">
        <v>41</v>
      </c>
      <c r="C2834" t="s">
        <v>42</v>
      </c>
      <c r="D2834">
        <v>30</v>
      </c>
      <c r="E2834" t="s">
        <v>46</v>
      </c>
      <c r="F2834">
        <v>3</v>
      </c>
      <c r="G2834">
        <v>1</v>
      </c>
      <c r="H2834">
        <v>2</v>
      </c>
      <c r="I2834">
        <v>1</v>
      </c>
      <c r="J2834" s="4" t="s">
        <v>55</v>
      </c>
      <c r="K2834" t="str">
        <f t="shared" si="144"/>
        <v>1+2</v>
      </c>
      <c r="L2834">
        <f>VLOOKUP(A2834,'ZONE 1 PREMIUM'!$A$4:$N$16,14,0)</f>
        <v>10</v>
      </c>
      <c r="M2834">
        <f>VLOOKUP(D2834,DROPDOWN!B:C,2,0)</f>
        <v>10</v>
      </c>
      <c r="N2834" t="str">
        <f t="shared" si="142"/>
        <v>AU35:BM46</v>
      </c>
      <c r="O2834" s="4">
        <f t="shared" ca="1" si="143"/>
        <v>177314.625</v>
      </c>
    </row>
    <row r="2835" spans="1:15">
      <c r="A2835" s="2" t="s">
        <v>20</v>
      </c>
      <c r="B2835" t="s">
        <v>43</v>
      </c>
      <c r="C2835" t="s">
        <v>44</v>
      </c>
      <c r="D2835">
        <v>30</v>
      </c>
      <c r="E2835" t="s">
        <v>46</v>
      </c>
      <c r="F2835">
        <v>3</v>
      </c>
      <c r="G2835">
        <v>1</v>
      </c>
      <c r="H2835">
        <v>2</v>
      </c>
      <c r="I2835">
        <v>1</v>
      </c>
      <c r="J2835" s="4" t="s">
        <v>55</v>
      </c>
      <c r="K2835" t="str">
        <f t="shared" si="144"/>
        <v>1+2</v>
      </c>
      <c r="L2835">
        <f>VLOOKUP(A2835,'ZONE 1 PREMIUM'!$A$4:$N$16,14,0)</f>
        <v>11</v>
      </c>
      <c r="M2835">
        <f>VLOOKUP(D2835,DROPDOWN!B:C,2,0)</f>
        <v>10</v>
      </c>
      <c r="N2835" t="str">
        <f t="shared" si="142"/>
        <v>AU35:BM46</v>
      </c>
      <c r="O2835" s="4">
        <f t="shared" ca="1" si="143"/>
        <v>209756.25</v>
      </c>
    </row>
    <row r="2836" spans="1:15">
      <c r="A2836" s="2" t="s">
        <v>21</v>
      </c>
      <c r="B2836" t="s">
        <v>22</v>
      </c>
      <c r="D2836">
        <v>30</v>
      </c>
      <c r="E2836" t="s">
        <v>46</v>
      </c>
      <c r="F2836">
        <v>3</v>
      </c>
      <c r="G2836">
        <v>1</v>
      </c>
      <c r="H2836">
        <v>2</v>
      </c>
      <c r="I2836">
        <v>1</v>
      </c>
      <c r="J2836" s="4" t="s">
        <v>55</v>
      </c>
      <c r="K2836" t="str">
        <f t="shared" si="144"/>
        <v>1+2</v>
      </c>
      <c r="L2836">
        <f>VLOOKUP(A2836,'ZONE 1 PREMIUM'!$A$4:$N$16,14,0)</f>
        <v>12</v>
      </c>
      <c r="M2836">
        <f>VLOOKUP(D2836,DROPDOWN!B:C,2,0)</f>
        <v>10</v>
      </c>
      <c r="N2836" t="str">
        <f t="shared" si="142"/>
        <v>AU35:BM46</v>
      </c>
      <c r="O2836" s="4">
        <f t="shared" ca="1" si="143"/>
        <v>274446</v>
      </c>
    </row>
    <row r="2837" spans="1:15">
      <c r="A2837" s="2" t="s">
        <v>11</v>
      </c>
      <c r="B2837" t="s">
        <v>45</v>
      </c>
      <c r="C2837" t="s">
        <v>25</v>
      </c>
      <c r="D2837">
        <v>30</v>
      </c>
      <c r="E2837" t="s">
        <v>46</v>
      </c>
      <c r="F2837">
        <v>4</v>
      </c>
      <c r="G2837">
        <v>1</v>
      </c>
      <c r="H2837">
        <v>3</v>
      </c>
      <c r="I2837">
        <v>1</v>
      </c>
      <c r="J2837" s="4" t="s">
        <v>55</v>
      </c>
      <c r="K2837" t="str">
        <f t="shared" si="144"/>
        <v>1+3</v>
      </c>
      <c r="L2837">
        <f>VLOOKUP(A2837,'ZONE 1 PREMIUM'!$A$4:$N$16,14,0)</f>
        <v>2</v>
      </c>
      <c r="M2837">
        <f>VLOOKUP(D2837,DROPDOWN!B:C,2,0)</f>
        <v>10</v>
      </c>
      <c r="N2837" t="str">
        <f t="shared" si="142"/>
        <v>AU50:BM61</v>
      </c>
      <c r="O2837" s="4">
        <f t="shared" ca="1" si="143"/>
        <v>45040.5</v>
      </c>
    </row>
    <row r="2838" spans="1:15">
      <c r="A2838" s="2" t="s">
        <v>12</v>
      </c>
      <c r="B2838" t="s">
        <v>27</v>
      </c>
      <c r="C2838" t="s">
        <v>28</v>
      </c>
      <c r="D2838">
        <v>30</v>
      </c>
      <c r="E2838" t="s">
        <v>46</v>
      </c>
      <c r="F2838">
        <v>4</v>
      </c>
      <c r="G2838">
        <v>1</v>
      </c>
      <c r="H2838">
        <v>3</v>
      </c>
      <c r="I2838">
        <v>1</v>
      </c>
      <c r="J2838" s="4" t="s">
        <v>55</v>
      </c>
      <c r="K2838" t="str">
        <f t="shared" si="144"/>
        <v>1+3</v>
      </c>
      <c r="L2838">
        <f>VLOOKUP(A2838,'ZONE 1 PREMIUM'!$A$4:$N$16,14,0)</f>
        <v>3</v>
      </c>
      <c r="M2838">
        <f>VLOOKUP(D2838,DROPDOWN!B:C,2,0)</f>
        <v>10</v>
      </c>
      <c r="N2838" t="str">
        <f t="shared" si="142"/>
        <v>AU50:BM61</v>
      </c>
      <c r="O2838" s="4">
        <f t="shared" ca="1" si="143"/>
        <v>47461.5</v>
      </c>
    </row>
    <row r="2839" spans="1:15">
      <c r="A2839" s="2" t="s">
        <v>13</v>
      </c>
      <c r="B2839" t="s">
        <v>29</v>
      </c>
      <c r="C2839" t="s">
        <v>30</v>
      </c>
      <c r="D2839">
        <v>30</v>
      </c>
      <c r="E2839" t="s">
        <v>46</v>
      </c>
      <c r="F2839">
        <v>4</v>
      </c>
      <c r="G2839">
        <v>1</v>
      </c>
      <c r="H2839">
        <v>3</v>
      </c>
      <c r="I2839">
        <v>1</v>
      </c>
      <c r="J2839" s="4" t="s">
        <v>55</v>
      </c>
      <c r="K2839" t="str">
        <f t="shared" si="144"/>
        <v>1+3</v>
      </c>
      <c r="L2839">
        <f>VLOOKUP(A2839,'ZONE 1 PREMIUM'!$A$4:$N$16,14,0)</f>
        <v>4</v>
      </c>
      <c r="M2839">
        <f>VLOOKUP(D2839,DROPDOWN!B:C,2,0)</f>
        <v>10</v>
      </c>
      <c r="N2839" t="str">
        <f t="shared" si="142"/>
        <v>AU50:BM61</v>
      </c>
      <c r="O2839" s="4">
        <f t="shared" ca="1" si="143"/>
        <v>55221.75</v>
      </c>
    </row>
    <row r="2840" spans="1:15">
      <c r="A2840" s="2" t="s">
        <v>14</v>
      </c>
      <c r="B2840" t="s">
        <v>31</v>
      </c>
      <c r="C2840" t="s">
        <v>32</v>
      </c>
      <c r="D2840">
        <v>30</v>
      </c>
      <c r="E2840" t="s">
        <v>46</v>
      </c>
      <c r="F2840">
        <v>4</v>
      </c>
      <c r="G2840">
        <v>1</v>
      </c>
      <c r="H2840">
        <v>3</v>
      </c>
      <c r="I2840">
        <v>1</v>
      </c>
      <c r="J2840" s="4" t="s">
        <v>55</v>
      </c>
      <c r="K2840" t="str">
        <f t="shared" si="144"/>
        <v>1+3</v>
      </c>
      <c r="L2840">
        <f>VLOOKUP(A2840,'ZONE 1 PREMIUM'!$A$4:$N$16,14,0)</f>
        <v>5</v>
      </c>
      <c r="M2840">
        <f>VLOOKUP(D2840,DROPDOWN!B:C,2,0)</f>
        <v>10</v>
      </c>
      <c r="N2840" t="str">
        <f t="shared" si="142"/>
        <v>AU50:BM61</v>
      </c>
      <c r="O2840" s="4">
        <f t="shared" ca="1" si="143"/>
        <v>61472.25</v>
      </c>
    </row>
    <row r="2841" spans="1:15">
      <c r="A2841" s="2" t="s">
        <v>15</v>
      </c>
      <c r="B2841" t="s">
        <v>33</v>
      </c>
      <c r="C2841" t="s">
        <v>34</v>
      </c>
      <c r="D2841">
        <v>30</v>
      </c>
      <c r="E2841" t="s">
        <v>46</v>
      </c>
      <c r="F2841">
        <v>4</v>
      </c>
      <c r="G2841">
        <v>1</v>
      </c>
      <c r="H2841">
        <v>3</v>
      </c>
      <c r="I2841">
        <v>1</v>
      </c>
      <c r="J2841" s="4" t="s">
        <v>55</v>
      </c>
      <c r="K2841" t="str">
        <f t="shared" si="144"/>
        <v>1+3</v>
      </c>
      <c r="L2841">
        <f>VLOOKUP(A2841,'ZONE 1 PREMIUM'!$A$4:$N$16,14,0)</f>
        <v>6</v>
      </c>
      <c r="M2841">
        <f>VLOOKUP(D2841,DROPDOWN!B:C,2,0)</f>
        <v>10</v>
      </c>
      <c r="N2841" t="str">
        <f t="shared" si="142"/>
        <v>AU50:BM61</v>
      </c>
      <c r="O2841" s="4">
        <f t="shared" ca="1" si="143"/>
        <v>75818.25</v>
      </c>
    </row>
    <row r="2842" spans="1:15">
      <c r="A2842" s="2" t="s">
        <v>16</v>
      </c>
      <c r="B2842" t="s">
        <v>35</v>
      </c>
      <c r="C2842" t="s">
        <v>36</v>
      </c>
      <c r="D2842">
        <v>30</v>
      </c>
      <c r="E2842" t="s">
        <v>46</v>
      </c>
      <c r="F2842">
        <v>4</v>
      </c>
      <c r="G2842">
        <v>1</v>
      </c>
      <c r="H2842">
        <v>3</v>
      </c>
      <c r="I2842">
        <v>1</v>
      </c>
      <c r="J2842" s="4" t="s">
        <v>55</v>
      </c>
      <c r="K2842" t="str">
        <f t="shared" si="144"/>
        <v>1+3</v>
      </c>
      <c r="L2842">
        <f>VLOOKUP(A2842,'ZONE 1 PREMIUM'!$A$4:$N$16,14,0)</f>
        <v>7</v>
      </c>
      <c r="M2842">
        <f>VLOOKUP(D2842,DROPDOWN!B:C,2,0)</f>
        <v>10</v>
      </c>
      <c r="N2842" t="str">
        <f t="shared" si="142"/>
        <v>AU50:BM61</v>
      </c>
      <c r="O2842" s="4">
        <f t="shared" ca="1" si="143"/>
        <v>96032.25</v>
      </c>
    </row>
    <row r="2843" spans="1:15">
      <c r="A2843" s="2" t="s">
        <v>17</v>
      </c>
      <c r="B2843" t="s">
        <v>37</v>
      </c>
      <c r="C2843" t="s">
        <v>38</v>
      </c>
      <c r="D2843">
        <v>30</v>
      </c>
      <c r="E2843" t="s">
        <v>46</v>
      </c>
      <c r="F2843">
        <v>4</v>
      </c>
      <c r="G2843">
        <v>1</v>
      </c>
      <c r="H2843">
        <v>3</v>
      </c>
      <c r="I2843">
        <v>1</v>
      </c>
      <c r="J2843" s="4" t="s">
        <v>55</v>
      </c>
      <c r="K2843" t="str">
        <f t="shared" si="144"/>
        <v>1+3</v>
      </c>
      <c r="L2843">
        <f>VLOOKUP(A2843,'ZONE 1 PREMIUM'!$A$4:$N$16,14,0)</f>
        <v>8</v>
      </c>
      <c r="M2843">
        <f>VLOOKUP(D2843,DROPDOWN!B:C,2,0)</f>
        <v>10</v>
      </c>
      <c r="N2843" t="str">
        <f t="shared" si="142"/>
        <v>AU50:BM61</v>
      </c>
      <c r="O2843" s="4">
        <f t="shared" ca="1" si="143"/>
        <v>118093.5</v>
      </c>
    </row>
    <row r="2844" spans="1:15">
      <c r="A2844" s="2" t="s">
        <v>18</v>
      </c>
      <c r="B2844" t="s">
        <v>39</v>
      </c>
      <c r="C2844" t="s">
        <v>40</v>
      </c>
      <c r="D2844">
        <v>30</v>
      </c>
      <c r="E2844" t="s">
        <v>46</v>
      </c>
      <c r="F2844">
        <v>4</v>
      </c>
      <c r="G2844">
        <v>1</v>
      </c>
      <c r="H2844">
        <v>3</v>
      </c>
      <c r="I2844">
        <v>1</v>
      </c>
      <c r="J2844" s="4" t="s">
        <v>55</v>
      </c>
      <c r="K2844" t="str">
        <f t="shared" si="144"/>
        <v>1+3</v>
      </c>
      <c r="L2844">
        <f>VLOOKUP(A2844,'ZONE 1 PREMIUM'!$A$4:$N$16,14,0)</f>
        <v>9</v>
      </c>
      <c r="M2844">
        <f>VLOOKUP(D2844,DROPDOWN!B:C,2,0)</f>
        <v>10</v>
      </c>
      <c r="N2844" t="str">
        <f t="shared" si="142"/>
        <v>AU50:BM61</v>
      </c>
      <c r="O2844" s="4">
        <f t="shared" ca="1" si="143"/>
        <v>151056</v>
      </c>
    </row>
    <row r="2845" spans="1:15">
      <c r="A2845" s="2" t="s">
        <v>19</v>
      </c>
      <c r="B2845" t="s">
        <v>41</v>
      </c>
      <c r="C2845" t="s">
        <v>42</v>
      </c>
      <c r="D2845">
        <v>30</v>
      </c>
      <c r="E2845" t="s">
        <v>46</v>
      </c>
      <c r="F2845">
        <v>4</v>
      </c>
      <c r="G2845">
        <v>1</v>
      </c>
      <c r="H2845">
        <v>3</v>
      </c>
      <c r="I2845">
        <v>1</v>
      </c>
      <c r="J2845" s="4" t="s">
        <v>55</v>
      </c>
      <c r="K2845" t="str">
        <f t="shared" si="144"/>
        <v>1+3</v>
      </c>
      <c r="L2845">
        <f>VLOOKUP(A2845,'ZONE 1 PREMIUM'!$A$4:$N$16,14,0)</f>
        <v>10</v>
      </c>
      <c r="M2845">
        <f>VLOOKUP(D2845,DROPDOWN!B:C,2,0)</f>
        <v>10</v>
      </c>
      <c r="N2845" t="str">
        <f t="shared" si="142"/>
        <v>AU50:BM61</v>
      </c>
      <c r="O2845" s="4">
        <f t="shared" ca="1" si="143"/>
        <v>187576.875</v>
      </c>
    </row>
    <row r="2846" spans="1:15">
      <c r="A2846" s="2" t="s">
        <v>20</v>
      </c>
      <c r="B2846" t="s">
        <v>43</v>
      </c>
      <c r="C2846" t="s">
        <v>44</v>
      </c>
      <c r="D2846">
        <v>30</v>
      </c>
      <c r="E2846" t="s">
        <v>46</v>
      </c>
      <c r="F2846">
        <v>4</v>
      </c>
      <c r="G2846">
        <v>1</v>
      </c>
      <c r="H2846">
        <v>3</v>
      </c>
      <c r="I2846">
        <v>1</v>
      </c>
      <c r="J2846" s="4" t="s">
        <v>55</v>
      </c>
      <c r="K2846" t="str">
        <f t="shared" si="144"/>
        <v>1+3</v>
      </c>
      <c r="L2846">
        <f>VLOOKUP(A2846,'ZONE 1 PREMIUM'!$A$4:$N$16,14,0)</f>
        <v>11</v>
      </c>
      <c r="M2846">
        <f>VLOOKUP(D2846,DROPDOWN!B:C,2,0)</f>
        <v>10</v>
      </c>
      <c r="N2846" t="str">
        <f t="shared" si="142"/>
        <v>AU50:BM61</v>
      </c>
      <c r="O2846" s="4">
        <f t="shared" ca="1" si="143"/>
        <v>219511.125</v>
      </c>
    </row>
    <row r="2847" spans="1:15">
      <c r="A2847" s="2" t="s">
        <v>21</v>
      </c>
      <c r="B2847" t="s">
        <v>22</v>
      </c>
      <c r="D2847">
        <v>30</v>
      </c>
      <c r="E2847" t="s">
        <v>46</v>
      </c>
      <c r="F2847">
        <v>4</v>
      </c>
      <c r="G2847">
        <v>1</v>
      </c>
      <c r="H2847">
        <v>3</v>
      </c>
      <c r="I2847">
        <v>1</v>
      </c>
      <c r="J2847" s="4" t="s">
        <v>55</v>
      </c>
      <c r="K2847" t="str">
        <f t="shared" si="144"/>
        <v>1+3</v>
      </c>
      <c r="L2847">
        <f>VLOOKUP(A2847,'ZONE 1 PREMIUM'!$A$4:$N$16,14,0)</f>
        <v>12</v>
      </c>
      <c r="M2847">
        <f>VLOOKUP(D2847,DROPDOWN!B:C,2,0)</f>
        <v>10</v>
      </c>
      <c r="N2847" t="str">
        <f t="shared" si="142"/>
        <v>AU50:BM61</v>
      </c>
      <c r="O2847" s="4">
        <f t="shared" ca="1" si="143"/>
        <v>284744.25</v>
      </c>
    </row>
    <row r="2848" spans="1:15">
      <c r="A2848" s="2" t="s">
        <v>11</v>
      </c>
      <c r="B2848" t="s">
        <v>45</v>
      </c>
      <c r="C2848" t="s">
        <v>25</v>
      </c>
      <c r="D2848">
        <v>30</v>
      </c>
      <c r="E2848" t="s">
        <v>46</v>
      </c>
      <c r="F2848">
        <v>5</v>
      </c>
      <c r="G2848">
        <v>1</v>
      </c>
      <c r="H2848">
        <v>4</v>
      </c>
      <c r="I2848">
        <v>1</v>
      </c>
      <c r="J2848" s="4" t="s">
        <v>55</v>
      </c>
      <c r="K2848" t="str">
        <f t="shared" si="144"/>
        <v>1+4</v>
      </c>
      <c r="L2848">
        <f>VLOOKUP(A2848,'ZONE 1 PREMIUM'!$A$4:$N$16,14,0)</f>
        <v>2</v>
      </c>
      <c r="M2848">
        <f>VLOOKUP(D2848,DROPDOWN!B:C,2,0)</f>
        <v>10</v>
      </c>
      <c r="N2848" t="str">
        <f t="shared" si="142"/>
        <v>AU65:BM76</v>
      </c>
      <c r="O2848" s="4">
        <f t="shared" ca="1" si="143"/>
        <v>53368.875</v>
      </c>
    </row>
    <row r="2849" spans="1:15">
      <c r="A2849" s="2" t="s">
        <v>12</v>
      </c>
      <c r="B2849" t="s">
        <v>27</v>
      </c>
      <c r="C2849" t="s">
        <v>28</v>
      </c>
      <c r="D2849">
        <v>30</v>
      </c>
      <c r="E2849" t="s">
        <v>46</v>
      </c>
      <c r="F2849">
        <v>5</v>
      </c>
      <c r="G2849">
        <v>1</v>
      </c>
      <c r="H2849">
        <v>4</v>
      </c>
      <c r="I2849">
        <v>1</v>
      </c>
      <c r="J2849" s="4" t="s">
        <v>55</v>
      </c>
      <c r="K2849" t="str">
        <f t="shared" si="144"/>
        <v>1+4</v>
      </c>
      <c r="L2849">
        <f>VLOOKUP(A2849,'ZONE 1 PREMIUM'!$A$4:$N$16,14,0)</f>
        <v>3</v>
      </c>
      <c r="M2849">
        <f>VLOOKUP(D2849,DROPDOWN!B:C,2,0)</f>
        <v>10</v>
      </c>
      <c r="N2849" t="str">
        <f t="shared" si="142"/>
        <v>AU65:BM76</v>
      </c>
      <c r="O2849" s="4">
        <f t="shared" ca="1" si="143"/>
        <v>55642.5</v>
      </c>
    </row>
    <row r="2850" spans="1:15">
      <c r="A2850" s="2" t="s">
        <v>13</v>
      </c>
      <c r="B2850" t="s">
        <v>29</v>
      </c>
      <c r="C2850" t="s">
        <v>30</v>
      </c>
      <c r="D2850">
        <v>30</v>
      </c>
      <c r="E2850" t="s">
        <v>46</v>
      </c>
      <c r="F2850">
        <v>5</v>
      </c>
      <c r="G2850">
        <v>1</v>
      </c>
      <c r="H2850">
        <v>4</v>
      </c>
      <c r="I2850">
        <v>1</v>
      </c>
      <c r="J2850" s="4" t="s">
        <v>55</v>
      </c>
      <c r="K2850" t="str">
        <f t="shared" si="144"/>
        <v>1+4</v>
      </c>
      <c r="L2850">
        <f>VLOOKUP(A2850,'ZONE 1 PREMIUM'!$A$4:$N$16,14,0)</f>
        <v>4</v>
      </c>
      <c r="M2850">
        <f>VLOOKUP(D2850,DROPDOWN!B:C,2,0)</f>
        <v>10</v>
      </c>
      <c r="N2850" t="str">
        <f t="shared" si="142"/>
        <v>AU65:BM76</v>
      </c>
      <c r="O2850" s="4">
        <f t="shared" ca="1" si="143"/>
        <v>64783.125</v>
      </c>
    </row>
    <row r="2851" spans="1:15">
      <c r="A2851" s="2" t="s">
        <v>14</v>
      </c>
      <c r="B2851" t="s">
        <v>31</v>
      </c>
      <c r="C2851" t="s">
        <v>32</v>
      </c>
      <c r="D2851">
        <v>30</v>
      </c>
      <c r="E2851" t="s">
        <v>46</v>
      </c>
      <c r="F2851">
        <v>5</v>
      </c>
      <c r="G2851">
        <v>1</v>
      </c>
      <c r="H2851">
        <v>4</v>
      </c>
      <c r="I2851">
        <v>1</v>
      </c>
      <c r="J2851" s="4" t="s">
        <v>55</v>
      </c>
      <c r="K2851" t="str">
        <f t="shared" si="144"/>
        <v>1+4</v>
      </c>
      <c r="L2851">
        <f>VLOOKUP(A2851,'ZONE 1 PREMIUM'!$A$4:$N$16,14,0)</f>
        <v>5</v>
      </c>
      <c r="M2851">
        <f>VLOOKUP(D2851,DROPDOWN!B:C,2,0)</f>
        <v>10</v>
      </c>
      <c r="N2851" t="str">
        <f t="shared" si="142"/>
        <v>AU65:BM76</v>
      </c>
      <c r="O2851" s="4">
        <f t="shared" ca="1" si="143"/>
        <v>71704.125</v>
      </c>
    </row>
    <row r="2852" spans="1:15">
      <c r="A2852" s="2" t="s">
        <v>15</v>
      </c>
      <c r="B2852" t="s">
        <v>33</v>
      </c>
      <c r="C2852" t="s">
        <v>34</v>
      </c>
      <c r="D2852">
        <v>30</v>
      </c>
      <c r="E2852" t="s">
        <v>46</v>
      </c>
      <c r="F2852">
        <v>5</v>
      </c>
      <c r="G2852">
        <v>1</v>
      </c>
      <c r="H2852">
        <v>4</v>
      </c>
      <c r="I2852">
        <v>1</v>
      </c>
      <c r="J2852" s="4" t="s">
        <v>55</v>
      </c>
      <c r="K2852" t="str">
        <f t="shared" si="144"/>
        <v>1+4</v>
      </c>
      <c r="L2852">
        <f>VLOOKUP(A2852,'ZONE 1 PREMIUM'!$A$4:$N$16,14,0)</f>
        <v>6</v>
      </c>
      <c r="M2852">
        <f>VLOOKUP(D2852,DROPDOWN!B:C,2,0)</f>
        <v>10</v>
      </c>
      <c r="N2852" t="str">
        <f t="shared" si="142"/>
        <v>AU65:BM76</v>
      </c>
      <c r="O2852" s="4">
        <f t="shared" ca="1" si="143"/>
        <v>87345</v>
      </c>
    </row>
    <row r="2853" spans="1:15">
      <c r="A2853" s="2" t="s">
        <v>16</v>
      </c>
      <c r="B2853" t="s">
        <v>35</v>
      </c>
      <c r="C2853" t="s">
        <v>36</v>
      </c>
      <c r="D2853">
        <v>30</v>
      </c>
      <c r="E2853" t="s">
        <v>46</v>
      </c>
      <c r="F2853">
        <v>5</v>
      </c>
      <c r="G2853">
        <v>1</v>
      </c>
      <c r="H2853">
        <v>4</v>
      </c>
      <c r="I2853">
        <v>1</v>
      </c>
      <c r="J2853" s="4" t="s">
        <v>55</v>
      </c>
      <c r="K2853" t="str">
        <f t="shared" si="144"/>
        <v>1+4</v>
      </c>
      <c r="L2853">
        <f>VLOOKUP(A2853,'ZONE 1 PREMIUM'!$A$4:$N$16,14,0)</f>
        <v>7</v>
      </c>
      <c r="M2853">
        <f>VLOOKUP(D2853,DROPDOWN!B:C,2,0)</f>
        <v>10</v>
      </c>
      <c r="N2853" t="str">
        <f t="shared" si="142"/>
        <v>AU65:BM76</v>
      </c>
      <c r="O2853" s="4">
        <f t="shared" ca="1" si="143"/>
        <v>106800.75</v>
      </c>
    </row>
    <row r="2854" spans="1:15">
      <c r="A2854" s="2" t="s">
        <v>17</v>
      </c>
      <c r="B2854" t="s">
        <v>37</v>
      </c>
      <c r="C2854" t="s">
        <v>38</v>
      </c>
      <c r="D2854">
        <v>30</v>
      </c>
      <c r="E2854" t="s">
        <v>46</v>
      </c>
      <c r="F2854">
        <v>5</v>
      </c>
      <c r="G2854">
        <v>1</v>
      </c>
      <c r="H2854">
        <v>4</v>
      </c>
      <c r="I2854">
        <v>1</v>
      </c>
      <c r="J2854" s="4" t="s">
        <v>55</v>
      </c>
      <c r="K2854" t="str">
        <f t="shared" si="144"/>
        <v>1+4</v>
      </c>
      <c r="L2854">
        <f>VLOOKUP(A2854,'ZONE 1 PREMIUM'!$A$4:$N$16,14,0)</f>
        <v>8</v>
      </c>
      <c r="M2854">
        <f>VLOOKUP(D2854,DROPDOWN!B:C,2,0)</f>
        <v>10</v>
      </c>
      <c r="N2854" t="str">
        <f t="shared" si="142"/>
        <v>AU65:BM76</v>
      </c>
      <c r="O2854" s="4">
        <f t="shared" ca="1" si="143"/>
        <v>128586.375</v>
      </c>
    </row>
    <row r="2855" spans="1:15">
      <c r="A2855" s="2" t="s">
        <v>18</v>
      </c>
      <c r="B2855" t="s">
        <v>39</v>
      </c>
      <c r="C2855" t="s">
        <v>40</v>
      </c>
      <c r="D2855">
        <v>30</v>
      </c>
      <c r="E2855" t="s">
        <v>46</v>
      </c>
      <c r="F2855">
        <v>5</v>
      </c>
      <c r="G2855">
        <v>1</v>
      </c>
      <c r="H2855">
        <v>4</v>
      </c>
      <c r="I2855">
        <v>1</v>
      </c>
      <c r="J2855" s="4" t="s">
        <v>55</v>
      </c>
      <c r="K2855" t="str">
        <f t="shared" si="144"/>
        <v>1+4</v>
      </c>
      <c r="L2855">
        <f>VLOOKUP(A2855,'ZONE 1 PREMIUM'!$A$4:$N$16,14,0)</f>
        <v>9</v>
      </c>
      <c r="M2855">
        <f>VLOOKUP(D2855,DROPDOWN!B:C,2,0)</f>
        <v>10</v>
      </c>
      <c r="N2855" t="str">
        <f t="shared" si="142"/>
        <v>AU65:BM76</v>
      </c>
      <c r="O2855" s="4">
        <f t="shared" ca="1" si="143"/>
        <v>161815.5</v>
      </c>
    </row>
    <row r="2856" spans="1:15">
      <c r="A2856" s="2" t="s">
        <v>19</v>
      </c>
      <c r="B2856" t="s">
        <v>41</v>
      </c>
      <c r="C2856" t="s">
        <v>42</v>
      </c>
      <c r="D2856">
        <v>30</v>
      </c>
      <c r="E2856" t="s">
        <v>46</v>
      </c>
      <c r="F2856">
        <v>5</v>
      </c>
      <c r="G2856">
        <v>1</v>
      </c>
      <c r="H2856">
        <v>4</v>
      </c>
      <c r="I2856">
        <v>1</v>
      </c>
      <c r="J2856" s="4" t="s">
        <v>55</v>
      </c>
      <c r="K2856" t="str">
        <f t="shared" si="144"/>
        <v>1+4</v>
      </c>
      <c r="L2856">
        <f>VLOOKUP(A2856,'ZONE 1 PREMIUM'!$A$4:$N$16,14,0)</f>
        <v>10</v>
      </c>
      <c r="M2856">
        <f>VLOOKUP(D2856,DROPDOWN!B:C,2,0)</f>
        <v>10</v>
      </c>
      <c r="N2856" t="str">
        <f t="shared" si="142"/>
        <v>AU65:BM76</v>
      </c>
      <c r="O2856" s="4">
        <f t="shared" ca="1" si="143"/>
        <v>198131.625</v>
      </c>
    </row>
    <row r="2857" spans="1:15">
      <c r="A2857" s="2" t="s">
        <v>20</v>
      </c>
      <c r="B2857" t="s">
        <v>43</v>
      </c>
      <c r="C2857" t="s">
        <v>44</v>
      </c>
      <c r="D2857">
        <v>30</v>
      </c>
      <c r="E2857" t="s">
        <v>46</v>
      </c>
      <c r="F2857">
        <v>5</v>
      </c>
      <c r="G2857">
        <v>1</v>
      </c>
      <c r="H2857">
        <v>4</v>
      </c>
      <c r="I2857">
        <v>1</v>
      </c>
      <c r="J2857" s="4" t="s">
        <v>55</v>
      </c>
      <c r="K2857" t="str">
        <f t="shared" si="144"/>
        <v>1+4</v>
      </c>
      <c r="L2857">
        <f>VLOOKUP(A2857,'ZONE 1 PREMIUM'!$A$4:$N$16,14,0)</f>
        <v>11</v>
      </c>
      <c r="M2857">
        <f>VLOOKUP(D2857,DROPDOWN!B:C,2,0)</f>
        <v>10</v>
      </c>
      <c r="N2857" t="str">
        <f t="shared" si="142"/>
        <v>AU65:BM76</v>
      </c>
      <c r="O2857" s="4">
        <f t="shared" ca="1" si="143"/>
        <v>230107.5</v>
      </c>
    </row>
    <row r="2858" spans="1:15">
      <c r="A2858" s="2" t="s">
        <v>21</v>
      </c>
      <c r="B2858" t="s">
        <v>22</v>
      </c>
      <c r="D2858">
        <v>30</v>
      </c>
      <c r="E2858" t="s">
        <v>46</v>
      </c>
      <c r="F2858">
        <v>5</v>
      </c>
      <c r="G2858">
        <v>1</v>
      </c>
      <c r="H2858">
        <v>4</v>
      </c>
      <c r="I2858">
        <v>1</v>
      </c>
      <c r="J2858" s="4" t="s">
        <v>55</v>
      </c>
      <c r="K2858" t="str">
        <f t="shared" si="144"/>
        <v>1+4</v>
      </c>
      <c r="L2858">
        <f>VLOOKUP(A2858,'ZONE 1 PREMIUM'!$A$4:$N$16,14,0)</f>
        <v>12</v>
      </c>
      <c r="M2858">
        <f>VLOOKUP(D2858,DROPDOWN!B:C,2,0)</f>
        <v>10</v>
      </c>
      <c r="N2858" t="str">
        <f t="shared" si="142"/>
        <v>AU65:BM76</v>
      </c>
      <c r="O2858" s="4">
        <f t="shared" ca="1" si="143"/>
        <v>295677</v>
      </c>
    </row>
    <row r="2859" spans="1:15">
      <c r="A2859" s="2" t="s">
        <v>11</v>
      </c>
      <c r="B2859" t="s">
        <v>45</v>
      </c>
      <c r="C2859" t="s">
        <v>25</v>
      </c>
      <c r="D2859">
        <v>30</v>
      </c>
      <c r="E2859" t="s">
        <v>46</v>
      </c>
      <c r="F2859">
        <v>2</v>
      </c>
      <c r="G2859">
        <v>2</v>
      </c>
      <c r="H2859">
        <v>0</v>
      </c>
      <c r="I2859">
        <v>1</v>
      </c>
      <c r="J2859" s="4" t="s">
        <v>55</v>
      </c>
      <c r="K2859" t="str">
        <f t="shared" si="144"/>
        <v>2+0</v>
      </c>
      <c r="L2859">
        <f>VLOOKUP(A2859,'ZONE 1 PREMIUM'!$A$4:$N$16,14,0)</f>
        <v>2</v>
      </c>
      <c r="M2859">
        <f>VLOOKUP(D2859,DROPDOWN!B:C,2,0)</f>
        <v>10</v>
      </c>
      <c r="N2859" t="str">
        <f t="shared" si="142"/>
        <v>AU81:BM92</v>
      </c>
      <c r="O2859" s="4">
        <f t="shared" ca="1" si="143"/>
        <v>39795.75</v>
      </c>
    </row>
    <row r="2860" spans="1:15">
      <c r="A2860" s="2" t="s">
        <v>12</v>
      </c>
      <c r="B2860" t="s">
        <v>27</v>
      </c>
      <c r="C2860" t="s">
        <v>28</v>
      </c>
      <c r="D2860">
        <v>30</v>
      </c>
      <c r="E2860" t="s">
        <v>46</v>
      </c>
      <c r="F2860">
        <v>2</v>
      </c>
      <c r="G2860">
        <v>2</v>
      </c>
      <c r="H2860">
        <v>0</v>
      </c>
      <c r="I2860">
        <v>1</v>
      </c>
      <c r="J2860" s="4" t="s">
        <v>55</v>
      </c>
      <c r="K2860" t="str">
        <f t="shared" si="144"/>
        <v>2+0</v>
      </c>
      <c r="L2860">
        <f>VLOOKUP(A2860,'ZONE 1 PREMIUM'!$A$4:$N$16,14,0)</f>
        <v>3</v>
      </c>
      <c r="M2860">
        <f>VLOOKUP(D2860,DROPDOWN!B:C,2,0)</f>
        <v>10</v>
      </c>
      <c r="N2860" t="str">
        <f t="shared" si="142"/>
        <v>AU81:BM92</v>
      </c>
      <c r="O2860" s="4">
        <f t="shared" ca="1" si="143"/>
        <v>45091.125</v>
      </c>
    </row>
    <row r="2861" spans="1:15">
      <c r="A2861" s="2" t="s">
        <v>13</v>
      </c>
      <c r="B2861" t="s">
        <v>29</v>
      </c>
      <c r="C2861" t="s">
        <v>30</v>
      </c>
      <c r="D2861">
        <v>30</v>
      </c>
      <c r="E2861" t="s">
        <v>46</v>
      </c>
      <c r="F2861">
        <v>2</v>
      </c>
      <c r="G2861">
        <v>2</v>
      </c>
      <c r="H2861">
        <v>0</v>
      </c>
      <c r="I2861">
        <v>1</v>
      </c>
      <c r="J2861" s="4" t="s">
        <v>55</v>
      </c>
      <c r="K2861" t="str">
        <f t="shared" si="144"/>
        <v>2+0</v>
      </c>
      <c r="L2861">
        <f>VLOOKUP(A2861,'ZONE 1 PREMIUM'!$A$4:$N$16,14,0)</f>
        <v>4</v>
      </c>
      <c r="M2861">
        <f>VLOOKUP(D2861,DROPDOWN!B:C,2,0)</f>
        <v>10</v>
      </c>
      <c r="N2861" t="str">
        <f t="shared" si="142"/>
        <v>AU81:BM92</v>
      </c>
      <c r="O2861" s="4">
        <f t="shared" ca="1" si="143"/>
        <v>50133.375</v>
      </c>
    </row>
    <row r="2862" spans="1:15">
      <c r="A2862" s="2" t="s">
        <v>14</v>
      </c>
      <c r="B2862" t="s">
        <v>31</v>
      </c>
      <c r="C2862" t="s">
        <v>32</v>
      </c>
      <c r="D2862">
        <v>30</v>
      </c>
      <c r="E2862" t="s">
        <v>46</v>
      </c>
      <c r="F2862">
        <v>2</v>
      </c>
      <c r="G2862">
        <v>2</v>
      </c>
      <c r="H2862">
        <v>0</v>
      </c>
      <c r="I2862">
        <v>1</v>
      </c>
      <c r="J2862" s="4" t="s">
        <v>55</v>
      </c>
      <c r="K2862" t="str">
        <f t="shared" si="144"/>
        <v>2+0</v>
      </c>
      <c r="L2862">
        <f>VLOOKUP(A2862,'ZONE 1 PREMIUM'!$A$4:$N$16,14,0)</f>
        <v>5</v>
      </c>
      <c r="M2862">
        <f>VLOOKUP(D2862,DROPDOWN!B:C,2,0)</f>
        <v>10</v>
      </c>
      <c r="N2862" t="str">
        <f t="shared" si="142"/>
        <v>AU81:BM92</v>
      </c>
      <c r="O2862" s="4">
        <f t="shared" ca="1" si="143"/>
        <v>58063.5</v>
      </c>
    </row>
    <row r="2863" spans="1:15">
      <c r="A2863" s="2" t="s">
        <v>15</v>
      </c>
      <c r="B2863" t="s">
        <v>33</v>
      </c>
      <c r="C2863" t="s">
        <v>34</v>
      </c>
      <c r="D2863">
        <v>30</v>
      </c>
      <c r="E2863" t="s">
        <v>46</v>
      </c>
      <c r="F2863">
        <v>2</v>
      </c>
      <c r="G2863">
        <v>2</v>
      </c>
      <c r="H2863">
        <v>0</v>
      </c>
      <c r="I2863">
        <v>1</v>
      </c>
      <c r="J2863" s="4" t="s">
        <v>55</v>
      </c>
      <c r="K2863" t="str">
        <f t="shared" si="144"/>
        <v>2+0</v>
      </c>
      <c r="L2863">
        <f>VLOOKUP(A2863,'ZONE 1 PREMIUM'!$A$4:$N$16,14,0)</f>
        <v>6</v>
      </c>
      <c r="M2863">
        <f>VLOOKUP(D2863,DROPDOWN!B:C,2,0)</f>
        <v>10</v>
      </c>
      <c r="N2863" t="str">
        <f t="shared" si="142"/>
        <v>AU81:BM92</v>
      </c>
      <c r="O2863" s="4">
        <f t="shared" ca="1" si="143"/>
        <v>74514.375</v>
      </c>
    </row>
    <row r="2864" spans="1:15">
      <c r="A2864" s="2" t="s">
        <v>16</v>
      </c>
      <c r="B2864" t="s">
        <v>35</v>
      </c>
      <c r="C2864" t="s">
        <v>36</v>
      </c>
      <c r="D2864">
        <v>30</v>
      </c>
      <c r="E2864" t="s">
        <v>46</v>
      </c>
      <c r="F2864">
        <v>2</v>
      </c>
      <c r="G2864">
        <v>2</v>
      </c>
      <c r="H2864">
        <v>0</v>
      </c>
      <c r="I2864">
        <v>1</v>
      </c>
      <c r="J2864" s="4" t="s">
        <v>55</v>
      </c>
      <c r="K2864" t="str">
        <f t="shared" si="144"/>
        <v>2+0</v>
      </c>
      <c r="L2864">
        <f>VLOOKUP(A2864,'ZONE 1 PREMIUM'!$A$4:$N$16,14,0)</f>
        <v>7</v>
      </c>
      <c r="M2864">
        <f>VLOOKUP(D2864,DROPDOWN!B:C,2,0)</f>
        <v>10</v>
      </c>
      <c r="N2864" t="str">
        <f t="shared" si="142"/>
        <v>AU81:BM92</v>
      </c>
      <c r="O2864" s="4">
        <f t="shared" ca="1" si="143"/>
        <v>98868.375</v>
      </c>
    </row>
    <row r="2865" spans="1:15">
      <c r="A2865" s="2" t="s">
        <v>17</v>
      </c>
      <c r="B2865" t="s">
        <v>37</v>
      </c>
      <c r="C2865" t="s">
        <v>38</v>
      </c>
      <c r="D2865">
        <v>30</v>
      </c>
      <c r="E2865" t="s">
        <v>46</v>
      </c>
      <c r="F2865">
        <v>2</v>
      </c>
      <c r="G2865">
        <v>2</v>
      </c>
      <c r="H2865">
        <v>0</v>
      </c>
      <c r="I2865">
        <v>1</v>
      </c>
      <c r="J2865" s="4" t="s">
        <v>55</v>
      </c>
      <c r="K2865" t="str">
        <f t="shared" si="144"/>
        <v>2+0</v>
      </c>
      <c r="L2865">
        <f>VLOOKUP(A2865,'ZONE 1 PREMIUM'!$A$4:$N$16,14,0)</f>
        <v>8</v>
      </c>
      <c r="M2865">
        <f>VLOOKUP(D2865,DROPDOWN!B:C,2,0)</f>
        <v>10</v>
      </c>
      <c r="N2865" t="str">
        <f t="shared" si="142"/>
        <v>AU81:BM92</v>
      </c>
      <c r="O2865" s="4">
        <f t="shared" ca="1" si="143"/>
        <v>135558</v>
      </c>
    </row>
    <row r="2866" spans="1:15">
      <c r="A2866" s="2" t="s">
        <v>18</v>
      </c>
      <c r="B2866" t="s">
        <v>39</v>
      </c>
      <c r="C2866" t="s">
        <v>40</v>
      </c>
      <c r="D2866">
        <v>30</v>
      </c>
      <c r="E2866" t="s">
        <v>46</v>
      </c>
      <c r="F2866">
        <v>2</v>
      </c>
      <c r="G2866">
        <v>2</v>
      </c>
      <c r="H2866">
        <v>0</v>
      </c>
      <c r="I2866">
        <v>1</v>
      </c>
      <c r="J2866" s="4" t="s">
        <v>55</v>
      </c>
      <c r="K2866" t="str">
        <f t="shared" si="144"/>
        <v>2+0</v>
      </c>
      <c r="L2866">
        <f>VLOOKUP(A2866,'ZONE 1 PREMIUM'!$A$4:$N$16,14,0)</f>
        <v>9</v>
      </c>
      <c r="M2866">
        <f>VLOOKUP(D2866,DROPDOWN!B:C,2,0)</f>
        <v>10</v>
      </c>
      <c r="N2866" t="str">
        <f t="shared" ref="N2866:N2913" si="145">VLOOKUP(K2866,$BN$3:$BO$12,2,0)</f>
        <v>AU81:BM92</v>
      </c>
      <c r="O2866" s="4">
        <f t="shared" ca="1" si="143"/>
        <v>190954.125</v>
      </c>
    </row>
    <row r="2867" spans="1:15">
      <c r="A2867" s="2" t="s">
        <v>19</v>
      </c>
      <c r="B2867" t="s">
        <v>41</v>
      </c>
      <c r="C2867" t="s">
        <v>42</v>
      </c>
      <c r="D2867">
        <v>30</v>
      </c>
      <c r="E2867" t="s">
        <v>46</v>
      </c>
      <c r="F2867">
        <v>2</v>
      </c>
      <c r="G2867">
        <v>2</v>
      </c>
      <c r="H2867">
        <v>0</v>
      </c>
      <c r="I2867">
        <v>1</v>
      </c>
      <c r="J2867" s="4" t="s">
        <v>55</v>
      </c>
      <c r="K2867" t="str">
        <f t="shared" si="144"/>
        <v>2+0</v>
      </c>
      <c r="L2867">
        <f>VLOOKUP(A2867,'ZONE 1 PREMIUM'!$A$4:$N$16,14,0)</f>
        <v>10</v>
      </c>
      <c r="M2867">
        <f>VLOOKUP(D2867,DROPDOWN!B:C,2,0)</f>
        <v>10</v>
      </c>
      <c r="N2867" t="str">
        <f t="shared" si="145"/>
        <v>AU81:BM92</v>
      </c>
      <c r="O2867" s="4">
        <f t="shared" ca="1" si="143"/>
        <v>268655.625</v>
      </c>
    </row>
    <row r="2868" spans="1:15">
      <c r="A2868" s="2" t="s">
        <v>20</v>
      </c>
      <c r="B2868" t="s">
        <v>43</v>
      </c>
      <c r="C2868" t="s">
        <v>44</v>
      </c>
      <c r="D2868">
        <v>30</v>
      </c>
      <c r="E2868" t="s">
        <v>46</v>
      </c>
      <c r="F2868">
        <v>2</v>
      </c>
      <c r="G2868">
        <v>2</v>
      </c>
      <c r="H2868">
        <v>0</v>
      </c>
      <c r="I2868">
        <v>1</v>
      </c>
      <c r="J2868" s="4" t="s">
        <v>55</v>
      </c>
      <c r="K2868" t="str">
        <f t="shared" si="144"/>
        <v>2+0</v>
      </c>
      <c r="L2868">
        <f>VLOOKUP(A2868,'ZONE 1 PREMIUM'!$A$4:$N$16,14,0)</f>
        <v>11</v>
      </c>
      <c r="M2868">
        <f>VLOOKUP(D2868,DROPDOWN!B:C,2,0)</f>
        <v>10</v>
      </c>
      <c r="N2868" t="str">
        <f t="shared" si="145"/>
        <v>AU81:BM92</v>
      </c>
      <c r="O2868" s="4">
        <f t="shared" ca="1" si="143"/>
        <v>334756.125</v>
      </c>
    </row>
    <row r="2869" spans="1:15">
      <c r="A2869" s="2" t="s">
        <v>21</v>
      </c>
      <c r="B2869" t="s">
        <v>22</v>
      </c>
      <c r="D2869">
        <v>30</v>
      </c>
      <c r="E2869" t="s">
        <v>46</v>
      </c>
      <c r="F2869">
        <v>2</v>
      </c>
      <c r="G2869">
        <v>2</v>
      </c>
      <c r="H2869">
        <v>0</v>
      </c>
      <c r="I2869">
        <v>1</v>
      </c>
      <c r="J2869" s="4" t="s">
        <v>55</v>
      </c>
      <c r="K2869" t="str">
        <f t="shared" si="144"/>
        <v>2+0</v>
      </c>
      <c r="L2869">
        <f>VLOOKUP(A2869,'ZONE 1 PREMIUM'!$A$4:$N$16,14,0)</f>
        <v>12</v>
      </c>
      <c r="M2869">
        <f>VLOOKUP(D2869,DROPDOWN!B:C,2,0)</f>
        <v>10</v>
      </c>
      <c r="N2869" t="str">
        <f t="shared" si="145"/>
        <v>AU81:BM92</v>
      </c>
      <c r="O2869" s="4">
        <f t="shared" ca="1" si="143"/>
        <v>430025.625</v>
      </c>
    </row>
    <row r="2870" spans="1:15">
      <c r="A2870" s="2" t="s">
        <v>11</v>
      </c>
      <c r="B2870" t="s">
        <v>45</v>
      </c>
      <c r="C2870" t="s">
        <v>25</v>
      </c>
      <c r="D2870">
        <v>30</v>
      </c>
      <c r="E2870" t="s">
        <v>46</v>
      </c>
      <c r="F2870">
        <v>3</v>
      </c>
      <c r="G2870">
        <v>2</v>
      </c>
      <c r="H2870">
        <v>1</v>
      </c>
      <c r="I2870">
        <v>1</v>
      </c>
      <c r="J2870" s="4" t="s">
        <v>55</v>
      </c>
      <c r="K2870" t="str">
        <f t="shared" si="144"/>
        <v>2+1</v>
      </c>
      <c r="L2870">
        <f>VLOOKUP(A2870,'ZONE 1 PREMIUM'!$A$4:$N$16,14,0)</f>
        <v>2</v>
      </c>
      <c r="M2870">
        <f>VLOOKUP(D2870,DROPDOWN!B:C,2,0)</f>
        <v>10</v>
      </c>
      <c r="N2870" t="str">
        <f t="shared" si="145"/>
        <v>AU98:BM109</v>
      </c>
      <c r="O2870" s="4">
        <f t="shared" ca="1" si="143"/>
        <v>48281.625</v>
      </c>
    </row>
    <row r="2871" spans="1:15">
      <c r="A2871" s="2" t="s">
        <v>12</v>
      </c>
      <c r="B2871" t="s">
        <v>27</v>
      </c>
      <c r="C2871" t="s">
        <v>28</v>
      </c>
      <c r="D2871">
        <v>30</v>
      </c>
      <c r="E2871" t="s">
        <v>46</v>
      </c>
      <c r="F2871">
        <v>3</v>
      </c>
      <c r="G2871">
        <v>2</v>
      </c>
      <c r="H2871">
        <v>1</v>
      </c>
      <c r="I2871">
        <v>1</v>
      </c>
      <c r="J2871" s="4" t="s">
        <v>55</v>
      </c>
      <c r="K2871" t="str">
        <f t="shared" si="144"/>
        <v>2+1</v>
      </c>
      <c r="L2871">
        <f>VLOOKUP(A2871,'ZONE 1 PREMIUM'!$A$4:$N$16,14,0)</f>
        <v>3</v>
      </c>
      <c r="M2871">
        <f>VLOOKUP(D2871,DROPDOWN!B:C,2,0)</f>
        <v>10</v>
      </c>
      <c r="N2871" t="str">
        <f t="shared" si="145"/>
        <v>AU98:BM109</v>
      </c>
      <c r="O2871" s="4">
        <f t="shared" ca="1" si="143"/>
        <v>53429.625</v>
      </c>
    </row>
    <row r="2872" spans="1:15">
      <c r="A2872" s="2" t="s">
        <v>13</v>
      </c>
      <c r="B2872" t="s">
        <v>29</v>
      </c>
      <c r="C2872" t="s">
        <v>30</v>
      </c>
      <c r="D2872">
        <v>30</v>
      </c>
      <c r="E2872" t="s">
        <v>46</v>
      </c>
      <c r="F2872">
        <v>3</v>
      </c>
      <c r="G2872">
        <v>2</v>
      </c>
      <c r="H2872">
        <v>1</v>
      </c>
      <c r="I2872">
        <v>1</v>
      </c>
      <c r="J2872" s="4" t="s">
        <v>55</v>
      </c>
      <c r="K2872" t="str">
        <f t="shared" si="144"/>
        <v>2+1</v>
      </c>
      <c r="L2872">
        <f>VLOOKUP(A2872,'ZONE 1 PREMIUM'!$A$4:$N$16,14,0)</f>
        <v>4</v>
      </c>
      <c r="M2872">
        <f>VLOOKUP(D2872,DROPDOWN!B:C,2,0)</f>
        <v>10</v>
      </c>
      <c r="N2872" t="str">
        <f t="shared" si="145"/>
        <v>AU98:BM109</v>
      </c>
      <c r="O2872" s="4">
        <f t="shared" ca="1" si="143"/>
        <v>59923.125</v>
      </c>
    </row>
    <row r="2873" spans="1:15">
      <c r="A2873" s="2" t="s">
        <v>14</v>
      </c>
      <c r="B2873" t="s">
        <v>31</v>
      </c>
      <c r="C2873" t="s">
        <v>32</v>
      </c>
      <c r="D2873">
        <v>30</v>
      </c>
      <c r="E2873" t="s">
        <v>46</v>
      </c>
      <c r="F2873">
        <v>3</v>
      </c>
      <c r="G2873">
        <v>2</v>
      </c>
      <c r="H2873">
        <v>1</v>
      </c>
      <c r="I2873">
        <v>1</v>
      </c>
      <c r="J2873" s="4" t="s">
        <v>55</v>
      </c>
      <c r="K2873" t="str">
        <f t="shared" si="144"/>
        <v>2+1</v>
      </c>
      <c r="L2873">
        <f>VLOOKUP(A2873,'ZONE 1 PREMIUM'!$A$4:$N$16,14,0)</f>
        <v>5</v>
      </c>
      <c r="M2873">
        <f>VLOOKUP(D2873,DROPDOWN!B:C,2,0)</f>
        <v>10</v>
      </c>
      <c r="N2873" t="str">
        <f t="shared" si="145"/>
        <v>AU98:BM109</v>
      </c>
      <c r="O2873" s="4">
        <f t="shared" ca="1" si="143"/>
        <v>68574.375</v>
      </c>
    </row>
    <row r="2874" spans="1:15">
      <c r="A2874" s="2" t="s">
        <v>15</v>
      </c>
      <c r="B2874" t="s">
        <v>33</v>
      </c>
      <c r="C2874" t="s">
        <v>34</v>
      </c>
      <c r="D2874">
        <v>30</v>
      </c>
      <c r="E2874" t="s">
        <v>46</v>
      </c>
      <c r="F2874">
        <v>3</v>
      </c>
      <c r="G2874">
        <v>2</v>
      </c>
      <c r="H2874">
        <v>1</v>
      </c>
      <c r="I2874">
        <v>1</v>
      </c>
      <c r="J2874" s="4" t="s">
        <v>55</v>
      </c>
      <c r="K2874" t="str">
        <f t="shared" si="144"/>
        <v>2+1</v>
      </c>
      <c r="L2874">
        <f>VLOOKUP(A2874,'ZONE 1 PREMIUM'!$A$4:$N$16,14,0)</f>
        <v>6</v>
      </c>
      <c r="M2874">
        <f>VLOOKUP(D2874,DROPDOWN!B:C,2,0)</f>
        <v>10</v>
      </c>
      <c r="N2874" t="str">
        <f t="shared" si="145"/>
        <v>AU98:BM109</v>
      </c>
      <c r="O2874" s="4">
        <f t="shared" ca="1" si="143"/>
        <v>86382</v>
      </c>
    </row>
    <row r="2875" spans="1:15">
      <c r="A2875" s="2" t="s">
        <v>16</v>
      </c>
      <c r="B2875" t="s">
        <v>35</v>
      </c>
      <c r="C2875" t="s">
        <v>36</v>
      </c>
      <c r="D2875">
        <v>30</v>
      </c>
      <c r="E2875" t="s">
        <v>46</v>
      </c>
      <c r="F2875">
        <v>3</v>
      </c>
      <c r="G2875">
        <v>2</v>
      </c>
      <c r="H2875">
        <v>1</v>
      </c>
      <c r="I2875">
        <v>1</v>
      </c>
      <c r="J2875" s="4" t="s">
        <v>55</v>
      </c>
      <c r="K2875" t="str">
        <f t="shared" si="144"/>
        <v>2+1</v>
      </c>
      <c r="L2875">
        <f>VLOOKUP(A2875,'ZONE 1 PREMIUM'!$A$4:$N$16,14,0)</f>
        <v>7</v>
      </c>
      <c r="M2875">
        <f>VLOOKUP(D2875,DROPDOWN!B:C,2,0)</f>
        <v>10</v>
      </c>
      <c r="N2875" t="str">
        <f t="shared" si="145"/>
        <v>AU98:BM109</v>
      </c>
      <c r="O2875" s="4">
        <f t="shared" ca="1" si="143"/>
        <v>113652</v>
      </c>
    </row>
    <row r="2876" spans="1:15">
      <c r="A2876" s="2" t="s">
        <v>17</v>
      </c>
      <c r="B2876" t="s">
        <v>37</v>
      </c>
      <c r="C2876" t="s">
        <v>38</v>
      </c>
      <c r="D2876">
        <v>30</v>
      </c>
      <c r="E2876" t="s">
        <v>46</v>
      </c>
      <c r="F2876">
        <v>3</v>
      </c>
      <c r="G2876">
        <v>2</v>
      </c>
      <c r="H2876">
        <v>1</v>
      </c>
      <c r="I2876">
        <v>1</v>
      </c>
      <c r="J2876" s="4" t="s">
        <v>55</v>
      </c>
      <c r="K2876" t="str">
        <f t="shared" si="144"/>
        <v>2+1</v>
      </c>
      <c r="L2876">
        <f>VLOOKUP(A2876,'ZONE 1 PREMIUM'!$A$4:$N$16,14,0)</f>
        <v>8</v>
      </c>
      <c r="M2876">
        <f>VLOOKUP(D2876,DROPDOWN!B:C,2,0)</f>
        <v>10</v>
      </c>
      <c r="N2876" t="str">
        <f t="shared" si="145"/>
        <v>AU98:BM109</v>
      </c>
      <c r="O2876" s="4">
        <f t="shared" ca="1" si="143"/>
        <v>151508.25</v>
      </c>
    </row>
    <row r="2877" spans="1:15">
      <c r="A2877" s="2" t="s">
        <v>18</v>
      </c>
      <c r="B2877" t="s">
        <v>39</v>
      </c>
      <c r="C2877" t="s">
        <v>40</v>
      </c>
      <c r="D2877">
        <v>30</v>
      </c>
      <c r="E2877" t="s">
        <v>46</v>
      </c>
      <c r="F2877">
        <v>3</v>
      </c>
      <c r="G2877">
        <v>2</v>
      </c>
      <c r="H2877">
        <v>1</v>
      </c>
      <c r="I2877">
        <v>1</v>
      </c>
      <c r="J2877" s="4" t="s">
        <v>55</v>
      </c>
      <c r="K2877" t="str">
        <f t="shared" si="144"/>
        <v>2+1</v>
      </c>
      <c r="L2877">
        <f>VLOOKUP(A2877,'ZONE 1 PREMIUM'!$A$4:$N$16,14,0)</f>
        <v>9</v>
      </c>
      <c r="M2877">
        <f>VLOOKUP(D2877,DROPDOWN!B:C,2,0)</f>
        <v>10</v>
      </c>
      <c r="N2877" t="str">
        <f t="shared" si="145"/>
        <v>AU98:BM109</v>
      </c>
      <c r="O2877" s="4">
        <f t="shared" ca="1" si="143"/>
        <v>207195.75</v>
      </c>
    </row>
    <row r="2878" spans="1:15">
      <c r="A2878" s="2" t="s">
        <v>19</v>
      </c>
      <c r="B2878" t="s">
        <v>41</v>
      </c>
      <c r="C2878" t="s">
        <v>42</v>
      </c>
      <c r="D2878">
        <v>30</v>
      </c>
      <c r="E2878" t="s">
        <v>46</v>
      </c>
      <c r="F2878">
        <v>3</v>
      </c>
      <c r="G2878">
        <v>2</v>
      </c>
      <c r="H2878">
        <v>1</v>
      </c>
      <c r="I2878">
        <v>1</v>
      </c>
      <c r="J2878" s="4" t="s">
        <v>55</v>
      </c>
      <c r="K2878" t="str">
        <f t="shared" si="144"/>
        <v>2+1</v>
      </c>
      <c r="L2878">
        <f>VLOOKUP(A2878,'ZONE 1 PREMIUM'!$A$4:$N$16,14,0)</f>
        <v>10</v>
      </c>
      <c r="M2878">
        <f>VLOOKUP(D2878,DROPDOWN!B:C,2,0)</f>
        <v>10</v>
      </c>
      <c r="N2878" t="str">
        <f t="shared" si="145"/>
        <v>AU98:BM109</v>
      </c>
      <c r="O2878" s="4">
        <f t="shared" ca="1" si="143"/>
        <v>278912.25</v>
      </c>
    </row>
    <row r="2879" spans="1:15">
      <c r="A2879" s="2" t="s">
        <v>20</v>
      </c>
      <c r="B2879" t="s">
        <v>43</v>
      </c>
      <c r="C2879" t="s">
        <v>44</v>
      </c>
      <c r="D2879">
        <v>30</v>
      </c>
      <c r="E2879" t="s">
        <v>46</v>
      </c>
      <c r="F2879">
        <v>3</v>
      </c>
      <c r="G2879">
        <v>2</v>
      </c>
      <c r="H2879">
        <v>1</v>
      </c>
      <c r="I2879">
        <v>1</v>
      </c>
      <c r="J2879" s="4" t="s">
        <v>55</v>
      </c>
      <c r="K2879" t="str">
        <f t="shared" si="144"/>
        <v>2+1</v>
      </c>
      <c r="L2879">
        <f>VLOOKUP(A2879,'ZONE 1 PREMIUM'!$A$4:$N$16,14,0)</f>
        <v>11</v>
      </c>
      <c r="M2879">
        <f>VLOOKUP(D2879,DROPDOWN!B:C,2,0)</f>
        <v>10</v>
      </c>
      <c r="N2879" t="str">
        <f t="shared" si="145"/>
        <v>AU98:BM109</v>
      </c>
      <c r="O2879" s="4">
        <f t="shared" ca="1" si="143"/>
        <v>342762.75</v>
      </c>
    </row>
    <row r="2880" spans="1:15">
      <c r="A2880" s="2" t="s">
        <v>21</v>
      </c>
      <c r="B2880" t="s">
        <v>22</v>
      </c>
      <c r="D2880">
        <v>30</v>
      </c>
      <c r="E2880" t="s">
        <v>46</v>
      </c>
      <c r="F2880">
        <v>3</v>
      </c>
      <c r="G2880">
        <v>2</v>
      </c>
      <c r="H2880">
        <v>1</v>
      </c>
      <c r="I2880">
        <v>1</v>
      </c>
      <c r="J2880" s="4" t="s">
        <v>55</v>
      </c>
      <c r="K2880" t="str">
        <f t="shared" si="144"/>
        <v>2+1</v>
      </c>
      <c r="L2880">
        <f>VLOOKUP(A2880,'ZONE 1 PREMIUM'!$A$4:$N$16,14,0)</f>
        <v>12</v>
      </c>
      <c r="M2880">
        <f>VLOOKUP(D2880,DROPDOWN!B:C,2,0)</f>
        <v>10</v>
      </c>
      <c r="N2880" t="str">
        <f t="shared" si="145"/>
        <v>AU98:BM109</v>
      </c>
      <c r="O2880" s="4">
        <f t="shared" ca="1" si="143"/>
        <v>437652</v>
      </c>
    </row>
    <row r="2881" spans="1:15">
      <c r="A2881" s="2" t="s">
        <v>11</v>
      </c>
      <c r="B2881" t="s">
        <v>45</v>
      </c>
      <c r="C2881" t="s">
        <v>25</v>
      </c>
      <c r="D2881">
        <v>30</v>
      </c>
      <c r="E2881" t="s">
        <v>46</v>
      </c>
      <c r="F2881">
        <v>4</v>
      </c>
      <c r="G2881">
        <v>2</v>
      </c>
      <c r="H2881">
        <v>2</v>
      </c>
      <c r="I2881">
        <v>1</v>
      </c>
      <c r="J2881" s="4" t="s">
        <v>55</v>
      </c>
      <c r="K2881" t="str">
        <f t="shared" si="144"/>
        <v>2+2</v>
      </c>
      <c r="L2881">
        <f>VLOOKUP(A2881,'ZONE 1 PREMIUM'!$A$4:$N$16,14,0)</f>
        <v>2</v>
      </c>
      <c r="M2881">
        <f>VLOOKUP(D2881,DROPDOWN!B:C,2,0)</f>
        <v>10</v>
      </c>
      <c r="N2881" t="str">
        <f t="shared" si="145"/>
        <v>AU113:BM124</v>
      </c>
      <c r="O2881" s="4">
        <f t="shared" ca="1" si="143"/>
        <v>56610</v>
      </c>
    </row>
    <row r="2882" spans="1:15">
      <c r="A2882" s="2" t="s">
        <v>12</v>
      </c>
      <c r="B2882" t="s">
        <v>27</v>
      </c>
      <c r="C2882" t="s">
        <v>28</v>
      </c>
      <c r="D2882">
        <v>30</v>
      </c>
      <c r="E2882" t="s">
        <v>46</v>
      </c>
      <c r="F2882">
        <v>4</v>
      </c>
      <c r="G2882">
        <v>2</v>
      </c>
      <c r="H2882">
        <v>2</v>
      </c>
      <c r="I2882">
        <v>1</v>
      </c>
      <c r="J2882" s="4" t="s">
        <v>55</v>
      </c>
      <c r="K2882" t="str">
        <f t="shared" si="144"/>
        <v>2+2</v>
      </c>
      <c r="L2882">
        <f>VLOOKUP(A2882,'ZONE 1 PREMIUM'!$A$4:$N$16,14,0)</f>
        <v>3</v>
      </c>
      <c r="M2882">
        <f>VLOOKUP(D2882,DROPDOWN!B:C,2,0)</f>
        <v>10</v>
      </c>
      <c r="N2882" t="str">
        <f t="shared" si="145"/>
        <v>AU113:BM124</v>
      </c>
      <c r="O2882" s="4">
        <f t="shared" ref="O2882:O2945" ca="1" si="146">INDEX(INDIRECT(N2882),L2882,M2882)</f>
        <v>61610.625</v>
      </c>
    </row>
    <row r="2883" spans="1:15">
      <c r="A2883" s="2" t="s">
        <v>13</v>
      </c>
      <c r="B2883" t="s">
        <v>29</v>
      </c>
      <c r="C2883" t="s">
        <v>30</v>
      </c>
      <c r="D2883">
        <v>30</v>
      </c>
      <c r="E2883" t="s">
        <v>46</v>
      </c>
      <c r="F2883">
        <v>4</v>
      </c>
      <c r="G2883">
        <v>2</v>
      </c>
      <c r="H2883">
        <v>2</v>
      </c>
      <c r="I2883">
        <v>1</v>
      </c>
      <c r="J2883" s="4" t="s">
        <v>55</v>
      </c>
      <c r="K2883" t="str">
        <f t="shared" si="144"/>
        <v>2+2</v>
      </c>
      <c r="L2883">
        <f>VLOOKUP(A2883,'ZONE 1 PREMIUM'!$A$4:$N$16,14,0)</f>
        <v>4</v>
      </c>
      <c r="M2883">
        <f>VLOOKUP(D2883,DROPDOWN!B:C,2,0)</f>
        <v>10</v>
      </c>
      <c r="N2883" t="str">
        <f t="shared" si="145"/>
        <v>AU113:BM124</v>
      </c>
      <c r="O2883" s="4">
        <f t="shared" ca="1" si="146"/>
        <v>69484.5</v>
      </c>
    </row>
    <row r="2884" spans="1:15">
      <c r="A2884" s="2" t="s">
        <v>14</v>
      </c>
      <c r="B2884" t="s">
        <v>31</v>
      </c>
      <c r="C2884" t="s">
        <v>32</v>
      </c>
      <c r="D2884">
        <v>30</v>
      </c>
      <c r="E2884" t="s">
        <v>46</v>
      </c>
      <c r="F2884">
        <v>4</v>
      </c>
      <c r="G2884">
        <v>2</v>
      </c>
      <c r="H2884">
        <v>2</v>
      </c>
      <c r="I2884">
        <v>1</v>
      </c>
      <c r="J2884" s="4" t="s">
        <v>55</v>
      </c>
      <c r="K2884" t="str">
        <f t="shared" ref="K2884:K2947" si="147">G2884&amp;"+"&amp;H2884</f>
        <v>2+2</v>
      </c>
      <c r="L2884">
        <f>VLOOKUP(A2884,'ZONE 1 PREMIUM'!$A$4:$N$16,14,0)</f>
        <v>5</v>
      </c>
      <c r="M2884">
        <f>VLOOKUP(D2884,DROPDOWN!B:C,2,0)</f>
        <v>10</v>
      </c>
      <c r="N2884" t="str">
        <f t="shared" si="145"/>
        <v>AU113:BM124</v>
      </c>
      <c r="O2884" s="4">
        <f t="shared" ca="1" si="146"/>
        <v>78806.25</v>
      </c>
    </row>
    <row r="2885" spans="1:15">
      <c r="A2885" s="2" t="s">
        <v>15</v>
      </c>
      <c r="B2885" t="s">
        <v>33</v>
      </c>
      <c r="C2885" t="s">
        <v>34</v>
      </c>
      <c r="D2885">
        <v>30</v>
      </c>
      <c r="E2885" t="s">
        <v>46</v>
      </c>
      <c r="F2885">
        <v>4</v>
      </c>
      <c r="G2885">
        <v>2</v>
      </c>
      <c r="H2885">
        <v>2</v>
      </c>
      <c r="I2885">
        <v>1</v>
      </c>
      <c r="J2885" s="4" t="s">
        <v>55</v>
      </c>
      <c r="K2885" t="str">
        <f t="shared" si="147"/>
        <v>2+2</v>
      </c>
      <c r="L2885">
        <f>VLOOKUP(A2885,'ZONE 1 PREMIUM'!$A$4:$N$16,14,0)</f>
        <v>6</v>
      </c>
      <c r="M2885">
        <f>VLOOKUP(D2885,DROPDOWN!B:C,2,0)</f>
        <v>10</v>
      </c>
      <c r="N2885" t="str">
        <f t="shared" si="145"/>
        <v>AU113:BM124</v>
      </c>
      <c r="O2885" s="4">
        <f t="shared" ca="1" si="146"/>
        <v>97908.75</v>
      </c>
    </row>
    <row r="2886" spans="1:15">
      <c r="A2886" s="2" t="s">
        <v>16</v>
      </c>
      <c r="B2886" t="s">
        <v>35</v>
      </c>
      <c r="C2886" t="s">
        <v>36</v>
      </c>
      <c r="D2886">
        <v>30</v>
      </c>
      <c r="E2886" t="s">
        <v>46</v>
      </c>
      <c r="F2886">
        <v>4</v>
      </c>
      <c r="G2886">
        <v>2</v>
      </c>
      <c r="H2886">
        <v>2</v>
      </c>
      <c r="I2886">
        <v>1</v>
      </c>
      <c r="J2886" s="4" t="s">
        <v>55</v>
      </c>
      <c r="K2886" t="str">
        <f t="shared" si="147"/>
        <v>2+2</v>
      </c>
      <c r="L2886">
        <f>VLOOKUP(A2886,'ZONE 1 PREMIUM'!$A$4:$N$16,14,0)</f>
        <v>7</v>
      </c>
      <c r="M2886">
        <f>VLOOKUP(D2886,DROPDOWN!B:C,2,0)</f>
        <v>10</v>
      </c>
      <c r="N2886" t="str">
        <f t="shared" si="145"/>
        <v>AU113:BM124</v>
      </c>
      <c r="O2886" s="4">
        <f t="shared" ca="1" si="146"/>
        <v>127991.25</v>
      </c>
    </row>
    <row r="2887" spans="1:15">
      <c r="A2887" s="2" t="s">
        <v>17</v>
      </c>
      <c r="B2887" t="s">
        <v>37</v>
      </c>
      <c r="C2887" t="s">
        <v>38</v>
      </c>
      <c r="D2887">
        <v>30</v>
      </c>
      <c r="E2887" t="s">
        <v>46</v>
      </c>
      <c r="F2887">
        <v>4</v>
      </c>
      <c r="G2887">
        <v>2</v>
      </c>
      <c r="H2887">
        <v>2</v>
      </c>
      <c r="I2887">
        <v>1</v>
      </c>
      <c r="J2887" s="4" t="s">
        <v>55</v>
      </c>
      <c r="K2887" t="str">
        <f t="shared" si="147"/>
        <v>2+2</v>
      </c>
      <c r="L2887">
        <f>VLOOKUP(A2887,'ZONE 1 PREMIUM'!$A$4:$N$16,14,0)</f>
        <v>8</v>
      </c>
      <c r="M2887">
        <f>VLOOKUP(D2887,DROPDOWN!B:C,2,0)</f>
        <v>10</v>
      </c>
      <c r="N2887" t="str">
        <f t="shared" si="145"/>
        <v>AU113:BM124</v>
      </c>
      <c r="O2887" s="4">
        <f t="shared" ca="1" si="146"/>
        <v>165052.125</v>
      </c>
    </row>
    <row r="2888" spans="1:15">
      <c r="A2888" s="2" t="s">
        <v>18</v>
      </c>
      <c r="B2888" t="s">
        <v>39</v>
      </c>
      <c r="C2888" t="s">
        <v>40</v>
      </c>
      <c r="D2888">
        <v>30</v>
      </c>
      <c r="E2888" t="s">
        <v>46</v>
      </c>
      <c r="F2888">
        <v>4</v>
      </c>
      <c r="G2888">
        <v>2</v>
      </c>
      <c r="H2888">
        <v>2</v>
      </c>
      <c r="I2888">
        <v>1</v>
      </c>
      <c r="J2888" s="4" t="s">
        <v>55</v>
      </c>
      <c r="K2888" t="str">
        <f t="shared" si="147"/>
        <v>2+2</v>
      </c>
      <c r="L2888">
        <f>VLOOKUP(A2888,'ZONE 1 PREMIUM'!$A$4:$N$16,14,0)</f>
        <v>9</v>
      </c>
      <c r="M2888">
        <f>VLOOKUP(D2888,DROPDOWN!B:C,2,0)</f>
        <v>10</v>
      </c>
      <c r="N2888" t="str">
        <f t="shared" si="145"/>
        <v>AU113:BM124</v>
      </c>
      <c r="O2888" s="4">
        <f t="shared" ca="1" si="146"/>
        <v>218148.75</v>
      </c>
    </row>
    <row r="2889" spans="1:15">
      <c r="A2889" s="2" t="s">
        <v>19</v>
      </c>
      <c r="B2889" t="s">
        <v>41</v>
      </c>
      <c r="C2889" t="s">
        <v>42</v>
      </c>
      <c r="D2889">
        <v>30</v>
      </c>
      <c r="E2889" t="s">
        <v>46</v>
      </c>
      <c r="F2889">
        <v>4</v>
      </c>
      <c r="G2889">
        <v>2</v>
      </c>
      <c r="H2889">
        <v>2</v>
      </c>
      <c r="I2889">
        <v>1</v>
      </c>
      <c r="J2889" s="4" t="s">
        <v>55</v>
      </c>
      <c r="K2889" t="str">
        <f t="shared" si="147"/>
        <v>2+2</v>
      </c>
      <c r="L2889">
        <f>VLOOKUP(A2889,'ZONE 1 PREMIUM'!$A$4:$N$16,14,0)</f>
        <v>10</v>
      </c>
      <c r="M2889">
        <f>VLOOKUP(D2889,DROPDOWN!B:C,2,0)</f>
        <v>10</v>
      </c>
      <c r="N2889" t="str">
        <f t="shared" si="145"/>
        <v>AU113:BM124</v>
      </c>
      <c r="O2889" s="4">
        <f t="shared" ca="1" si="146"/>
        <v>284000.625</v>
      </c>
    </row>
    <row r="2890" spans="1:15">
      <c r="A2890" s="2" t="s">
        <v>20</v>
      </c>
      <c r="B2890" t="s">
        <v>43</v>
      </c>
      <c r="C2890" t="s">
        <v>44</v>
      </c>
      <c r="D2890">
        <v>30</v>
      </c>
      <c r="E2890" t="s">
        <v>46</v>
      </c>
      <c r="F2890">
        <v>4</v>
      </c>
      <c r="G2890">
        <v>2</v>
      </c>
      <c r="H2890">
        <v>2</v>
      </c>
      <c r="I2890">
        <v>1</v>
      </c>
      <c r="J2890" s="4" t="s">
        <v>55</v>
      </c>
      <c r="K2890" t="str">
        <f t="shared" si="147"/>
        <v>2+2</v>
      </c>
      <c r="L2890">
        <f>VLOOKUP(A2890,'ZONE 1 PREMIUM'!$A$4:$N$16,14,0)</f>
        <v>11</v>
      </c>
      <c r="M2890">
        <f>VLOOKUP(D2890,DROPDOWN!B:C,2,0)</f>
        <v>10</v>
      </c>
      <c r="N2890" t="str">
        <f t="shared" si="145"/>
        <v>AU113:BM124</v>
      </c>
      <c r="O2890" s="4">
        <f t="shared" ca="1" si="146"/>
        <v>348356.25</v>
      </c>
    </row>
    <row r="2891" spans="1:15">
      <c r="A2891" s="2" t="s">
        <v>21</v>
      </c>
      <c r="B2891" t="s">
        <v>22</v>
      </c>
      <c r="D2891">
        <v>30</v>
      </c>
      <c r="E2891" t="s">
        <v>46</v>
      </c>
      <c r="F2891">
        <v>4</v>
      </c>
      <c r="G2891">
        <v>2</v>
      </c>
      <c r="H2891">
        <v>2</v>
      </c>
      <c r="I2891">
        <v>1</v>
      </c>
      <c r="J2891" s="4" t="s">
        <v>55</v>
      </c>
      <c r="K2891" t="str">
        <f t="shared" si="147"/>
        <v>2+2</v>
      </c>
      <c r="L2891">
        <f>VLOOKUP(A2891,'ZONE 1 PREMIUM'!$A$4:$N$16,14,0)</f>
        <v>12</v>
      </c>
      <c r="M2891">
        <f>VLOOKUP(D2891,DROPDOWN!B:C,2,0)</f>
        <v>10</v>
      </c>
      <c r="N2891" t="str">
        <f t="shared" si="145"/>
        <v>AU113:BM124</v>
      </c>
      <c r="O2891" s="4">
        <f t="shared" ca="1" si="146"/>
        <v>443494.125</v>
      </c>
    </row>
    <row r="2892" spans="1:15">
      <c r="A2892" s="2" t="s">
        <v>11</v>
      </c>
      <c r="B2892" t="s">
        <v>45</v>
      </c>
      <c r="C2892" t="s">
        <v>25</v>
      </c>
      <c r="D2892">
        <v>30</v>
      </c>
      <c r="E2892" t="s">
        <v>46</v>
      </c>
      <c r="F2892">
        <v>5</v>
      </c>
      <c r="G2892">
        <v>2</v>
      </c>
      <c r="H2892">
        <v>3</v>
      </c>
      <c r="I2892">
        <v>1</v>
      </c>
      <c r="J2892" s="4" t="s">
        <v>55</v>
      </c>
      <c r="K2892" t="str">
        <f t="shared" si="147"/>
        <v>2+3</v>
      </c>
      <c r="L2892">
        <f>VLOOKUP(A2892,'ZONE 1 PREMIUM'!$A$4:$N$16,14,0)</f>
        <v>2</v>
      </c>
      <c r="M2892">
        <f>VLOOKUP(D2892,DROPDOWN!B:C,2,0)</f>
        <v>10</v>
      </c>
      <c r="N2892" t="str">
        <f t="shared" si="145"/>
        <v>AU128:BM139</v>
      </c>
      <c r="O2892" s="4">
        <f t="shared" ca="1" si="146"/>
        <v>64938.375</v>
      </c>
    </row>
    <row r="2893" spans="1:15">
      <c r="A2893" s="2" t="s">
        <v>12</v>
      </c>
      <c r="B2893" t="s">
        <v>27</v>
      </c>
      <c r="C2893" t="s">
        <v>28</v>
      </c>
      <c r="D2893">
        <v>30</v>
      </c>
      <c r="E2893" t="s">
        <v>46</v>
      </c>
      <c r="F2893">
        <v>5</v>
      </c>
      <c r="G2893">
        <v>2</v>
      </c>
      <c r="H2893">
        <v>3</v>
      </c>
      <c r="I2893">
        <v>1</v>
      </c>
      <c r="J2893" s="4" t="s">
        <v>55</v>
      </c>
      <c r="K2893" t="str">
        <f t="shared" si="147"/>
        <v>2+3</v>
      </c>
      <c r="L2893">
        <f>VLOOKUP(A2893,'ZONE 1 PREMIUM'!$A$4:$N$16,14,0)</f>
        <v>3</v>
      </c>
      <c r="M2893">
        <f>VLOOKUP(D2893,DROPDOWN!B:C,2,0)</f>
        <v>10</v>
      </c>
      <c r="N2893" t="str">
        <f t="shared" si="145"/>
        <v>AU128:BM139</v>
      </c>
      <c r="O2893" s="4">
        <f t="shared" ca="1" si="146"/>
        <v>69791.625</v>
      </c>
    </row>
    <row r="2894" spans="1:15">
      <c r="A2894" s="2" t="s">
        <v>13</v>
      </c>
      <c r="B2894" t="s">
        <v>29</v>
      </c>
      <c r="C2894" t="s">
        <v>30</v>
      </c>
      <c r="D2894">
        <v>30</v>
      </c>
      <c r="E2894" t="s">
        <v>46</v>
      </c>
      <c r="F2894">
        <v>5</v>
      </c>
      <c r="G2894">
        <v>2</v>
      </c>
      <c r="H2894">
        <v>3</v>
      </c>
      <c r="I2894">
        <v>1</v>
      </c>
      <c r="J2894" s="4" t="s">
        <v>55</v>
      </c>
      <c r="K2894" t="str">
        <f t="shared" si="147"/>
        <v>2+3</v>
      </c>
      <c r="L2894">
        <f>VLOOKUP(A2894,'ZONE 1 PREMIUM'!$A$4:$N$16,14,0)</f>
        <v>4</v>
      </c>
      <c r="M2894">
        <f>VLOOKUP(D2894,DROPDOWN!B:C,2,0)</f>
        <v>10</v>
      </c>
      <c r="N2894" t="str">
        <f t="shared" si="145"/>
        <v>AU128:BM139</v>
      </c>
      <c r="O2894" s="4">
        <f t="shared" ca="1" si="146"/>
        <v>79045.875</v>
      </c>
    </row>
    <row r="2895" spans="1:15">
      <c r="A2895" s="2" t="s">
        <v>14</v>
      </c>
      <c r="B2895" t="s">
        <v>31</v>
      </c>
      <c r="C2895" t="s">
        <v>32</v>
      </c>
      <c r="D2895">
        <v>30</v>
      </c>
      <c r="E2895" t="s">
        <v>46</v>
      </c>
      <c r="F2895">
        <v>5</v>
      </c>
      <c r="G2895">
        <v>2</v>
      </c>
      <c r="H2895">
        <v>3</v>
      </c>
      <c r="I2895">
        <v>1</v>
      </c>
      <c r="J2895" s="4" t="s">
        <v>55</v>
      </c>
      <c r="K2895" t="str">
        <f t="shared" si="147"/>
        <v>2+3</v>
      </c>
      <c r="L2895">
        <f>VLOOKUP(A2895,'ZONE 1 PREMIUM'!$A$4:$N$16,14,0)</f>
        <v>5</v>
      </c>
      <c r="M2895">
        <f>VLOOKUP(D2895,DROPDOWN!B:C,2,0)</f>
        <v>10</v>
      </c>
      <c r="N2895" t="str">
        <f t="shared" si="145"/>
        <v>AU128:BM139</v>
      </c>
      <c r="O2895" s="4">
        <f t="shared" ca="1" si="146"/>
        <v>89038.125</v>
      </c>
    </row>
    <row r="2896" spans="1:15">
      <c r="A2896" s="2" t="s">
        <v>15</v>
      </c>
      <c r="B2896" t="s">
        <v>33</v>
      </c>
      <c r="C2896" t="s">
        <v>34</v>
      </c>
      <c r="D2896">
        <v>30</v>
      </c>
      <c r="E2896" t="s">
        <v>46</v>
      </c>
      <c r="F2896">
        <v>5</v>
      </c>
      <c r="G2896">
        <v>2</v>
      </c>
      <c r="H2896">
        <v>3</v>
      </c>
      <c r="I2896">
        <v>1</v>
      </c>
      <c r="J2896" s="4" t="s">
        <v>55</v>
      </c>
      <c r="K2896" t="str">
        <f t="shared" si="147"/>
        <v>2+3</v>
      </c>
      <c r="L2896">
        <f>VLOOKUP(A2896,'ZONE 1 PREMIUM'!$A$4:$N$16,14,0)</f>
        <v>6</v>
      </c>
      <c r="M2896">
        <f>VLOOKUP(D2896,DROPDOWN!B:C,2,0)</f>
        <v>10</v>
      </c>
      <c r="N2896" t="str">
        <f t="shared" si="145"/>
        <v>AU128:BM139</v>
      </c>
      <c r="O2896" s="4">
        <f t="shared" ca="1" si="146"/>
        <v>109435.5</v>
      </c>
    </row>
    <row r="2897" spans="1:15">
      <c r="A2897" s="2" t="s">
        <v>16</v>
      </c>
      <c r="B2897" t="s">
        <v>35</v>
      </c>
      <c r="C2897" t="s">
        <v>36</v>
      </c>
      <c r="D2897">
        <v>30</v>
      </c>
      <c r="E2897" t="s">
        <v>46</v>
      </c>
      <c r="F2897">
        <v>5</v>
      </c>
      <c r="G2897">
        <v>2</v>
      </c>
      <c r="H2897">
        <v>3</v>
      </c>
      <c r="I2897">
        <v>1</v>
      </c>
      <c r="J2897" s="4" t="s">
        <v>55</v>
      </c>
      <c r="K2897" t="str">
        <f t="shared" si="147"/>
        <v>2+3</v>
      </c>
      <c r="L2897">
        <f>VLOOKUP(A2897,'ZONE 1 PREMIUM'!$A$4:$N$16,14,0)</f>
        <v>7</v>
      </c>
      <c r="M2897">
        <f>VLOOKUP(D2897,DROPDOWN!B:C,2,0)</f>
        <v>10</v>
      </c>
      <c r="N2897" t="str">
        <f t="shared" si="145"/>
        <v>AU128:BM139</v>
      </c>
      <c r="O2897" s="4">
        <f t="shared" ca="1" si="146"/>
        <v>139768.875</v>
      </c>
    </row>
    <row r="2898" spans="1:15">
      <c r="A2898" s="2" t="s">
        <v>17</v>
      </c>
      <c r="B2898" t="s">
        <v>37</v>
      </c>
      <c r="C2898" t="s">
        <v>38</v>
      </c>
      <c r="D2898">
        <v>30</v>
      </c>
      <c r="E2898" t="s">
        <v>46</v>
      </c>
      <c r="F2898">
        <v>5</v>
      </c>
      <c r="G2898">
        <v>2</v>
      </c>
      <c r="H2898">
        <v>3</v>
      </c>
      <c r="I2898">
        <v>1</v>
      </c>
      <c r="J2898" s="4" t="s">
        <v>55</v>
      </c>
      <c r="K2898" t="str">
        <f t="shared" si="147"/>
        <v>2+3</v>
      </c>
      <c r="L2898">
        <f>VLOOKUP(A2898,'ZONE 1 PREMIUM'!$A$4:$N$16,14,0)</f>
        <v>8</v>
      </c>
      <c r="M2898">
        <f>VLOOKUP(D2898,DROPDOWN!B:C,2,0)</f>
        <v>10</v>
      </c>
      <c r="N2898" t="str">
        <f t="shared" si="145"/>
        <v>AU128:BM139</v>
      </c>
      <c r="O2898" s="4">
        <f t="shared" ca="1" si="146"/>
        <v>175869</v>
      </c>
    </row>
    <row r="2899" spans="1:15">
      <c r="A2899" s="2" t="s">
        <v>18</v>
      </c>
      <c r="B2899" t="s">
        <v>39</v>
      </c>
      <c r="C2899" t="s">
        <v>40</v>
      </c>
      <c r="D2899">
        <v>30</v>
      </c>
      <c r="E2899" t="s">
        <v>46</v>
      </c>
      <c r="F2899">
        <v>5</v>
      </c>
      <c r="G2899">
        <v>2</v>
      </c>
      <c r="H2899">
        <v>3</v>
      </c>
      <c r="I2899">
        <v>1</v>
      </c>
      <c r="J2899" s="4" t="s">
        <v>55</v>
      </c>
      <c r="K2899" t="str">
        <f t="shared" si="147"/>
        <v>2+3</v>
      </c>
      <c r="L2899">
        <f>VLOOKUP(A2899,'ZONE 1 PREMIUM'!$A$4:$N$16,14,0)</f>
        <v>9</v>
      </c>
      <c r="M2899">
        <f>VLOOKUP(D2899,DROPDOWN!B:C,2,0)</f>
        <v>10</v>
      </c>
      <c r="N2899" t="str">
        <f t="shared" si="145"/>
        <v>AU128:BM139</v>
      </c>
      <c r="O2899" s="4">
        <f t="shared" ca="1" si="146"/>
        <v>228901.5</v>
      </c>
    </row>
    <row r="2900" spans="1:15">
      <c r="A2900" s="2" t="s">
        <v>19</v>
      </c>
      <c r="B2900" t="s">
        <v>41</v>
      </c>
      <c r="C2900" t="s">
        <v>42</v>
      </c>
      <c r="D2900">
        <v>30</v>
      </c>
      <c r="E2900" t="s">
        <v>46</v>
      </c>
      <c r="F2900">
        <v>5</v>
      </c>
      <c r="G2900">
        <v>2</v>
      </c>
      <c r="H2900">
        <v>3</v>
      </c>
      <c r="I2900">
        <v>1</v>
      </c>
      <c r="J2900" s="4" t="s">
        <v>55</v>
      </c>
      <c r="K2900" t="str">
        <f t="shared" si="147"/>
        <v>2+3</v>
      </c>
      <c r="L2900">
        <f>VLOOKUP(A2900,'ZONE 1 PREMIUM'!$A$4:$N$16,14,0)</f>
        <v>10</v>
      </c>
      <c r="M2900">
        <f>VLOOKUP(D2900,DROPDOWN!B:C,2,0)</f>
        <v>10</v>
      </c>
      <c r="N2900" t="str">
        <f t="shared" si="145"/>
        <v>AU128:BM139</v>
      </c>
      <c r="O2900" s="4">
        <f t="shared" ca="1" si="146"/>
        <v>294221.25</v>
      </c>
    </row>
    <row r="2901" spans="1:15">
      <c r="A2901" s="2" t="s">
        <v>20</v>
      </c>
      <c r="B2901" t="s">
        <v>43</v>
      </c>
      <c r="C2901" t="s">
        <v>44</v>
      </c>
      <c r="D2901">
        <v>30</v>
      </c>
      <c r="E2901" t="s">
        <v>46</v>
      </c>
      <c r="F2901">
        <v>5</v>
      </c>
      <c r="G2901">
        <v>2</v>
      </c>
      <c r="H2901">
        <v>3</v>
      </c>
      <c r="I2901">
        <v>1</v>
      </c>
      <c r="J2901" s="4" t="s">
        <v>55</v>
      </c>
      <c r="K2901" t="str">
        <f t="shared" si="147"/>
        <v>2+3</v>
      </c>
      <c r="L2901">
        <f>VLOOKUP(A2901,'ZONE 1 PREMIUM'!$A$4:$N$16,14,0)</f>
        <v>11</v>
      </c>
      <c r="M2901">
        <f>VLOOKUP(D2901,DROPDOWN!B:C,2,0)</f>
        <v>10</v>
      </c>
      <c r="N2901" t="str">
        <f t="shared" si="145"/>
        <v>AU128:BM139</v>
      </c>
      <c r="O2901" s="4">
        <f t="shared" ca="1" si="146"/>
        <v>359687.25</v>
      </c>
    </row>
    <row r="2902" spans="1:15">
      <c r="A2902" s="2" t="s">
        <v>21</v>
      </c>
      <c r="B2902" t="s">
        <v>22</v>
      </c>
      <c r="D2902">
        <v>30</v>
      </c>
      <c r="E2902" t="s">
        <v>46</v>
      </c>
      <c r="F2902">
        <v>5</v>
      </c>
      <c r="G2902">
        <v>2</v>
      </c>
      <c r="H2902">
        <v>3</v>
      </c>
      <c r="I2902">
        <v>1</v>
      </c>
      <c r="J2902" s="4" t="s">
        <v>55</v>
      </c>
      <c r="K2902" t="str">
        <f t="shared" si="147"/>
        <v>2+3</v>
      </c>
      <c r="L2902">
        <f>VLOOKUP(A2902,'ZONE 1 PREMIUM'!$A$4:$N$16,14,0)</f>
        <v>12</v>
      </c>
      <c r="M2902">
        <f>VLOOKUP(D2902,DROPDOWN!B:C,2,0)</f>
        <v>10</v>
      </c>
      <c r="N2902" t="str">
        <f t="shared" si="145"/>
        <v>AU128:BM139</v>
      </c>
      <c r="O2902" s="4">
        <f t="shared" ca="1" si="146"/>
        <v>455519.25</v>
      </c>
    </row>
    <row r="2903" spans="1:15">
      <c r="A2903" s="2" t="s">
        <v>11</v>
      </c>
      <c r="B2903" t="s">
        <v>45</v>
      </c>
      <c r="C2903" t="s">
        <v>25</v>
      </c>
      <c r="D2903">
        <v>30</v>
      </c>
      <c r="E2903" t="s">
        <v>46</v>
      </c>
      <c r="F2903">
        <v>6</v>
      </c>
      <c r="G2903">
        <v>2</v>
      </c>
      <c r="H2903">
        <v>4</v>
      </c>
      <c r="I2903">
        <v>1</v>
      </c>
      <c r="J2903" s="4" t="s">
        <v>55</v>
      </c>
      <c r="K2903" t="str">
        <f t="shared" si="147"/>
        <v>2+4</v>
      </c>
      <c r="L2903">
        <f>VLOOKUP(A2903,'ZONE 1 PREMIUM'!$A$4:$N$16,14,0)</f>
        <v>2</v>
      </c>
      <c r="M2903">
        <f>VLOOKUP(D2903,DROPDOWN!B:C,2,0)</f>
        <v>10</v>
      </c>
      <c r="N2903" t="str">
        <f t="shared" si="145"/>
        <v>AU143:BM154</v>
      </c>
      <c r="O2903" s="4">
        <f t="shared" ca="1" si="146"/>
        <v>73267.875</v>
      </c>
    </row>
    <row r="2904" spans="1:15">
      <c r="A2904" s="2" t="s">
        <v>12</v>
      </c>
      <c r="B2904" t="s">
        <v>27</v>
      </c>
      <c r="C2904" t="s">
        <v>28</v>
      </c>
      <c r="D2904">
        <v>30</v>
      </c>
      <c r="E2904" t="s">
        <v>46</v>
      </c>
      <c r="F2904">
        <v>6</v>
      </c>
      <c r="G2904">
        <v>2</v>
      </c>
      <c r="H2904">
        <v>4</v>
      </c>
      <c r="I2904">
        <v>1</v>
      </c>
      <c r="J2904" s="4" t="s">
        <v>55</v>
      </c>
      <c r="K2904" t="str">
        <f t="shared" si="147"/>
        <v>2+4</v>
      </c>
      <c r="L2904">
        <f>VLOOKUP(A2904,'ZONE 1 PREMIUM'!$A$4:$N$16,14,0)</f>
        <v>3</v>
      </c>
      <c r="M2904">
        <f>VLOOKUP(D2904,DROPDOWN!B:C,2,0)</f>
        <v>10</v>
      </c>
      <c r="N2904" t="str">
        <f t="shared" si="145"/>
        <v>AU143:BM154</v>
      </c>
      <c r="O2904" s="4">
        <f t="shared" ca="1" si="146"/>
        <v>77972.625</v>
      </c>
    </row>
    <row r="2905" spans="1:15">
      <c r="A2905" s="2" t="s">
        <v>13</v>
      </c>
      <c r="B2905" t="s">
        <v>29</v>
      </c>
      <c r="C2905" t="s">
        <v>30</v>
      </c>
      <c r="D2905">
        <v>30</v>
      </c>
      <c r="E2905" t="s">
        <v>46</v>
      </c>
      <c r="F2905">
        <v>6</v>
      </c>
      <c r="G2905">
        <v>2</v>
      </c>
      <c r="H2905">
        <v>4</v>
      </c>
      <c r="I2905">
        <v>1</v>
      </c>
      <c r="J2905" s="4" t="s">
        <v>55</v>
      </c>
      <c r="K2905" t="str">
        <f t="shared" si="147"/>
        <v>2+4</v>
      </c>
      <c r="L2905">
        <f>VLOOKUP(A2905,'ZONE 1 PREMIUM'!$A$4:$N$16,14,0)</f>
        <v>4</v>
      </c>
      <c r="M2905">
        <f>VLOOKUP(D2905,DROPDOWN!B:C,2,0)</f>
        <v>10</v>
      </c>
      <c r="N2905" t="str">
        <f t="shared" si="145"/>
        <v>AU143:BM154</v>
      </c>
      <c r="O2905" s="4">
        <f t="shared" ca="1" si="146"/>
        <v>88607.25</v>
      </c>
    </row>
    <row r="2906" spans="1:15">
      <c r="A2906" s="2" t="s">
        <v>14</v>
      </c>
      <c r="B2906" t="s">
        <v>31</v>
      </c>
      <c r="C2906" t="s">
        <v>32</v>
      </c>
      <c r="D2906">
        <v>30</v>
      </c>
      <c r="E2906" t="s">
        <v>46</v>
      </c>
      <c r="F2906">
        <v>6</v>
      </c>
      <c r="G2906">
        <v>2</v>
      </c>
      <c r="H2906">
        <v>4</v>
      </c>
      <c r="I2906">
        <v>1</v>
      </c>
      <c r="J2906" s="4" t="s">
        <v>55</v>
      </c>
      <c r="K2906" t="str">
        <f t="shared" si="147"/>
        <v>2+4</v>
      </c>
      <c r="L2906">
        <f>VLOOKUP(A2906,'ZONE 1 PREMIUM'!$A$4:$N$16,14,0)</f>
        <v>5</v>
      </c>
      <c r="M2906">
        <f>VLOOKUP(D2906,DROPDOWN!B:C,2,0)</f>
        <v>10</v>
      </c>
      <c r="N2906" t="str">
        <f t="shared" si="145"/>
        <v>AU143:BM154</v>
      </c>
      <c r="O2906" s="4">
        <f t="shared" ca="1" si="146"/>
        <v>99270</v>
      </c>
    </row>
    <row r="2907" spans="1:15">
      <c r="A2907" s="2" t="s">
        <v>15</v>
      </c>
      <c r="B2907" t="s">
        <v>33</v>
      </c>
      <c r="C2907" t="s">
        <v>34</v>
      </c>
      <c r="D2907">
        <v>30</v>
      </c>
      <c r="E2907" t="s">
        <v>46</v>
      </c>
      <c r="F2907">
        <v>6</v>
      </c>
      <c r="G2907">
        <v>2</v>
      </c>
      <c r="H2907">
        <v>4</v>
      </c>
      <c r="I2907">
        <v>1</v>
      </c>
      <c r="J2907" s="4" t="s">
        <v>55</v>
      </c>
      <c r="K2907" t="str">
        <f t="shared" si="147"/>
        <v>2+4</v>
      </c>
      <c r="L2907">
        <f>VLOOKUP(A2907,'ZONE 1 PREMIUM'!$A$4:$N$16,14,0)</f>
        <v>6</v>
      </c>
      <c r="M2907">
        <f>VLOOKUP(D2907,DROPDOWN!B:C,2,0)</f>
        <v>10</v>
      </c>
      <c r="N2907" t="str">
        <f t="shared" si="145"/>
        <v>AU143:BM154</v>
      </c>
      <c r="O2907" s="4">
        <f t="shared" ca="1" si="146"/>
        <v>120962.25</v>
      </c>
    </row>
    <row r="2908" spans="1:15">
      <c r="A2908" s="2" t="s">
        <v>16</v>
      </c>
      <c r="B2908" t="s">
        <v>35</v>
      </c>
      <c r="C2908" t="s">
        <v>36</v>
      </c>
      <c r="D2908">
        <v>30</v>
      </c>
      <c r="E2908" t="s">
        <v>46</v>
      </c>
      <c r="F2908">
        <v>6</v>
      </c>
      <c r="G2908">
        <v>2</v>
      </c>
      <c r="H2908">
        <v>4</v>
      </c>
      <c r="I2908">
        <v>1</v>
      </c>
      <c r="J2908" s="4" t="s">
        <v>55</v>
      </c>
      <c r="K2908" t="str">
        <f t="shared" si="147"/>
        <v>2+4</v>
      </c>
      <c r="L2908">
        <f>VLOOKUP(A2908,'ZONE 1 PREMIUM'!$A$4:$N$16,14,0)</f>
        <v>7</v>
      </c>
      <c r="M2908">
        <f>VLOOKUP(D2908,DROPDOWN!B:C,2,0)</f>
        <v>10</v>
      </c>
      <c r="N2908" t="str">
        <f t="shared" si="145"/>
        <v>AU143:BM154</v>
      </c>
      <c r="O2908" s="4">
        <f t="shared" ca="1" si="146"/>
        <v>150403.5</v>
      </c>
    </row>
    <row r="2909" spans="1:15">
      <c r="A2909" s="2" t="s">
        <v>17</v>
      </c>
      <c r="B2909" t="s">
        <v>37</v>
      </c>
      <c r="C2909" t="s">
        <v>38</v>
      </c>
      <c r="D2909">
        <v>30</v>
      </c>
      <c r="E2909" t="s">
        <v>46</v>
      </c>
      <c r="F2909">
        <v>6</v>
      </c>
      <c r="G2909">
        <v>2</v>
      </c>
      <c r="H2909">
        <v>4</v>
      </c>
      <c r="I2909">
        <v>1</v>
      </c>
      <c r="J2909" s="4" t="s">
        <v>55</v>
      </c>
      <c r="K2909" t="str">
        <f t="shared" si="147"/>
        <v>2+4</v>
      </c>
      <c r="L2909">
        <f>VLOOKUP(A2909,'ZONE 1 PREMIUM'!$A$4:$N$16,14,0)</f>
        <v>8</v>
      </c>
      <c r="M2909">
        <f>VLOOKUP(D2909,DROPDOWN!B:C,2,0)</f>
        <v>10</v>
      </c>
      <c r="N2909" t="str">
        <f t="shared" si="145"/>
        <v>AU143:BM154</v>
      </c>
      <c r="O2909" s="4">
        <f t="shared" ca="1" si="146"/>
        <v>186522.75</v>
      </c>
    </row>
    <row r="2910" spans="1:15">
      <c r="A2910" s="2" t="s">
        <v>18</v>
      </c>
      <c r="B2910" t="s">
        <v>39</v>
      </c>
      <c r="C2910" t="s">
        <v>40</v>
      </c>
      <c r="D2910">
        <v>30</v>
      </c>
      <c r="E2910" t="s">
        <v>46</v>
      </c>
      <c r="F2910">
        <v>6</v>
      </c>
      <c r="G2910">
        <v>2</v>
      </c>
      <c r="H2910">
        <v>4</v>
      </c>
      <c r="I2910">
        <v>1</v>
      </c>
      <c r="J2910" s="4" t="s">
        <v>55</v>
      </c>
      <c r="K2910" t="str">
        <f t="shared" si="147"/>
        <v>2+4</v>
      </c>
      <c r="L2910">
        <f>VLOOKUP(A2910,'ZONE 1 PREMIUM'!$A$4:$N$16,14,0)</f>
        <v>9</v>
      </c>
      <c r="M2910">
        <f>VLOOKUP(D2910,DROPDOWN!B:C,2,0)</f>
        <v>10</v>
      </c>
      <c r="N2910" t="str">
        <f t="shared" si="145"/>
        <v>AU143:BM154</v>
      </c>
      <c r="O2910" s="4">
        <f t="shared" ca="1" si="146"/>
        <v>239168.25</v>
      </c>
    </row>
    <row r="2911" spans="1:15">
      <c r="A2911" s="2" t="s">
        <v>19</v>
      </c>
      <c r="B2911" t="s">
        <v>41</v>
      </c>
      <c r="C2911" t="s">
        <v>42</v>
      </c>
      <c r="D2911">
        <v>30</v>
      </c>
      <c r="E2911" t="s">
        <v>46</v>
      </c>
      <c r="F2911">
        <v>6</v>
      </c>
      <c r="G2911">
        <v>2</v>
      </c>
      <c r="H2911">
        <v>4</v>
      </c>
      <c r="I2911">
        <v>1</v>
      </c>
      <c r="J2911" s="4" t="s">
        <v>55</v>
      </c>
      <c r="K2911" t="str">
        <f t="shared" si="147"/>
        <v>2+4</v>
      </c>
      <c r="L2911">
        <f>VLOOKUP(A2911,'ZONE 1 PREMIUM'!$A$4:$N$16,14,0)</f>
        <v>10</v>
      </c>
      <c r="M2911">
        <f>VLOOKUP(D2911,DROPDOWN!B:C,2,0)</f>
        <v>10</v>
      </c>
      <c r="N2911" t="str">
        <f t="shared" si="145"/>
        <v>AU143:BM154</v>
      </c>
      <c r="O2911" s="4">
        <f t="shared" ca="1" si="146"/>
        <v>305534.25</v>
      </c>
    </row>
    <row r="2912" spans="1:15">
      <c r="A2912" s="2" t="s">
        <v>20</v>
      </c>
      <c r="B2912" t="s">
        <v>43</v>
      </c>
      <c r="C2912" t="s">
        <v>44</v>
      </c>
      <c r="D2912">
        <v>30</v>
      </c>
      <c r="E2912" t="s">
        <v>46</v>
      </c>
      <c r="F2912">
        <v>6</v>
      </c>
      <c r="G2912">
        <v>2</v>
      </c>
      <c r="H2912">
        <v>4</v>
      </c>
      <c r="I2912">
        <v>1</v>
      </c>
      <c r="J2912" s="4" t="s">
        <v>55</v>
      </c>
      <c r="K2912" t="str">
        <f t="shared" si="147"/>
        <v>2+4</v>
      </c>
      <c r="L2912">
        <f>VLOOKUP(A2912,'ZONE 1 PREMIUM'!$A$4:$N$16,14,0)</f>
        <v>11</v>
      </c>
      <c r="M2912">
        <f>VLOOKUP(D2912,DROPDOWN!B:C,2,0)</f>
        <v>10</v>
      </c>
      <c r="N2912" t="str">
        <f t="shared" si="145"/>
        <v>AU143:BM154</v>
      </c>
      <c r="O2912" s="4">
        <f t="shared" ca="1" si="146"/>
        <v>370186.875</v>
      </c>
    </row>
    <row r="2913" spans="1:15">
      <c r="A2913" s="2" t="s">
        <v>21</v>
      </c>
      <c r="B2913" t="s">
        <v>22</v>
      </c>
      <c r="D2913">
        <v>30</v>
      </c>
      <c r="E2913" t="s">
        <v>46</v>
      </c>
      <c r="F2913">
        <v>6</v>
      </c>
      <c r="G2913">
        <v>2</v>
      </c>
      <c r="H2913">
        <v>4</v>
      </c>
      <c r="I2913">
        <v>1</v>
      </c>
      <c r="J2913" s="4" t="s">
        <v>55</v>
      </c>
      <c r="K2913" t="str">
        <f t="shared" si="147"/>
        <v>2+4</v>
      </c>
      <c r="L2913">
        <f>VLOOKUP(A2913,'ZONE 1 PREMIUM'!$A$4:$N$16,14,0)</f>
        <v>12</v>
      </c>
      <c r="M2913">
        <f>VLOOKUP(D2913,DROPDOWN!B:C,2,0)</f>
        <v>10</v>
      </c>
      <c r="N2913" t="str">
        <f t="shared" si="145"/>
        <v>AU143:BM154</v>
      </c>
      <c r="O2913" s="4">
        <f t="shared" ca="1" si="146"/>
        <v>464240.25</v>
      </c>
    </row>
    <row r="2914" spans="1:15">
      <c r="A2914" s="2" t="s">
        <v>9</v>
      </c>
      <c r="B2914" t="s">
        <v>47</v>
      </c>
      <c r="C2914" t="s">
        <v>48</v>
      </c>
      <c r="D2914">
        <v>30</v>
      </c>
      <c r="E2914" t="s">
        <v>26</v>
      </c>
      <c r="F2914">
        <v>1</v>
      </c>
      <c r="H2914">
        <v>1</v>
      </c>
      <c r="I2914">
        <v>1</v>
      </c>
      <c r="J2914" s="4" t="s">
        <v>53</v>
      </c>
      <c r="K2914" t="str">
        <f t="shared" si="147"/>
        <v>+1</v>
      </c>
      <c r="N2914" t="e">
        <f t="shared" ref="N2914:N2977" si="148">VLOOKUP(K2914,$CK$3:$CL$12,2,0)</f>
        <v>#N/A</v>
      </c>
      <c r="O2914" s="13">
        <v>5135.3021809564889</v>
      </c>
    </row>
    <row r="2915" spans="1:15">
      <c r="A2915" s="2" t="s">
        <v>10</v>
      </c>
      <c r="B2915" t="s">
        <v>49</v>
      </c>
      <c r="C2915" t="s">
        <v>50</v>
      </c>
      <c r="D2915">
        <v>30</v>
      </c>
      <c r="E2915" t="s">
        <v>26</v>
      </c>
      <c r="F2915">
        <v>1</v>
      </c>
      <c r="G2915">
        <v>1</v>
      </c>
      <c r="H2915">
        <v>0</v>
      </c>
      <c r="I2915">
        <v>1</v>
      </c>
      <c r="J2915" s="4" t="s">
        <v>53</v>
      </c>
      <c r="K2915" t="str">
        <f t="shared" si="147"/>
        <v>1+0</v>
      </c>
      <c r="L2915">
        <f>VLOOKUP(A2915,'ZONE 1 PREMIUM'!$A$3:$M$16,13,0)</f>
        <v>3</v>
      </c>
      <c r="M2915">
        <f>VLOOKUP(D2915,DROPDOWN!B:C,2,0)</f>
        <v>10</v>
      </c>
      <c r="N2915" t="str">
        <f t="shared" si="148"/>
        <v>BR3:CJ16</v>
      </c>
      <c r="O2915" s="4">
        <f t="shared" ca="1" si="146"/>
        <v>8484.3000000000011</v>
      </c>
    </row>
    <row r="2916" spans="1:15">
      <c r="A2916" s="2" t="s">
        <v>11</v>
      </c>
      <c r="B2916" t="s">
        <v>45</v>
      </c>
      <c r="C2916" t="s">
        <v>25</v>
      </c>
      <c r="D2916">
        <v>30</v>
      </c>
      <c r="E2916" t="s">
        <v>26</v>
      </c>
      <c r="F2916">
        <v>1</v>
      </c>
      <c r="G2916">
        <v>1</v>
      </c>
      <c r="H2916">
        <v>0</v>
      </c>
      <c r="I2916">
        <v>1</v>
      </c>
      <c r="J2916" s="4" t="s">
        <v>53</v>
      </c>
      <c r="K2916" t="str">
        <f t="shared" si="147"/>
        <v>1+0</v>
      </c>
      <c r="L2916">
        <f>VLOOKUP(A2916,'ZONE 1 PREMIUM'!$A$3:$M$16,13,0)</f>
        <v>4</v>
      </c>
      <c r="M2916">
        <f>VLOOKUP(D2916,DROPDOWN!B:C,2,0)</f>
        <v>10</v>
      </c>
      <c r="N2916" t="str">
        <f t="shared" si="148"/>
        <v>BR3:CJ16</v>
      </c>
      <c r="O2916" s="4">
        <f t="shared" ca="1" si="146"/>
        <v>23386.000000000004</v>
      </c>
    </row>
    <row r="2917" spans="1:15">
      <c r="A2917" s="2" t="s">
        <v>12</v>
      </c>
      <c r="B2917" t="s">
        <v>27</v>
      </c>
      <c r="C2917" t="s">
        <v>28</v>
      </c>
      <c r="D2917">
        <v>30</v>
      </c>
      <c r="E2917" t="s">
        <v>26</v>
      </c>
      <c r="F2917">
        <v>1</v>
      </c>
      <c r="G2917">
        <v>1</v>
      </c>
      <c r="H2917">
        <v>0</v>
      </c>
      <c r="I2917">
        <v>1</v>
      </c>
      <c r="J2917" s="4" t="s">
        <v>53</v>
      </c>
      <c r="K2917" t="str">
        <f t="shared" si="147"/>
        <v>1+0</v>
      </c>
      <c r="L2917">
        <f>VLOOKUP(A2917,'ZONE 1 PREMIUM'!$A$3:$M$16,13,0)</f>
        <v>5</v>
      </c>
      <c r="M2917">
        <f>VLOOKUP(D2917,DROPDOWN!B:C,2,0)</f>
        <v>10</v>
      </c>
      <c r="N2917" t="str">
        <f t="shared" si="148"/>
        <v>BR3:CJ16</v>
      </c>
      <c r="O2917" s="4">
        <f t="shared" ca="1" si="146"/>
        <v>26717.9</v>
      </c>
    </row>
    <row r="2918" spans="1:15">
      <c r="A2918" s="2" t="s">
        <v>13</v>
      </c>
      <c r="B2918" t="s">
        <v>29</v>
      </c>
      <c r="C2918" t="s">
        <v>30</v>
      </c>
      <c r="D2918">
        <v>30</v>
      </c>
      <c r="E2918" t="s">
        <v>26</v>
      </c>
      <c r="F2918">
        <v>1</v>
      </c>
      <c r="G2918">
        <v>1</v>
      </c>
      <c r="H2918">
        <v>0</v>
      </c>
      <c r="I2918">
        <v>1</v>
      </c>
      <c r="J2918" s="4" t="s">
        <v>53</v>
      </c>
      <c r="K2918" t="str">
        <f t="shared" si="147"/>
        <v>1+0</v>
      </c>
      <c r="L2918">
        <f>VLOOKUP(A2918,'ZONE 1 PREMIUM'!$A$3:$M$16,13,0)</f>
        <v>6</v>
      </c>
      <c r="M2918">
        <f>VLOOKUP(D2918,DROPDOWN!B:C,2,0)</f>
        <v>10</v>
      </c>
      <c r="N2918" t="str">
        <f t="shared" si="148"/>
        <v>BR3:CJ16</v>
      </c>
      <c r="O2918" s="4">
        <f t="shared" ca="1" si="146"/>
        <v>30910.000000000004</v>
      </c>
    </row>
    <row r="2919" spans="1:15">
      <c r="A2919" s="2" t="s">
        <v>14</v>
      </c>
      <c r="B2919" t="s">
        <v>31</v>
      </c>
      <c r="C2919" t="s">
        <v>32</v>
      </c>
      <c r="D2919">
        <v>30</v>
      </c>
      <c r="E2919" t="s">
        <v>26</v>
      </c>
      <c r="F2919">
        <v>1</v>
      </c>
      <c r="G2919">
        <v>1</v>
      </c>
      <c r="H2919">
        <v>0</v>
      </c>
      <c r="I2919">
        <v>1</v>
      </c>
      <c r="J2919" s="4" t="s">
        <v>53</v>
      </c>
      <c r="K2919" t="str">
        <f t="shared" si="147"/>
        <v>1+0</v>
      </c>
      <c r="L2919">
        <f>VLOOKUP(A2919,'ZONE 1 PREMIUM'!$A$3:$M$16,13,0)</f>
        <v>7</v>
      </c>
      <c r="M2919">
        <f>VLOOKUP(D2919,DROPDOWN!B:C,2,0)</f>
        <v>10</v>
      </c>
      <c r="N2919" t="str">
        <f t="shared" si="148"/>
        <v>BR3:CJ16</v>
      </c>
      <c r="O2919" s="4">
        <f t="shared" ca="1" si="146"/>
        <v>35858.9</v>
      </c>
    </row>
    <row r="2920" spans="1:15">
      <c r="A2920" s="2" t="s">
        <v>15</v>
      </c>
      <c r="B2920" t="s">
        <v>33</v>
      </c>
      <c r="C2920" t="s">
        <v>34</v>
      </c>
      <c r="D2920">
        <v>30</v>
      </c>
      <c r="E2920" t="s">
        <v>26</v>
      </c>
      <c r="F2920">
        <v>1</v>
      </c>
      <c r="G2920">
        <v>1</v>
      </c>
      <c r="H2920">
        <v>0</v>
      </c>
      <c r="I2920">
        <v>1</v>
      </c>
      <c r="J2920" s="4" t="s">
        <v>53</v>
      </c>
      <c r="K2920" t="str">
        <f t="shared" si="147"/>
        <v>1+0</v>
      </c>
      <c r="L2920">
        <f>VLOOKUP(A2920,'ZONE 1 PREMIUM'!$A$3:$M$16,13,0)</f>
        <v>8</v>
      </c>
      <c r="M2920">
        <f>VLOOKUP(D2920,DROPDOWN!B:C,2,0)</f>
        <v>10</v>
      </c>
      <c r="N2920" t="str">
        <f t="shared" si="148"/>
        <v>BR3:CJ16</v>
      </c>
      <c r="O2920" s="4">
        <f t="shared" ca="1" si="146"/>
        <v>44731.5</v>
      </c>
    </row>
    <row r="2921" spans="1:15">
      <c r="A2921" s="2" t="s">
        <v>16</v>
      </c>
      <c r="B2921" t="s">
        <v>35</v>
      </c>
      <c r="C2921" t="s">
        <v>36</v>
      </c>
      <c r="D2921">
        <v>30</v>
      </c>
      <c r="E2921" t="s">
        <v>26</v>
      </c>
      <c r="F2921">
        <v>1</v>
      </c>
      <c r="G2921">
        <v>1</v>
      </c>
      <c r="H2921">
        <v>0</v>
      </c>
      <c r="I2921">
        <v>1</v>
      </c>
      <c r="J2921" s="4" t="s">
        <v>53</v>
      </c>
      <c r="K2921" t="str">
        <f t="shared" si="147"/>
        <v>1+0</v>
      </c>
      <c r="L2921">
        <f>VLOOKUP(A2921,'ZONE 1 PREMIUM'!$A$3:$M$16,13,0)</f>
        <v>9</v>
      </c>
      <c r="M2921">
        <f>VLOOKUP(D2921,DROPDOWN!B:C,2,0)</f>
        <v>10</v>
      </c>
      <c r="N2921" t="str">
        <f t="shared" si="148"/>
        <v>BR3:CJ16</v>
      </c>
      <c r="O2921" s="4">
        <f t="shared" ca="1" si="146"/>
        <v>59140.4</v>
      </c>
    </row>
    <row r="2922" spans="1:15">
      <c r="A2922" s="2" t="s">
        <v>17</v>
      </c>
      <c r="B2922" t="s">
        <v>37</v>
      </c>
      <c r="C2922" t="s">
        <v>38</v>
      </c>
      <c r="D2922">
        <v>30</v>
      </c>
      <c r="E2922" t="s">
        <v>26</v>
      </c>
      <c r="F2922">
        <v>1</v>
      </c>
      <c r="G2922">
        <v>1</v>
      </c>
      <c r="H2922">
        <v>0</v>
      </c>
      <c r="I2922">
        <v>1</v>
      </c>
      <c r="J2922" s="4" t="s">
        <v>53</v>
      </c>
      <c r="K2922" t="str">
        <f t="shared" si="147"/>
        <v>1+0</v>
      </c>
      <c r="L2922">
        <f>VLOOKUP(A2922,'ZONE 1 PREMIUM'!$A$3:$M$16,13,0)</f>
        <v>10</v>
      </c>
      <c r="M2922">
        <f>VLOOKUP(D2922,DROPDOWN!B:C,2,0)</f>
        <v>10</v>
      </c>
      <c r="N2922" t="str">
        <f t="shared" si="148"/>
        <v>BR3:CJ16</v>
      </c>
      <c r="O2922" s="4">
        <f t="shared" ca="1" si="146"/>
        <v>79505.8</v>
      </c>
    </row>
    <row r="2923" spans="1:15">
      <c r="A2923" s="2" t="s">
        <v>18</v>
      </c>
      <c r="B2923" t="s">
        <v>39</v>
      </c>
      <c r="C2923" t="s">
        <v>40</v>
      </c>
      <c r="D2923">
        <v>30</v>
      </c>
      <c r="E2923" t="s">
        <v>26</v>
      </c>
      <c r="F2923">
        <v>1</v>
      </c>
      <c r="G2923">
        <v>1</v>
      </c>
      <c r="H2923">
        <v>0</v>
      </c>
      <c r="I2923">
        <v>1</v>
      </c>
      <c r="J2923" s="4" t="s">
        <v>53</v>
      </c>
      <c r="K2923" t="str">
        <f t="shared" si="147"/>
        <v>1+0</v>
      </c>
      <c r="L2923">
        <f>VLOOKUP(A2923,'ZONE 1 PREMIUM'!$A$3:$M$16,13,0)</f>
        <v>11</v>
      </c>
      <c r="M2923">
        <f>VLOOKUP(D2923,DROPDOWN!B:C,2,0)</f>
        <v>10</v>
      </c>
      <c r="N2923" t="str">
        <f t="shared" si="148"/>
        <v>BR3:CJ16</v>
      </c>
      <c r="O2923" s="4">
        <f t="shared" ca="1" si="146"/>
        <v>110078.1</v>
      </c>
    </row>
    <row r="2924" spans="1:15">
      <c r="A2924" s="2" t="s">
        <v>19</v>
      </c>
      <c r="B2924" t="s">
        <v>41</v>
      </c>
      <c r="C2924" t="s">
        <v>42</v>
      </c>
      <c r="D2924">
        <v>30</v>
      </c>
      <c r="E2924" t="s">
        <v>26</v>
      </c>
      <c r="F2924">
        <v>1</v>
      </c>
      <c r="G2924">
        <v>1</v>
      </c>
      <c r="H2924">
        <v>0</v>
      </c>
      <c r="I2924">
        <v>1</v>
      </c>
      <c r="J2924" s="4" t="s">
        <v>53</v>
      </c>
      <c r="K2924" t="str">
        <f t="shared" si="147"/>
        <v>1+0</v>
      </c>
      <c r="L2924">
        <f>VLOOKUP(A2924,'ZONE 1 PREMIUM'!$A$3:$M$16,13,0)</f>
        <v>12</v>
      </c>
      <c r="M2924">
        <f>VLOOKUP(D2924,DROPDOWN!B:C,2,0)</f>
        <v>10</v>
      </c>
      <c r="N2924" t="str">
        <f t="shared" si="148"/>
        <v>BR3:CJ16</v>
      </c>
      <c r="O2924" s="4">
        <f t="shared" ca="1" si="146"/>
        <v>143482.90000000002</v>
      </c>
    </row>
    <row r="2925" spans="1:15">
      <c r="A2925" s="2" t="s">
        <v>20</v>
      </c>
      <c r="B2925" t="s">
        <v>43</v>
      </c>
      <c r="C2925" t="s">
        <v>44</v>
      </c>
      <c r="D2925">
        <v>30</v>
      </c>
      <c r="E2925" t="s">
        <v>26</v>
      </c>
      <c r="F2925">
        <v>1</v>
      </c>
      <c r="G2925">
        <v>1</v>
      </c>
      <c r="H2925">
        <v>0</v>
      </c>
      <c r="I2925">
        <v>1</v>
      </c>
      <c r="J2925" s="4" t="s">
        <v>53</v>
      </c>
      <c r="K2925" t="str">
        <f t="shared" si="147"/>
        <v>1+0</v>
      </c>
      <c r="L2925">
        <f>VLOOKUP(A2925,'ZONE 1 PREMIUM'!$A$3:$M$16,13,0)</f>
        <v>13</v>
      </c>
      <c r="M2925">
        <f>VLOOKUP(D2925,DROPDOWN!B:C,2,0)</f>
        <v>10</v>
      </c>
      <c r="N2925" t="str">
        <f t="shared" si="148"/>
        <v>BR3:CJ16</v>
      </c>
      <c r="O2925" s="4">
        <f t="shared" ca="1" si="146"/>
        <v>173064.1</v>
      </c>
    </row>
    <row r="2926" spans="1:15">
      <c r="A2926" s="2" t="s">
        <v>21</v>
      </c>
      <c r="B2926" t="s">
        <v>22</v>
      </c>
      <c r="D2926">
        <v>30</v>
      </c>
      <c r="E2926" t="s">
        <v>26</v>
      </c>
      <c r="F2926">
        <v>1</v>
      </c>
      <c r="G2926">
        <v>1</v>
      </c>
      <c r="H2926">
        <v>0</v>
      </c>
      <c r="I2926">
        <v>1</v>
      </c>
      <c r="J2926" s="4" t="s">
        <v>53</v>
      </c>
      <c r="K2926" t="str">
        <f t="shared" si="147"/>
        <v>1+0</v>
      </c>
      <c r="L2926">
        <f>VLOOKUP(A2926,'ZONE 1 PREMIUM'!$A$3:$M$16,13,0)</f>
        <v>14</v>
      </c>
      <c r="M2926">
        <f>VLOOKUP(D2926,DROPDOWN!B:C,2,0)</f>
        <v>10</v>
      </c>
      <c r="N2926" t="str">
        <f t="shared" si="148"/>
        <v>BR3:CJ16</v>
      </c>
      <c r="O2926" s="4">
        <f t="shared" ca="1" si="146"/>
        <v>233333.1</v>
      </c>
    </row>
    <row r="2927" spans="1:15">
      <c r="A2927" s="2" t="s">
        <v>11</v>
      </c>
      <c r="B2927" t="s">
        <v>45</v>
      </c>
      <c r="C2927" t="s">
        <v>25</v>
      </c>
      <c r="D2927">
        <v>30</v>
      </c>
      <c r="E2927" t="s">
        <v>46</v>
      </c>
      <c r="F2927">
        <v>2</v>
      </c>
      <c r="G2927">
        <v>1</v>
      </c>
      <c r="H2927">
        <v>1</v>
      </c>
      <c r="I2927">
        <v>1</v>
      </c>
      <c r="J2927" s="4" t="s">
        <v>53</v>
      </c>
      <c r="K2927" t="str">
        <f t="shared" si="147"/>
        <v>1+1</v>
      </c>
      <c r="L2927">
        <f>VLOOKUP(A2927,'ZONE 1 PREMIUM'!$A$4:$N$16,14,0)</f>
        <v>2</v>
      </c>
      <c r="M2927">
        <f>VLOOKUP(D2927,DROPDOWN!B:C,2,0)</f>
        <v>10</v>
      </c>
      <c r="N2927" t="str">
        <f t="shared" si="148"/>
        <v>BR20:CJ31</v>
      </c>
      <c r="O2927" s="4">
        <f t="shared" ca="1" si="146"/>
        <v>26187.7</v>
      </c>
    </row>
    <row r="2928" spans="1:15">
      <c r="A2928" s="2" t="s">
        <v>12</v>
      </c>
      <c r="B2928" t="s">
        <v>27</v>
      </c>
      <c r="C2928" t="s">
        <v>28</v>
      </c>
      <c r="D2928">
        <v>30</v>
      </c>
      <c r="E2928" t="s">
        <v>46</v>
      </c>
      <c r="F2928">
        <v>2</v>
      </c>
      <c r="G2928">
        <v>1</v>
      </c>
      <c r="H2928">
        <v>1</v>
      </c>
      <c r="I2928">
        <v>1</v>
      </c>
      <c r="J2928" s="4" t="s">
        <v>53</v>
      </c>
      <c r="K2928" t="str">
        <f t="shared" si="147"/>
        <v>1+1</v>
      </c>
      <c r="L2928">
        <f>VLOOKUP(A2928,'ZONE 1 PREMIUM'!$A$4:$N$16,14,0)</f>
        <v>3</v>
      </c>
      <c r="M2928">
        <f>VLOOKUP(D2928,DROPDOWN!B:C,2,0)</f>
        <v>10</v>
      </c>
      <c r="N2928" t="str">
        <f t="shared" si="148"/>
        <v>BR20:CJ31</v>
      </c>
      <c r="O2928" s="4">
        <f t="shared" ca="1" si="146"/>
        <v>28843.100000000002</v>
      </c>
    </row>
    <row r="2929" spans="1:15">
      <c r="A2929" s="2" t="s">
        <v>13</v>
      </c>
      <c r="B2929" t="s">
        <v>29</v>
      </c>
      <c r="C2929" t="s">
        <v>30</v>
      </c>
      <c r="D2929">
        <v>30</v>
      </c>
      <c r="E2929" t="s">
        <v>46</v>
      </c>
      <c r="F2929">
        <v>2</v>
      </c>
      <c r="G2929">
        <v>1</v>
      </c>
      <c r="H2929">
        <v>1</v>
      </c>
      <c r="I2929">
        <v>1</v>
      </c>
      <c r="J2929" s="4" t="s">
        <v>53</v>
      </c>
      <c r="K2929" t="str">
        <f t="shared" si="147"/>
        <v>1+1</v>
      </c>
      <c r="L2929">
        <f>VLOOKUP(A2929,'ZONE 1 PREMIUM'!$A$4:$N$16,14,0)</f>
        <v>4</v>
      </c>
      <c r="M2929">
        <f>VLOOKUP(D2929,DROPDOWN!B:C,2,0)</f>
        <v>10</v>
      </c>
      <c r="N2929" t="str">
        <f t="shared" si="148"/>
        <v>BR20:CJ31</v>
      </c>
      <c r="O2929" s="4">
        <f t="shared" ca="1" si="146"/>
        <v>33477.4</v>
      </c>
    </row>
    <row r="2930" spans="1:15">
      <c r="A2930" s="2" t="s">
        <v>14</v>
      </c>
      <c r="B2930" t="s">
        <v>31</v>
      </c>
      <c r="C2930" t="s">
        <v>32</v>
      </c>
      <c r="D2930">
        <v>30</v>
      </c>
      <c r="E2930" t="s">
        <v>46</v>
      </c>
      <c r="F2930">
        <v>2</v>
      </c>
      <c r="G2930">
        <v>1</v>
      </c>
      <c r="H2930">
        <v>1</v>
      </c>
      <c r="I2930">
        <v>1</v>
      </c>
      <c r="J2930" s="4" t="s">
        <v>53</v>
      </c>
      <c r="K2930" t="str">
        <f t="shared" si="147"/>
        <v>1+1</v>
      </c>
      <c r="L2930">
        <f>VLOOKUP(A2930,'ZONE 1 PREMIUM'!$A$4:$N$16,14,0)</f>
        <v>5</v>
      </c>
      <c r="M2930">
        <f>VLOOKUP(D2930,DROPDOWN!B:C,2,0)</f>
        <v>10</v>
      </c>
      <c r="N2930" t="str">
        <f t="shared" si="148"/>
        <v>BR20:CJ31</v>
      </c>
      <c r="O2930" s="4">
        <f t="shared" ca="1" si="146"/>
        <v>39351.4</v>
      </c>
    </row>
    <row r="2931" spans="1:15">
      <c r="A2931" s="2" t="s">
        <v>15</v>
      </c>
      <c r="B2931" t="s">
        <v>33</v>
      </c>
      <c r="C2931" t="s">
        <v>34</v>
      </c>
      <c r="D2931">
        <v>30</v>
      </c>
      <c r="E2931" t="s">
        <v>46</v>
      </c>
      <c r="F2931">
        <v>2</v>
      </c>
      <c r="G2931">
        <v>1</v>
      </c>
      <c r="H2931">
        <v>1</v>
      </c>
      <c r="I2931">
        <v>1</v>
      </c>
      <c r="J2931" s="4" t="s">
        <v>53</v>
      </c>
      <c r="K2931" t="str">
        <f t="shared" si="147"/>
        <v>1+1</v>
      </c>
      <c r="L2931">
        <f>VLOOKUP(A2931,'ZONE 1 PREMIUM'!$A$4:$N$16,14,0)</f>
        <v>6</v>
      </c>
      <c r="M2931">
        <f>VLOOKUP(D2931,DROPDOWN!B:C,2,0)</f>
        <v>10</v>
      </c>
      <c r="N2931" t="str">
        <f t="shared" si="148"/>
        <v>BR20:CJ31</v>
      </c>
      <c r="O2931" s="4">
        <f t="shared" ca="1" si="146"/>
        <v>48683.8</v>
      </c>
    </row>
    <row r="2932" spans="1:15">
      <c r="A2932" s="2" t="s">
        <v>16</v>
      </c>
      <c r="B2932" t="s">
        <v>35</v>
      </c>
      <c r="C2932" t="s">
        <v>36</v>
      </c>
      <c r="D2932">
        <v>30</v>
      </c>
      <c r="E2932" t="s">
        <v>46</v>
      </c>
      <c r="F2932">
        <v>2</v>
      </c>
      <c r="G2932">
        <v>1</v>
      </c>
      <c r="H2932">
        <v>1</v>
      </c>
      <c r="I2932">
        <v>1</v>
      </c>
      <c r="J2932" s="4" t="s">
        <v>53</v>
      </c>
      <c r="K2932" t="str">
        <f t="shared" si="147"/>
        <v>1+1</v>
      </c>
      <c r="L2932">
        <f>VLOOKUP(A2932,'ZONE 1 PREMIUM'!$A$4:$N$16,14,0)</f>
        <v>7</v>
      </c>
      <c r="M2932">
        <f>VLOOKUP(D2932,DROPDOWN!B:C,2,0)</f>
        <v>10</v>
      </c>
      <c r="N2932" t="str">
        <f t="shared" si="148"/>
        <v>BR20:CJ31</v>
      </c>
      <c r="O2932" s="4">
        <f t="shared" ca="1" si="146"/>
        <v>63478.8</v>
      </c>
    </row>
    <row r="2933" spans="1:15">
      <c r="A2933" s="2" t="s">
        <v>17</v>
      </c>
      <c r="B2933" t="s">
        <v>37</v>
      </c>
      <c r="C2933" t="s">
        <v>38</v>
      </c>
      <c r="D2933">
        <v>30</v>
      </c>
      <c r="E2933" t="s">
        <v>46</v>
      </c>
      <c r="F2933">
        <v>2</v>
      </c>
      <c r="G2933">
        <v>1</v>
      </c>
      <c r="H2933">
        <v>1</v>
      </c>
      <c r="I2933">
        <v>1</v>
      </c>
      <c r="J2933" s="4" t="s">
        <v>53</v>
      </c>
      <c r="K2933" t="str">
        <f t="shared" si="147"/>
        <v>1+1</v>
      </c>
      <c r="L2933">
        <f>VLOOKUP(A2933,'ZONE 1 PREMIUM'!$A$4:$N$16,14,0)</f>
        <v>8</v>
      </c>
      <c r="M2933">
        <f>VLOOKUP(D2933,DROPDOWN!B:C,2,0)</f>
        <v>10</v>
      </c>
      <c r="N2933" t="str">
        <f t="shared" si="148"/>
        <v>BR20:CJ31</v>
      </c>
      <c r="O2933" s="4">
        <f t="shared" ca="1" si="146"/>
        <v>84060.900000000009</v>
      </c>
    </row>
    <row r="2934" spans="1:15">
      <c r="A2934" s="2" t="s">
        <v>18</v>
      </c>
      <c r="B2934" t="s">
        <v>39</v>
      </c>
      <c r="C2934" t="s">
        <v>40</v>
      </c>
      <c r="D2934">
        <v>30</v>
      </c>
      <c r="E2934" t="s">
        <v>46</v>
      </c>
      <c r="F2934">
        <v>2</v>
      </c>
      <c r="G2934">
        <v>1</v>
      </c>
      <c r="H2934">
        <v>1</v>
      </c>
      <c r="I2934">
        <v>1</v>
      </c>
      <c r="J2934" s="4" t="s">
        <v>53</v>
      </c>
      <c r="K2934" t="str">
        <f t="shared" si="147"/>
        <v>1+1</v>
      </c>
      <c r="L2934">
        <f>VLOOKUP(A2934,'ZONE 1 PREMIUM'!$A$4:$N$16,14,0)</f>
        <v>9</v>
      </c>
      <c r="M2934">
        <f>VLOOKUP(D2934,DROPDOWN!B:C,2,0)</f>
        <v>10</v>
      </c>
      <c r="N2934" t="str">
        <f t="shared" si="148"/>
        <v>BR20:CJ31</v>
      </c>
      <c r="O2934" s="4">
        <f t="shared" ca="1" si="146"/>
        <v>115931.20000000001</v>
      </c>
    </row>
    <row r="2935" spans="1:15">
      <c r="A2935" s="2" t="s">
        <v>19</v>
      </c>
      <c r="B2935" t="s">
        <v>41</v>
      </c>
      <c r="C2935" t="s">
        <v>42</v>
      </c>
      <c r="D2935">
        <v>30</v>
      </c>
      <c r="E2935" t="s">
        <v>46</v>
      </c>
      <c r="F2935">
        <v>2</v>
      </c>
      <c r="G2935">
        <v>1</v>
      </c>
      <c r="H2935">
        <v>1</v>
      </c>
      <c r="I2935">
        <v>1</v>
      </c>
      <c r="J2935" s="4" t="s">
        <v>53</v>
      </c>
      <c r="K2935" t="str">
        <f t="shared" si="147"/>
        <v>1+1</v>
      </c>
      <c r="L2935">
        <f>VLOOKUP(A2935,'ZONE 1 PREMIUM'!$A$4:$N$16,14,0)</f>
        <v>10</v>
      </c>
      <c r="M2935">
        <f>VLOOKUP(D2935,DROPDOWN!B:C,2,0)</f>
        <v>10</v>
      </c>
      <c r="N2935" t="str">
        <f t="shared" si="148"/>
        <v>BR20:CJ31</v>
      </c>
      <c r="O2935" s="4">
        <f t="shared" ca="1" si="146"/>
        <v>149248</v>
      </c>
    </row>
    <row r="2936" spans="1:15">
      <c r="A2936" s="2" t="s">
        <v>20</v>
      </c>
      <c r="B2936" t="s">
        <v>43</v>
      </c>
      <c r="C2936" t="s">
        <v>44</v>
      </c>
      <c r="D2936">
        <v>30</v>
      </c>
      <c r="E2936" t="s">
        <v>46</v>
      </c>
      <c r="F2936">
        <v>2</v>
      </c>
      <c r="G2936">
        <v>1</v>
      </c>
      <c r="H2936">
        <v>1</v>
      </c>
      <c r="I2936">
        <v>1</v>
      </c>
      <c r="J2936" s="4" t="s">
        <v>53</v>
      </c>
      <c r="K2936" t="str">
        <f t="shared" si="147"/>
        <v>1+1</v>
      </c>
      <c r="L2936">
        <f>VLOOKUP(A2936,'ZONE 1 PREMIUM'!$A$4:$N$16,14,0)</f>
        <v>11</v>
      </c>
      <c r="M2936">
        <f>VLOOKUP(D2936,DROPDOWN!B:C,2,0)</f>
        <v>10</v>
      </c>
      <c r="N2936" t="str">
        <f t="shared" si="148"/>
        <v>BR20:CJ31</v>
      </c>
      <c r="O2936" s="4">
        <f t="shared" ca="1" si="146"/>
        <v>176599.5</v>
      </c>
    </row>
    <row r="2937" spans="1:15">
      <c r="A2937" s="2" t="s">
        <v>21</v>
      </c>
      <c r="B2937" t="s">
        <v>22</v>
      </c>
      <c r="D2937">
        <v>30</v>
      </c>
      <c r="E2937" t="s">
        <v>46</v>
      </c>
      <c r="F2937">
        <v>2</v>
      </c>
      <c r="G2937">
        <v>1</v>
      </c>
      <c r="H2937">
        <v>1</v>
      </c>
      <c r="I2937">
        <v>1</v>
      </c>
      <c r="J2937" s="4" t="s">
        <v>53</v>
      </c>
      <c r="K2937" t="str">
        <f t="shared" si="147"/>
        <v>1+1</v>
      </c>
      <c r="L2937">
        <f>VLOOKUP(A2937,'ZONE 1 PREMIUM'!$A$4:$N$16,14,0)</f>
        <v>12</v>
      </c>
      <c r="M2937">
        <f>VLOOKUP(D2937,DROPDOWN!B:C,2,0)</f>
        <v>10</v>
      </c>
      <c r="N2937" t="str">
        <f t="shared" si="148"/>
        <v>BR20:CJ31</v>
      </c>
      <c r="O2937" s="4">
        <f t="shared" ca="1" si="146"/>
        <v>240389.6</v>
      </c>
    </row>
    <row r="2938" spans="1:15">
      <c r="A2938" s="2" t="s">
        <v>11</v>
      </c>
      <c r="B2938" t="s">
        <v>45</v>
      </c>
      <c r="C2938" t="s">
        <v>25</v>
      </c>
      <c r="D2938">
        <v>30</v>
      </c>
      <c r="E2938" t="s">
        <v>46</v>
      </c>
      <c r="F2938">
        <v>3</v>
      </c>
      <c r="G2938">
        <v>1</v>
      </c>
      <c r="H2938">
        <v>2</v>
      </c>
      <c r="I2938">
        <v>1</v>
      </c>
      <c r="J2938" s="4" t="s">
        <v>53</v>
      </c>
      <c r="K2938" t="str">
        <f t="shared" si="147"/>
        <v>1+2</v>
      </c>
      <c r="L2938">
        <f>VLOOKUP(A2938,'ZONE 1 PREMIUM'!$A$4:$N$16,14,0)</f>
        <v>2</v>
      </c>
      <c r="M2938">
        <f>VLOOKUP(D2938,DROPDOWN!B:C,2,0)</f>
        <v>10</v>
      </c>
      <c r="N2938" t="str">
        <f t="shared" si="148"/>
        <v>BR35:CJ46</v>
      </c>
      <c r="O2938" s="4">
        <f t="shared" ca="1" si="146"/>
        <v>33862.400000000001</v>
      </c>
    </row>
    <row r="2939" spans="1:15">
      <c r="A2939" s="2" t="s">
        <v>12</v>
      </c>
      <c r="B2939" t="s">
        <v>27</v>
      </c>
      <c r="C2939" t="s">
        <v>28</v>
      </c>
      <c r="D2939">
        <v>30</v>
      </c>
      <c r="E2939" t="s">
        <v>46</v>
      </c>
      <c r="F2939">
        <v>3</v>
      </c>
      <c r="G2939">
        <v>1</v>
      </c>
      <c r="H2939">
        <v>2</v>
      </c>
      <c r="I2939">
        <v>1</v>
      </c>
      <c r="J2939" s="4" t="s">
        <v>53</v>
      </c>
      <c r="K2939" t="str">
        <f t="shared" si="147"/>
        <v>1+2</v>
      </c>
      <c r="L2939">
        <f>VLOOKUP(A2939,'ZONE 1 PREMIUM'!$A$4:$N$16,14,0)</f>
        <v>3</v>
      </c>
      <c r="M2939">
        <f>VLOOKUP(D2939,DROPDOWN!B:C,2,0)</f>
        <v>10</v>
      </c>
      <c r="N2939" t="str">
        <f t="shared" si="148"/>
        <v>BR35:CJ46</v>
      </c>
      <c r="O2939" s="4">
        <f t="shared" ca="1" si="146"/>
        <v>36238.400000000001</v>
      </c>
    </row>
    <row r="2940" spans="1:15">
      <c r="A2940" s="2" t="s">
        <v>13</v>
      </c>
      <c r="B2940" t="s">
        <v>29</v>
      </c>
      <c r="C2940" t="s">
        <v>30</v>
      </c>
      <c r="D2940">
        <v>30</v>
      </c>
      <c r="E2940" t="s">
        <v>46</v>
      </c>
      <c r="F2940">
        <v>3</v>
      </c>
      <c r="G2940">
        <v>1</v>
      </c>
      <c r="H2940">
        <v>2</v>
      </c>
      <c r="I2940">
        <v>1</v>
      </c>
      <c r="J2940" s="4" t="s">
        <v>53</v>
      </c>
      <c r="K2940" t="str">
        <f t="shared" si="147"/>
        <v>1+2</v>
      </c>
      <c r="L2940">
        <f>VLOOKUP(A2940,'ZONE 1 PREMIUM'!$A$4:$N$16,14,0)</f>
        <v>4</v>
      </c>
      <c r="M2940">
        <f>VLOOKUP(D2940,DROPDOWN!B:C,2,0)</f>
        <v>10</v>
      </c>
      <c r="N2940" t="str">
        <f t="shared" si="148"/>
        <v>BR35:CJ46</v>
      </c>
      <c r="O2940" s="4">
        <f t="shared" ca="1" si="146"/>
        <v>42122.3</v>
      </c>
    </row>
    <row r="2941" spans="1:15">
      <c r="A2941" s="2" t="s">
        <v>14</v>
      </c>
      <c r="B2941" t="s">
        <v>31</v>
      </c>
      <c r="C2941" t="s">
        <v>32</v>
      </c>
      <c r="D2941">
        <v>30</v>
      </c>
      <c r="E2941" t="s">
        <v>46</v>
      </c>
      <c r="F2941">
        <v>3</v>
      </c>
      <c r="G2941">
        <v>1</v>
      </c>
      <c r="H2941">
        <v>2</v>
      </c>
      <c r="I2941">
        <v>1</v>
      </c>
      <c r="J2941" s="4" t="s">
        <v>53</v>
      </c>
      <c r="K2941" t="str">
        <f t="shared" si="147"/>
        <v>1+2</v>
      </c>
      <c r="L2941">
        <f>VLOOKUP(A2941,'ZONE 1 PREMIUM'!$A$4:$N$16,14,0)</f>
        <v>5</v>
      </c>
      <c r="M2941">
        <f>VLOOKUP(D2941,DROPDOWN!B:C,2,0)</f>
        <v>10</v>
      </c>
      <c r="N2941" t="str">
        <f t="shared" si="148"/>
        <v>BR35:CJ46</v>
      </c>
      <c r="O2941" s="4">
        <f t="shared" ca="1" si="146"/>
        <v>47267.000000000007</v>
      </c>
    </row>
    <row r="2942" spans="1:15">
      <c r="A2942" s="2" t="s">
        <v>15</v>
      </c>
      <c r="B2942" t="s">
        <v>33</v>
      </c>
      <c r="C2942" t="s">
        <v>34</v>
      </c>
      <c r="D2942">
        <v>30</v>
      </c>
      <c r="E2942" t="s">
        <v>46</v>
      </c>
      <c r="F2942">
        <v>3</v>
      </c>
      <c r="G2942">
        <v>1</v>
      </c>
      <c r="H2942">
        <v>2</v>
      </c>
      <c r="I2942">
        <v>1</v>
      </c>
      <c r="J2942" s="4" t="s">
        <v>53</v>
      </c>
      <c r="K2942" t="str">
        <f t="shared" si="147"/>
        <v>1+2</v>
      </c>
      <c r="L2942">
        <f>VLOOKUP(A2942,'ZONE 1 PREMIUM'!$A$4:$N$16,14,0)</f>
        <v>6</v>
      </c>
      <c r="M2942">
        <f>VLOOKUP(D2942,DROPDOWN!B:C,2,0)</f>
        <v>10</v>
      </c>
      <c r="N2942" t="str">
        <f t="shared" si="148"/>
        <v>BR35:CJ46</v>
      </c>
      <c r="O2942" s="4">
        <f t="shared" ca="1" si="146"/>
        <v>59305.4</v>
      </c>
    </row>
    <row r="2943" spans="1:15">
      <c r="A2943" s="2" t="s">
        <v>16</v>
      </c>
      <c r="B2943" t="s">
        <v>35</v>
      </c>
      <c r="C2943" t="s">
        <v>36</v>
      </c>
      <c r="D2943">
        <v>30</v>
      </c>
      <c r="E2943" t="s">
        <v>46</v>
      </c>
      <c r="F2943">
        <v>3</v>
      </c>
      <c r="G2943">
        <v>1</v>
      </c>
      <c r="H2943">
        <v>2</v>
      </c>
      <c r="I2943">
        <v>1</v>
      </c>
      <c r="J2943" s="4" t="s">
        <v>53</v>
      </c>
      <c r="K2943" t="str">
        <f t="shared" si="147"/>
        <v>1+2</v>
      </c>
      <c r="L2943">
        <f>VLOOKUP(A2943,'ZONE 1 PREMIUM'!$A$4:$N$16,14,0)</f>
        <v>7</v>
      </c>
      <c r="M2943">
        <f>VLOOKUP(D2943,DROPDOWN!B:C,2,0)</f>
        <v>10</v>
      </c>
      <c r="N2943" t="str">
        <f t="shared" si="148"/>
        <v>BR35:CJ46</v>
      </c>
      <c r="O2943" s="4">
        <f t="shared" ca="1" si="146"/>
        <v>76693.100000000006</v>
      </c>
    </row>
    <row r="2944" spans="1:15">
      <c r="A2944" s="2" t="s">
        <v>17</v>
      </c>
      <c r="B2944" t="s">
        <v>37</v>
      </c>
      <c r="C2944" t="s">
        <v>38</v>
      </c>
      <c r="D2944">
        <v>30</v>
      </c>
      <c r="E2944" t="s">
        <v>46</v>
      </c>
      <c r="F2944">
        <v>3</v>
      </c>
      <c r="G2944">
        <v>1</v>
      </c>
      <c r="H2944">
        <v>2</v>
      </c>
      <c r="I2944">
        <v>1</v>
      </c>
      <c r="J2944" s="4" t="s">
        <v>53</v>
      </c>
      <c r="K2944" t="str">
        <f t="shared" si="147"/>
        <v>1+2</v>
      </c>
      <c r="L2944">
        <f>VLOOKUP(A2944,'ZONE 1 PREMIUM'!$A$4:$N$16,14,0)</f>
        <v>8</v>
      </c>
      <c r="M2944">
        <f>VLOOKUP(D2944,DROPDOWN!B:C,2,0)</f>
        <v>10</v>
      </c>
      <c r="N2944" t="str">
        <f t="shared" si="148"/>
        <v>BR35:CJ46</v>
      </c>
      <c r="O2944" s="4">
        <f t="shared" ca="1" si="146"/>
        <v>98311.400000000009</v>
      </c>
    </row>
    <row r="2945" spans="1:15">
      <c r="A2945" s="2" t="s">
        <v>18</v>
      </c>
      <c r="B2945" t="s">
        <v>39</v>
      </c>
      <c r="C2945" t="s">
        <v>40</v>
      </c>
      <c r="D2945">
        <v>30</v>
      </c>
      <c r="E2945" t="s">
        <v>46</v>
      </c>
      <c r="F2945">
        <v>3</v>
      </c>
      <c r="G2945">
        <v>1</v>
      </c>
      <c r="H2945">
        <v>2</v>
      </c>
      <c r="I2945">
        <v>1</v>
      </c>
      <c r="J2945" s="4" t="s">
        <v>53</v>
      </c>
      <c r="K2945" t="str">
        <f t="shared" si="147"/>
        <v>1+2</v>
      </c>
      <c r="L2945">
        <f>VLOOKUP(A2945,'ZONE 1 PREMIUM'!$A$4:$N$16,14,0)</f>
        <v>9</v>
      </c>
      <c r="M2945">
        <f>VLOOKUP(D2945,DROPDOWN!B:C,2,0)</f>
        <v>10</v>
      </c>
      <c r="N2945" t="str">
        <f t="shared" si="148"/>
        <v>BR35:CJ46</v>
      </c>
      <c r="O2945" s="4">
        <f t="shared" ca="1" si="146"/>
        <v>127613.20000000001</v>
      </c>
    </row>
    <row r="2946" spans="1:15">
      <c r="A2946" s="2" t="s">
        <v>19</v>
      </c>
      <c r="B2946" t="s">
        <v>41</v>
      </c>
      <c r="C2946" t="s">
        <v>42</v>
      </c>
      <c r="D2946">
        <v>30</v>
      </c>
      <c r="E2946" t="s">
        <v>46</v>
      </c>
      <c r="F2946">
        <v>3</v>
      </c>
      <c r="G2946">
        <v>1</v>
      </c>
      <c r="H2946">
        <v>2</v>
      </c>
      <c r="I2946">
        <v>1</v>
      </c>
      <c r="J2946" s="4" t="s">
        <v>53</v>
      </c>
      <c r="K2946" t="str">
        <f t="shared" si="147"/>
        <v>1+2</v>
      </c>
      <c r="L2946">
        <f>VLOOKUP(A2946,'ZONE 1 PREMIUM'!$A$4:$N$16,14,0)</f>
        <v>10</v>
      </c>
      <c r="M2946">
        <f>VLOOKUP(D2946,DROPDOWN!B:C,2,0)</f>
        <v>10</v>
      </c>
      <c r="N2946" t="str">
        <f t="shared" si="148"/>
        <v>BR35:CJ46</v>
      </c>
      <c r="O2946" s="4">
        <f t="shared" ref="O2946:O3009" ca="1" si="149">INDEX(INDIRECT(N2946),L2946,M2946)</f>
        <v>163482</v>
      </c>
    </row>
    <row r="2947" spans="1:15">
      <c r="A2947" s="2" t="s">
        <v>20</v>
      </c>
      <c r="B2947" t="s">
        <v>43</v>
      </c>
      <c r="C2947" t="s">
        <v>44</v>
      </c>
      <c r="D2947">
        <v>30</v>
      </c>
      <c r="E2947" t="s">
        <v>46</v>
      </c>
      <c r="F2947">
        <v>3</v>
      </c>
      <c r="G2947">
        <v>1</v>
      </c>
      <c r="H2947">
        <v>2</v>
      </c>
      <c r="I2947">
        <v>1</v>
      </c>
      <c r="J2947" s="4" t="s">
        <v>53</v>
      </c>
      <c r="K2947" t="str">
        <f t="shared" si="147"/>
        <v>1+2</v>
      </c>
      <c r="L2947">
        <f>VLOOKUP(A2947,'ZONE 1 PREMIUM'!$A$4:$N$16,14,0)</f>
        <v>11</v>
      </c>
      <c r="M2947">
        <f>VLOOKUP(D2947,DROPDOWN!B:C,2,0)</f>
        <v>10</v>
      </c>
      <c r="N2947" t="str">
        <f t="shared" si="148"/>
        <v>BR35:CJ46</v>
      </c>
      <c r="O2947" s="4">
        <f t="shared" ca="1" si="149"/>
        <v>193378.90000000002</v>
      </c>
    </row>
    <row r="2948" spans="1:15">
      <c r="A2948" s="2" t="s">
        <v>21</v>
      </c>
      <c r="B2948" t="s">
        <v>22</v>
      </c>
      <c r="D2948">
        <v>30</v>
      </c>
      <c r="E2948" t="s">
        <v>46</v>
      </c>
      <c r="F2948">
        <v>3</v>
      </c>
      <c r="G2948">
        <v>1</v>
      </c>
      <c r="H2948">
        <v>2</v>
      </c>
      <c r="I2948">
        <v>1</v>
      </c>
      <c r="J2948" s="4" t="s">
        <v>53</v>
      </c>
      <c r="K2948" t="str">
        <f t="shared" ref="K2948:K3011" si="150">G2948&amp;"+"&amp;H2948</f>
        <v>1+2</v>
      </c>
      <c r="L2948">
        <f>VLOOKUP(A2948,'ZONE 1 PREMIUM'!$A$4:$N$16,14,0)</f>
        <v>12</v>
      </c>
      <c r="M2948">
        <f>VLOOKUP(D2948,DROPDOWN!B:C,2,0)</f>
        <v>10</v>
      </c>
      <c r="N2948" t="str">
        <f t="shared" si="148"/>
        <v>BR35:CJ46</v>
      </c>
      <c r="O2948" s="4">
        <f t="shared" ca="1" si="149"/>
        <v>252993.40000000002</v>
      </c>
    </row>
    <row r="2949" spans="1:15">
      <c r="A2949" s="2" t="s">
        <v>11</v>
      </c>
      <c r="B2949" t="s">
        <v>45</v>
      </c>
      <c r="C2949" t="s">
        <v>25</v>
      </c>
      <c r="D2949">
        <v>30</v>
      </c>
      <c r="E2949" t="s">
        <v>46</v>
      </c>
      <c r="F2949">
        <v>4</v>
      </c>
      <c r="G2949">
        <v>1</v>
      </c>
      <c r="H2949">
        <v>3</v>
      </c>
      <c r="I2949">
        <v>1</v>
      </c>
      <c r="J2949" s="4" t="s">
        <v>53</v>
      </c>
      <c r="K2949" t="str">
        <f t="shared" si="150"/>
        <v>1+3</v>
      </c>
      <c r="L2949">
        <f>VLOOKUP(A2949,'ZONE 1 PREMIUM'!$A$4:$N$16,14,0)</f>
        <v>2</v>
      </c>
      <c r="M2949">
        <f>VLOOKUP(D2949,DROPDOWN!B:C,2,0)</f>
        <v>10</v>
      </c>
      <c r="N2949" t="str">
        <f t="shared" si="148"/>
        <v>BR50:CJ61</v>
      </c>
      <c r="O2949" s="4">
        <f t="shared" ca="1" si="149"/>
        <v>41538.200000000004</v>
      </c>
    </row>
    <row r="2950" spans="1:15">
      <c r="A2950" s="2" t="s">
        <v>12</v>
      </c>
      <c r="B2950" t="s">
        <v>27</v>
      </c>
      <c r="C2950" t="s">
        <v>28</v>
      </c>
      <c r="D2950">
        <v>30</v>
      </c>
      <c r="E2950" t="s">
        <v>46</v>
      </c>
      <c r="F2950">
        <v>4</v>
      </c>
      <c r="G2950">
        <v>1</v>
      </c>
      <c r="H2950">
        <v>3</v>
      </c>
      <c r="I2950">
        <v>1</v>
      </c>
      <c r="J2950" s="4" t="s">
        <v>53</v>
      </c>
      <c r="K2950" t="str">
        <f t="shared" si="150"/>
        <v>1+3</v>
      </c>
      <c r="L2950">
        <f>VLOOKUP(A2950,'ZONE 1 PREMIUM'!$A$4:$N$16,14,0)</f>
        <v>3</v>
      </c>
      <c r="M2950">
        <f>VLOOKUP(D2950,DROPDOWN!B:C,2,0)</f>
        <v>10</v>
      </c>
      <c r="N2950" t="str">
        <f t="shared" si="148"/>
        <v>BR50:CJ61</v>
      </c>
      <c r="O2950" s="4">
        <f t="shared" ca="1" si="149"/>
        <v>43777.8</v>
      </c>
    </row>
    <row r="2951" spans="1:15">
      <c r="A2951" s="2" t="s">
        <v>13</v>
      </c>
      <c r="B2951" t="s">
        <v>29</v>
      </c>
      <c r="C2951" t="s">
        <v>30</v>
      </c>
      <c r="D2951">
        <v>30</v>
      </c>
      <c r="E2951" t="s">
        <v>46</v>
      </c>
      <c r="F2951">
        <v>4</v>
      </c>
      <c r="G2951">
        <v>1</v>
      </c>
      <c r="H2951">
        <v>3</v>
      </c>
      <c r="I2951">
        <v>1</v>
      </c>
      <c r="J2951" s="4" t="s">
        <v>53</v>
      </c>
      <c r="K2951" t="str">
        <f t="shared" si="150"/>
        <v>1+3</v>
      </c>
      <c r="L2951">
        <f>VLOOKUP(A2951,'ZONE 1 PREMIUM'!$A$4:$N$16,14,0)</f>
        <v>4</v>
      </c>
      <c r="M2951">
        <f>VLOOKUP(D2951,DROPDOWN!B:C,2,0)</f>
        <v>10</v>
      </c>
      <c r="N2951" t="str">
        <f t="shared" si="148"/>
        <v>BR50:CJ61</v>
      </c>
      <c r="O2951" s="4">
        <f t="shared" ca="1" si="149"/>
        <v>50933.3</v>
      </c>
    </row>
    <row r="2952" spans="1:15">
      <c r="A2952" s="2" t="s">
        <v>14</v>
      </c>
      <c r="B2952" t="s">
        <v>31</v>
      </c>
      <c r="C2952" t="s">
        <v>32</v>
      </c>
      <c r="D2952">
        <v>30</v>
      </c>
      <c r="E2952" t="s">
        <v>46</v>
      </c>
      <c r="F2952">
        <v>4</v>
      </c>
      <c r="G2952">
        <v>1</v>
      </c>
      <c r="H2952">
        <v>3</v>
      </c>
      <c r="I2952">
        <v>1</v>
      </c>
      <c r="J2952" s="4" t="s">
        <v>53</v>
      </c>
      <c r="K2952" t="str">
        <f t="shared" si="150"/>
        <v>1+3</v>
      </c>
      <c r="L2952">
        <f>VLOOKUP(A2952,'ZONE 1 PREMIUM'!$A$4:$N$16,14,0)</f>
        <v>5</v>
      </c>
      <c r="M2952">
        <f>VLOOKUP(D2952,DROPDOWN!B:C,2,0)</f>
        <v>10</v>
      </c>
      <c r="N2952" t="str">
        <f t="shared" si="148"/>
        <v>BR50:CJ61</v>
      </c>
      <c r="O2952" s="4">
        <f t="shared" ca="1" si="149"/>
        <v>56695.100000000006</v>
      </c>
    </row>
    <row r="2953" spans="1:15">
      <c r="A2953" s="2" t="s">
        <v>15</v>
      </c>
      <c r="B2953" t="s">
        <v>33</v>
      </c>
      <c r="C2953" t="s">
        <v>34</v>
      </c>
      <c r="D2953">
        <v>30</v>
      </c>
      <c r="E2953" t="s">
        <v>46</v>
      </c>
      <c r="F2953">
        <v>4</v>
      </c>
      <c r="G2953">
        <v>1</v>
      </c>
      <c r="H2953">
        <v>3</v>
      </c>
      <c r="I2953">
        <v>1</v>
      </c>
      <c r="J2953" s="4" t="s">
        <v>53</v>
      </c>
      <c r="K2953" t="str">
        <f t="shared" si="150"/>
        <v>1+3</v>
      </c>
      <c r="L2953">
        <f>VLOOKUP(A2953,'ZONE 1 PREMIUM'!$A$4:$N$16,14,0)</f>
        <v>6</v>
      </c>
      <c r="M2953">
        <f>VLOOKUP(D2953,DROPDOWN!B:C,2,0)</f>
        <v>10</v>
      </c>
      <c r="N2953" t="str">
        <f t="shared" si="148"/>
        <v>BR50:CJ61</v>
      </c>
      <c r="O2953" s="4">
        <f t="shared" ca="1" si="149"/>
        <v>69928.100000000006</v>
      </c>
    </row>
    <row r="2954" spans="1:15">
      <c r="A2954" s="2" t="s">
        <v>16</v>
      </c>
      <c r="B2954" t="s">
        <v>35</v>
      </c>
      <c r="C2954" t="s">
        <v>36</v>
      </c>
      <c r="D2954">
        <v>30</v>
      </c>
      <c r="E2954" t="s">
        <v>46</v>
      </c>
      <c r="F2954">
        <v>4</v>
      </c>
      <c r="G2954">
        <v>1</v>
      </c>
      <c r="H2954">
        <v>3</v>
      </c>
      <c r="I2954">
        <v>1</v>
      </c>
      <c r="J2954" s="4" t="s">
        <v>53</v>
      </c>
      <c r="K2954" t="str">
        <f t="shared" si="150"/>
        <v>1+3</v>
      </c>
      <c r="L2954">
        <f>VLOOKUP(A2954,'ZONE 1 PREMIUM'!$A$4:$N$16,14,0)</f>
        <v>7</v>
      </c>
      <c r="M2954">
        <f>VLOOKUP(D2954,DROPDOWN!B:C,2,0)</f>
        <v>10</v>
      </c>
      <c r="N2954" t="str">
        <f t="shared" si="148"/>
        <v>BR50:CJ61</v>
      </c>
      <c r="O2954" s="4">
        <f t="shared" ca="1" si="149"/>
        <v>88558.8</v>
      </c>
    </row>
    <row r="2955" spans="1:15">
      <c r="A2955" s="2" t="s">
        <v>17</v>
      </c>
      <c r="B2955" t="s">
        <v>37</v>
      </c>
      <c r="C2955" t="s">
        <v>38</v>
      </c>
      <c r="D2955">
        <v>30</v>
      </c>
      <c r="E2955" t="s">
        <v>46</v>
      </c>
      <c r="F2955">
        <v>4</v>
      </c>
      <c r="G2955">
        <v>1</v>
      </c>
      <c r="H2955">
        <v>3</v>
      </c>
      <c r="I2955">
        <v>1</v>
      </c>
      <c r="J2955" s="4" t="s">
        <v>53</v>
      </c>
      <c r="K2955" t="str">
        <f t="shared" si="150"/>
        <v>1+3</v>
      </c>
      <c r="L2955">
        <f>VLOOKUP(A2955,'ZONE 1 PREMIUM'!$A$4:$N$16,14,0)</f>
        <v>8</v>
      </c>
      <c r="M2955">
        <f>VLOOKUP(D2955,DROPDOWN!B:C,2,0)</f>
        <v>10</v>
      </c>
      <c r="N2955" t="str">
        <f t="shared" si="148"/>
        <v>BR50:CJ61</v>
      </c>
      <c r="O2955" s="4">
        <f t="shared" ca="1" si="149"/>
        <v>108904.40000000001</v>
      </c>
    </row>
    <row r="2956" spans="1:15">
      <c r="A2956" s="2" t="s">
        <v>18</v>
      </c>
      <c r="B2956" t="s">
        <v>39</v>
      </c>
      <c r="C2956" t="s">
        <v>40</v>
      </c>
      <c r="D2956">
        <v>30</v>
      </c>
      <c r="E2956" t="s">
        <v>46</v>
      </c>
      <c r="F2956">
        <v>4</v>
      </c>
      <c r="G2956">
        <v>1</v>
      </c>
      <c r="H2956">
        <v>3</v>
      </c>
      <c r="I2956">
        <v>1</v>
      </c>
      <c r="J2956" s="4" t="s">
        <v>53</v>
      </c>
      <c r="K2956" t="str">
        <f t="shared" si="150"/>
        <v>1+3</v>
      </c>
      <c r="L2956">
        <f>VLOOKUP(A2956,'ZONE 1 PREMIUM'!$A$4:$N$16,14,0)</f>
        <v>9</v>
      </c>
      <c r="M2956">
        <f>VLOOKUP(D2956,DROPDOWN!B:C,2,0)</f>
        <v>10</v>
      </c>
      <c r="N2956" t="str">
        <f t="shared" si="148"/>
        <v>BR50:CJ61</v>
      </c>
      <c r="O2956" s="4">
        <f t="shared" ca="1" si="149"/>
        <v>139280.90000000002</v>
      </c>
    </row>
    <row r="2957" spans="1:15">
      <c r="A2957" s="2" t="s">
        <v>19</v>
      </c>
      <c r="B2957" t="s">
        <v>41</v>
      </c>
      <c r="C2957" t="s">
        <v>42</v>
      </c>
      <c r="D2957">
        <v>30</v>
      </c>
      <c r="E2957" t="s">
        <v>46</v>
      </c>
      <c r="F2957">
        <v>4</v>
      </c>
      <c r="G2957">
        <v>1</v>
      </c>
      <c r="H2957">
        <v>3</v>
      </c>
      <c r="I2957">
        <v>1</v>
      </c>
      <c r="J2957" s="4" t="s">
        <v>53</v>
      </c>
      <c r="K2957" t="str">
        <f t="shared" si="150"/>
        <v>1+3</v>
      </c>
      <c r="L2957">
        <f>VLOOKUP(A2957,'ZONE 1 PREMIUM'!$A$4:$N$16,14,0)</f>
        <v>10</v>
      </c>
      <c r="M2957">
        <f>VLOOKUP(D2957,DROPDOWN!B:C,2,0)</f>
        <v>10</v>
      </c>
      <c r="N2957" t="str">
        <f t="shared" si="148"/>
        <v>BR50:CJ61</v>
      </c>
      <c r="O2957" s="4">
        <f t="shared" ca="1" si="149"/>
        <v>172936.5</v>
      </c>
    </row>
    <row r="2958" spans="1:15">
      <c r="A2958" s="2" t="s">
        <v>20</v>
      </c>
      <c r="B2958" t="s">
        <v>43</v>
      </c>
      <c r="C2958" t="s">
        <v>44</v>
      </c>
      <c r="D2958">
        <v>30</v>
      </c>
      <c r="E2958" t="s">
        <v>46</v>
      </c>
      <c r="F2958">
        <v>4</v>
      </c>
      <c r="G2958">
        <v>1</v>
      </c>
      <c r="H2958">
        <v>3</v>
      </c>
      <c r="I2958">
        <v>1</v>
      </c>
      <c r="J2958" s="4" t="s">
        <v>53</v>
      </c>
      <c r="K2958" t="str">
        <f t="shared" si="150"/>
        <v>1+3</v>
      </c>
      <c r="L2958">
        <f>VLOOKUP(A2958,'ZONE 1 PREMIUM'!$A$4:$N$16,14,0)</f>
        <v>11</v>
      </c>
      <c r="M2958">
        <f>VLOOKUP(D2958,DROPDOWN!B:C,2,0)</f>
        <v>10</v>
      </c>
      <c r="N2958" t="str">
        <f t="shared" si="148"/>
        <v>BR50:CJ61</v>
      </c>
      <c r="O2958" s="4">
        <f t="shared" ca="1" si="149"/>
        <v>202365.90000000002</v>
      </c>
    </row>
    <row r="2959" spans="1:15">
      <c r="A2959" s="2" t="s">
        <v>21</v>
      </c>
      <c r="B2959" t="s">
        <v>22</v>
      </c>
      <c r="D2959">
        <v>30</v>
      </c>
      <c r="E2959" t="s">
        <v>46</v>
      </c>
      <c r="F2959">
        <v>4</v>
      </c>
      <c r="G2959">
        <v>1</v>
      </c>
      <c r="H2959">
        <v>3</v>
      </c>
      <c r="I2959">
        <v>1</v>
      </c>
      <c r="J2959" s="4" t="s">
        <v>53</v>
      </c>
      <c r="K2959" t="str">
        <f t="shared" si="150"/>
        <v>1+3</v>
      </c>
      <c r="L2959">
        <f>VLOOKUP(A2959,'ZONE 1 PREMIUM'!$A$4:$N$16,14,0)</f>
        <v>12</v>
      </c>
      <c r="M2959">
        <f>VLOOKUP(D2959,DROPDOWN!B:C,2,0)</f>
        <v>10</v>
      </c>
      <c r="N2959" t="str">
        <f t="shared" si="148"/>
        <v>BR50:CJ61</v>
      </c>
      <c r="O2959" s="4">
        <f t="shared" ca="1" si="149"/>
        <v>262482</v>
      </c>
    </row>
    <row r="2960" spans="1:15">
      <c r="A2960" s="2" t="s">
        <v>11</v>
      </c>
      <c r="B2960" t="s">
        <v>45</v>
      </c>
      <c r="C2960" t="s">
        <v>25</v>
      </c>
      <c r="D2960">
        <v>30</v>
      </c>
      <c r="E2960" t="s">
        <v>46</v>
      </c>
      <c r="F2960">
        <v>5</v>
      </c>
      <c r="G2960">
        <v>1</v>
      </c>
      <c r="H2960">
        <v>4</v>
      </c>
      <c r="I2960">
        <v>1</v>
      </c>
      <c r="J2960" s="4" t="s">
        <v>53</v>
      </c>
      <c r="K2960" t="str">
        <f t="shared" si="150"/>
        <v>1+4</v>
      </c>
      <c r="L2960">
        <f>VLOOKUP(A2960,'ZONE 1 PREMIUM'!$A$4:$N$16,14,0)</f>
        <v>2</v>
      </c>
      <c r="M2960">
        <f>VLOOKUP(D2960,DROPDOWN!B:C,2,0)</f>
        <v>10</v>
      </c>
      <c r="N2960" t="str">
        <f t="shared" si="148"/>
        <v>BR65:CJ76</v>
      </c>
      <c r="O2960" s="4">
        <f t="shared" ca="1" si="149"/>
        <v>49212.9</v>
      </c>
    </row>
    <row r="2961" spans="1:15">
      <c r="A2961" s="2" t="s">
        <v>12</v>
      </c>
      <c r="B2961" t="s">
        <v>27</v>
      </c>
      <c r="C2961" t="s">
        <v>28</v>
      </c>
      <c r="D2961">
        <v>30</v>
      </c>
      <c r="E2961" t="s">
        <v>46</v>
      </c>
      <c r="F2961">
        <v>5</v>
      </c>
      <c r="G2961">
        <v>1</v>
      </c>
      <c r="H2961">
        <v>4</v>
      </c>
      <c r="I2961">
        <v>1</v>
      </c>
      <c r="J2961" s="4" t="s">
        <v>53</v>
      </c>
      <c r="K2961" t="str">
        <f t="shared" si="150"/>
        <v>1+4</v>
      </c>
      <c r="L2961">
        <f>VLOOKUP(A2961,'ZONE 1 PREMIUM'!$A$4:$N$16,14,0)</f>
        <v>3</v>
      </c>
      <c r="M2961">
        <f>VLOOKUP(D2961,DROPDOWN!B:C,2,0)</f>
        <v>10</v>
      </c>
      <c r="N2961" t="str">
        <f t="shared" si="148"/>
        <v>BR65:CJ76</v>
      </c>
      <c r="O2961" s="4">
        <f t="shared" ca="1" si="149"/>
        <v>51317.200000000004</v>
      </c>
    </row>
    <row r="2962" spans="1:15">
      <c r="A2962" s="2" t="s">
        <v>13</v>
      </c>
      <c r="B2962" t="s">
        <v>29</v>
      </c>
      <c r="C2962" t="s">
        <v>30</v>
      </c>
      <c r="D2962">
        <v>30</v>
      </c>
      <c r="E2962" t="s">
        <v>46</v>
      </c>
      <c r="F2962">
        <v>5</v>
      </c>
      <c r="G2962">
        <v>1</v>
      </c>
      <c r="H2962">
        <v>4</v>
      </c>
      <c r="I2962">
        <v>1</v>
      </c>
      <c r="J2962" s="4" t="s">
        <v>53</v>
      </c>
      <c r="K2962" t="str">
        <f t="shared" si="150"/>
        <v>1+4</v>
      </c>
      <c r="L2962">
        <f>VLOOKUP(A2962,'ZONE 1 PREMIUM'!$A$4:$N$16,14,0)</f>
        <v>4</v>
      </c>
      <c r="M2962">
        <f>VLOOKUP(D2962,DROPDOWN!B:C,2,0)</f>
        <v>10</v>
      </c>
      <c r="N2962" t="str">
        <f t="shared" si="148"/>
        <v>BR65:CJ76</v>
      </c>
      <c r="O2962" s="4">
        <f t="shared" ca="1" si="149"/>
        <v>59744.3</v>
      </c>
    </row>
    <row r="2963" spans="1:15">
      <c r="A2963" s="2" t="s">
        <v>14</v>
      </c>
      <c r="B2963" t="s">
        <v>31</v>
      </c>
      <c r="C2963" t="s">
        <v>32</v>
      </c>
      <c r="D2963">
        <v>30</v>
      </c>
      <c r="E2963" t="s">
        <v>46</v>
      </c>
      <c r="F2963">
        <v>5</v>
      </c>
      <c r="G2963">
        <v>1</v>
      </c>
      <c r="H2963">
        <v>4</v>
      </c>
      <c r="I2963">
        <v>1</v>
      </c>
      <c r="J2963" s="4" t="s">
        <v>53</v>
      </c>
      <c r="K2963" t="str">
        <f t="shared" si="150"/>
        <v>1+4</v>
      </c>
      <c r="L2963">
        <f>VLOOKUP(A2963,'ZONE 1 PREMIUM'!$A$4:$N$16,14,0)</f>
        <v>5</v>
      </c>
      <c r="M2963">
        <f>VLOOKUP(D2963,DROPDOWN!B:C,2,0)</f>
        <v>10</v>
      </c>
      <c r="N2963" t="str">
        <f t="shared" si="148"/>
        <v>BR65:CJ76</v>
      </c>
      <c r="O2963" s="4">
        <f t="shared" ca="1" si="149"/>
        <v>66124.3</v>
      </c>
    </row>
    <row r="2964" spans="1:15">
      <c r="A2964" s="2" t="s">
        <v>15</v>
      </c>
      <c r="B2964" t="s">
        <v>33</v>
      </c>
      <c r="C2964" t="s">
        <v>34</v>
      </c>
      <c r="D2964">
        <v>30</v>
      </c>
      <c r="E2964" t="s">
        <v>46</v>
      </c>
      <c r="F2964">
        <v>5</v>
      </c>
      <c r="G2964">
        <v>1</v>
      </c>
      <c r="H2964">
        <v>4</v>
      </c>
      <c r="I2964">
        <v>1</v>
      </c>
      <c r="J2964" s="4" t="s">
        <v>53</v>
      </c>
      <c r="K2964" t="str">
        <f t="shared" si="150"/>
        <v>1+4</v>
      </c>
      <c r="L2964">
        <f>VLOOKUP(A2964,'ZONE 1 PREMIUM'!$A$4:$N$16,14,0)</f>
        <v>6</v>
      </c>
      <c r="M2964">
        <f>VLOOKUP(D2964,DROPDOWN!B:C,2,0)</f>
        <v>10</v>
      </c>
      <c r="N2964" t="str">
        <f t="shared" si="148"/>
        <v>BR65:CJ76</v>
      </c>
      <c r="O2964" s="4">
        <f t="shared" ca="1" si="149"/>
        <v>80549.700000000012</v>
      </c>
    </row>
    <row r="2965" spans="1:15">
      <c r="A2965" s="2" t="s">
        <v>16</v>
      </c>
      <c r="B2965" t="s">
        <v>35</v>
      </c>
      <c r="C2965" t="s">
        <v>36</v>
      </c>
      <c r="D2965">
        <v>30</v>
      </c>
      <c r="E2965" t="s">
        <v>46</v>
      </c>
      <c r="F2965">
        <v>5</v>
      </c>
      <c r="G2965">
        <v>1</v>
      </c>
      <c r="H2965">
        <v>4</v>
      </c>
      <c r="I2965">
        <v>1</v>
      </c>
      <c r="J2965" s="4" t="s">
        <v>53</v>
      </c>
      <c r="K2965" t="str">
        <f t="shared" si="150"/>
        <v>1+4</v>
      </c>
      <c r="L2965">
        <f>VLOOKUP(A2965,'ZONE 1 PREMIUM'!$A$4:$N$16,14,0)</f>
        <v>7</v>
      </c>
      <c r="M2965">
        <f>VLOOKUP(D2965,DROPDOWN!B:C,2,0)</f>
        <v>10</v>
      </c>
      <c r="N2965" t="str">
        <f t="shared" si="148"/>
        <v>BR65:CJ76</v>
      </c>
      <c r="O2965" s="4">
        <f t="shared" ca="1" si="149"/>
        <v>98480.8</v>
      </c>
    </row>
    <row r="2966" spans="1:15">
      <c r="A2966" s="2" t="s">
        <v>17</v>
      </c>
      <c r="B2966" t="s">
        <v>37</v>
      </c>
      <c r="C2966" t="s">
        <v>38</v>
      </c>
      <c r="D2966">
        <v>30</v>
      </c>
      <c r="E2966" t="s">
        <v>46</v>
      </c>
      <c r="F2966">
        <v>5</v>
      </c>
      <c r="G2966">
        <v>1</v>
      </c>
      <c r="H2966">
        <v>4</v>
      </c>
      <c r="I2966">
        <v>1</v>
      </c>
      <c r="J2966" s="4" t="s">
        <v>53</v>
      </c>
      <c r="K2966" t="str">
        <f t="shared" si="150"/>
        <v>1+4</v>
      </c>
      <c r="L2966">
        <f>VLOOKUP(A2966,'ZONE 1 PREMIUM'!$A$4:$N$16,14,0)</f>
        <v>8</v>
      </c>
      <c r="M2966">
        <f>VLOOKUP(D2966,DROPDOWN!B:C,2,0)</f>
        <v>10</v>
      </c>
      <c r="N2966" t="str">
        <f t="shared" si="148"/>
        <v>BR65:CJ76</v>
      </c>
      <c r="O2966" s="4">
        <f t="shared" ca="1" si="149"/>
        <v>118571.20000000001</v>
      </c>
    </row>
    <row r="2967" spans="1:15">
      <c r="A2967" s="2" t="s">
        <v>18</v>
      </c>
      <c r="B2967" t="s">
        <v>39</v>
      </c>
      <c r="C2967" t="s">
        <v>40</v>
      </c>
      <c r="D2967">
        <v>30</v>
      </c>
      <c r="E2967" t="s">
        <v>46</v>
      </c>
      <c r="F2967">
        <v>5</v>
      </c>
      <c r="G2967">
        <v>1</v>
      </c>
      <c r="H2967">
        <v>4</v>
      </c>
      <c r="I2967">
        <v>1</v>
      </c>
      <c r="J2967" s="4" t="s">
        <v>53</v>
      </c>
      <c r="K2967" t="str">
        <f t="shared" si="150"/>
        <v>1+4</v>
      </c>
      <c r="L2967">
        <f>VLOOKUP(A2967,'ZONE 1 PREMIUM'!$A$4:$N$16,14,0)</f>
        <v>9</v>
      </c>
      <c r="M2967">
        <f>VLOOKUP(D2967,DROPDOWN!B:C,2,0)</f>
        <v>10</v>
      </c>
      <c r="N2967" t="str">
        <f t="shared" si="148"/>
        <v>BR65:CJ76</v>
      </c>
      <c r="O2967" s="4">
        <f t="shared" ca="1" si="149"/>
        <v>149194.1</v>
      </c>
    </row>
    <row r="2968" spans="1:15">
      <c r="A2968" s="2" t="s">
        <v>19</v>
      </c>
      <c r="B2968" t="s">
        <v>41</v>
      </c>
      <c r="C2968" t="s">
        <v>42</v>
      </c>
      <c r="D2968">
        <v>30</v>
      </c>
      <c r="E2968" t="s">
        <v>46</v>
      </c>
      <c r="F2968">
        <v>5</v>
      </c>
      <c r="G2968">
        <v>1</v>
      </c>
      <c r="H2968">
        <v>4</v>
      </c>
      <c r="I2968">
        <v>1</v>
      </c>
      <c r="J2968" s="4" t="s">
        <v>53</v>
      </c>
      <c r="K2968" t="str">
        <f t="shared" si="150"/>
        <v>1+4</v>
      </c>
      <c r="L2968">
        <f>VLOOKUP(A2968,'ZONE 1 PREMIUM'!$A$4:$N$16,14,0)</f>
        <v>10</v>
      </c>
      <c r="M2968">
        <f>VLOOKUP(D2968,DROPDOWN!B:C,2,0)</f>
        <v>10</v>
      </c>
      <c r="N2968" t="str">
        <f t="shared" si="148"/>
        <v>BR65:CJ76</v>
      </c>
      <c r="O2968" s="4">
        <f t="shared" ca="1" si="149"/>
        <v>182660.50000000003</v>
      </c>
    </row>
    <row r="2969" spans="1:15">
      <c r="A2969" s="2" t="s">
        <v>20</v>
      </c>
      <c r="B2969" t="s">
        <v>43</v>
      </c>
      <c r="C2969" t="s">
        <v>44</v>
      </c>
      <c r="D2969">
        <v>30</v>
      </c>
      <c r="E2969" t="s">
        <v>46</v>
      </c>
      <c r="F2969">
        <v>5</v>
      </c>
      <c r="G2969">
        <v>1</v>
      </c>
      <c r="H2969">
        <v>4</v>
      </c>
      <c r="I2969">
        <v>1</v>
      </c>
      <c r="J2969" s="4" t="s">
        <v>53</v>
      </c>
      <c r="K2969" t="str">
        <f t="shared" si="150"/>
        <v>1+4</v>
      </c>
      <c r="L2969">
        <f>VLOOKUP(A2969,'ZONE 1 PREMIUM'!$A$4:$N$16,14,0)</f>
        <v>11</v>
      </c>
      <c r="M2969">
        <f>VLOOKUP(D2969,DROPDOWN!B:C,2,0)</f>
        <v>10</v>
      </c>
      <c r="N2969" t="str">
        <f t="shared" si="148"/>
        <v>BR65:CJ76</v>
      </c>
      <c r="O2969" s="4">
        <f t="shared" ca="1" si="149"/>
        <v>212129.50000000003</v>
      </c>
    </row>
    <row r="2970" spans="1:15">
      <c r="A2970" s="2" t="s">
        <v>21</v>
      </c>
      <c r="B2970" t="s">
        <v>22</v>
      </c>
      <c r="D2970">
        <v>30</v>
      </c>
      <c r="E2970" t="s">
        <v>46</v>
      </c>
      <c r="F2970">
        <v>5</v>
      </c>
      <c r="G2970">
        <v>1</v>
      </c>
      <c r="H2970">
        <v>4</v>
      </c>
      <c r="I2970">
        <v>1</v>
      </c>
      <c r="J2970" s="4" t="s">
        <v>53</v>
      </c>
      <c r="K2970" t="str">
        <f t="shared" si="150"/>
        <v>1+4</v>
      </c>
      <c r="L2970">
        <f>VLOOKUP(A2970,'ZONE 1 PREMIUM'!$A$4:$N$16,14,0)</f>
        <v>12</v>
      </c>
      <c r="M2970">
        <f>VLOOKUP(D2970,DROPDOWN!B:C,2,0)</f>
        <v>10</v>
      </c>
      <c r="N2970" t="str">
        <f t="shared" si="148"/>
        <v>BR65:CJ76</v>
      </c>
      <c r="O2970" s="4">
        <f t="shared" ca="1" si="149"/>
        <v>272554.7</v>
      </c>
    </row>
    <row r="2971" spans="1:15">
      <c r="A2971" s="2" t="s">
        <v>11</v>
      </c>
      <c r="B2971" t="s">
        <v>45</v>
      </c>
      <c r="C2971" t="s">
        <v>25</v>
      </c>
      <c r="D2971">
        <v>30</v>
      </c>
      <c r="E2971" t="s">
        <v>46</v>
      </c>
      <c r="F2971">
        <v>2</v>
      </c>
      <c r="G2971">
        <v>2</v>
      </c>
      <c r="H2971">
        <v>0</v>
      </c>
      <c r="I2971">
        <v>1</v>
      </c>
      <c r="J2971" s="4" t="s">
        <v>53</v>
      </c>
      <c r="K2971" t="str">
        <f t="shared" si="150"/>
        <v>2+0</v>
      </c>
      <c r="L2971">
        <f>VLOOKUP(A2971,'ZONE 1 PREMIUM'!$A$4:$N$16,14,0)</f>
        <v>2</v>
      </c>
      <c r="M2971">
        <f>VLOOKUP(D2971,DROPDOWN!B:C,2,0)</f>
        <v>10</v>
      </c>
      <c r="N2971" t="str">
        <f t="shared" si="148"/>
        <v>BR81:CJ92</v>
      </c>
      <c r="O2971" s="4">
        <f t="shared" ca="1" si="149"/>
        <v>36722.400000000001</v>
      </c>
    </row>
    <row r="2972" spans="1:15">
      <c r="A2972" s="2" t="s">
        <v>12</v>
      </c>
      <c r="B2972" t="s">
        <v>27</v>
      </c>
      <c r="C2972" t="s">
        <v>28</v>
      </c>
      <c r="D2972">
        <v>30</v>
      </c>
      <c r="E2972" t="s">
        <v>46</v>
      </c>
      <c r="F2972">
        <v>2</v>
      </c>
      <c r="G2972">
        <v>2</v>
      </c>
      <c r="H2972">
        <v>0</v>
      </c>
      <c r="I2972">
        <v>1</v>
      </c>
      <c r="J2972" s="4" t="s">
        <v>53</v>
      </c>
      <c r="K2972" t="str">
        <f t="shared" si="150"/>
        <v>2+0</v>
      </c>
      <c r="L2972">
        <f>VLOOKUP(A2972,'ZONE 1 PREMIUM'!$A$4:$N$16,14,0)</f>
        <v>3</v>
      </c>
      <c r="M2972">
        <f>VLOOKUP(D2972,DROPDOWN!B:C,2,0)</f>
        <v>10</v>
      </c>
      <c r="N2972" t="str">
        <f t="shared" si="148"/>
        <v>BR81:CJ92</v>
      </c>
      <c r="O2972" s="4">
        <f t="shared" ca="1" si="149"/>
        <v>41619.600000000006</v>
      </c>
    </row>
    <row r="2973" spans="1:15">
      <c r="A2973" s="2" t="s">
        <v>13</v>
      </c>
      <c r="B2973" t="s">
        <v>29</v>
      </c>
      <c r="C2973" t="s">
        <v>30</v>
      </c>
      <c r="D2973">
        <v>30</v>
      </c>
      <c r="E2973" t="s">
        <v>46</v>
      </c>
      <c r="F2973">
        <v>2</v>
      </c>
      <c r="G2973">
        <v>2</v>
      </c>
      <c r="H2973">
        <v>0</v>
      </c>
      <c r="I2973">
        <v>1</v>
      </c>
      <c r="J2973" s="4" t="s">
        <v>53</v>
      </c>
      <c r="K2973" t="str">
        <f t="shared" si="150"/>
        <v>2+0</v>
      </c>
      <c r="L2973">
        <f>VLOOKUP(A2973,'ZONE 1 PREMIUM'!$A$4:$N$16,14,0)</f>
        <v>4</v>
      </c>
      <c r="M2973">
        <f>VLOOKUP(D2973,DROPDOWN!B:C,2,0)</f>
        <v>10</v>
      </c>
      <c r="N2973" t="str">
        <f t="shared" si="148"/>
        <v>BR81:CJ92</v>
      </c>
      <c r="O2973" s="4">
        <f t="shared" ca="1" si="149"/>
        <v>46268.200000000004</v>
      </c>
    </row>
    <row r="2974" spans="1:15">
      <c r="A2974" s="2" t="s">
        <v>14</v>
      </c>
      <c r="B2974" t="s">
        <v>31</v>
      </c>
      <c r="C2974" t="s">
        <v>32</v>
      </c>
      <c r="D2974">
        <v>30</v>
      </c>
      <c r="E2974" t="s">
        <v>46</v>
      </c>
      <c r="F2974">
        <v>2</v>
      </c>
      <c r="G2974">
        <v>2</v>
      </c>
      <c r="H2974">
        <v>0</v>
      </c>
      <c r="I2974">
        <v>1</v>
      </c>
      <c r="J2974" s="4" t="s">
        <v>53</v>
      </c>
      <c r="K2974" t="str">
        <f t="shared" si="150"/>
        <v>2+0</v>
      </c>
      <c r="L2974">
        <f>VLOOKUP(A2974,'ZONE 1 PREMIUM'!$A$4:$N$16,14,0)</f>
        <v>5</v>
      </c>
      <c r="M2974">
        <f>VLOOKUP(D2974,DROPDOWN!B:C,2,0)</f>
        <v>10</v>
      </c>
      <c r="N2974" t="str">
        <f t="shared" si="148"/>
        <v>BR81:CJ92</v>
      </c>
      <c r="O2974" s="4">
        <f t="shared" ca="1" si="149"/>
        <v>53575.500000000007</v>
      </c>
    </row>
    <row r="2975" spans="1:15">
      <c r="A2975" s="2" t="s">
        <v>15</v>
      </c>
      <c r="B2975" t="s">
        <v>33</v>
      </c>
      <c r="C2975" t="s">
        <v>34</v>
      </c>
      <c r="D2975">
        <v>30</v>
      </c>
      <c r="E2975" t="s">
        <v>46</v>
      </c>
      <c r="F2975">
        <v>2</v>
      </c>
      <c r="G2975">
        <v>2</v>
      </c>
      <c r="H2975">
        <v>0</v>
      </c>
      <c r="I2975">
        <v>1</v>
      </c>
      <c r="J2975" s="4" t="s">
        <v>53</v>
      </c>
      <c r="K2975" t="str">
        <f t="shared" si="150"/>
        <v>2+0</v>
      </c>
      <c r="L2975">
        <f>VLOOKUP(A2975,'ZONE 1 PREMIUM'!$A$4:$N$16,14,0)</f>
        <v>6</v>
      </c>
      <c r="M2975">
        <f>VLOOKUP(D2975,DROPDOWN!B:C,2,0)</f>
        <v>10</v>
      </c>
      <c r="N2975" t="str">
        <f t="shared" si="148"/>
        <v>BR81:CJ92</v>
      </c>
      <c r="O2975" s="4">
        <f t="shared" ca="1" si="149"/>
        <v>68748.900000000009</v>
      </c>
    </row>
    <row r="2976" spans="1:15">
      <c r="A2976" s="2" t="s">
        <v>16</v>
      </c>
      <c r="B2976" t="s">
        <v>35</v>
      </c>
      <c r="C2976" t="s">
        <v>36</v>
      </c>
      <c r="D2976">
        <v>30</v>
      </c>
      <c r="E2976" t="s">
        <v>46</v>
      </c>
      <c r="F2976">
        <v>2</v>
      </c>
      <c r="G2976">
        <v>2</v>
      </c>
      <c r="H2976">
        <v>0</v>
      </c>
      <c r="I2976">
        <v>1</v>
      </c>
      <c r="J2976" s="4" t="s">
        <v>53</v>
      </c>
      <c r="K2976" t="str">
        <f t="shared" si="150"/>
        <v>2+0</v>
      </c>
      <c r="L2976">
        <f>VLOOKUP(A2976,'ZONE 1 PREMIUM'!$A$4:$N$16,14,0)</f>
        <v>7</v>
      </c>
      <c r="M2976">
        <f>VLOOKUP(D2976,DROPDOWN!B:C,2,0)</f>
        <v>10</v>
      </c>
      <c r="N2976" t="str">
        <f t="shared" si="148"/>
        <v>BR81:CJ92</v>
      </c>
      <c r="O2976" s="4">
        <f t="shared" ca="1" si="149"/>
        <v>91198.8</v>
      </c>
    </row>
    <row r="2977" spans="1:15">
      <c r="A2977" s="2" t="s">
        <v>17</v>
      </c>
      <c r="B2977" t="s">
        <v>37</v>
      </c>
      <c r="C2977" t="s">
        <v>38</v>
      </c>
      <c r="D2977">
        <v>30</v>
      </c>
      <c r="E2977" t="s">
        <v>46</v>
      </c>
      <c r="F2977">
        <v>2</v>
      </c>
      <c r="G2977">
        <v>2</v>
      </c>
      <c r="H2977">
        <v>0</v>
      </c>
      <c r="I2977">
        <v>1</v>
      </c>
      <c r="J2977" s="4" t="s">
        <v>53</v>
      </c>
      <c r="K2977" t="str">
        <f t="shared" si="150"/>
        <v>2+0</v>
      </c>
      <c r="L2977">
        <f>VLOOKUP(A2977,'ZONE 1 PREMIUM'!$A$4:$N$16,14,0)</f>
        <v>8</v>
      </c>
      <c r="M2977">
        <f>VLOOKUP(D2977,DROPDOWN!B:C,2,0)</f>
        <v>10</v>
      </c>
      <c r="N2977" t="str">
        <f t="shared" si="148"/>
        <v>BR81:CJ92</v>
      </c>
      <c r="O2977" s="4">
        <f t="shared" ca="1" si="149"/>
        <v>125028.20000000001</v>
      </c>
    </row>
    <row r="2978" spans="1:15">
      <c r="A2978" s="2" t="s">
        <v>18</v>
      </c>
      <c r="B2978" t="s">
        <v>39</v>
      </c>
      <c r="C2978" t="s">
        <v>40</v>
      </c>
      <c r="D2978">
        <v>30</v>
      </c>
      <c r="E2978" t="s">
        <v>46</v>
      </c>
      <c r="F2978">
        <v>2</v>
      </c>
      <c r="G2978">
        <v>2</v>
      </c>
      <c r="H2978">
        <v>0</v>
      </c>
      <c r="I2978">
        <v>1</v>
      </c>
      <c r="J2978" s="4" t="s">
        <v>53</v>
      </c>
      <c r="K2978" t="str">
        <f t="shared" si="150"/>
        <v>2+0</v>
      </c>
      <c r="L2978">
        <f>VLOOKUP(A2978,'ZONE 1 PREMIUM'!$A$4:$N$16,14,0)</f>
        <v>9</v>
      </c>
      <c r="M2978">
        <f>VLOOKUP(D2978,DROPDOWN!B:C,2,0)</f>
        <v>10</v>
      </c>
      <c r="N2978" t="str">
        <f t="shared" ref="N2978:N3025" si="151">VLOOKUP(K2978,$CK$3:$CL$12,2,0)</f>
        <v>BR81:CJ92</v>
      </c>
      <c r="O2978" s="4">
        <f t="shared" ca="1" si="149"/>
        <v>176086.90000000002</v>
      </c>
    </row>
    <row r="2979" spans="1:15">
      <c r="A2979" s="2" t="s">
        <v>19</v>
      </c>
      <c r="B2979" t="s">
        <v>41</v>
      </c>
      <c r="C2979" t="s">
        <v>42</v>
      </c>
      <c r="D2979">
        <v>30</v>
      </c>
      <c r="E2979" t="s">
        <v>46</v>
      </c>
      <c r="F2979">
        <v>2</v>
      </c>
      <c r="G2979">
        <v>2</v>
      </c>
      <c r="H2979">
        <v>0</v>
      </c>
      <c r="I2979">
        <v>1</v>
      </c>
      <c r="J2979" s="4" t="s">
        <v>53</v>
      </c>
      <c r="K2979" t="str">
        <f t="shared" si="150"/>
        <v>2+0</v>
      </c>
      <c r="L2979">
        <f>VLOOKUP(A2979,'ZONE 1 PREMIUM'!$A$4:$N$16,14,0)</f>
        <v>10</v>
      </c>
      <c r="M2979">
        <f>VLOOKUP(D2979,DROPDOWN!B:C,2,0)</f>
        <v>10</v>
      </c>
      <c r="N2979" t="str">
        <f t="shared" si="151"/>
        <v>BR81:CJ92</v>
      </c>
      <c r="O2979" s="4">
        <f t="shared" ca="1" si="149"/>
        <v>247694.7</v>
      </c>
    </row>
    <row r="2980" spans="1:15">
      <c r="A2980" s="2" t="s">
        <v>20</v>
      </c>
      <c r="B2980" t="s">
        <v>43</v>
      </c>
      <c r="C2980" t="s">
        <v>44</v>
      </c>
      <c r="D2980">
        <v>30</v>
      </c>
      <c r="E2980" t="s">
        <v>46</v>
      </c>
      <c r="F2980">
        <v>2</v>
      </c>
      <c r="G2980">
        <v>2</v>
      </c>
      <c r="H2980">
        <v>0</v>
      </c>
      <c r="I2980">
        <v>1</v>
      </c>
      <c r="J2980" s="4" t="s">
        <v>53</v>
      </c>
      <c r="K2980" t="str">
        <f t="shared" si="150"/>
        <v>2+0</v>
      </c>
      <c r="L2980">
        <f>VLOOKUP(A2980,'ZONE 1 PREMIUM'!$A$4:$N$16,14,0)</f>
        <v>11</v>
      </c>
      <c r="M2980">
        <f>VLOOKUP(D2980,DROPDOWN!B:C,2,0)</f>
        <v>10</v>
      </c>
      <c r="N2980" t="str">
        <f t="shared" si="151"/>
        <v>BR81:CJ92</v>
      </c>
      <c r="O2980" s="4">
        <f t="shared" ca="1" si="149"/>
        <v>308609.40000000002</v>
      </c>
    </row>
    <row r="2981" spans="1:15">
      <c r="A2981" s="2" t="s">
        <v>21</v>
      </c>
      <c r="B2981" t="s">
        <v>22</v>
      </c>
      <c r="D2981">
        <v>30</v>
      </c>
      <c r="E2981" t="s">
        <v>46</v>
      </c>
      <c r="F2981">
        <v>2</v>
      </c>
      <c r="G2981">
        <v>2</v>
      </c>
      <c r="H2981">
        <v>0</v>
      </c>
      <c r="I2981">
        <v>1</v>
      </c>
      <c r="J2981" s="4" t="s">
        <v>53</v>
      </c>
      <c r="K2981" t="str">
        <f t="shared" si="150"/>
        <v>2+0</v>
      </c>
      <c r="L2981">
        <f>VLOOKUP(A2981,'ZONE 1 PREMIUM'!$A$4:$N$16,14,0)</f>
        <v>12</v>
      </c>
      <c r="M2981">
        <f>VLOOKUP(D2981,DROPDOWN!B:C,2,0)</f>
        <v>10</v>
      </c>
      <c r="N2981" t="str">
        <f t="shared" si="151"/>
        <v>BR81:CJ92</v>
      </c>
      <c r="O2981" s="4">
        <f t="shared" ca="1" si="149"/>
        <v>396400.4</v>
      </c>
    </row>
    <row r="2982" spans="1:15">
      <c r="A2982" s="2" t="s">
        <v>11</v>
      </c>
      <c r="B2982" t="s">
        <v>45</v>
      </c>
      <c r="C2982" t="s">
        <v>25</v>
      </c>
      <c r="D2982">
        <v>30</v>
      </c>
      <c r="E2982" t="s">
        <v>46</v>
      </c>
      <c r="F2982">
        <v>3</v>
      </c>
      <c r="G2982">
        <v>2</v>
      </c>
      <c r="H2982">
        <v>1</v>
      </c>
      <c r="I2982">
        <v>1</v>
      </c>
      <c r="J2982" s="4" t="s">
        <v>53</v>
      </c>
      <c r="K2982" t="str">
        <f t="shared" si="150"/>
        <v>2+1</v>
      </c>
      <c r="L2982">
        <f>VLOOKUP(A2982,'ZONE 1 PREMIUM'!$A$4:$N$16,14,0)</f>
        <v>2</v>
      </c>
      <c r="M2982">
        <f>VLOOKUP(D2982,DROPDOWN!B:C,2,0)</f>
        <v>10</v>
      </c>
      <c r="N2982" t="str">
        <f t="shared" si="151"/>
        <v>BR98:CJ109</v>
      </c>
      <c r="O2982" s="4">
        <f t="shared" ca="1" si="149"/>
        <v>44548.9</v>
      </c>
    </row>
    <row r="2983" spans="1:15">
      <c r="A2983" s="2" t="s">
        <v>12</v>
      </c>
      <c r="B2983" t="s">
        <v>27</v>
      </c>
      <c r="C2983" t="s">
        <v>28</v>
      </c>
      <c r="D2983">
        <v>30</v>
      </c>
      <c r="E2983" t="s">
        <v>46</v>
      </c>
      <c r="F2983">
        <v>3</v>
      </c>
      <c r="G2983">
        <v>2</v>
      </c>
      <c r="H2983">
        <v>1</v>
      </c>
      <c r="I2983">
        <v>1</v>
      </c>
      <c r="J2983" s="4" t="s">
        <v>53</v>
      </c>
      <c r="K2983" t="str">
        <f t="shared" si="150"/>
        <v>2+1</v>
      </c>
      <c r="L2983">
        <f>VLOOKUP(A2983,'ZONE 1 PREMIUM'!$A$4:$N$16,14,0)</f>
        <v>3</v>
      </c>
      <c r="M2983">
        <f>VLOOKUP(D2983,DROPDOWN!B:C,2,0)</f>
        <v>10</v>
      </c>
      <c r="N2983" t="str">
        <f t="shared" si="151"/>
        <v>BR98:CJ109</v>
      </c>
      <c r="O2983" s="4">
        <f t="shared" ca="1" si="149"/>
        <v>49310.8</v>
      </c>
    </row>
    <row r="2984" spans="1:15">
      <c r="A2984" s="2" t="s">
        <v>13</v>
      </c>
      <c r="B2984" t="s">
        <v>29</v>
      </c>
      <c r="C2984" t="s">
        <v>30</v>
      </c>
      <c r="D2984">
        <v>30</v>
      </c>
      <c r="E2984" t="s">
        <v>46</v>
      </c>
      <c r="F2984">
        <v>3</v>
      </c>
      <c r="G2984">
        <v>2</v>
      </c>
      <c r="H2984">
        <v>1</v>
      </c>
      <c r="I2984">
        <v>1</v>
      </c>
      <c r="J2984" s="4" t="s">
        <v>53</v>
      </c>
      <c r="K2984" t="str">
        <f t="shared" si="150"/>
        <v>2+1</v>
      </c>
      <c r="L2984">
        <f>VLOOKUP(A2984,'ZONE 1 PREMIUM'!$A$4:$N$16,14,0)</f>
        <v>4</v>
      </c>
      <c r="M2984">
        <f>VLOOKUP(D2984,DROPDOWN!B:C,2,0)</f>
        <v>10</v>
      </c>
      <c r="N2984" t="str">
        <f t="shared" si="151"/>
        <v>BR98:CJ109</v>
      </c>
      <c r="O2984" s="4">
        <f t="shared" ca="1" si="149"/>
        <v>55300.3</v>
      </c>
    </row>
    <row r="2985" spans="1:15">
      <c r="A2985" s="2" t="s">
        <v>14</v>
      </c>
      <c r="B2985" t="s">
        <v>31</v>
      </c>
      <c r="C2985" t="s">
        <v>32</v>
      </c>
      <c r="D2985">
        <v>30</v>
      </c>
      <c r="E2985" t="s">
        <v>46</v>
      </c>
      <c r="F2985">
        <v>3</v>
      </c>
      <c r="G2985">
        <v>2</v>
      </c>
      <c r="H2985">
        <v>1</v>
      </c>
      <c r="I2985">
        <v>1</v>
      </c>
      <c r="J2985" s="4" t="s">
        <v>53</v>
      </c>
      <c r="K2985" t="str">
        <f t="shared" si="150"/>
        <v>2+1</v>
      </c>
      <c r="L2985">
        <f>VLOOKUP(A2985,'ZONE 1 PREMIUM'!$A$4:$N$16,14,0)</f>
        <v>5</v>
      </c>
      <c r="M2985">
        <f>VLOOKUP(D2985,DROPDOWN!B:C,2,0)</f>
        <v>10</v>
      </c>
      <c r="N2985" t="str">
        <f t="shared" si="151"/>
        <v>BR98:CJ109</v>
      </c>
      <c r="O2985" s="4">
        <f t="shared" ca="1" si="149"/>
        <v>63275.3</v>
      </c>
    </row>
    <row r="2986" spans="1:15">
      <c r="A2986" s="2" t="s">
        <v>15</v>
      </c>
      <c r="B2986" t="s">
        <v>33</v>
      </c>
      <c r="C2986" t="s">
        <v>34</v>
      </c>
      <c r="D2986">
        <v>30</v>
      </c>
      <c r="E2986" t="s">
        <v>46</v>
      </c>
      <c r="F2986">
        <v>3</v>
      </c>
      <c r="G2986">
        <v>2</v>
      </c>
      <c r="H2986">
        <v>1</v>
      </c>
      <c r="I2986">
        <v>1</v>
      </c>
      <c r="J2986" s="4" t="s">
        <v>53</v>
      </c>
      <c r="K2986" t="str">
        <f t="shared" si="150"/>
        <v>2+1</v>
      </c>
      <c r="L2986">
        <f>VLOOKUP(A2986,'ZONE 1 PREMIUM'!$A$4:$N$16,14,0)</f>
        <v>6</v>
      </c>
      <c r="M2986">
        <f>VLOOKUP(D2986,DROPDOWN!B:C,2,0)</f>
        <v>10</v>
      </c>
      <c r="N2986" t="str">
        <f t="shared" si="151"/>
        <v>BR98:CJ109</v>
      </c>
      <c r="O2986" s="4">
        <f t="shared" ca="1" si="149"/>
        <v>79700.5</v>
      </c>
    </row>
    <row r="2987" spans="1:15">
      <c r="A2987" s="2" t="s">
        <v>16</v>
      </c>
      <c r="B2987" t="s">
        <v>35</v>
      </c>
      <c r="C2987" t="s">
        <v>36</v>
      </c>
      <c r="D2987">
        <v>30</v>
      </c>
      <c r="E2987" t="s">
        <v>46</v>
      </c>
      <c r="F2987">
        <v>3</v>
      </c>
      <c r="G2987">
        <v>2</v>
      </c>
      <c r="H2987">
        <v>1</v>
      </c>
      <c r="I2987">
        <v>1</v>
      </c>
      <c r="J2987" s="4" t="s">
        <v>53</v>
      </c>
      <c r="K2987" t="str">
        <f t="shared" si="150"/>
        <v>2+1</v>
      </c>
      <c r="L2987">
        <f>VLOOKUP(A2987,'ZONE 1 PREMIUM'!$A$4:$N$16,14,0)</f>
        <v>7</v>
      </c>
      <c r="M2987">
        <f>VLOOKUP(D2987,DROPDOWN!B:C,2,0)</f>
        <v>10</v>
      </c>
      <c r="N2987" t="str">
        <f t="shared" si="151"/>
        <v>BR98:CJ109</v>
      </c>
      <c r="O2987" s="4">
        <f t="shared" ca="1" si="149"/>
        <v>104841.00000000001</v>
      </c>
    </row>
    <row r="2988" spans="1:15">
      <c r="A2988" s="2" t="s">
        <v>17</v>
      </c>
      <c r="B2988" t="s">
        <v>37</v>
      </c>
      <c r="C2988" t="s">
        <v>38</v>
      </c>
      <c r="D2988">
        <v>30</v>
      </c>
      <c r="E2988" t="s">
        <v>46</v>
      </c>
      <c r="F2988">
        <v>3</v>
      </c>
      <c r="G2988">
        <v>2</v>
      </c>
      <c r="H2988">
        <v>1</v>
      </c>
      <c r="I2988">
        <v>1</v>
      </c>
      <c r="J2988" s="4" t="s">
        <v>53</v>
      </c>
      <c r="K2988" t="str">
        <f t="shared" si="150"/>
        <v>2+1</v>
      </c>
      <c r="L2988">
        <f>VLOOKUP(A2988,'ZONE 1 PREMIUM'!$A$4:$N$16,14,0)</f>
        <v>8</v>
      </c>
      <c r="M2988">
        <f>VLOOKUP(D2988,DROPDOWN!B:C,2,0)</f>
        <v>10</v>
      </c>
      <c r="N2988" t="str">
        <f t="shared" si="151"/>
        <v>BR98:CJ109</v>
      </c>
      <c r="O2988" s="4">
        <f t="shared" ca="1" si="149"/>
        <v>139747.30000000002</v>
      </c>
    </row>
    <row r="2989" spans="1:15">
      <c r="A2989" s="2" t="s">
        <v>18</v>
      </c>
      <c r="B2989" t="s">
        <v>39</v>
      </c>
      <c r="C2989" t="s">
        <v>40</v>
      </c>
      <c r="D2989">
        <v>30</v>
      </c>
      <c r="E2989" t="s">
        <v>46</v>
      </c>
      <c r="F2989">
        <v>3</v>
      </c>
      <c r="G2989">
        <v>2</v>
      </c>
      <c r="H2989">
        <v>1</v>
      </c>
      <c r="I2989">
        <v>1</v>
      </c>
      <c r="J2989" s="4" t="s">
        <v>53</v>
      </c>
      <c r="K2989" t="str">
        <f t="shared" si="150"/>
        <v>2+1</v>
      </c>
      <c r="L2989">
        <f>VLOOKUP(A2989,'ZONE 1 PREMIUM'!$A$4:$N$16,14,0)</f>
        <v>9</v>
      </c>
      <c r="M2989">
        <f>VLOOKUP(D2989,DROPDOWN!B:C,2,0)</f>
        <v>10</v>
      </c>
      <c r="N2989" t="str">
        <f t="shared" si="151"/>
        <v>BR98:CJ109</v>
      </c>
      <c r="O2989" s="4">
        <f t="shared" ca="1" si="149"/>
        <v>191076.6</v>
      </c>
    </row>
    <row r="2990" spans="1:15">
      <c r="A2990" s="2" t="s">
        <v>19</v>
      </c>
      <c r="B2990" t="s">
        <v>41</v>
      </c>
      <c r="C2990" t="s">
        <v>42</v>
      </c>
      <c r="D2990">
        <v>30</v>
      </c>
      <c r="E2990" t="s">
        <v>46</v>
      </c>
      <c r="F2990">
        <v>3</v>
      </c>
      <c r="G2990">
        <v>2</v>
      </c>
      <c r="H2990">
        <v>1</v>
      </c>
      <c r="I2990">
        <v>1</v>
      </c>
      <c r="J2990" s="4" t="s">
        <v>53</v>
      </c>
      <c r="K2990" t="str">
        <f t="shared" si="150"/>
        <v>2+1</v>
      </c>
      <c r="L2990">
        <f>VLOOKUP(A2990,'ZONE 1 PREMIUM'!$A$4:$N$16,14,0)</f>
        <v>10</v>
      </c>
      <c r="M2990">
        <f>VLOOKUP(D2990,DROPDOWN!B:C,2,0)</f>
        <v>10</v>
      </c>
      <c r="N2990" t="str">
        <f t="shared" si="151"/>
        <v>BR98:CJ109</v>
      </c>
      <c r="O2990" s="4">
        <f t="shared" ca="1" si="149"/>
        <v>257165.7</v>
      </c>
    </row>
    <row r="2991" spans="1:15">
      <c r="A2991" s="2" t="s">
        <v>20</v>
      </c>
      <c r="B2991" t="s">
        <v>43</v>
      </c>
      <c r="C2991" t="s">
        <v>44</v>
      </c>
      <c r="D2991">
        <v>30</v>
      </c>
      <c r="E2991" t="s">
        <v>46</v>
      </c>
      <c r="F2991">
        <v>3</v>
      </c>
      <c r="G2991">
        <v>2</v>
      </c>
      <c r="H2991">
        <v>1</v>
      </c>
      <c r="I2991">
        <v>1</v>
      </c>
      <c r="J2991" s="4" t="s">
        <v>53</v>
      </c>
      <c r="K2991" t="str">
        <f t="shared" si="150"/>
        <v>2+1</v>
      </c>
      <c r="L2991">
        <f>VLOOKUP(A2991,'ZONE 1 PREMIUM'!$A$4:$N$16,14,0)</f>
        <v>11</v>
      </c>
      <c r="M2991">
        <f>VLOOKUP(D2991,DROPDOWN!B:C,2,0)</f>
        <v>10</v>
      </c>
      <c r="N2991" t="str">
        <f t="shared" si="151"/>
        <v>BR98:CJ109</v>
      </c>
      <c r="O2991" s="4">
        <f t="shared" ca="1" si="149"/>
        <v>316006.90000000002</v>
      </c>
    </row>
    <row r="2992" spans="1:15">
      <c r="A2992" s="2" t="s">
        <v>21</v>
      </c>
      <c r="B2992" t="s">
        <v>22</v>
      </c>
      <c r="D2992">
        <v>30</v>
      </c>
      <c r="E2992" t="s">
        <v>46</v>
      </c>
      <c r="F2992">
        <v>3</v>
      </c>
      <c r="G2992">
        <v>2</v>
      </c>
      <c r="H2992">
        <v>1</v>
      </c>
      <c r="I2992">
        <v>1</v>
      </c>
      <c r="J2992" s="4" t="s">
        <v>53</v>
      </c>
      <c r="K2992" t="str">
        <f t="shared" si="150"/>
        <v>2+1</v>
      </c>
      <c r="L2992">
        <f>VLOOKUP(A2992,'ZONE 1 PREMIUM'!$A$4:$N$16,14,0)</f>
        <v>12</v>
      </c>
      <c r="M2992">
        <f>VLOOKUP(D2992,DROPDOWN!B:C,2,0)</f>
        <v>10</v>
      </c>
      <c r="N2992" t="str">
        <f t="shared" si="151"/>
        <v>BR98:CJ109</v>
      </c>
      <c r="O2992" s="4">
        <f t="shared" ca="1" si="149"/>
        <v>403448.10000000003</v>
      </c>
    </row>
    <row r="2993" spans="1:15">
      <c r="A2993" s="2" t="s">
        <v>11</v>
      </c>
      <c r="B2993" t="s">
        <v>45</v>
      </c>
      <c r="C2993" t="s">
        <v>25</v>
      </c>
      <c r="D2993">
        <v>30</v>
      </c>
      <c r="E2993" t="s">
        <v>46</v>
      </c>
      <c r="F2993">
        <v>4</v>
      </c>
      <c r="G2993">
        <v>2</v>
      </c>
      <c r="H2993">
        <v>2</v>
      </c>
      <c r="I2993">
        <v>1</v>
      </c>
      <c r="J2993" s="4" t="s">
        <v>53</v>
      </c>
      <c r="K2993" t="str">
        <f t="shared" si="150"/>
        <v>2+2</v>
      </c>
      <c r="L2993">
        <f>VLOOKUP(A2993,'ZONE 1 PREMIUM'!$A$4:$N$16,14,0)</f>
        <v>2</v>
      </c>
      <c r="M2993">
        <f>VLOOKUP(D2993,DROPDOWN!B:C,2,0)</f>
        <v>10</v>
      </c>
      <c r="N2993" t="str">
        <f t="shared" si="151"/>
        <v>BR113:CJ124</v>
      </c>
      <c r="O2993" s="4">
        <f t="shared" ca="1" si="149"/>
        <v>52223.600000000006</v>
      </c>
    </row>
    <row r="2994" spans="1:15">
      <c r="A2994" s="2" t="s">
        <v>12</v>
      </c>
      <c r="B2994" t="s">
        <v>27</v>
      </c>
      <c r="C2994" t="s">
        <v>28</v>
      </c>
      <c r="D2994">
        <v>30</v>
      </c>
      <c r="E2994" t="s">
        <v>46</v>
      </c>
      <c r="F2994">
        <v>4</v>
      </c>
      <c r="G2994">
        <v>2</v>
      </c>
      <c r="H2994">
        <v>2</v>
      </c>
      <c r="I2994">
        <v>1</v>
      </c>
      <c r="J2994" s="4" t="s">
        <v>53</v>
      </c>
      <c r="K2994" t="str">
        <f t="shared" si="150"/>
        <v>2+2</v>
      </c>
      <c r="L2994">
        <f>VLOOKUP(A2994,'ZONE 1 PREMIUM'!$A$4:$N$16,14,0)</f>
        <v>3</v>
      </c>
      <c r="M2994">
        <f>VLOOKUP(D2994,DROPDOWN!B:C,2,0)</f>
        <v>10</v>
      </c>
      <c r="N2994" t="str">
        <f t="shared" si="151"/>
        <v>BR113:CJ124</v>
      </c>
      <c r="O2994" s="4">
        <f t="shared" ca="1" si="149"/>
        <v>56850.200000000004</v>
      </c>
    </row>
    <row r="2995" spans="1:15">
      <c r="A2995" s="2" t="s">
        <v>13</v>
      </c>
      <c r="B2995" t="s">
        <v>29</v>
      </c>
      <c r="C2995" t="s">
        <v>30</v>
      </c>
      <c r="D2995">
        <v>30</v>
      </c>
      <c r="E2995" t="s">
        <v>46</v>
      </c>
      <c r="F2995">
        <v>4</v>
      </c>
      <c r="G2995">
        <v>2</v>
      </c>
      <c r="H2995">
        <v>2</v>
      </c>
      <c r="I2995">
        <v>1</v>
      </c>
      <c r="J2995" s="4" t="s">
        <v>53</v>
      </c>
      <c r="K2995" t="str">
        <f t="shared" si="150"/>
        <v>2+2</v>
      </c>
      <c r="L2995">
        <f>VLOOKUP(A2995,'ZONE 1 PREMIUM'!$A$4:$N$16,14,0)</f>
        <v>4</v>
      </c>
      <c r="M2995">
        <f>VLOOKUP(D2995,DROPDOWN!B:C,2,0)</f>
        <v>10</v>
      </c>
      <c r="N2995" t="str">
        <f t="shared" si="151"/>
        <v>BR113:CJ124</v>
      </c>
      <c r="O2995" s="4">
        <f t="shared" ca="1" si="149"/>
        <v>64111.3</v>
      </c>
    </row>
    <row r="2996" spans="1:15">
      <c r="A2996" s="2" t="s">
        <v>14</v>
      </c>
      <c r="B2996" t="s">
        <v>31</v>
      </c>
      <c r="C2996" t="s">
        <v>32</v>
      </c>
      <c r="D2996">
        <v>30</v>
      </c>
      <c r="E2996" t="s">
        <v>46</v>
      </c>
      <c r="F2996">
        <v>4</v>
      </c>
      <c r="G2996">
        <v>2</v>
      </c>
      <c r="H2996">
        <v>2</v>
      </c>
      <c r="I2996">
        <v>1</v>
      </c>
      <c r="J2996" s="4" t="s">
        <v>53</v>
      </c>
      <c r="K2996" t="str">
        <f t="shared" si="150"/>
        <v>2+2</v>
      </c>
      <c r="L2996">
        <f>VLOOKUP(A2996,'ZONE 1 PREMIUM'!$A$4:$N$16,14,0)</f>
        <v>5</v>
      </c>
      <c r="M2996">
        <f>VLOOKUP(D2996,DROPDOWN!B:C,2,0)</f>
        <v>10</v>
      </c>
      <c r="N2996" t="str">
        <f t="shared" si="151"/>
        <v>BR113:CJ124</v>
      </c>
      <c r="O2996" s="4">
        <f t="shared" ca="1" si="149"/>
        <v>72703.400000000009</v>
      </c>
    </row>
    <row r="2997" spans="1:15">
      <c r="A2997" s="2" t="s">
        <v>15</v>
      </c>
      <c r="B2997" t="s">
        <v>33</v>
      </c>
      <c r="C2997" t="s">
        <v>34</v>
      </c>
      <c r="D2997">
        <v>30</v>
      </c>
      <c r="E2997" t="s">
        <v>46</v>
      </c>
      <c r="F2997">
        <v>4</v>
      </c>
      <c r="G2997">
        <v>2</v>
      </c>
      <c r="H2997">
        <v>2</v>
      </c>
      <c r="I2997">
        <v>1</v>
      </c>
      <c r="J2997" s="4" t="s">
        <v>53</v>
      </c>
      <c r="K2997" t="str">
        <f t="shared" si="150"/>
        <v>2+2</v>
      </c>
      <c r="L2997">
        <f>VLOOKUP(A2997,'ZONE 1 PREMIUM'!$A$4:$N$16,14,0)</f>
        <v>6</v>
      </c>
      <c r="M2997">
        <f>VLOOKUP(D2997,DROPDOWN!B:C,2,0)</f>
        <v>10</v>
      </c>
      <c r="N2997" t="str">
        <f t="shared" si="151"/>
        <v>BR113:CJ124</v>
      </c>
      <c r="O2997" s="4">
        <f t="shared" ca="1" si="149"/>
        <v>90322.1</v>
      </c>
    </row>
    <row r="2998" spans="1:15">
      <c r="A2998" s="2" t="s">
        <v>16</v>
      </c>
      <c r="B2998" t="s">
        <v>35</v>
      </c>
      <c r="C2998" t="s">
        <v>36</v>
      </c>
      <c r="D2998">
        <v>30</v>
      </c>
      <c r="E2998" t="s">
        <v>46</v>
      </c>
      <c r="F2998">
        <v>4</v>
      </c>
      <c r="G2998">
        <v>2</v>
      </c>
      <c r="H2998">
        <v>2</v>
      </c>
      <c r="I2998">
        <v>1</v>
      </c>
      <c r="J2998" s="4" t="s">
        <v>53</v>
      </c>
      <c r="K2998" t="str">
        <f t="shared" si="150"/>
        <v>2+2</v>
      </c>
      <c r="L2998">
        <f>VLOOKUP(A2998,'ZONE 1 PREMIUM'!$A$4:$N$16,14,0)</f>
        <v>7</v>
      </c>
      <c r="M2998">
        <f>VLOOKUP(D2998,DROPDOWN!B:C,2,0)</f>
        <v>10</v>
      </c>
      <c r="N2998" t="str">
        <f t="shared" si="151"/>
        <v>BR113:CJ124</v>
      </c>
      <c r="O2998" s="4">
        <f t="shared" ca="1" si="149"/>
        <v>118055.3</v>
      </c>
    </row>
    <row r="2999" spans="1:15">
      <c r="A2999" s="2" t="s">
        <v>17</v>
      </c>
      <c r="B2999" t="s">
        <v>37</v>
      </c>
      <c r="C2999" t="s">
        <v>38</v>
      </c>
      <c r="D2999">
        <v>30</v>
      </c>
      <c r="E2999" t="s">
        <v>46</v>
      </c>
      <c r="F2999">
        <v>4</v>
      </c>
      <c r="G2999">
        <v>2</v>
      </c>
      <c r="H2999">
        <v>2</v>
      </c>
      <c r="I2999">
        <v>1</v>
      </c>
      <c r="J2999" s="4" t="s">
        <v>53</v>
      </c>
      <c r="K2999" t="str">
        <f t="shared" si="150"/>
        <v>2+2</v>
      </c>
      <c r="L2999">
        <f>VLOOKUP(A2999,'ZONE 1 PREMIUM'!$A$4:$N$16,14,0)</f>
        <v>8</v>
      </c>
      <c r="M2999">
        <f>VLOOKUP(D2999,DROPDOWN!B:C,2,0)</f>
        <v>10</v>
      </c>
      <c r="N2999" t="str">
        <f t="shared" si="151"/>
        <v>BR113:CJ124</v>
      </c>
      <c r="O2999" s="4">
        <f t="shared" ca="1" si="149"/>
        <v>152227.90000000002</v>
      </c>
    </row>
    <row r="3000" spans="1:15">
      <c r="A3000" s="2" t="s">
        <v>18</v>
      </c>
      <c r="B3000" t="s">
        <v>39</v>
      </c>
      <c r="C3000" t="s">
        <v>40</v>
      </c>
      <c r="D3000">
        <v>30</v>
      </c>
      <c r="E3000" t="s">
        <v>46</v>
      </c>
      <c r="F3000">
        <v>4</v>
      </c>
      <c r="G3000">
        <v>2</v>
      </c>
      <c r="H3000">
        <v>2</v>
      </c>
      <c r="I3000">
        <v>1</v>
      </c>
      <c r="J3000" s="4" t="s">
        <v>53</v>
      </c>
      <c r="K3000" t="str">
        <f t="shared" si="150"/>
        <v>2+2</v>
      </c>
      <c r="L3000">
        <f>VLOOKUP(A3000,'ZONE 1 PREMIUM'!$A$4:$N$16,14,0)</f>
        <v>9</v>
      </c>
      <c r="M3000">
        <f>VLOOKUP(D3000,DROPDOWN!B:C,2,0)</f>
        <v>10</v>
      </c>
      <c r="N3000" t="str">
        <f t="shared" si="151"/>
        <v>BR113:CJ124</v>
      </c>
      <c r="O3000" s="4">
        <f t="shared" ca="1" si="149"/>
        <v>201165.80000000002</v>
      </c>
    </row>
    <row r="3001" spans="1:15">
      <c r="A3001" s="2" t="s">
        <v>19</v>
      </c>
      <c r="B3001" t="s">
        <v>41</v>
      </c>
      <c r="C3001" t="s">
        <v>42</v>
      </c>
      <c r="D3001">
        <v>30</v>
      </c>
      <c r="E3001" t="s">
        <v>46</v>
      </c>
      <c r="F3001">
        <v>4</v>
      </c>
      <c r="G3001">
        <v>2</v>
      </c>
      <c r="H3001">
        <v>2</v>
      </c>
      <c r="I3001">
        <v>1</v>
      </c>
      <c r="J3001" s="4" t="s">
        <v>53</v>
      </c>
      <c r="K3001" t="str">
        <f t="shared" si="150"/>
        <v>2+2</v>
      </c>
      <c r="L3001">
        <f>VLOOKUP(A3001,'ZONE 1 PREMIUM'!$A$4:$N$16,14,0)</f>
        <v>10</v>
      </c>
      <c r="M3001">
        <f>VLOOKUP(D3001,DROPDOWN!B:C,2,0)</f>
        <v>10</v>
      </c>
      <c r="N3001" t="str">
        <f t="shared" si="151"/>
        <v>BR113:CJ124</v>
      </c>
      <c r="O3001" s="4">
        <f t="shared" ca="1" si="149"/>
        <v>261850.60000000003</v>
      </c>
    </row>
    <row r="3002" spans="1:15">
      <c r="A3002" s="2" t="s">
        <v>20</v>
      </c>
      <c r="B3002" t="s">
        <v>43</v>
      </c>
      <c r="C3002" t="s">
        <v>44</v>
      </c>
      <c r="D3002">
        <v>30</v>
      </c>
      <c r="E3002" t="s">
        <v>46</v>
      </c>
      <c r="F3002">
        <v>4</v>
      </c>
      <c r="G3002">
        <v>2</v>
      </c>
      <c r="H3002">
        <v>2</v>
      </c>
      <c r="I3002">
        <v>1</v>
      </c>
      <c r="J3002" s="4" t="s">
        <v>53</v>
      </c>
      <c r="K3002" t="str">
        <f t="shared" si="150"/>
        <v>2+2</v>
      </c>
      <c r="L3002">
        <f>VLOOKUP(A3002,'ZONE 1 PREMIUM'!$A$4:$N$16,14,0)</f>
        <v>11</v>
      </c>
      <c r="M3002">
        <f>VLOOKUP(D3002,DROPDOWN!B:C,2,0)</f>
        <v>10</v>
      </c>
      <c r="N3002" t="str">
        <f t="shared" si="151"/>
        <v>BR113:CJ124</v>
      </c>
      <c r="O3002" s="4">
        <f t="shared" ca="1" si="149"/>
        <v>321156</v>
      </c>
    </row>
    <row r="3003" spans="1:15">
      <c r="A3003" s="2" t="s">
        <v>21</v>
      </c>
      <c r="B3003" t="s">
        <v>22</v>
      </c>
      <c r="D3003">
        <v>30</v>
      </c>
      <c r="E3003" t="s">
        <v>46</v>
      </c>
      <c r="F3003">
        <v>4</v>
      </c>
      <c r="G3003">
        <v>2</v>
      </c>
      <c r="H3003">
        <v>2</v>
      </c>
      <c r="I3003">
        <v>1</v>
      </c>
      <c r="J3003" s="4" t="s">
        <v>53</v>
      </c>
      <c r="K3003" t="str">
        <f t="shared" si="150"/>
        <v>2+2</v>
      </c>
      <c r="L3003">
        <f>VLOOKUP(A3003,'ZONE 1 PREMIUM'!$A$4:$N$16,14,0)</f>
        <v>12</v>
      </c>
      <c r="M3003">
        <f>VLOOKUP(D3003,DROPDOWN!B:C,2,0)</f>
        <v>10</v>
      </c>
      <c r="N3003" t="str">
        <f t="shared" si="151"/>
        <v>BR113:CJ124</v>
      </c>
      <c r="O3003" s="4">
        <f t="shared" ca="1" si="149"/>
        <v>408828.2</v>
      </c>
    </row>
    <row r="3004" spans="1:15">
      <c r="A3004" s="2" t="s">
        <v>11</v>
      </c>
      <c r="B3004" t="s">
        <v>45</v>
      </c>
      <c r="C3004" t="s">
        <v>25</v>
      </c>
      <c r="D3004">
        <v>30</v>
      </c>
      <c r="E3004" t="s">
        <v>46</v>
      </c>
      <c r="F3004">
        <v>5</v>
      </c>
      <c r="G3004">
        <v>2</v>
      </c>
      <c r="H3004">
        <v>3</v>
      </c>
      <c r="I3004">
        <v>1</v>
      </c>
      <c r="J3004" s="4" t="s">
        <v>53</v>
      </c>
      <c r="K3004" t="str">
        <f t="shared" si="150"/>
        <v>2+3</v>
      </c>
      <c r="L3004">
        <f>VLOOKUP(A3004,'ZONE 1 PREMIUM'!$A$4:$N$16,14,0)</f>
        <v>2</v>
      </c>
      <c r="M3004">
        <f>VLOOKUP(D3004,DROPDOWN!B:C,2,0)</f>
        <v>10</v>
      </c>
      <c r="N3004" t="str">
        <f t="shared" si="151"/>
        <v>BR128:CJ139</v>
      </c>
      <c r="O3004" s="4">
        <f t="shared" ca="1" si="149"/>
        <v>59899.4</v>
      </c>
    </row>
    <row r="3005" spans="1:15">
      <c r="A3005" s="2" t="s">
        <v>12</v>
      </c>
      <c r="B3005" t="s">
        <v>27</v>
      </c>
      <c r="C3005" t="s">
        <v>28</v>
      </c>
      <c r="D3005">
        <v>30</v>
      </c>
      <c r="E3005" t="s">
        <v>46</v>
      </c>
      <c r="F3005">
        <v>5</v>
      </c>
      <c r="G3005">
        <v>2</v>
      </c>
      <c r="H3005">
        <v>3</v>
      </c>
      <c r="I3005">
        <v>1</v>
      </c>
      <c r="J3005" s="4" t="s">
        <v>53</v>
      </c>
      <c r="K3005" t="str">
        <f t="shared" si="150"/>
        <v>2+3</v>
      </c>
      <c r="L3005">
        <f>VLOOKUP(A3005,'ZONE 1 PREMIUM'!$A$4:$N$16,14,0)</f>
        <v>3</v>
      </c>
      <c r="M3005">
        <f>VLOOKUP(D3005,DROPDOWN!B:C,2,0)</f>
        <v>10</v>
      </c>
      <c r="N3005" t="str">
        <f t="shared" si="151"/>
        <v>BR128:CJ139</v>
      </c>
      <c r="O3005" s="4">
        <f t="shared" ca="1" si="149"/>
        <v>64389.600000000006</v>
      </c>
    </row>
    <row r="3006" spans="1:15">
      <c r="A3006" s="2" t="s">
        <v>13</v>
      </c>
      <c r="B3006" t="s">
        <v>29</v>
      </c>
      <c r="C3006" t="s">
        <v>30</v>
      </c>
      <c r="D3006">
        <v>30</v>
      </c>
      <c r="E3006" t="s">
        <v>46</v>
      </c>
      <c r="F3006">
        <v>5</v>
      </c>
      <c r="G3006">
        <v>2</v>
      </c>
      <c r="H3006">
        <v>3</v>
      </c>
      <c r="I3006">
        <v>1</v>
      </c>
      <c r="J3006" s="4" t="s">
        <v>53</v>
      </c>
      <c r="K3006" t="str">
        <f t="shared" si="150"/>
        <v>2+3</v>
      </c>
      <c r="L3006">
        <f>VLOOKUP(A3006,'ZONE 1 PREMIUM'!$A$4:$N$16,14,0)</f>
        <v>4</v>
      </c>
      <c r="M3006">
        <f>VLOOKUP(D3006,DROPDOWN!B:C,2,0)</f>
        <v>10</v>
      </c>
      <c r="N3006" t="str">
        <f t="shared" si="151"/>
        <v>BR128:CJ139</v>
      </c>
      <c r="O3006" s="4">
        <f t="shared" ca="1" si="149"/>
        <v>72922.3</v>
      </c>
    </row>
    <row r="3007" spans="1:15">
      <c r="A3007" s="2" t="s">
        <v>14</v>
      </c>
      <c r="B3007" t="s">
        <v>31</v>
      </c>
      <c r="C3007" t="s">
        <v>32</v>
      </c>
      <c r="D3007">
        <v>30</v>
      </c>
      <c r="E3007" t="s">
        <v>46</v>
      </c>
      <c r="F3007">
        <v>5</v>
      </c>
      <c r="G3007">
        <v>2</v>
      </c>
      <c r="H3007">
        <v>3</v>
      </c>
      <c r="I3007">
        <v>1</v>
      </c>
      <c r="J3007" s="4" t="s">
        <v>53</v>
      </c>
      <c r="K3007" t="str">
        <f t="shared" si="150"/>
        <v>2+3</v>
      </c>
      <c r="L3007">
        <f>VLOOKUP(A3007,'ZONE 1 PREMIUM'!$A$4:$N$16,14,0)</f>
        <v>5</v>
      </c>
      <c r="M3007">
        <f>VLOOKUP(D3007,DROPDOWN!B:C,2,0)</f>
        <v>10</v>
      </c>
      <c r="N3007" t="str">
        <f t="shared" si="151"/>
        <v>BR128:CJ139</v>
      </c>
      <c r="O3007" s="4">
        <f t="shared" ca="1" si="149"/>
        <v>82132.600000000006</v>
      </c>
    </row>
    <row r="3008" spans="1:15">
      <c r="A3008" s="2" t="s">
        <v>15</v>
      </c>
      <c r="B3008" t="s">
        <v>33</v>
      </c>
      <c r="C3008" t="s">
        <v>34</v>
      </c>
      <c r="D3008">
        <v>30</v>
      </c>
      <c r="E3008" t="s">
        <v>46</v>
      </c>
      <c r="F3008">
        <v>5</v>
      </c>
      <c r="G3008">
        <v>2</v>
      </c>
      <c r="H3008">
        <v>3</v>
      </c>
      <c r="I3008">
        <v>1</v>
      </c>
      <c r="J3008" s="4" t="s">
        <v>53</v>
      </c>
      <c r="K3008" t="str">
        <f t="shared" si="150"/>
        <v>2+3</v>
      </c>
      <c r="L3008">
        <f>VLOOKUP(A3008,'ZONE 1 PREMIUM'!$A$4:$N$16,14,0)</f>
        <v>6</v>
      </c>
      <c r="M3008">
        <f>VLOOKUP(D3008,DROPDOWN!B:C,2,0)</f>
        <v>10</v>
      </c>
      <c r="N3008" t="str">
        <f t="shared" si="151"/>
        <v>BR128:CJ139</v>
      </c>
      <c r="O3008" s="4">
        <f t="shared" ca="1" si="149"/>
        <v>100944.8</v>
      </c>
    </row>
    <row r="3009" spans="1:15">
      <c r="A3009" s="2" t="s">
        <v>16</v>
      </c>
      <c r="B3009" t="s">
        <v>35</v>
      </c>
      <c r="C3009" t="s">
        <v>36</v>
      </c>
      <c r="D3009">
        <v>30</v>
      </c>
      <c r="E3009" t="s">
        <v>46</v>
      </c>
      <c r="F3009">
        <v>5</v>
      </c>
      <c r="G3009">
        <v>2</v>
      </c>
      <c r="H3009">
        <v>3</v>
      </c>
      <c r="I3009">
        <v>1</v>
      </c>
      <c r="J3009" s="4" t="s">
        <v>53</v>
      </c>
      <c r="K3009" t="str">
        <f t="shared" si="150"/>
        <v>2+3</v>
      </c>
      <c r="L3009">
        <f>VLOOKUP(A3009,'ZONE 1 PREMIUM'!$A$4:$N$16,14,0)</f>
        <v>7</v>
      </c>
      <c r="M3009">
        <f>VLOOKUP(D3009,DROPDOWN!B:C,2,0)</f>
        <v>10</v>
      </c>
      <c r="N3009" t="str">
        <f t="shared" si="151"/>
        <v>BR128:CJ139</v>
      </c>
      <c r="O3009" s="4">
        <f t="shared" ca="1" si="149"/>
        <v>128906.80000000002</v>
      </c>
    </row>
    <row r="3010" spans="1:15">
      <c r="A3010" s="2" t="s">
        <v>17</v>
      </c>
      <c r="B3010" t="s">
        <v>37</v>
      </c>
      <c r="C3010" t="s">
        <v>38</v>
      </c>
      <c r="D3010">
        <v>30</v>
      </c>
      <c r="E3010" t="s">
        <v>46</v>
      </c>
      <c r="F3010">
        <v>5</v>
      </c>
      <c r="G3010">
        <v>2</v>
      </c>
      <c r="H3010">
        <v>3</v>
      </c>
      <c r="I3010">
        <v>1</v>
      </c>
      <c r="J3010" s="4" t="s">
        <v>53</v>
      </c>
      <c r="K3010" t="str">
        <f t="shared" si="150"/>
        <v>2+3</v>
      </c>
      <c r="L3010">
        <f>VLOOKUP(A3010,'ZONE 1 PREMIUM'!$A$4:$N$16,14,0)</f>
        <v>8</v>
      </c>
      <c r="M3010">
        <f>VLOOKUP(D3010,DROPDOWN!B:C,2,0)</f>
        <v>10</v>
      </c>
      <c r="N3010" t="str">
        <f t="shared" si="151"/>
        <v>BR128:CJ139</v>
      </c>
      <c r="O3010" s="4">
        <f t="shared" ref="O3010:O3073" ca="1" si="152">INDEX(INDIRECT(N3010),L3010,M3010)</f>
        <v>162192.80000000002</v>
      </c>
    </row>
    <row r="3011" spans="1:15">
      <c r="A3011" s="2" t="s">
        <v>18</v>
      </c>
      <c r="B3011" t="s">
        <v>39</v>
      </c>
      <c r="C3011" t="s">
        <v>40</v>
      </c>
      <c r="D3011">
        <v>30</v>
      </c>
      <c r="E3011" t="s">
        <v>46</v>
      </c>
      <c r="F3011">
        <v>5</v>
      </c>
      <c r="G3011">
        <v>2</v>
      </c>
      <c r="H3011">
        <v>3</v>
      </c>
      <c r="I3011">
        <v>1</v>
      </c>
      <c r="J3011" s="4" t="s">
        <v>53</v>
      </c>
      <c r="K3011" t="str">
        <f t="shared" si="150"/>
        <v>2+3</v>
      </c>
      <c r="L3011">
        <f>VLOOKUP(A3011,'ZONE 1 PREMIUM'!$A$4:$N$16,14,0)</f>
        <v>9</v>
      </c>
      <c r="M3011">
        <f>VLOOKUP(D3011,DROPDOWN!B:C,2,0)</f>
        <v>10</v>
      </c>
      <c r="N3011" t="str">
        <f t="shared" si="151"/>
        <v>BR128:CJ139</v>
      </c>
      <c r="O3011" s="4">
        <f t="shared" ca="1" si="152"/>
        <v>211072.40000000002</v>
      </c>
    </row>
    <row r="3012" spans="1:15">
      <c r="A3012" s="2" t="s">
        <v>19</v>
      </c>
      <c r="B3012" t="s">
        <v>41</v>
      </c>
      <c r="C3012" t="s">
        <v>42</v>
      </c>
      <c r="D3012">
        <v>30</v>
      </c>
      <c r="E3012" t="s">
        <v>46</v>
      </c>
      <c r="F3012">
        <v>5</v>
      </c>
      <c r="G3012">
        <v>2</v>
      </c>
      <c r="H3012">
        <v>3</v>
      </c>
      <c r="I3012">
        <v>1</v>
      </c>
      <c r="J3012" s="4" t="s">
        <v>53</v>
      </c>
      <c r="K3012" t="str">
        <f t="shared" ref="K3012:K3075" si="153">G3012&amp;"+"&amp;H3012</f>
        <v>2+3</v>
      </c>
      <c r="L3012">
        <f>VLOOKUP(A3012,'ZONE 1 PREMIUM'!$A$4:$N$16,14,0)</f>
        <v>10</v>
      </c>
      <c r="M3012">
        <f>VLOOKUP(D3012,DROPDOWN!B:C,2,0)</f>
        <v>10</v>
      </c>
      <c r="N3012" t="str">
        <f t="shared" si="151"/>
        <v>BR128:CJ139</v>
      </c>
      <c r="O3012" s="4">
        <f t="shared" ca="1" si="152"/>
        <v>271265.5</v>
      </c>
    </row>
    <row r="3013" spans="1:15">
      <c r="A3013" s="2" t="s">
        <v>20</v>
      </c>
      <c r="B3013" t="s">
        <v>43</v>
      </c>
      <c r="C3013" t="s">
        <v>44</v>
      </c>
      <c r="D3013">
        <v>30</v>
      </c>
      <c r="E3013" t="s">
        <v>46</v>
      </c>
      <c r="F3013">
        <v>5</v>
      </c>
      <c r="G3013">
        <v>2</v>
      </c>
      <c r="H3013">
        <v>3</v>
      </c>
      <c r="I3013">
        <v>1</v>
      </c>
      <c r="J3013" s="4" t="s">
        <v>53</v>
      </c>
      <c r="K3013" t="str">
        <f t="shared" si="153"/>
        <v>2+3</v>
      </c>
      <c r="L3013">
        <f>VLOOKUP(A3013,'ZONE 1 PREMIUM'!$A$4:$N$16,14,0)</f>
        <v>11</v>
      </c>
      <c r="M3013">
        <f>VLOOKUP(D3013,DROPDOWN!B:C,2,0)</f>
        <v>10</v>
      </c>
      <c r="N3013" t="str">
        <f t="shared" si="151"/>
        <v>BR128:CJ139</v>
      </c>
      <c r="O3013" s="4">
        <f t="shared" ca="1" si="152"/>
        <v>331597.2</v>
      </c>
    </row>
    <row r="3014" spans="1:15">
      <c r="A3014" s="2" t="s">
        <v>21</v>
      </c>
      <c r="B3014" t="s">
        <v>22</v>
      </c>
      <c r="D3014">
        <v>30</v>
      </c>
      <c r="E3014" t="s">
        <v>46</v>
      </c>
      <c r="F3014">
        <v>5</v>
      </c>
      <c r="G3014">
        <v>2</v>
      </c>
      <c r="H3014">
        <v>3</v>
      </c>
      <c r="I3014">
        <v>1</v>
      </c>
      <c r="J3014" s="4" t="s">
        <v>53</v>
      </c>
      <c r="K3014" t="str">
        <f t="shared" si="153"/>
        <v>2+3</v>
      </c>
      <c r="L3014">
        <f>VLOOKUP(A3014,'ZONE 1 PREMIUM'!$A$4:$N$16,14,0)</f>
        <v>12</v>
      </c>
      <c r="M3014">
        <f>VLOOKUP(D3014,DROPDOWN!B:C,2,0)</f>
        <v>10</v>
      </c>
      <c r="N3014" t="str">
        <f t="shared" si="151"/>
        <v>BR128:CJ139</v>
      </c>
      <c r="O3014" s="4">
        <f t="shared" ca="1" si="152"/>
        <v>419907.4</v>
      </c>
    </row>
    <row r="3015" spans="1:15">
      <c r="A3015" s="2" t="s">
        <v>11</v>
      </c>
      <c r="B3015" t="s">
        <v>45</v>
      </c>
      <c r="C3015" t="s">
        <v>25</v>
      </c>
      <c r="D3015">
        <v>30</v>
      </c>
      <c r="E3015" t="s">
        <v>46</v>
      </c>
      <c r="F3015">
        <v>6</v>
      </c>
      <c r="G3015">
        <v>2</v>
      </c>
      <c r="H3015">
        <v>4</v>
      </c>
      <c r="I3015">
        <v>1</v>
      </c>
      <c r="J3015" s="4" t="s">
        <v>53</v>
      </c>
      <c r="K3015" t="str">
        <f t="shared" si="153"/>
        <v>2+4</v>
      </c>
      <c r="L3015">
        <f>VLOOKUP(A3015,'ZONE 1 PREMIUM'!$A$4:$N$16,14,0)</f>
        <v>2</v>
      </c>
      <c r="M3015">
        <f>VLOOKUP(D3015,DROPDOWN!B:C,2,0)</f>
        <v>10</v>
      </c>
      <c r="N3015" t="str">
        <f t="shared" si="151"/>
        <v>BR143:CJ154</v>
      </c>
      <c r="O3015" s="4">
        <f t="shared" ca="1" si="152"/>
        <v>67574.100000000006</v>
      </c>
    </row>
    <row r="3016" spans="1:15">
      <c r="A3016" s="2" t="s">
        <v>12</v>
      </c>
      <c r="B3016" t="s">
        <v>27</v>
      </c>
      <c r="C3016" t="s">
        <v>28</v>
      </c>
      <c r="D3016">
        <v>30</v>
      </c>
      <c r="E3016" t="s">
        <v>46</v>
      </c>
      <c r="F3016">
        <v>6</v>
      </c>
      <c r="G3016">
        <v>2</v>
      </c>
      <c r="H3016">
        <v>4</v>
      </c>
      <c r="I3016">
        <v>1</v>
      </c>
      <c r="J3016" s="4" t="s">
        <v>53</v>
      </c>
      <c r="K3016" t="str">
        <f t="shared" si="153"/>
        <v>2+4</v>
      </c>
      <c r="L3016">
        <f>VLOOKUP(A3016,'ZONE 1 PREMIUM'!$A$4:$N$16,14,0)</f>
        <v>3</v>
      </c>
      <c r="M3016">
        <f>VLOOKUP(D3016,DROPDOWN!B:C,2,0)</f>
        <v>10</v>
      </c>
      <c r="N3016" t="str">
        <f t="shared" si="151"/>
        <v>BR143:CJ154</v>
      </c>
      <c r="O3016" s="4">
        <f t="shared" ca="1" si="152"/>
        <v>71929</v>
      </c>
    </row>
    <row r="3017" spans="1:15">
      <c r="A3017" s="2" t="s">
        <v>13</v>
      </c>
      <c r="B3017" t="s">
        <v>29</v>
      </c>
      <c r="C3017" t="s">
        <v>30</v>
      </c>
      <c r="D3017">
        <v>30</v>
      </c>
      <c r="E3017" t="s">
        <v>46</v>
      </c>
      <c r="F3017">
        <v>6</v>
      </c>
      <c r="G3017">
        <v>2</v>
      </c>
      <c r="H3017">
        <v>4</v>
      </c>
      <c r="I3017">
        <v>1</v>
      </c>
      <c r="J3017" s="4" t="s">
        <v>53</v>
      </c>
      <c r="K3017" t="str">
        <f t="shared" si="153"/>
        <v>2+4</v>
      </c>
      <c r="L3017">
        <f>VLOOKUP(A3017,'ZONE 1 PREMIUM'!$A$4:$N$16,14,0)</f>
        <v>4</v>
      </c>
      <c r="M3017">
        <f>VLOOKUP(D3017,DROPDOWN!B:C,2,0)</f>
        <v>10</v>
      </c>
      <c r="N3017" t="str">
        <f t="shared" si="151"/>
        <v>BR143:CJ154</v>
      </c>
      <c r="O3017" s="4">
        <f t="shared" ca="1" si="152"/>
        <v>81733.3</v>
      </c>
    </row>
    <row r="3018" spans="1:15">
      <c r="A3018" s="2" t="s">
        <v>14</v>
      </c>
      <c r="B3018" t="s">
        <v>31</v>
      </c>
      <c r="C3018" t="s">
        <v>32</v>
      </c>
      <c r="D3018">
        <v>30</v>
      </c>
      <c r="E3018" t="s">
        <v>46</v>
      </c>
      <c r="F3018">
        <v>6</v>
      </c>
      <c r="G3018">
        <v>2</v>
      </c>
      <c r="H3018">
        <v>4</v>
      </c>
      <c r="I3018">
        <v>1</v>
      </c>
      <c r="J3018" s="4" t="s">
        <v>53</v>
      </c>
      <c r="K3018" t="str">
        <f t="shared" si="153"/>
        <v>2+4</v>
      </c>
      <c r="L3018">
        <f>VLOOKUP(A3018,'ZONE 1 PREMIUM'!$A$4:$N$16,14,0)</f>
        <v>5</v>
      </c>
      <c r="M3018">
        <f>VLOOKUP(D3018,DROPDOWN!B:C,2,0)</f>
        <v>10</v>
      </c>
      <c r="N3018" t="str">
        <f t="shared" si="151"/>
        <v>BR143:CJ154</v>
      </c>
      <c r="O3018" s="4">
        <f t="shared" ca="1" si="152"/>
        <v>91560.700000000012</v>
      </c>
    </row>
    <row r="3019" spans="1:15">
      <c r="A3019" s="2" t="s">
        <v>15</v>
      </c>
      <c r="B3019" t="s">
        <v>33</v>
      </c>
      <c r="C3019" t="s">
        <v>34</v>
      </c>
      <c r="D3019">
        <v>30</v>
      </c>
      <c r="E3019" t="s">
        <v>46</v>
      </c>
      <c r="F3019">
        <v>6</v>
      </c>
      <c r="G3019">
        <v>2</v>
      </c>
      <c r="H3019">
        <v>4</v>
      </c>
      <c r="I3019">
        <v>1</v>
      </c>
      <c r="J3019" s="4" t="s">
        <v>53</v>
      </c>
      <c r="K3019" t="str">
        <f t="shared" si="153"/>
        <v>2+4</v>
      </c>
      <c r="L3019">
        <f>VLOOKUP(A3019,'ZONE 1 PREMIUM'!$A$4:$N$16,14,0)</f>
        <v>6</v>
      </c>
      <c r="M3019">
        <f>VLOOKUP(D3019,DROPDOWN!B:C,2,0)</f>
        <v>10</v>
      </c>
      <c r="N3019" t="str">
        <f t="shared" si="151"/>
        <v>BR143:CJ154</v>
      </c>
      <c r="O3019" s="4">
        <f t="shared" ca="1" si="152"/>
        <v>111566.40000000001</v>
      </c>
    </row>
    <row r="3020" spans="1:15">
      <c r="A3020" s="2" t="s">
        <v>16</v>
      </c>
      <c r="B3020" t="s">
        <v>35</v>
      </c>
      <c r="C3020" t="s">
        <v>36</v>
      </c>
      <c r="D3020">
        <v>30</v>
      </c>
      <c r="E3020" t="s">
        <v>46</v>
      </c>
      <c r="F3020">
        <v>6</v>
      </c>
      <c r="G3020">
        <v>2</v>
      </c>
      <c r="H3020">
        <v>4</v>
      </c>
      <c r="I3020">
        <v>1</v>
      </c>
      <c r="J3020" s="4" t="s">
        <v>53</v>
      </c>
      <c r="K3020" t="str">
        <f t="shared" si="153"/>
        <v>2+4</v>
      </c>
      <c r="L3020">
        <f>VLOOKUP(A3020,'ZONE 1 PREMIUM'!$A$4:$N$16,14,0)</f>
        <v>7</v>
      </c>
      <c r="M3020">
        <f>VLOOKUP(D3020,DROPDOWN!B:C,2,0)</f>
        <v>10</v>
      </c>
      <c r="N3020" t="str">
        <f t="shared" si="151"/>
        <v>BR143:CJ154</v>
      </c>
      <c r="O3020" s="4">
        <f t="shared" ca="1" si="152"/>
        <v>138704.5</v>
      </c>
    </row>
    <row r="3021" spans="1:15">
      <c r="A3021" s="2" t="s">
        <v>17</v>
      </c>
      <c r="B3021" t="s">
        <v>37</v>
      </c>
      <c r="C3021" t="s">
        <v>38</v>
      </c>
      <c r="D3021">
        <v>30</v>
      </c>
      <c r="E3021" t="s">
        <v>46</v>
      </c>
      <c r="F3021">
        <v>6</v>
      </c>
      <c r="G3021">
        <v>2</v>
      </c>
      <c r="H3021">
        <v>4</v>
      </c>
      <c r="I3021">
        <v>1</v>
      </c>
      <c r="J3021" s="4" t="s">
        <v>53</v>
      </c>
      <c r="K3021" t="str">
        <f t="shared" si="153"/>
        <v>2+4</v>
      </c>
      <c r="L3021">
        <f>VLOOKUP(A3021,'ZONE 1 PREMIUM'!$A$4:$N$16,14,0)</f>
        <v>8</v>
      </c>
      <c r="M3021">
        <f>VLOOKUP(D3021,DROPDOWN!B:C,2,0)</f>
        <v>10</v>
      </c>
      <c r="N3021" t="str">
        <f t="shared" si="151"/>
        <v>BR143:CJ154</v>
      </c>
      <c r="O3021" s="4">
        <f t="shared" ca="1" si="152"/>
        <v>172007</v>
      </c>
    </row>
    <row r="3022" spans="1:15">
      <c r="A3022" s="2" t="s">
        <v>18</v>
      </c>
      <c r="B3022" t="s">
        <v>39</v>
      </c>
      <c r="C3022" t="s">
        <v>40</v>
      </c>
      <c r="D3022">
        <v>30</v>
      </c>
      <c r="E3022" t="s">
        <v>46</v>
      </c>
      <c r="F3022">
        <v>6</v>
      </c>
      <c r="G3022">
        <v>2</v>
      </c>
      <c r="H3022">
        <v>4</v>
      </c>
      <c r="I3022">
        <v>1</v>
      </c>
      <c r="J3022" s="4" t="s">
        <v>53</v>
      </c>
      <c r="K3022" t="str">
        <f t="shared" si="153"/>
        <v>2+4</v>
      </c>
      <c r="L3022">
        <f>VLOOKUP(A3022,'ZONE 1 PREMIUM'!$A$4:$N$16,14,0)</f>
        <v>9</v>
      </c>
      <c r="M3022">
        <f>VLOOKUP(D3022,DROPDOWN!B:C,2,0)</f>
        <v>10</v>
      </c>
      <c r="N3022" t="str">
        <f t="shared" si="151"/>
        <v>BR143:CJ154</v>
      </c>
      <c r="O3022" s="4">
        <f t="shared" ca="1" si="152"/>
        <v>220530.2</v>
      </c>
    </row>
    <row r="3023" spans="1:15">
      <c r="A3023" s="2" t="s">
        <v>19</v>
      </c>
      <c r="B3023" t="s">
        <v>41</v>
      </c>
      <c r="C3023" t="s">
        <v>42</v>
      </c>
      <c r="D3023">
        <v>30</v>
      </c>
      <c r="E3023" t="s">
        <v>46</v>
      </c>
      <c r="F3023">
        <v>6</v>
      </c>
      <c r="G3023">
        <v>2</v>
      </c>
      <c r="H3023">
        <v>4</v>
      </c>
      <c r="I3023">
        <v>1</v>
      </c>
      <c r="J3023" s="4" t="s">
        <v>53</v>
      </c>
      <c r="K3023" t="str">
        <f t="shared" si="153"/>
        <v>2+4</v>
      </c>
      <c r="L3023">
        <f>VLOOKUP(A3023,'ZONE 1 PREMIUM'!$A$4:$N$16,14,0)</f>
        <v>10</v>
      </c>
      <c r="M3023">
        <f>VLOOKUP(D3023,DROPDOWN!B:C,2,0)</f>
        <v>10</v>
      </c>
      <c r="N3023" t="str">
        <f t="shared" si="151"/>
        <v>BR143:CJ154</v>
      </c>
      <c r="O3023" s="4">
        <f t="shared" ca="1" si="152"/>
        <v>281689.10000000003</v>
      </c>
    </row>
    <row r="3024" spans="1:15">
      <c r="A3024" s="2" t="s">
        <v>20</v>
      </c>
      <c r="B3024" t="s">
        <v>43</v>
      </c>
      <c r="C3024" t="s">
        <v>44</v>
      </c>
      <c r="D3024">
        <v>30</v>
      </c>
      <c r="E3024" t="s">
        <v>46</v>
      </c>
      <c r="F3024">
        <v>6</v>
      </c>
      <c r="G3024">
        <v>2</v>
      </c>
      <c r="H3024">
        <v>4</v>
      </c>
      <c r="I3024">
        <v>1</v>
      </c>
      <c r="J3024" s="4" t="s">
        <v>53</v>
      </c>
      <c r="K3024" t="str">
        <f t="shared" si="153"/>
        <v>2+4</v>
      </c>
      <c r="L3024">
        <f>VLOOKUP(A3024,'ZONE 1 PREMIUM'!$A$4:$N$16,14,0)</f>
        <v>11</v>
      </c>
      <c r="M3024">
        <f>VLOOKUP(D3024,DROPDOWN!B:C,2,0)</f>
        <v>10</v>
      </c>
      <c r="N3024" t="str">
        <f t="shared" si="151"/>
        <v>BR143:CJ154</v>
      </c>
      <c r="O3024" s="4">
        <f t="shared" ca="1" si="152"/>
        <v>341269.5</v>
      </c>
    </row>
    <row r="3025" spans="1:15">
      <c r="A3025" s="2" t="s">
        <v>21</v>
      </c>
      <c r="B3025" t="s">
        <v>22</v>
      </c>
      <c r="D3025">
        <v>30</v>
      </c>
      <c r="E3025" t="s">
        <v>46</v>
      </c>
      <c r="F3025">
        <v>6</v>
      </c>
      <c r="G3025">
        <v>2</v>
      </c>
      <c r="H3025">
        <v>4</v>
      </c>
      <c r="I3025">
        <v>1</v>
      </c>
      <c r="J3025" s="4" t="s">
        <v>53</v>
      </c>
      <c r="K3025" t="str">
        <f t="shared" si="153"/>
        <v>2+4</v>
      </c>
      <c r="L3025">
        <f>VLOOKUP(A3025,'ZONE 1 PREMIUM'!$A$4:$N$16,14,0)</f>
        <v>12</v>
      </c>
      <c r="M3025">
        <f>VLOOKUP(D3025,DROPDOWN!B:C,2,0)</f>
        <v>10</v>
      </c>
      <c r="N3025" t="str">
        <f t="shared" si="151"/>
        <v>BR143:CJ154</v>
      </c>
      <c r="O3025" s="4">
        <f t="shared" ca="1" si="152"/>
        <v>427942.9</v>
      </c>
    </row>
    <row r="3026" spans="1:15">
      <c r="A3026" s="2" t="s">
        <v>9</v>
      </c>
      <c r="B3026" t="s">
        <v>47</v>
      </c>
      <c r="C3026" t="s">
        <v>48</v>
      </c>
      <c r="D3026">
        <v>30</v>
      </c>
      <c r="E3026" t="s">
        <v>26</v>
      </c>
      <c r="F3026">
        <v>1</v>
      </c>
      <c r="H3026">
        <v>1</v>
      </c>
      <c r="I3026">
        <v>1</v>
      </c>
      <c r="J3026" s="4" t="s">
        <v>54</v>
      </c>
      <c r="K3026" t="str">
        <f t="shared" si="153"/>
        <v>+1</v>
      </c>
      <c r="N3026" t="e">
        <f t="shared" ref="N3026:N3089" si="154">VLOOKUP(K3026,$DH$4:$DI$13,2,0)</f>
        <v>#N/A</v>
      </c>
      <c r="O3026" s="13">
        <v>4894.1314899720737</v>
      </c>
    </row>
    <row r="3027" spans="1:15">
      <c r="A3027" s="2" t="s">
        <v>10</v>
      </c>
      <c r="B3027" t="s">
        <v>49</v>
      </c>
      <c r="C3027" t="s">
        <v>50</v>
      </c>
      <c r="D3027">
        <v>30</v>
      </c>
      <c r="E3027" t="s">
        <v>26</v>
      </c>
      <c r="F3027">
        <v>1</v>
      </c>
      <c r="G3027">
        <v>1</v>
      </c>
      <c r="H3027">
        <v>0</v>
      </c>
      <c r="I3027">
        <v>1</v>
      </c>
      <c r="J3027" s="4" t="s">
        <v>54</v>
      </c>
      <c r="K3027" t="str">
        <f t="shared" si="153"/>
        <v>1+0</v>
      </c>
      <c r="L3027">
        <f>VLOOKUP(A3027,'ZONE 1 PREMIUM'!$A$3:$M$16,13,0)</f>
        <v>3</v>
      </c>
      <c r="M3027">
        <f>VLOOKUP(D3027,DROPDOWN!B:C,2,0)</f>
        <v>10</v>
      </c>
      <c r="N3027" t="str">
        <f t="shared" si="154"/>
        <v>CO3:DG16</v>
      </c>
      <c r="O3027" s="4">
        <f t="shared" ca="1" si="152"/>
        <v>7808.76</v>
      </c>
    </row>
    <row r="3028" spans="1:15">
      <c r="A3028" s="2" t="s">
        <v>11</v>
      </c>
      <c r="B3028" t="s">
        <v>45</v>
      </c>
      <c r="C3028" t="s">
        <v>25</v>
      </c>
      <c r="D3028">
        <v>30</v>
      </c>
      <c r="E3028" t="s">
        <v>26</v>
      </c>
      <c r="F3028">
        <v>1</v>
      </c>
      <c r="G3028">
        <v>1</v>
      </c>
      <c r="H3028">
        <v>0</v>
      </c>
      <c r="I3028">
        <v>1</v>
      </c>
      <c r="J3028" s="4" t="s">
        <v>54</v>
      </c>
      <c r="K3028" t="str">
        <f t="shared" si="153"/>
        <v>1+0</v>
      </c>
      <c r="L3028">
        <f>VLOOKUP(A3028,'ZONE 1 PREMIUM'!$A$3:$M$16,13,0)</f>
        <v>4</v>
      </c>
      <c r="M3028">
        <f>VLOOKUP(D3028,DROPDOWN!B:C,2,0)</f>
        <v>10</v>
      </c>
      <c r="N3028" t="str">
        <f t="shared" si="154"/>
        <v>CO3:DG16</v>
      </c>
      <c r="O3028" s="4">
        <f t="shared" ca="1" si="152"/>
        <v>21528.59</v>
      </c>
    </row>
    <row r="3029" spans="1:15">
      <c r="A3029" s="2" t="s">
        <v>12</v>
      </c>
      <c r="B3029" t="s">
        <v>27</v>
      </c>
      <c r="C3029" t="s">
        <v>28</v>
      </c>
      <c r="D3029">
        <v>30</v>
      </c>
      <c r="E3029" t="s">
        <v>26</v>
      </c>
      <c r="F3029">
        <v>1</v>
      </c>
      <c r="G3029">
        <v>1</v>
      </c>
      <c r="H3029">
        <v>0</v>
      </c>
      <c r="I3029">
        <v>1</v>
      </c>
      <c r="J3029" s="4" t="s">
        <v>54</v>
      </c>
      <c r="K3029" t="str">
        <f t="shared" si="153"/>
        <v>1+0</v>
      </c>
      <c r="L3029">
        <f>VLOOKUP(A3029,'ZONE 1 PREMIUM'!$A$3:$M$16,13,0)</f>
        <v>5</v>
      </c>
      <c r="M3029">
        <f>VLOOKUP(D3029,DROPDOWN!B:C,2,0)</f>
        <v>10</v>
      </c>
      <c r="N3029" t="str">
        <f t="shared" si="154"/>
        <v>CO3:DG16</v>
      </c>
      <c r="O3029" s="4">
        <f t="shared" ca="1" si="152"/>
        <v>24603.480000000003</v>
      </c>
    </row>
    <row r="3030" spans="1:15">
      <c r="A3030" s="2" t="s">
        <v>13</v>
      </c>
      <c r="B3030" t="s">
        <v>29</v>
      </c>
      <c r="C3030" t="s">
        <v>30</v>
      </c>
      <c r="D3030">
        <v>30</v>
      </c>
      <c r="E3030" t="s">
        <v>26</v>
      </c>
      <c r="F3030">
        <v>1</v>
      </c>
      <c r="G3030">
        <v>1</v>
      </c>
      <c r="H3030">
        <v>0</v>
      </c>
      <c r="I3030">
        <v>1</v>
      </c>
      <c r="J3030" s="4" t="s">
        <v>54</v>
      </c>
      <c r="K3030" t="str">
        <f t="shared" si="153"/>
        <v>1+0</v>
      </c>
      <c r="L3030">
        <f>VLOOKUP(A3030,'ZONE 1 PREMIUM'!$A$3:$M$16,13,0)</f>
        <v>6</v>
      </c>
      <c r="M3030">
        <f>VLOOKUP(D3030,DROPDOWN!B:C,2,0)</f>
        <v>10</v>
      </c>
      <c r="N3030" t="str">
        <f t="shared" si="154"/>
        <v>CO3:DG16</v>
      </c>
      <c r="O3030" s="4">
        <f t="shared" ca="1" si="152"/>
        <v>28457.72</v>
      </c>
    </row>
    <row r="3031" spans="1:15">
      <c r="A3031" s="2" t="s">
        <v>14</v>
      </c>
      <c r="B3031" t="s">
        <v>31</v>
      </c>
      <c r="C3031" t="s">
        <v>32</v>
      </c>
      <c r="D3031">
        <v>30</v>
      </c>
      <c r="E3031" t="s">
        <v>26</v>
      </c>
      <c r="F3031">
        <v>1</v>
      </c>
      <c r="G3031">
        <v>1</v>
      </c>
      <c r="H3031">
        <v>0</v>
      </c>
      <c r="I3031">
        <v>1</v>
      </c>
      <c r="J3031" s="4" t="s">
        <v>54</v>
      </c>
      <c r="K3031" t="str">
        <f t="shared" si="153"/>
        <v>1+0</v>
      </c>
      <c r="L3031">
        <f>VLOOKUP(A3031,'ZONE 1 PREMIUM'!$A$3:$M$16,13,0)</f>
        <v>7</v>
      </c>
      <c r="M3031">
        <f>VLOOKUP(D3031,DROPDOWN!B:C,2,0)</f>
        <v>10</v>
      </c>
      <c r="N3031" t="str">
        <f t="shared" si="154"/>
        <v>CO3:DG16</v>
      </c>
      <c r="O3031" s="4">
        <f t="shared" ca="1" si="152"/>
        <v>33008.47</v>
      </c>
    </row>
    <row r="3032" spans="1:15">
      <c r="A3032" s="2" t="s">
        <v>15</v>
      </c>
      <c r="B3032" t="s">
        <v>33</v>
      </c>
      <c r="C3032" t="s">
        <v>34</v>
      </c>
      <c r="D3032">
        <v>30</v>
      </c>
      <c r="E3032" t="s">
        <v>26</v>
      </c>
      <c r="F3032">
        <v>1</v>
      </c>
      <c r="G3032">
        <v>1</v>
      </c>
      <c r="H3032">
        <v>0</v>
      </c>
      <c r="I3032">
        <v>1</v>
      </c>
      <c r="J3032" s="4" t="s">
        <v>54</v>
      </c>
      <c r="K3032" t="str">
        <f t="shared" si="153"/>
        <v>1+0</v>
      </c>
      <c r="L3032">
        <f>VLOOKUP(A3032,'ZONE 1 PREMIUM'!$A$3:$M$16,13,0)</f>
        <v>8</v>
      </c>
      <c r="M3032">
        <f>VLOOKUP(D3032,DROPDOWN!B:C,2,0)</f>
        <v>10</v>
      </c>
      <c r="N3032" t="str">
        <f t="shared" si="154"/>
        <v>CO3:DG16</v>
      </c>
      <c r="O3032" s="4">
        <f t="shared" ca="1" si="152"/>
        <v>41176.93</v>
      </c>
    </row>
    <row r="3033" spans="1:15">
      <c r="A3033" s="2" t="s">
        <v>16</v>
      </c>
      <c r="B3033" t="s">
        <v>35</v>
      </c>
      <c r="C3033" t="s">
        <v>36</v>
      </c>
      <c r="D3033">
        <v>30</v>
      </c>
      <c r="E3033" t="s">
        <v>26</v>
      </c>
      <c r="F3033">
        <v>1</v>
      </c>
      <c r="G3033">
        <v>1</v>
      </c>
      <c r="H3033">
        <v>0</v>
      </c>
      <c r="I3033">
        <v>1</v>
      </c>
      <c r="J3033" s="4" t="s">
        <v>54</v>
      </c>
      <c r="K3033" t="str">
        <f t="shared" si="153"/>
        <v>1+0</v>
      </c>
      <c r="L3033">
        <f>VLOOKUP(A3033,'ZONE 1 PREMIUM'!$A$3:$M$16,13,0)</f>
        <v>9</v>
      </c>
      <c r="M3033">
        <f>VLOOKUP(D3033,DROPDOWN!B:C,2,0)</f>
        <v>10</v>
      </c>
      <c r="N3033" t="str">
        <f t="shared" si="154"/>
        <v>CO3:DG16</v>
      </c>
      <c r="O3033" s="4">
        <f t="shared" ca="1" si="152"/>
        <v>54425.880000000005</v>
      </c>
    </row>
    <row r="3034" spans="1:15">
      <c r="A3034" s="2" t="s">
        <v>17</v>
      </c>
      <c r="B3034" t="s">
        <v>37</v>
      </c>
      <c r="C3034" t="s">
        <v>38</v>
      </c>
      <c r="D3034">
        <v>30</v>
      </c>
      <c r="E3034" t="s">
        <v>26</v>
      </c>
      <c r="F3034">
        <v>1</v>
      </c>
      <c r="G3034">
        <v>1</v>
      </c>
      <c r="H3034">
        <v>0</v>
      </c>
      <c r="I3034">
        <v>1</v>
      </c>
      <c r="J3034" s="4" t="s">
        <v>54</v>
      </c>
      <c r="K3034" t="str">
        <f t="shared" si="153"/>
        <v>1+0</v>
      </c>
      <c r="L3034">
        <f>VLOOKUP(A3034,'ZONE 1 PREMIUM'!$A$3:$M$16,13,0)</f>
        <v>10</v>
      </c>
      <c r="M3034">
        <f>VLOOKUP(D3034,DROPDOWN!B:C,2,0)</f>
        <v>10</v>
      </c>
      <c r="N3034" t="str">
        <f t="shared" si="154"/>
        <v>CO3:DG16</v>
      </c>
      <c r="O3034" s="4">
        <f t="shared" ca="1" si="152"/>
        <v>73168.430000000008</v>
      </c>
    </row>
    <row r="3035" spans="1:15">
      <c r="A3035" s="2" t="s">
        <v>18</v>
      </c>
      <c r="B3035" t="s">
        <v>39</v>
      </c>
      <c r="C3035" t="s">
        <v>40</v>
      </c>
      <c r="D3035">
        <v>30</v>
      </c>
      <c r="E3035" t="s">
        <v>26</v>
      </c>
      <c r="F3035">
        <v>1</v>
      </c>
      <c r="G3035">
        <v>1</v>
      </c>
      <c r="H3035">
        <v>0</v>
      </c>
      <c r="I3035">
        <v>1</v>
      </c>
      <c r="J3035" s="4" t="s">
        <v>54</v>
      </c>
      <c r="K3035" t="str">
        <f t="shared" si="153"/>
        <v>1+0</v>
      </c>
      <c r="L3035">
        <f>VLOOKUP(A3035,'ZONE 1 PREMIUM'!$A$3:$M$16,13,0)</f>
        <v>11</v>
      </c>
      <c r="M3035">
        <f>VLOOKUP(D3035,DROPDOWN!B:C,2,0)</f>
        <v>10</v>
      </c>
      <c r="N3035" t="str">
        <f t="shared" si="154"/>
        <v>CO3:DG16</v>
      </c>
      <c r="O3035" s="4">
        <f t="shared" ca="1" si="152"/>
        <v>101280.62000000001</v>
      </c>
    </row>
    <row r="3036" spans="1:15">
      <c r="A3036" s="2" t="s">
        <v>19</v>
      </c>
      <c r="B3036" t="s">
        <v>41</v>
      </c>
      <c r="C3036" t="s">
        <v>42</v>
      </c>
      <c r="D3036">
        <v>30</v>
      </c>
      <c r="E3036" t="s">
        <v>26</v>
      </c>
      <c r="F3036">
        <v>1</v>
      </c>
      <c r="G3036">
        <v>1</v>
      </c>
      <c r="H3036">
        <v>0</v>
      </c>
      <c r="I3036">
        <v>1</v>
      </c>
      <c r="J3036" s="4" t="s">
        <v>54</v>
      </c>
      <c r="K3036" t="str">
        <f t="shared" si="153"/>
        <v>1+0</v>
      </c>
      <c r="L3036">
        <f>VLOOKUP(A3036,'ZONE 1 PREMIUM'!$A$3:$M$16,13,0)</f>
        <v>12</v>
      </c>
      <c r="M3036">
        <f>VLOOKUP(D3036,DROPDOWN!B:C,2,0)</f>
        <v>10</v>
      </c>
      <c r="N3036" t="str">
        <f t="shared" si="154"/>
        <v>CO3:DG16</v>
      </c>
      <c r="O3036" s="4">
        <f t="shared" ca="1" si="152"/>
        <v>132000.09</v>
      </c>
    </row>
    <row r="3037" spans="1:15">
      <c r="A3037" s="2" t="s">
        <v>20</v>
      </c>
      <c r="B3037" t="s">
        <v>43</v>
      </c>
      <c r="C3037" t="s">
        <v>44</v>
      </c>
      <c r="D3037">
        <v>30</v>
      </c>
      <c r="E3037" t="s">
        <v>26</v>
      </c>
      <c r="F3037">
        <v>1</v>
      </c>
      <c r="G3037">
        <v>1</v>
      </c>
      <c r="H3037">
        <v>0</v>
      </c>
      <c r="I3037">
        <v>1</v>
      </c>
      <c r="J3037" s="4" t="s">
        <v>54</v>
      </c>
      <c r="K3037" t="str">
        <f t="shared" si="153"/>
        <v>1+0</v>
      </c>
      <c r="L3037">
        <f>VLOOKUP(A3037,'ZONE 1 PREMIUM'!$A$3:$M$16,13,0)</f>
        <v>13</v>
      </c>
      <c r="M3037">
        <f>VLOOKUP(D3037,DROPDOWN!B:C,2,0)</f>
        <v>10</v>
      </c>
      <c r="N3037" t="str">
        <f t="shared" si="154"/>
        <v>CO3:DG16</v>
      </c>
      <c r="O3037" s="4">
        <f t="shared" ca="1" si="152"/>
        <v>159199.95000000001</v>
      </c>
    </row>
    <row r="3038" spans="1:15">
      <c r="A3038" s="2" t="s">
        <v>21</v>
      </c>
      <c r="B3038" t="s">
        <v>22</v>
      </c>
      <c r="D3038">
        <v>30</v>
      </c>
      <c r="E3038" t="s">
        <v>26</v>
      </c>
      <c r="F3038">
        <v>1</v>
      </c>
      <c r="G3038">
        <v>1</v>
      </c>
      <c r="H3038">
        <v>0</v>
      </c>
      <c r="I3038">
        <v>1</v>
      </c>
      <c r="J3038" s="4" t="s">
        <v>54</v>
      </c>
      <c r="K3038" t="str">
        <f t="shared" si="153"/>
        <v>1+0</v>
      </c>
      <c r="L3038">
        <f>VLOOKUP(A3038,'ZONE 1 PREMIUM'!$A$3:$M$16,13,0)</f>
        <v>14</v>
      </c>
      <c r="M3038">
        <f>VLOOKUP(D3038,DROPDOWN!B:C,2,0)</f>
        <v>10</v>
      </c>
      <c r="N3038" t="str">
        <f t="shared" si="154"/>
        <v>CO3:DG16</v>
      </c>
      <c r="O3038" s="4">
        <f t="shared" ca="1" si="152"/>
        <v>214618.82</v>
      </c>
    </row>
    <row r="3039" spans="1:15">
      <c r="A3039" s="2" t="s">
        <v>11</v>
      </c>
      <c r="B3039" t="s">
        <v>45</v>
      </c>
      <c r="C3039" t="s">
        <v>25</v>
      </c>
      <c r="D3039">
        <v>30</v>
      </c>
      <c r="E3039" t="s">
        <v>46</v>
      </c>
      <c r="F3039">
        <v>2</v>
      </c>
      <c r="G3039">
        <v>1</v>
      </c>
      <c r="H3039">
        <v>1</v>
      </c>
      <c r="I3039">
        <v>1</v>
      </c>
      <c r="J3039" s="4" t="s">
        <v>54</v>
      </c>
      <c r="K3039" t="str">
        <f t="shared" si="153"/>
        <v>1+1</v>
      </c>
      <c r="L3039">
        <f>VLOOKUP(A3039,'ZONE 1 PREMIUM'!$A$4:$N$16,14,0)</f>
        <v>2</v>
      </c>
      <c r="M3039">
        <f>VLOOKUP(D3039,DROPDOWN!B:C,2,0)</f>
        <v>10</v>
      </c>
      <c r="N3039" t="str">
        <f t="shared" si="154"/>
        <v>CO20:DG31</v>
      </c>
      <c r="O3039" s="4">
        <f t="shared" ca="1" si="152"/>
        <v>24112.980000000003</v>
      </c>
    </row>
    <row r="3040" spans="1:15">
      <c r="A3040" s="2" t="s">
        <v>12</v>
      </c>
      <c r="B3040" t="s">
        <v>27</v>
      </c>
      <c r="C3040" t="s">
        <v>28</v>
      </c>
      <c r="D3040">
        <v>30</v>
      </c>
      <c r="E3040" t="s">
        <v>46</v>
      </c>
      <c r="F3040">
        <v>2</v>
      </c>
      <c r="G3040">
        <v>1</v>
      </c>
      <c r="H3040">
        <v>1</v>
      </c>
      <c r="I3040">
        <v>1</v>
      </c>
      <c r="J3040" s="4" t="s">
        <v>54</v>
      </c>
      <c r="K3040" t="str">
        <f t="shared" si="153"/>
        <v>1+1</v>
      </c>
      <c r="L3040">
        <f>VLOOKUP(A3040,'ZONE 1 PREMIUM'!$A$4:$N$16,14,0)</f>
        <v>3</v>
      </c>
      <c r="M3040">
        <f>VLOOKUP(D3040,DROPDOWN!B:C,2,0)</f>
        <v>10</v>
      </c>
      <c r="N3040" t="str">
        <f t="shared" si="154"/>
        <v>CO20:DG31</v>
      </c>
      <c r="O3040" s="4">
        <f t="shared" ca="1" si="152"/>
        <v>26564.390000000003</v>
      </c>
    </row>
    <row r="3041" spans="1:15">
      <c r="A3041" s="2" t="s">
        <v>13</v>
      </c>
      <c r="B3041" t="s">
        <v>29</v>
      </c>
      <c r="C3041" t="s">
        <v>30</v>
      </c>
      <c r="D3041">
        <v>30</v>
      </c>
      <c r="E3041" t="s">
        <v>46</v>
      </c>
      <c r="F3041">
        <v>2</v>
      </c>
      <c r="G3041">
        <v>1</v>
      </c>
      <c r="H3041">
        <v>1</v>
      </c>
      <c r="I3041">
        <v>1</v>
      </c>
      <c r="J3041" s="4" t="s">
        <v>54</v>
      </c>
      <c r="K3041" t="str">
        <f t="shared" si="153"/>
        <v>1+1</v>
      </c>
      <c r="L3041">
        <f>VLOOKUP(A3041,'ZONE 1 PREMIUM'!$A$4:$N$16,14,0)</f>
        <v>4</v>
      </c>
      <c r="M3041">
        <f>VLOOKUP(D3041,DROPDOWN!B:C,2,0)</f>
        <v>10</v>
      </c>
      <c r="N3041" t="str">
        <f t="shared" si="154"/>
        <v>CO20:DG31</v>
      </c>
      <c r="O3041" s="4">
        <f t="shared" ca="1" si="152"/>
        <v>30828.47</v>
      </c>
    </row>
    <row r="3042" spans="1:15">
      <c r="A3042" s="2" t="s">
        <v>14</v>
      </c>
      <c r="B3042" t="s">
        <v>31</v>
      </c>
      <c r="C3042" t="s">
        <v>32</v>
      </c>
      <c r="D3042">
        <v>30</v>
      </c>
      <c r="E3042" t="s">
        <v>46</v>
      </c>
      <c r="F3042">
        <v>2</v>
      </c>
      <c r="G3042">
        <v>1</v>
      </c>
      <c r="H3042">
        <v>1</v>
      </c>
      <c r="I3042">
        <v>1</v>
      </c>
      <c r="J3042" s="4" t="s">
        <v>54</v>
      </c>
      <c r="K3042" t="str">
        <f t="shared" si="153"/>
        <v>1+1</v>
      </c>
      <c r="L3042">
        <f>VLOOKUP(A3042,'ZONE 1 PREMIUM'!$A$4:$N$16,14,0)</f>
        <v>5</v>
      </c>
      <c r="M3042">
        <f>VLOOKUP(D3042,DROPDOWN!B:C,2,0)</f>
        <v>10</v>
      </c>
      <c r="N3042" t="str">
        <f t="shared" si="154"/>
        <v>CO20:DG31</v>
      </c>
      <c r="O3042" s="4">
        <f t="shared" ca="1" si="152"/>
        <v>36234.870000000003</v>
      </c>
    </row>
    <row r="3043" spans="1:15">
      <c r="A3043" s="2" t="s">
        <v>15</v>
      </c>
      <c r="B3043" t="s">
        <v>33</v>
      </c>
      <c r="C3043" t="s">
        <v>34</v>
      </c>
      <c r="D3043">
        <v>30</v>
      </c>
      <c r="E3043" t="s">
        <v>46</v>
      </c>
      <c r="F3043">
        <v>2</v>
      </c>
      <c r="G3043">
        <v>1</v>
      </c>
      <c r="H3043">
        <v>1</v>
      </c>
      <c r="I3043">
        <v>1</v>
      </c>
      <c r="J3043" s="4" t="s">
        <v>54</v>
      </c>
      <c r="K3043" t="str">
        <f t="shared" si="153"/>
        <v>1+1</v>
      </c>
      <c r="L3043">
        <f>VLOOKUP(A3043,'ZONE 1 PREMIUM'!$A$4:$N$16,14,0)</f>
        <v>6</v>
      </c>
      <c r="M3043">
        <f>VLOOKUP(D3043,DROPDOWN!B:C,2,0)</f>
        <v>10</v>
      </c>
      <c r="N3043" t="str">
        <f t="shared" si="154"/>
        <v>CO20:DG31</v>
      </c>
      <c r="O3043" s="4">
        <f t="shared" ca="1" si="152"/>
        <v>44826.25</v>
      </c>
    </row>
    <row r="3044" spans="1:15">
      <c r="A3044" s="2" t="s">
        <v>16</v>
      </c>
      <c r="B3044" t="s">
        <v>35</v>
      </c>
      <c r="C3044" t="s">
        <v>36</v>
      </c>
      <c r="D3044">
        <v>30</v>
      </c>
      <c r="E3044" t="s">
        <v>46</v>
      </c>
      <c r="F3044">
        <v>2</v>
      </c>
      <c r="G3044">
        <v>1</v>
      </c>
      <c r="H3044">
        <v>1</v>
      </c>
      <c r="I3044">
        <v>1</v>
      </c>
      <c r="J3044" s="4" t="s">
        <v>54</v>
      </c>
      <c r="K3044" t="str">
        <f t="shared" si="153"/>
        <v>1+1</v>
      </c>
      <c r="L3044">
        <f>VLOOKUP(A3044,'ZONE 1 PREMIUM'!$A$4:$N$16,14,0)</f>
        <v>7</v>
      </c>
      <c r="M3044">
        <f>VLOOKUP(D3044,DROPDOWN!B:C,2,0)</f>
        <v>10</v>
      </c>
      <c r="N3044" t="str">
        <f t="shared" si="154"/>
        <v>CO20:DG31</v>
      </c>
      <c r="O3044" s="4">
        <f t="shared" ca="1" si="152"/>
        <v>58434.9</v>
      </c>
    </row>
    <row r="3045" spans="1:15">
      <c r="A3045" s="2" t="s">
        <v>17</v>
      </c>
      <c r="B3045" t="s">
        <v>37</v>
      </c>
      <c r="C3045" t="s">
        <v>38</v>
      </c>
      <c r="D3045">
        <v>30</v>
      </c>
      <c r="E3045" t="s">
        <v>46</v>
      </c>
      <c r="F3045">
        <v>2</v>
      </c>
      <c r="G3045">
        <v>1</v>
      </c>
      <c r="H3045">
        <v>1</v>
      </c>
      <c r="I3045">
        <v>1</v>
      </c>
      <c r="J3045" s="4" t="s">
        <v>54</v>
      </c>
      <c r="K3045" t="str">
        <f t="shared" si="153"/>
        <v>1+1</v>
      </c>
      <c r="L3045">
        <f>VLOOKUP(A3045,'ZONE 1 PREMIUM'!$A$4:$N$16,14,0)</f>
        <v>8</v>
      </c>
      <c r="M3045">
        <f>VLOOKUP(D3045,DROPDOWN!B:C,2,0)</f>
        <v>10</v>
      </c>
      <c r="N3045" t="str">
        <f t="shared" si="154"/>
        <v>CO20:DG31</v>
      </c>
      <c r="O3045" s="4">
        <f t="shared" ca="1" si="152"/>
        <v>77378.010000000009</v>
      </c>
    </row>
    <row r="3046" spans="1:15">
      <c r="A3046" s="2" t="s">
        <v>18</v>
      </c>
      <c r="B3046" t="s">
        <v>39</v>
      </c>
      <c r="C3046" t="s">
        <v>40</v>
      </c>
      <c r="D3046">
        <v>30</v>
      </c>
      <c r="E3046" t="s">
        <v>46</v>
      </c>
      <c r="F3046">
        <v>2</v>
      </c>
      <c r="G3046">
        <v>1</v>
      </c>
      <c r="H3046">
        <v>1</v>
      </c>
      <c r="I3046">
        <v>1</v>
      </c>
      <c r="J3046" s="4" t="s">
        <v>54</v>
      </c>
      <c r="K3046" t="str">
        <f t="shared" si="153"/>
        <v>1+1</v>
      </c>
      <c r="L3046">
        <f>VLOOKUP(A3046,'ZONE 1 PREMIUM'!$A$4:$N$16,14,0)</f>
        <v>9</v>
      </c>
      <c r="M3046">
        <f>VLOOKUP(D3046,DROPDOWN!B:C,2,0)</f>
        <v>10</v>
      </c>
      <c r="N3046" t="str">
        <f t="shared" si="154"/>
        <v>CO20:DG31</v>
      </c>
      <c r="O3046" s="4">
        <f t="shared" ca="1" si="152"/>
        <v>106685.93000000001</v>
      </c>
    </row>
    <row r="3047" spans="1:15">
      <c r="A3047" s="2" t="s">
        <v>19</v>
      </c>
      <c r="B3047" t="s">
        <v>41</v>
      </c>
      <c r="C3047" t="s">
        <v>42</v>
      </c>
      <c r="D3047">
        <v>30</v>
      </c>
      <c r="E3047" t="s">
        <v>46</v>
      </c>
      <c r="F3047">
        <v>2</v>
      </c>
      <c r="G3047">
        <v>1</v>
      </c>
      <c r="H3047">
        <v>1</v>
      </c>
      <c r="I3047">
        <v>1</v>
      </c>
      <c r="J3047" s="4" t="s">
        <v>54</v>
      </c>
      <c r="K3047" t="str">
        <f t="shared" si="153"/>
        <v>1+1</v>
      </c>
      <c r="L3047">
        <f>VLOOKUP(A3047,'ZONE 1 PREMIUM'!$A$4:$N$16,14,0)</f>
        <v>10</v>
      </c>
      <c r="M3047">
        <f>VLOOKUP(D3047,DROPDOWN!B:C,2,0)</f>
        <v>10</v>
      </c>
      <c r="N3047" t="str">
        <f t="shared" si="154"/>
        <v>CO20:DG31</v>
      </c>
      <c r="O3047" s="4">
        <f t="shared" ca="1" si="152"/>
        <v>137322.56</v>
      </c>
    </row>
    <row r="3048" spans="1:15">
      <c r="A3048" s="2" t="s">
        <v>20</v>
      </c>
      <c r="B3048" t="s">
        <v>43</v>
      </c>
      <c r="C3048" t="s">
        <v>44</v>
      </c>
      <c r="D3048">
        <v>30</v>
      </c>
      <c r="E3048" t="s">
        <v>46</v>
      </c>
      <c r="F3048">
        <v>2</v>
      </c>
      <c r="G3048">
        <v>1</v>
      </c>
      <c r="H3048">
        <v>1</v>
      </c>
      <c r="I3048">
        <v>1</v>
      </c>
      <c r="J3048" s="4" t="s">
        <v>54</v>
      </c>
      <c r="K3048" t="str">
        <f t="shared" si="153"/>
        <v>1+1</v>
      </c>
      <c r="L3048">
        <f>VLOOKUP(A3048,'ZONE 1 PREMIUM'!$A$4:$N$16,14,0)</f>
        <v>11</v>
      </c>
      <c r="M3048">
        <f>VLOOKUP(D3048,DROPDOWN!B:C,2,0)</f>
        <v>10</v>
      </c>
      <c r="N3048" t="str">
        <f t="shared" si="154"/>
        <v>CO20:DG31</v>
      </c>
      <c r="O3048" s="4">
        <f t="shared" ca="1" si="152"/>
        <v>162472.13</v>
      </c>
    </row>
    <row r="3049" spans="1:15">
      <c r="A3049" s="2" t="s">
        <v>21</v>
      </c>
      <c r="B3049" t="s">
        <v>22</v>
      </c>
      <c r="D3049">
        <v>30</v>
      </c>
      <c r="E3049" t="s">
        <v>46</v>
      </c>
      <c r="F3049">
        <v>2</v>
      </c>
      <c r="G3049">
        <v>1</v>
      </c>
      <c r="H3049">
        <v>1</v>
      </c>
      <c r="I3049">
        <v>1</v>
      </c>
      <c r="J3049" s="4" t="s">
        <v>54</v>
      </c>
      <c r="K3049" t="str">
        <f t="shared" si="153"/>
        <v>1+1</v>
      </c>
      <c r="L3049">
        <f>VLOOKUP(A3049,'ZONE 1 PREMIUM'!$A$4:$N$16,14,0)</f>
        <v>12</v>
      </c>
      <c r="M3049">
        <f>VLOOKUP(D3049,DROPDOWN!B:C,2,0)</f>
        <v>10</v>
      </c>
      <c r="N3049" t="str">
        <f t="shared" si="154"/>
        <v>CO20:DG31</v>
      </c>
      <c r="O3049" s="4">
        <f t="shared" ca="1" si="152"/>
        <v>221131.57</v>
      </c>
    </row>
    <row r="3050" spans="1:15">
      <c r="A3050" s="2" t="s">
        <v>11</v>
      </c>
      <c r="B3050" t="s">
        <v>45</v>
      </c>
      <c r="C3050" t="s">
        <v>25</v>
      </c>
      <c r="D3050">
        <v>30</v>
      </c>
      <c r="E3050" t="s">
        <v>46</v>
      </c>
      <c r="F3050">
        <v>3</v>
      </c>
      <c r="G3050">
        <v>1</v>
      </c>
      <c r="H3050">
        <v>2</v>
      </c>
      <c r="I3050">
        <v>1</v>
      </c>
      <c r="J3050" s="4" t="s">
        <v>54</v>
      </c>
      <c r="K3050" t="str">
        <f t="shared" si="153"/>
        <v>1+2</v>
      </c>
      <c r="L3050">
        <f>VLOOKUP(A3050,'ZONE 1 PREMIUM'!$A$4:$N$16,14,0)</f>
        <v>2</v>
      </c>
      <c r="M3050">
        <f>VLOOKUP(D3050,DROPDOWN!B:C,2,0)</f>
        <v>10</v>
      </c>
      <c r="N3050" t="str">
        <f t="shared" si="154"/>
        <v>CO35:DG46</v>
      </c>
      <c r="O3050" s="4">
        <f t="shared" ca="1" si="152"/>
        <v>31169.640000000003</v>
      </c>
    </row>
    <row r="3051" spans="1:15">
      <c r="A3051" s="2" t="s">
        <v>12</v>
      </c>
      <c r="B3051" t="s">
        <v>27</v>
      </c>
      <c r="C3051" t="s">
        <v>28</v>
      </c>
      <c r="D3051">
        <v>30</v>
      </c>
      <c r="E3051" t="s">
        <v>46</v>
      </c>
      <c r="F3051">
        <v>3</v>
      </c>
      <c r="G3051">
        <v>1</v>
      </c>
      <c r="H3051">
        <v>2</v>
      </c>
      <c r="I3051">
        <v>1</v>
      </c>
      <c r="J3051" s="4" t="s">
        <v>54</v>
      </c>
      <c r="K3051" t="str">
        <f t="shared" si="153"/>
        <v>1+2</v>
      </c>
      <c r="L3051">
        <f>VLOOKUP(A3051,'ZONE 1 PREMIUM'!$A$4:$N$16,14,0)</f>
        <v>3</v>
      </c>
      <c r="M3051">
        <f>VLOOKUP(D3051,DROPDOWN!B:C,2,0)</f>
        <v>10</v>
      </c>
      <c r="N3051" t="str">
        <f t="shared" si="154"/>
        <v>CO35:DG46</v>
      </c>
      <c r="O3051" s="4">
        <f t="shared" ca="1" si="152"/>
        <v>33364.9</v>
      </c>
    </row>
    <row r="3052" spans="1:15">
      <c r="A3052" s="2" t="s">
        <v>13</v>
      </c>
      <c r="B3052" t="s">
        <v>29</v>
      </c>
      <c r="C3052" t="s">
        <v>30</v>
      </c>
      <c r="D3052">
        <v>30</v>
      </c>
      <c r="E3052" t="s">
        <v>46</v>
      </c>
      <c r="F3052">
        <v>3</v>
      </c>
      <c r="G3052">
        <v>1</v>
      </c>
      <c r="H3052">
        <v>2</v>
      </c>
      <c r="I3052">
        <v>1</v>
      </c>
      <c r="J3052" s="4" t="s">
        <v>54</v>
      </c>
      <c r="K3052" t="str">
        <f t="shared" si="153"/>
        <v>1+2</v>
      </c>
      <c r="L3052">
        <f>VLOOKUP(A3052,'ZONE 1 PREMIUM'!$A$4:$N$16,14,0)</f>
        <v>4</v>
      </c>
      <c r="M3052">
        <f>VLOOKUP(D3052,DROPDOWN!B:C,2,0)</f>
        <v>10</v>
      </c>
      <c r="N3052" t="str">
        <f t="shared" si="154"/>
        <v>CO35:DG46</v>
      </c>
      <c r="O3052" s="4">
        <f t="shared" ca="1" si="152"/>
        <v>38777.840000000004</v>
      </c>
    </row>
    <row r="3053" spans="1:15">
      <c r="A3053" s="2" t="s">
        <v>14</v>
      </c>
      <c r="B3053" t="s">
        <v>31</v>
      </c>
      <c r="C3053" t="s">
        <v>32</v>
      </c>
      <c r="D3053">
        <v>30</v>
      </c>
      <c r="E3053" t="s">
        <v>46</v>
      </c>
      <c r="F3053">
        <v>3</v>
      </c>
      <c r="G3053">
        <v>1</v>
      </c>
      <c r="H3053">
        <v>2</v>
      </c>
      <c r="I3053">
        <v>1</v>
      </c>
      <c r="J3053" s="4" t="s">
        <v>54</v>
      </c>
      <c r="K3053" t="str">
        <f t="shared" si="153"/>
        <v>1+2</v>
      </c>
      <c r="L3053">
        <f>VLOOKUP(A3053,'ZONE 1 PREMIUM'!$A$4:$N$16,14,0)</f>
        <v>5</v>
      </c>
      <c r="M3053">
        <f>VLOOKUP(D3053,DROPDOWN!B:C,2,0)</f>
        <v>10</v>
      </c>
      <c r="N3053" t="str">
        <f t="shared" si="154"/>
        <v>CO35:DG46</v>
      </c>
      <c r="O3053" s="4">
        <f t="shared" ca="1" si="152"/>
        <v>43510.62</v>
      </c>
    </row>
    <row r="3054" spans="1:15">
      <c r="A3054" s="2" t="s">
        <v>15</v>
      </c>
      <c r="B3054" t="s">
        <v>33</v>
      </c>
      <c r="C3054" t="s">
        <v>34</v>
      </c>
      <c r="D3054">
        <v>30</v>
      </c>
      <c r="E3054" t="s">
        <v>46</v>
      </c>
      <c r="F3054">
        <v>3</v>
      </c>
      <c r="G3054">
        <v>1</v>
      </c>
      <c r="H3054">
        <v>2</v>
      </c>
      <c r="I3054">
        <v>1</v>
      </c>
      <c r="J3054" s="4" t="s">
        <v>54</v>
      </c>
      <c r="K3054" t="str">
        <f t="shared" si="153"/>
        <v>1+2</v>
      </c>
      <c r="L3054">
        <f>VLOOKUP(A3054,'ZONE 1 PREMIUM'!$A$4:$N$16,14,0)</f>
        <v>6</v>
      </c>
      <c r="M3054">
        <f>VLOOKUP(D3054,DROPDOWN!B:C,2,0)</f>
        <v>10</v>
      </c>
      <c r="N3054" t="str">
        <f t="shared" si="154"/>
        <v>CO35:DG46</v>
      </c>
      <c r="O3054" s="4">
        <f t="shared" ca="1" si="152"/>
        <v>54593.740000000005</v>
      </c>
    </row>
    <row r="3055" spans="1:15">
      <c r="A3055" s="2" t="s">
        <v>16</v>
      </c>
      <c r="B3055" t="s">
        <v>35</v>
      </c>
      <c r="C3055" t="s">
        <v>36</v>
      </c>
      <c r="D3055">
        <v>30</v>
      </c>
      <c r="E3055" t="s">
        <v>46</v>
      </c>
      <c r="F3055">
        <v>3</v>
      </c>
      <c r="G3055">
        <v>1</v>
      </c>
      <c r="H3055">
        <v>2</v>
      </c>
      <c r="I3055">
        <v>1</v>
      </c>
      <c r="J3055" s="4" t="s">
        <v>54</v>
      </c>
      <c r="K3055" t="str">
        <f t="shared" si="153"/>
        <v>1+2</v>
      </c>
      <c r="L3055">
        <f>VLOOKUP(A3055,'ZONE 1 PREMIUM'!$A$4:$N$16,14,0)</f>
        <v>7</v>
      </c>
      <c r="M3055">
        <f>VLOOKUP(D3055,DROPDOWN!B:C,2,0)</f>
        <v>10</v>
      </c>
      <c r="N3055" t="str">
        <f t="shared" si="154"/>
        <v>CO35:DG46</v>
      </c>
      <c r="O3055" s="4">
        <f t="shared" ca="1" si="152"/>
        <v>70586.22</v>
      </c>
    </row>
    <row r="3056" spans="1:15">
      <c r="A3056" s="2" t="s">
        <v>17</v>
      </c>
      <c r="B3056" t="s">
        <v>37</v>
      </c>
      <c r="C3056" t="s">
        <v>38</v>
      </c>
      <c r="D3056">
        <v>30</v>
      </c>
      <c r="E3056" t="s">
        <v>46</v>
      </c>
      <c r="F3056">
        <v>3</v>
      </c>
      <c r="G3056">
        <v>1</v>
      </c>
      <c r="H3056">
        <v>2</v>
      </c>
      <c r="I3056">
        <v>1</v>
      </c>
      <c r="J3056" s="4" t="s">
        <v>54</v>
      </c>
      <c r="K3056" t="str">
        <f t="shared" si="153"/>
        <v>1+2</v>
      </c>
      <c r="L3056">
        <f>VLOOKUP(A3056,'ZONE 1 PREMIUM'!$A$4:$N$16,14,0)</f>
        <v>8</v>
      </c>
      <c r="M3056">
        <f>VLOOKUP(D3056,DROPDOWN!B:C,2,0)</f>
        <v>10</v>
      </c>
      <c r="N3056" t="str">
        <f t="shared" si="154"/>
        <v>CO35:DG46</v>
      </c>
      <c r="O3056" s="4">
        <f t="shared" ca="1" si="152"/>
        <v>90481.99</v>
      </c>
    </row>
    <row r="3057" spans="1:15">
      <c r="A3057" s="2" t="s">
        <v>18</v>
      </c>
      <c r="B3057" t="s">
        <v>39</v>
      </c>
      <c r="C3057" t="s">
        <v>40</v>
      </c>
      <c r="D3057">
        <v>30</v>
      </c>
      <c r="E3057" t="s">
        <v>46</v>
      </c>
      <c r="F3057">
        <v>3</v>
      </c>
      <c r="G3057">
        <v>1</v>
      </c>
      <c r="H3057">
        <v>2</v>
      </c>
      <c r="I3057">
        <v>1</v>
      </c>
      <c r="J3057" s="4" t="s">
        <v>54</v>
      </c>
      <c r="K3057" t="str">
        <f t="shared" si="153"/>
        <v>1+2</v>
      </c>
      <c r="L3057">
        <f>VLOOKUP(A3057,'ZONE 1 PREMIUM'!$A$4:$N$16,14,0)</f>
        <v>9</v>
      </c>
      <c r="M3057">
        <f>VLOOKUP(D3057,DROPDOWN!B:C,2,0)</f>
        <v>10</v>
      </c>
      <c r="N3057" t="str">
        <f t="shared" si="154"/>
        <v>CO35:DG46</v>
      </c>
      <c r="O3057" s="4">
        <f t="shared" ca="1" si="152"/>
        <v>117425.70000000001</v>
      </c>
    </row>
    <row r="3058" spans="1:15">
      <c r="A3058" s="2" t="s">
        <v>19</v>
      </c>
      <c r="B3058" t="s">
        <v>41</v>
      </c>
      <c r="C3058" t="s">
        <v>42</v>
      </c>
      <c r="D3058">
        <v>30</v>
      </c>
      <c r="E3058" t="s">
        <v>46</v>
      </c>
      <c r="F3058">
        <v>3</v>
      </c>
      <c r="G3058">
        <v>1</v>
      </c>
      <c r="H3058">
        <v>2</v>
      </c>
      <c r="I3058">
        <v>1</v>
      </c>
      <c r="J3058" s="4" t="s">
        <v>54</v>
      </c>
      <c r="K3058" t="str">
        <f t="shared" si="153"/>
        <v>1+2</v>
      </c>
      <c r="L3058">
        <f>VLOOKUP(A3058,'ZONE 1 PREMIUM'!$A$4:$N$16,14,0)</f>
        <v>10</v>
      </c>
      <c r="M3058">
        <f>VLOOKUP(D3058,DROPDOWN!B:C,2,0)</f>
        <v>10</v>
      </c>
      <c r="N3058" t="str">
        <f t="shared" si="154"/>
        <v>CO35:DG46</v>
      </c>
      <c r="O3058" s="4">
        <f t="shared" ca="1" si="152"/>
        <v>150410.19</v>
      </c>
    </row>
    <row r="3059" spans="1:15">
      <c r="A3059" s="2" t="s">
        <v>20</v>
      </c>
      <c r="B3059" t="s">
        <v>43</v>
      </c>
      <c r="C3059" t="s">
        <v>44</v>
      </c>
      <c r="D3059">
        <v>30</v>
      </c>
      <c r="E3059" t="s">
        <v>46</v>
      </c>
      <c r="F3059">
        <v>3</v>
      </c>
      <c r="G3059">
        <v>1</v>
      </c>
      <c r="H3059">
        <v>2</v>
      </c>
      <c r="I3059">
        <v>1</v>
      </c>
      <c r="J3059" s="4" t="s">
        <v>54</v>
      </c>
      <c r="K3059" t="str">
        <f t="shared" si="153"/>
        <v>1+2</v>
      </c>
      <c r="L3059">
        <f>VLOOKUP(A3059,'ZONE 1 PREMIUM'!$A$4:$N$16,14,0)</f>
        <v>11</v>
      </c>
      <c r="M3059">
        <f>VLOOKUP(D3059,DROPDOWN!B:C,2,0)</f>
        <v>10</v>
      </c>
      <c r="N3059" t="str">
        <f t="shared" si="154"/>
        <v>CO35:DG46</v>
      </c>
      <c r="O3059" s="4">
        <f t="shared" ca="1" si="152"/>
        <v>177903.26</v>
      </c>
    </row>
    <row r="3060" spans="1:15">
      <c r="A3060" s="2" t="s">
        <v>21</v>
      </c>
      <c r="B3060" t="s">
        <v>22</v>
      </c>
      <c r="D3060">
        <v>30</v>
      </c>
      <c r="E3060" t="s">
        <v>46</v>
      </c>
      <c r="F3060">
        <v>3</v>
      </c>
      <c r="G3060">
        <v>1</v>
      </c>
      <c r="H3060">
        <v>2</v>
      </c>
      <c r="I3060">
        <v>1</v>
      </c>
      <c r="J3060" s="4" t="s">
        <v>54</v>
      </c>
      <c r="K3060" t="str">
        <f t="shared" si="153"/>
        <v>1+2</v>
      </c>
      <c r="L3060">
        <f>VLOOKUP(A3060,'ZONE 1 PREMIUM'!$A$4:$N$16,14,0)</f>
        <v>12</v>
      </c>
      <c r="M3060">
        <f>VLOOKUP(D3060,DROPDOWN!B:C,2,0)</f>
        <v>10</v>
      </c>
      <c r="N3060" t="str">
        <f t="shared" si="154"/>
        <v>CO35:DG46</v>
      </c>
      <c r="O3060" s="4">
        <f t="shared" ca="1" si="152"/>
        <v>232720.45</v>
      </c>
    </row>
    <row r="3061" spans="1:15">
      <c r="A3061" s="2" t="s">
        <v>11</v>
      </c>
      <c r="B3061" t="s">
        <v>45</v>
      </c>
      <c r="C3061" t="s">
        <v>25</v>
      </c>
      <c r="D3061">
        <v>30</v>
      </c>
      <c r="E3061" t="s">
        <v>46</v>
      </c>
      <c r="F3061">
        <v>4</v>
      </c>
      <c r="G3061">
        <v>1</v>
      </c>
      <c r="H3061">
        <v>3</v>
      </c>
      <c r="I3061">
        <v>1</v>
      </c>
      <c r="J3061" s="4" t="s">
        <v>54</v>
      </c>
      <c r="K3061" t="str">
        <f t="shared" si="153"/>
        <v>1+3</v>
      </c>
      <c r="L3061">
        <f>VLOOKUP(A3061,'ZONE 1 PREMIUM'!$A$4:$N$16,14,0)</f>
        <v>2</v>
      </c>
      <c r="M3061">
        <f>VLOOKUP(D3061,DROPDOWN!B:C,2,0)</f>
        <v>10</v>
      </c>
      <c r="N3061" t="str">
        <f t="shared" si="154"/>
        <v>CO50:DG61</v>
      </c>
      <c r="O3061" s="4">
        <f t="shared" ca="1" si="152"/>
        <v>38227.39</v>
      </c>
    </row>
    <row r="3062" spans="1:15">
      <c r="A3062" s="2" t="s">
        <v>12</v>
      </c>
      <c r="B3062" t="s">
        <v>27</v>
      </c>
      <c r="C3062" t="s">
        <v>28</v>
      </c>
      <c r="D3062">
        <v>30</v>
      </c>
      <c r="E3062" t="s">
        <v>46</v>
      </c>
      <c r="F3062">
        <v>4</v>
      </c>
      <c r="G3062">
        <v>1</v>
      </c>
      <c r="H3062">
        <v>3</v>
      </c>
      <c r="I3062">
        <v>1</v>
      </c>
      <c r="J3062" s="4" t="s">
        <v>54</v>
      </c>
      <c r="K3062" t="str">
        <f t="shared" si="153"/>
        <v>1+3</v>
      </c>
      <c r="L3062">
        <f>VLOOKUP(A3062,'ZONE 1 PREMIUM'!$A$4:$N$16,14,0)</f>
        <v>3</v>
      </c>
      <c r="M3062">
        <f>VLOOKUP(D3062,DROPDOWN!B:C,2,0)</f>
        <v>10</v>
      </c>
      <c r="N3062" t="str">
        <f t="shared" si="154"/>
        <v>CO50:DG61</v>
      </c>
      <c r="O3062" s="4">
        <f t="shared" ca="1" si="152"/>
        <v>40297.300000000003</v>
      </c>
    </row>
    <row r="3063" spans="1:15">
      <c r="A3063" s="2" t="s">
        <v>13</v>
      </c>
      <c r="B3063" t="s">
        <v>29</v>
      </c>
      <c r="C3063" t="s">
        <v>30</v>
      </c>
      <c r="D3063">
        <v>30</v>
      </c>
      <c r="E3063" t="s">
        <v>46</v>
      </c>
      <c r="F3063">
        <v>4</v>
      </c>
      <c r="G3063">
        <v>1</v>
      </c>
      <c r="H3063">
        <v>3</v>
      </c>
      <c r="I3063">
        <v>1</v>
      </c>
      <c r="J3063" s="4" t="s">
        <v>54</v>
      </c>
      <c r="K3063" t="str">
        <f t="shared" si="153"/>
        <v>1+3</v>
      </c>
      <c r="L3063">
        <f>VLOOKUP(A3063,'ZONE 1 PREMIUM'!$A$4:$N$16,14,0)</f>
        <v>4</v>
      </c>
      <c r="M3063">
        <f>VLOOKUP(D3063,DROPDOWN!B:C,2,0)</f>
        <v>10</v>
      </c>
      <c r="N3063" t="str">
        <f t="shared" si="154"/>
        <v>CO50:DG61</v>
      </c>
      <c r="O3063" s="4">
        <f t="shared" ca="1" si="152"/>
        <v>46879.810000000005</v>
      </c>
    </row>
    <row r="3064" spans="1:15">
      <c r="A3064" s="2" t="s">
        <v>14</v>
      </c>
      <c r="B3064" t="s">
        <v>31</v>
      </c>
      <c r="C3064" t="s">
        <v>32</v>
      </c>
      <c r="D3064">
        <v>30</v>
      </c>
      <c r="E3064" t="s">
        <v>46</v>
      </c>
      <c r="F3064">
        <v>4</v>
      </c>
      <c r="G3064">
        <v>1</v>
      </c>
      <c r="H3064">
        <v>3</v>
      </c>
      <c r="I3064">
        <v>1</v>
      </c>
      <c r="J3064" s="4" t="s">
        <v>54</v>
      </c>
      <c r="K3064" t="str">
        <f t="shared" si="153"/>
        <v>1+3</v>
      </c>
      <c r="L3064">
        <f>VLOOKUP(A3064,'ZONE 1 PREMIUM'!$A$4:$N$16,14,0)</f>
        <v>5</v>
      </c>
      <c r="M3064">
        <f>VLOOKUP(D3064,DROPDOWN!B:C,2,0)</f>
        <v>10</v>
      </c>
      <c r="N3064" t="str">
        <f t="shared" si="154"/>
        <v>CO50:DG61</v>
      </c>
      <c r="O3064" s="4">
        <f t="shared" ca="1" si="152"/>
        <v>52180.480000000003</v>
      </c>
    </row>
    <row r="3065" spans="1:15">
      <c r="A3065" s="2" t="s">
        <v>15</v>
      </c>
      <c r="B3065" t="s">
        <v>33</v>
      </c>
      <c r="C3065" t="s">
        <v>34</v>
      </c>
      <c r="D3065">
        <v>30</v>
      </c>
      <c r="E3065" t="s">
        <v>46</v>
      </c>
      <c r="F3065">
        <v>4</v>
      </c>
      <c r="G3065">
        <v>1</v>
      </c>
      <c r="H3065">
        <v>3</v>
      </c>
      <c r="I3065">
        <v>1</v>
      </c>
      <c r="J3065" s="4" t="s">
        <v>54</v>
      </c>
      <c r="K3065" t="str">
        <f t="shared" si="153"/>
        <v>1+3</v>
      </c>
      <c r="L3065">
        <f>VLOOKUP(A3065,'ZONE 1 PREMIUM'!$A$4:$N$16,14,0)</f>
        <v>6</v>
      </c>
      <c r="M3065">
        <f>VLOOKUP(D3065,DROPDOWN!B:C,2,0)</f>
        <v>10</v>
      </c>
      <c r="N3065" t="str">
        <f t="shared" si="154"/>
        <v>CO50:DG61</v>
      </c>
      <c r="O3065" s="4">
        <f t="shared" ca="1" si="152"/>
        <v>64361.23</v>
      </c>
    </row>
    <row r="3066" spans="1:15">
      <c r="A3066" s="2" t="s">
        <v>16</v>
      </c>
      <c r="B3066" t="s">
        <v>35</v>
      </c>
      <c r="C3066" t="s">
        <v>36</v>
      </c>
      <c r="D3066">
        <v>30</v>
      </c>
      <c r="E3066" t="s">
        <v>46</v>
      </c>
      <c r="F3066">
        <v>4</v>
      </c>
      <c r="G3066">
        <v>1</v>
      </c>
      <c r="H3066">
        <v>3</v>
      </c>
      <c r="I3066">
        <v>1</v>
      </c>
      <c r="J3066" s="4" t="s">
        <v>54</v>
      </c>
      <c r="K3066" t="str">
        <f t="shared" si="153"/>
        <v>1+3</v>
      </c>
      <c r="L3066">
        <f>VLOOKUP(A3066,'ZONE 1 PREMIUM'!$A$4:$N$16,14,0)</f>
        <v>7</v>
      </c>
      <c r="M3066">
        <f>VLOOKUP(D3066,DROPDOWN!B:C,2,0)</f>
        <v>10</v>
      </c>
      <c r="N3066" t="str">
        <f t="shared" si="154"/>
        <v>CO50:DG61</v>
      </c>
      <c r="O3066" s="4">
        <f t="shared" ca="1" si="152"/>
        <v>81496.03</v>
      </c>
    </row>
    <row r="3067" spans="1:15">
      <c r="A3067" s="2" t="s">
        <v>17</v>
      </c>
      <c r="B3067" t="s">
        <v>37</v>
      </c>
      <c r="C3067" t="s">
        <v>38</v>
      </c>
      <c r="D3067">
        <v>30</v>
      </c>
      <c r="E3067" t="s">
        <v>46</v>
      </c>
      <c r="F3067">
        <v>4</v>
      </c>
      <c r="G3067">
        <v>1</v>
      </c>
      <c r="H3067">
        <v>3</v>
      </c>
      <c r="I3067">
        <v>1</v>
      </c>
      <c r="J3067" s="4" t="s">
        <v>54</v>
      </c>
      <c r="K3067" t="str">
        <f t="shared" si="153"/>
        <v>1+3</v>
      </c>
      <c r="L3067">
        <f>VLOOKUP(A3067,'ZONE 1 PREMIUM'!$A$4:$N$16,14,0)</f>
        <v>8</v>
      </c>
      <c r="M3067">
        <f>VLOOKUP(D3067,DROPDOWN!B:C,2,0)</f>
        <v>10</v>
      </c>
      <c r="N3067" t="str">
        <f t="shared" si="154"/>
        <v>CO50:DG61</v>
      </c>
      <c r="O3067" s="4">
        <f t="shared" ca="1" si="152"/>
        <v>100220.05</v>
      </c>
    </row>
    <row r="3068" spans="1:15">
      <c r="A3068" s="2" t="s">
        <v>18</v>
      </c>
      <c r="B3068" t="s">
        <v>39</v>
      </c>
      <c r="C3068" t="s">
        <v>40</v>
      </c>
      <c r="D3068">
        <v>30</v>
      </c>
      <c r="E3068" t="s">
        <v>46</v>
      </c>
      <c r="F3068">
        <v>4</v>
      </c>
      <c r="G3068">
        <v>1</v>
      </c>
      <c r="H3068">
        <v>3</v>
      </c>
      <c r="I3068">
        <v>1</v>
      </c>
      <c r="J3068" s="4" t="s">
        <v>54</v>
      </c>
      <c r="K3068" t="str">
        <f t="shared" si="153"/>
        <v>1+3</v>
      </c>
      <c r="L3068">
        <f>VLOOKUP(A3068,'ZONE 1 PREMIUM'!$A$4:$N$16,14,0)</f>
        <v>9</v>
      </c>
      <c r="M3068">
        <f>VLOOKUP(D3068,DROPDOWN!B:C,2,0)</f>
        <v>10</v>
      </c>
      <c r="N3068" t="str">
        <f t="shared" si="154"/>
        <v>CO50:DG61</v>
      </c>
      <c r="O3068" s="4">
        <f t="shared" ca="1" si="152"/>
        <v>128153.48000000001</v>
      </c>
    </row>
    <row r="3069" spans="1:15">
      <c r="A3069" s="2" t="s">
        <v>19</v>
      </c>
      <c r="B3069" t="s">
        <v>41</v>
      </c>
      <c r="C3069" t="s">
        <v>42</v>
      </c>
      <c r="D3069">
        <v>30</v>
      </c>
      <c r="E3069" t="s">
        <v>46</v>
      </c>
      <c r="F3069">
        <v>4</v>
      </c>
      <c r="G3069">
        <v>1</v>
      </c>
      <c r="H3069">
        <v>3</v>
      </c>
      <c r="I3069">
        <v>1</v>
      </c>
      <c r="J3069" s="4" t="s">
        <v>54</v>
      </c>
      <c r="K3069" t="str">
        <f t="shared" si="153"/>
        <v>1+3</v>
      </c>
      <c r="L3069">
        <f>VLOOKUP(A3069,'ZONE 1 PREMIUM'!$A$4:$N$16,14,0)</f>
        <v>10</v>
      </c>
      <c r="M3069">
        <f>VLOOKUP(D3069,DROPDOWN!B:C,2,0)</f>
        <v>10</v>
      </c>
      <c r="N3069" t="str">
        <f t="shared" si="154"/>
        <v>CO50:DG61</v>
      </c>
      <c r="O3069" s="4">
        <f t="shared" ca="1" si="152"/>
        <v>159100.76</v>
      </c>
    </row>
    <row r="3070" spans="1:15">
      <c r="A3070" s="2" t="s">
        <v>20</v>
      </c>
      <c r="B3070" t="s">
        <v>43</v>
      </c>
      <c r="C3070" t="s">
        <v>44</v>
      </c>
      <c r="D3070">
        <v>30</v>
      </c>
      <c r="E3070" t="s">
        <v>46</v>
      </c>
      <c r="F3070">
        <v>4</v>
      </c>
      <c r="G3070">
        <v>1</v>
      </c>
      <c r="H3070">
        <v>3</v>
      </c>
      <c r="I3070">
        <v>1</v>
      </c>
      <c r="J3070" s="4" t="s">
        <v>54</v>
      </c>
      <c r="K3070" t="str">
        <f t="shared" si="153"/>
        <v>1+3</v>
      </c>
      <c r="L3070">
        <f>VLOOKUP(A3070,'ZONE 1 PREMIUM'!$A$4:$N$16,14,0)</f>
        <v>11</v>
      </c>
      <c r="M3070">
        <f>VLOOKUP(D3070,DROPDOWN!B:C,2,0)</f>
        <v>10</v>
      </c>
      <c r="N3070" t="str">
        <f t="shared" si="154"/>
        <v>CO50:DG61</v>
      </c>
      <c r="O3070" s="4">
        <f t="shared" ca="1" si="152"/>
        <v>186163.28000000003</v>
      </c>
    </row>
    <row r="3071" spans="1:15">
      <c r="A3071" s="2" t="s">
        <v>21</v>
      </c>
      <c r="B3071" t="s">
        <v>22</v>
      </c>
      <c r="D3071">
        <v>30</v>
      </c>
      <c r="E3071" t="s">
        <v>46</v>
      </c>
      <c r="F3071">
        <v>4</v>
      </c>
      <c r="G3071">
        <v>1</v>
      </c>
      <c r="H3071">
        <v>3</v>
      </c>
      <c r="I3071">
        <v>1</v>
      </c>
      <c r="J3071" s="4" t="s">
        <v>54</v>
      </c>
      <c r="K3071" t="str">
        <f t="shared" si="153"/>
        <v>1+3</v>
      </c>
      <c r="L3071">
        <f>VLOOKUP(A3071,'ZONE 1 PREMIUM'!$A$4:$N$16,14,0)</f>
        <v>12</v>
      </c>
      <c r="M3071">
        <f>VLOOKUP(D3071,DROPDOWN!B:C,2,0)</f>
        <v>10</v>
      </c>
      <c r="N3071" t="str">
        <f t="shared" si="154"/>
        <v>CO50:DG61</v>
      </c>
      <c r="O3071" s="4">
        <f t="shared" ca="1" si="152"/>
        <v>241443.72000000003</v>
      </c>
    </row>
    <row r="3072" spans="1:15">
      <c r="A3072" s="2" t="s">
        <v>11</v>
      </c>
      <c r="B3072" t="s">
        <v>45</v>
      </c>
      <c r="C3072" t="s">
        <v>25</v>
      </c>
      <c r="D3072">
        <v>30</v>
      </c>
      <c r="E3072" t="s">
        <v>46</v>
      </c>
      <c r="F3072">
        <v>5</v>
      </c>
      <c r="G3072">
        <v>1</v>
      </c>
      <c r="H3072">
        <v>4</v>
      </c>
      <c r="I3072">
        <v>1</v>
      </c>
      <c r="J3072" s="4" t="s">
        <v>54</v>
      </c>
      <c r="K3072" t="str">
        <f t="shared" si="153"/>
        <v>1+4</v>
      </c>
      <c r="L3072">
        <f>VLOOKUP(A3072,'ZONE 1 PREMIUM'!$A$4:$N$16,14,0)</f>
        <v>2</v>
      </c>
      <c r="M3072">
        <f>VLOOKUP(D3072,DROPDOWN!B:C,2,0)</f>
        <v>10</v>
      </c>
      <c r="N3072" t="str">
        <f t="shared" si="154"/>
        <v>CO65:DG76</v>
      </c>
      <c r="O3072" s="4">
        <f t="shared" ca="1" si="152"/>
        <v>45284.05</v>
      </c>
    </row>
    <row r="3073" spans="1:15">
      <c r="A3073" s="2" t="s">
        <v>12</v>
      </c>
      <c r="B3073" t="s">
        <v>27</v>
      </c>
      <c r="C3073" t="s">
        <v>28</v>
      </c>
      <c r="D3073">
        <v>30</v>
      </c>
      <c r="E3073" t="s">
        <v>46</v>
      </c>
      <c r="F3073">
        <v>5</v>
      </c>
      <c r="G3073">
        <v>1</v>
      </c>
      <c r="H3073">
        <v>4</v>
      </c>
      <c r="I3073">
        <v>1</v>
      </c>
      <c r="J3073" s="4" t="s">
        <v>54</v>
      </c>
      <c r="K3073" t="str">
        <f t="shared" si="153"/>
        <v>1+4</v>
      </c>
      <c r="L3073">
        <f>VLOOKUP(A3073,'ZONE 1 PREMIUM'!$A$4:$N$16,14,0)</f>
        <v>3</v>
      </c>
      <c r="M3073">
        <f>VLOOKUP(D3073,DROPDOWN!B:C,2,0)</f>
        <v>10</v>
      </c>
      <c r="N3073" t="str">
        <f t="shared" si="154"/>
        <v>CO65:DG76</v>
      </c>
      <c r="O3073" s="4">
        <f t="shared" ca="1" si="152"/>
        <v>47229.700000000004</v>
      </c>
    </row>
    <row r="3074" spans="1:15">
      <c r="A3074" s="2" t="s">
        <v>13</v>
      </c>
      <c r="B3074" t="s">
        <v>29</v>
      </c>
      <c r="C3074" t="s">
        <v>30</v>
      </c>
      <c r="D3074">
        <v>30</v>
      </c>
      <c r="E3074" t="s">
        <v>46</v>
      </c>
      <c r="F3074">
        <v>5</v>
      </c>
      <c r="G3074">
        <v>1</v>
      </c>
      <c r="H3074">
        <v>4</v>
      </c>
      <c r="I3074">
        <v>1</v>
      </c>
      <c r="J3074" s="4" t="s">
        <v>54</v>
      </c>
      <c r="K3074" t="str">
        <f t="shared" si="153"/>
        <v>1+4</v>
      </c>
      <c r="L3074">
        <f>VLOOKUP(A3074,'ZONE 1 PREMIUM'!$A$4:$N$16,14,0)</f>
        <v>4</v>
      </c>
      <c r="M3074">
        <f>VLOOKUP(D3074,DROPDOWN!B:C,2,0)</f>
        <v>10</v>
      </c>
      <c r="N3074" t="str">
        <f t="shared" si="154"/>
        <v>CO65:DG76</v>
      </c>
      <c r="O3074" s="4">
        <f t="shared" ref="O3074:O3137" ca="1" si="155">INDEX(INDIRECT(N3074),L3074,M3074)</f>
        <v>54981.780000000006</v>
      </c>
    </row>
    <row r="3075" spans="1:15">
      <c r="A3075" s="2" t="s">
        <v>14</v>
      </c>
      <c r="B3075" t="s">
        <v>31</v>
      </c>
      <c r="C3075" t="s">
        <v>32</v>
      </c>
      <c r="D3075">
        <v>30</v>
      </c>
      <c r="E3075" t="s">
        <v>46</v>
      </c>
      <c r="F3075">
        <v>5</v>
      </c>
      <c r="G3075">
        <v>1</v>
      </c>
      <c r="H3075">
        <v>4</v>
      </c>
      <c r="I3075">
        <v>1</v>
      </c>
      <c r="J3075" s="4" t="s">
        <v>54</v>
      </c>
      <c r="K3075" t="str">
        <f t="shared" si="153"/>
        <v>1+4</v>
      </c>
      <c r="L3075">
        <f>VLOOKUP(A3075,'ZONE 1 PREMIUM'!$A$4:$N$16,14,0)</f>
        <v>5</v>
      </c>
      <c r="M3075">
        <f>VLOOKUP(D3075,DROPDOWN!B:C,2,0)</f>
        <v>10</v>
      </c>
      <c r="N3075" t="str">
        <f t="shared" si="154"/>
        <v>CO65:DG76</v>
      </c>
      <c r="O3075" s="4">
        <f t="shared" ca="1" si="155"/>
        <v>60850.340000000004</v>
      </c>
    </row>
    <row r="3076" spans="1:15">
      <c r="A3076" s="2" t="s">
        <v>15</v>
      </c>
      <c r="B3076" t="s">
        <v>33</v>
      </c>
      <c r="C3076" t="s">
        <v>34</v>
      </c>
      <c r="D3076">
        <v>30</v>
      </c>
      <c r="E3076" t="s">
        <v>46</v>
      </c>
      <c r="F3076">
        <v>5</v>
      </c>
      <c r="G3076">
        <v>1</v>
      </c>
      <c r="H3076">
        <v>4</v>
      </c>
      <c r="I3076">
        <v>1</v>
      </c>
      <c r="J3076" s="4" t="s">
        <v>54</v>
      </c>
      <c r="K3076" t="str">
        <f t="shared" ref="K3076:K3139" si="156">G3076&amp;"+"&amp;H3076</f>
        <v>1+4</v>
      </c>
      <c r="L3076">
        <f>VLOOKUP(A3076,'ZONE 1 PREMIUM'!$A$4:$N$16,14,0)</f>
        <v>6</v>
      </c>
      <c r="M3076">
        <f>VLOOKUP(D3076,DROPDOWN!B:C,2,0)</f>
        <v>10</v>
      </c>
      <c r="N3076" t="str">
        <f t="shared" si="154"/>
        <v>CO65:DG76</v>
      </c>
      <c r="O3076" s="4">
        <f t="shared" ca="1" si="155"/>
        <v>74127.63</v>
      </c>
    </row>
    <row r="3077" spans="1:15">
      <c r="A3077" s="2" t="s">
        <v>16</v>
      </c>
      <c r="B3077" t="s">
        <v>35</v>
      </c>
      <c r="C3077" t="s">
        <v>36</v>
      </c>
      <c r="D3077">
        <v>30</v>
      </c>
      <c r="E3077" t="s">
        <v>46</v>
      </c>
      <c r="F3077">
        <v>5</v>
      </c>
      <c r="G3077">
        <v>1</v>
      </c>
      <c r="H3077">
        <v>4</v>
      </c>
      <c r="I3077">
        <v>1</v>
      </c>
      <c r="J3077" s="4" t="s">
        <v>54</v>
      </c>
      <c r="K3077" t="str">
        <f t="shared" si="156"/>
        <v>1+4</v>
      </c>
      <c r="L3077">
        <f>VLOOKUP(A3077,'ZONE 1 PREMIUM'!$A$4:$N$16,14,0)</f>
        <v>7</v>
      </c>
      <c r="M3077">
        <f>VLOOKUP(D3077,DROPDOWN!B:C,2,0)</f>
        <v>10</v>
      </c>
      <c r="N3077" t="str">
        <f t="shared" si="154"/>
        <v>CO65:DG76</v>
      </c>
      <c r="O3077" s="4">
        <f t="shared" ca="1" si="155"/>
        <v>90617.150000000009</v>
      </c>
    </row>
    <row r="3078" spans="1:15">
      <c r="A3078" s="2" t="s">
        <v>17</v>
      </c>
      <c r="B3078" t="s">
        <v>37</v>
      </c>
      <c r="C3078" t="s">
        <v>38</v>
      </c>
      <c r="D3078">
        <v>30</v>
      </c>
      <c r="E3078" t="s">
        <v>46</v>
      </c>
      <c r="F3078">
        <v>5</v>
      </c>
      <c r="G3078">
        <v>1</v>
      </c>
      <c r="H3078">
        <v>4</v>
      </c>
      <c r="I3078">
        <v>1</v>
      </c>
      <c r="J3078" s="4" t="s">
        <v>54</v>
      </c>
      <c r="K3078" t="str">
        <f t="shared" si="156"/>
        <v>1+4</v>
      </c>
      <c r="L3078">
        <f>VLOOKUP(A3078,'ZONE 1 PREMIUM'!$A$4:$N$16,14,0)</f>
        <v>8</v>
      </c>
      <c r="M3078">
        <f>VLOOKUP(D3078,DROPDOWN!B:C,2,0)</f>
        <v>10</v>
      </c>
      <c r="N3078" t="str">
        <f t="shared" si="154"/>
        <v>CO65:DG76</v>
      </c>
      <c r="O3078" s="4">
        <f t="shared" ca="1" si="155"/>
        <v>109105.73000000001</v>
      </c>
    </row>
    <row r="3079" spans="1:15">
      <c r="A3079" s="2" t="s">
        <v>18</v>
      </c>
      <c r="B3079" t="s">
        <v>39</v>
      </c>
      <c r="C3079" t="s">
        <v>40</v>
      </c>
      <c r="D3079">
        <v>30</v>
      </c>
      <c r="E3079" t="s">
        <v>46</v>
      </c>
      <c r="F3079">
        <v>5</v>
      </c>
      <c r="G3079">
        <v>1</v>
      </c>
      <c r="H3079">
        <v>4</v>
      </c>
      <c r="I3079">
        <v>1</v>
      </c>
      <c r="J3079" s="4" t="s">
        <v>54</v>
      </c>
      <c r="K3079" t="str">
        <f t="shared" si="156"/>
        <v>1+4</v>
      </c>
      <c r="L3079">
        <f>VLOOKUP(A3079,'ZONE 1 PREMIUM'!$A$4:$N$16,14,0)</f>
        <v>9</v>
      </c>
      <c r="M3079">
        <f>VLOOKUP(D3079,DROPDOWN!B:C,2,0)</f>
        <v>10</v>
      </c>
      <c r="N3079" t="str">
        <f t="shared" si="154"/>
        <v>CO65:DG76</v>
      </c>
      <c r="O3079" s="4">
        <f t="shared" ca="1" si="155"/>
        <v>137265.88</v>
      </c>
    </row>
    <row r="3080" spans="1:15">
      <c r="A3080" s="2" t="s">
        <v>19</v>
      </c>
      <c r="B3080" t="s">
        <v>41</v>
      </c>
      <c r="C3080" t="s">
        <v>42</v>
      </c>
      <c r="D3080">
        <v>30</v>
      </c>
      <c r="E3080" t="s">
        <v>46</v>
      </c>
      <c r="F3080">
        <v>5</v>
      </c>
      <c r="G3080">
        <v>1</v>
      </c>
      <c r="H3080">
        <v>4</v>
      </c>
      <c r="I3080">
        <v>1</v>
      </c>
      <c r="J3080" s="4" t="s">
        <v>54</v>
      </c>
      <c r="K3080" t="str">
        <f t="shared" si="156"/>
        <v>1+4</v>
      </c>
      <c r="L3080">
        <f>VLOOKUP(A3080,'ZONE 1 PREMIUM'!$A$4:$N$16,14,0)</f>
        <v>10</v>
      </c>
      <c r="M3080">
        <f>VLOOKUP(D3080,DROPDOWN!B:C,2,0)</f>
        <v>10</v>
      </c>
      <c r="N3080" t="str">
        <f t="shared" si="154"/>
        <v>CO65:DG76</v>
      </c>
      <c r="O3080" s="4">
        <f t="shared" ca="1" si="155"/>
        <v>168040.94</v>
      </c>
    </row>
    <row r="3081" spans="1:15">
      <c r="A3081" s="2" t="s">
        <v>20</v>
      </c>
      <c r="B3081" t="s">
        <v>43</v>
      </c>
      <c r="C3081" t="s">
        <v>44</v>
      </c>
      <c r="D3081">
        <v>30</v>
      </c>
      <c r="E3081" t="s">
        <v>46</v>
      </c>
      <c r="F3081">
        <v>5</v>
      </c>
      <c r="G3081">
        <v>1</v>
      </c>
      <c r="H3081">
        <v>4</v>
      </c>
      <c r="I3081">
        <v>1</v>
      </c>
      <c r="J3081" s="4" t="s">
        <v>54</v>
      </c>
      <c r="K3081" t="str">
        <f t="shared" si="156"/>
        <v>1+4</v>
      </c>
      <c r="L3081">
        <f>VLOOKUP(A3081,'ZONE 1 PREMIUM'!$A$4:$N$16,14,0)</f>
        <v>11</v>
      </c>
      <c r="M3081">
        <f>VLOOKUP(D3081,DROPDOWN!B:C,2,0)</f>
        <v>10</v>
      </c>
      <c r="N3081" t="str">
        <f t="shared" si="154"/>
        <v>CO65:DG76</v>
      </c>
      <c r="O3081" s="4">
        <f t="shared" ca="1" si="155"/>
        <v>195139.43000000002</v>
      </c>
    </row>
    <row r="3082" spans="1:15">
      <c r="A3082" s="2" t="s">
        <v>21</v>
      </c>
      <c r="B3082" t="s">
        <v>22</v>
      </c>
      <c r="D3082">
        <v>30</v>
      </c>
      <c r="E3082" t="s">
        <v>46</v>
      </c>
      <c r="F3082">
        <v>5</v>
      </c>
      <c r="G3082">
        <v>1</v>
      </c>
      <c r="H3082">
        <v>4</v>
      </c>
      <c r="I3082">
        <v>1</v>
      </c>
      <c r="J3082" s="4" t="s">
        <v>54</v>
      </c>
      <c r="K3082" t="str">
        <f t="shared" si="156"/>
        <v>1+4</v>
      </c>
      <c r="L3082">
        <f>VLOOKUP(A3082,'ZONE 1 PREMIUM'!$A$4:$N$16,14,0)</f>
        <v>12</v>
      </c>
      <c r="M3082">
        <f>VLOOKUP(D3082,DROPDOWN!B:C,2,0)</f>
        <v>10</v>
      </c>
      <c r="N3082" t="str">
        <f t="shared" si="154"/>
        <v>CO65:DG76</v>
      </c>
      <c r="O3082" s="4">
        <f t="shared" ca="1" si="155"/>
        <v>250704.36000000002</v>
      </c>
    </row>
    <row r="3083" spans="1:15">
      <c r="A3083" s="2" t="s">
        <v>11</v>
      </c>
      <c r="B3083" t="s">
        <v>45</v>
      </c>
      <c r="C3083" t="s">
        <v>25</v>
      </c>
      <c r="D3083">
        <v>30</v>
      </c>
      <c r="E3083" t="s">
        <v>46</v>
      </c>
      <c r="F3083">
        <v>2</v>
      </c>
      <c r="G3083">
        <v>2</v>
      </c>
      <c r="H3083">
        <v>0</v>
      </c>
      <c r="I3083">
        <v>1</v>
      </c>
      <c r="J3083" s="4" t="s">
        <v>54</v>
      </c>
      <c r="K3083" t="str">
        <f t="shared" si="156"/>
        <v>2+0</v>
      </c>
      <c r="L3083">
        <f>VLOOKUP(A3083,'ZONE 1 PREMIUM'!$A$4:$N$16,14,0)</f>
        <v>2</v>
      </c>
      <c r="M3083">
        <f>VLOOKUP(D3083,DROPDOWN!B:C,2,0)</f>
        <v>10</v>
      </c>
      <c r="N3083" t="str">
        <f t="shared" si="154"/>
        <v>CO81:DG92</v>
      </c>
      <c r="O3083" s="4">
        <f t="shared" ca="1" si="155"/>
        <v>33817.25</v>
      </c>
    </row>
    <row r="3084" spans="1:15">
      <c r="A3084" s="2" t="s">
        <v>12</v>
      </c>
      <c r="B3084" t="s">
        <v>27</v>
      </c>
      <c r="C3084" t="s">
        <v>28</v>
      </c>
      <c r="D3084">
        <v>30</v>
      </c>
      <c r="E3084" t="s">
        <v>46</v>
      </c>
      <c r="F3084">
        <v>2</v>
      </c>
      <c r="G3084">
        <v>2</v>
      </c>
      <c r="H3084">
        <v>0</v>
      </c>
      <c r="I3084">
        <v>1</v>
      </c>
      <c r="J3084" s="4" t="s">
        <v>54</v>
      </c>
      <c r="K3084" t="str">
        <f t="shared" si="156"/>
        <v>2+0</v>
      </c>
      <c r="L3084">
        <f>VLOOKUP(A3084,'ZONE 1 PREMIUM'!$A$4:$N$16,14,0)</f>
        <v>3</v>
      </c>
      <c r="M3084">
        <f>VLOOKUP(D3084,DROPDOWN!B:C,2,0)</f>
        <v>10</v>
      </c>
      <c r="N3084" t="str">
        <f t="shared" si="154"/>
        <v>CO81:DG92</v>
      </c>
      <c r="O3084" s="4">
        <f t="shared" ca="1" si="155"/>
        <v>38339.660000000003</v>
      </c>
    </row>
    <row r="3085" spans="1:15">
      <c r="A3085" s="2" t="s">
        <v>13</v>
      </c>
      <c r="B3085" t="s">
        <v>29</v>
      </c>
      <c r="C3085" t="s">
        <v>30</v>
      </c>
      <c r="D3085">
        <v>30</v>
      </c>
      <c r="E3085" t="s">
        <v>46</v>
      </c>
      <c r="F3085">
        <v>2</v>
      </c>
      <c r="G3085">
        <v>2</v>
      </c>
      <c r="H3085">
        <v>0</v>
      </c>
      <c r="I3085">
        <v>1</v>
      </c>
      <c r="J3085" s="4" t="s">
        <v>54</v>
      </c>
      <c r="K3085" t="str">
        <f t="shared" si="156"/>
        <v>2+0</v>
      </c>
      <c r="L3085">
        <f>VLOOKUP(A3085,'ZONE 1 PREMIUM'!$A$4:$N$16,14,0)</f>
        <v>4</v>
      </c>
      <c r="M3085">
        <f>VLOOKUP(D3085,DROPDOWN!B:C,2,0)</f>
        <v>10</v>
      </c>
      <c r="N3085" t="str">
        <f t="shared" si="154"/>
        <v>CO81:DG92</v>
      </c>
      <c r="O3085" s="4">
        <f t="shared" ca="1" si="155"/>
        <v>42615.73</v>
      </c>
    </row>
    <row r="3086" spans="1:15">
      <c r="A3086" s="2" t="s">
        <v>14</v>
      </c>
      <c r="B3086" t="s">
        <v>31</v>
      </c>
      <c r="C3086" t="s">
        <v>32</v>
      </c>
      <c r="D3086">
        <v>30</v>
      </c>
      <c r="E3086" t="s">
        <v>46</v>
      </c>
      <c r="F3086">
        <v>2</v>
      </c>
      <c r="G3086">
        <v>2</v>
      </c>
      <c r="H3086">
        <v>0</v>
      </c>
      <c r="I3086">
        <v>1</v>
      </c>
      <c r="J3086" s="4" t="s">
        <v>54</v>
      </c>
      <c r="K3086" t="str">
        <f t="shared" si="156"/>
        <v>2+0</v>
      </c>
      <c r="L3086">
        <f>VLOOKUP(A3086,'ZONE 1 PREMIUM'!$A$4:$N$16,14,0)</f>
        <v>5</v>
      </c>
      <c r="M3086">
        <f>VLOOKUP(D3086,DROPDOWN!B:C,2,0)</f>
        <v>10</v>
      </c>
      <c r="N3086" t="str">
        <f t="shared" si="154"/>
        <v>CO81:DG92</v>
      </c>
      <c r="O3086" s="4">
        <f t="shared" ca="1" si="155"/>
        <v>49334.490000000005</v>
      </c>
    </row>
    <row r="3087" spans="1:15">
      <c r="A3087" s="2" t="s">
        <v>15</v>
      </c>
      <c r="B3087" t="s">
        <v>33</v>
      </c>
      <c r="C3087" t="s">
        <v>34</v>
      </c>
      <c r="D3087">
        <v>30</v>
      </c>
      <c r="E3087" t="s">
        <v>46</v>
      </c>
      <c r="F3087">
        <v>2</v>
      </c>
      <c r="G3087">
        <v>2</v>
      </c>
      <c r="H3087">
        <v>0</v>
      </c>
      <c r="I3087">
        <v>1</v>
      </c>
      <c r="J3087" s="4" t="s">
        <v>54</v>
      </c>
      <c r="K3087" t="str">
        <f t="shared" si="156"/>
        <v>2+0</v>
      </c>
      <c r="L3087">
        <f>VLOOKUP(A3087,'ZONE 1 PREMIUM'!$A$4:$N$16,14,0)</f>
        <v>6</v>
      </c>
      <c r="M3087">
        <f>VLOOKUP(D3087,DROPDOWN!B:C,2,0)</f>
        <v>10</v>
      </c>
      <c r="N3087" t="str">
        <f t="shared" si="154"/>
        <v>CO81:DG92</v>
      </c>
      <c r="O3087" s="4">
        <f t="shared" ca="1" si="155"/>
        <v>63299.570000000007</v>
      </c>
    </row>
    <row r="3088" spans="1:15">
      <c r="A3088" s="2" t="s">
        <v>16</v>
      </c>
      <c r="B3088" t="s">
        <v>35</v>
      </c>
      <c r="C3088" t="s">
        <v>36</v>
      </c>
      <c r="D3088">
        <v>30</v>
      </c>
      <c r="E3088" t="s">
        <v>46</v>
      </c>
      <c r="F3088">
        <v>2</v>
      </c>
      <c r="G3088">
        <v>2</v>
      </c>
      <c r="H3088">
        <v>0</v>
      </c>
      <c r="I3088">
        <v>1</v>
      </c>
      <c r="J3088" s="4" t="s">
        <v>54</v>
      </c>
      <c r="K3088" t="str">
        <f t="shared" si="156"/>
        <v>2+0</v>
      </c>
      <c r="L3088">
        <f>VLOOKUP(A3088,'ZONE 1 PREMIUM'!$A$4:$N$16,14,0)</f>
        <v>7</v>
      </c>
      <c r="M3088">
        <f>VLOOKUP(D3088,DROPDOWN!B:C,2,0)</f>
        <v>10</v>
      </c>
      <c r="N3088" t="str">
        <f t="shared" si="154"/>
        <v>CO81:DG92</v>
      </c>
      <c r="O3088" s="4">
        <f t="shared" ca="1" si="155"/>
        <v>83949.62000000001</v>
      </c>
    </row>
    <row r="3089" spans="1:15">
      <c r="A3089" s="2" t="s">
        <v>17</v>
      </c>
      <c r="B3089" t="s">
        <v>37</v>
      </c>
      <c r="C3089" t="s">
        <v>38</v>
      </c>
      <c r="D3089">
        <v>30</v>
      </c>
      <c r="E3089" t="s">
        <v>46</v>
      </c>
      <c r="F3089">
        <v>2</v>
      </c>
      <c r="G3089">
        <v>2</v>
      </c>
      <c r="H3089">
        <v>0</v>
      </c>
      <c r="I3089">
        <v>1</v>
      </c>
      <c r="J3089" s="4" t="s">
        <v>54</v>
      </c>
      <c r="K3089" t="str">
        <f t="shared" si="156"/>
        <v>2+0</v>
      </c>
      <c r="L3089">
        <f>VLOOKUP(A3089,'ZONE 1 PREMIUM'!$A$4:$N$16,14,0)</f>
        <v>8</v>
      </c>
      <c r="M3089">
        <f>VLOOKUP(D3089,DROPDOWN!B:C,2,0)</f>
        <v>10</v>
      </c>
      <c r="N3089" t="str">
        <f t="shared" si="154"/>
        <v>CO81:DG92</v>
      </c>
      <c r="O3089" s="4">
        <f t="shared" ca="1" si="155"/>
        <v>115076.75000000001</v>
      </c>
    </row>
    <row r="3090" spans="1:15">
      <c r="A3090" s="2" t="s">
        <v>18</v>
      </c>
      <c r="B3090" t="s">
        <v>39</v>
      </c>
      <c r="C3090" t="s">
        <v>40</v>
      </c>
      <c r="D3090">
        <v>30</v>
      </c>
      <c r="E3090" t="s">
        <v>46</v>
      </c>
      <c r="F3090">
        <v>2</v>
      </c>
      <c r="G3090">
        <v>2</v>
      </c>
      <c r="H3090">
        <v>0</v>
      </c>
      <c r="I3090">
        <v>1</v>
      </c>
      <c r="J3090" s="4" t="s">
        <v>54</v>
      </c>
      <c r="K3090" t="str">
        <f t="shared" si="156"/>
        <v>2+0</v>
      </c>
      <c r="L3090">
        <f>VLOOKUP(A3090,'ZONE 1 PREMIUM'!$A$4:$N$16,14,0)</f>
        <v>9</v>
      </c>
      <c r="M3090">
        <f>VLOOKUP(D3090,DROPDOWN!B:C,2,0)</f>
        <v>10</v>
      </c>
      <c r="N3090" t="str">
        <f t="shared" ref="N3090:N3137" si="157">VLOOKUP(K3090,$DH$4:$DI$13,2,0)</f>
        <v>CO81:DG92</v>
      </c>
      <c r="O3090" s="4">
        <f t="shared" ca="1" si="155"/>
        <v>162037.22</v>
      </c>
    </row>
    <row r="3091" spans="1:15">
      <c r="A3091" s="2" t="s">
        <v>19</v>
      </c>
      <c r="B3091" t="s">
        <v>41</v>
      </c>
      <c r="C3091" t="s">
        <v>42</v>
      </c>
      <c r="D3091">
        <v>30</v>
      </c>
      <c r="E3091" t="s">
        <v>46</v>
      </c>
      <c r="F3091">
        <v>2</v>
      </c>
      <c r="G3091">
        <v>2</v>
      </c>
      <c r="H3091">
        <v>0</v>
      </c>
      <c r="I3091">
        <v>1</v>
      </c>
      <c r="J3091" s="4" t="s">
        <v>54</v>
      </c>
      <c r="K3091" t="str">
        <f t="shared" si="156"/>
        <v>2+0</v>
      </c>
      <c r="L3091">
        <f>VLOOKUP(A3091,'ZONE 1 PREMIUM'!$A$4:$N$16,14,0)</f>
        <v>10</v>
      </c>
      <c r="M3091">
        <f>VLOOKUP(D3091,DROPDOWN!B:C,2,0)</f>
        <v>10</v>
      </c>
      <c r="N3091" t="str">
        <f t="shared" si="157"/>
        <v>CO81:DG92</v>
      </c>
      <c r="O3091" s="4">
        <f t="shared" ca="1" si="155"/>
        <v>227887.39</v>
      </c>
    </row>
    <row r="3092" spans="1:15">
      <c r="A3092" s="2" t="s">
        <v>20</v>
      </c>
      <c r="B3092" t="s">
        <v>43</v>
      </c>
      <c r="C3092" t="s">
        <v>44</v>
      </c>
      <c r="D3092">
        <v>30</v>
      </c>
      <c r="E3092" t="s">
        <v>46</v>
      </c>
      <c r="F3092">
        <v>2</v>
      </c>
      <c r="G3092">
        <v>2</v>
      </c>
      <c r="H3092">
        <v>0</v>
      </c>
      <c r="I3092">
        <v>1</v>
      </c>
      <c r="J3092" s="4" t="s">
        <v>54</v>
      </c>
      <c r="K3092" t="str">
        <f t="shared" si="156"/>
        <v>2+0</v>
      </c>
      <c r="L3092">
        <f>VLOOKUP(A3092,'ZONE 1 PREMIUM'!$A$4:$N$16,14,0)</f>
        <v>11</v>
      </c>
      <c r="M3092">
        <f>VLOOKUP(D3092,DROPDOWN!B:C,2,0)</f>
        <v>10</v>
      </c>
      <c r="N3092" t="str">
        <f t="shared" si="157"/>
        <v>CO81:DG92</v>
      </c>
      <c r="O3092" s="4">
        <f t="shared" ca="1" si="155"/>
        <v>283899.22000000003</v>
      </c>
    </row>
    <row r="3093" spans="1:15">
      <c r="A3093" s="2" t="s">
        <v>21</v>
      </c>
      <c r="B3093" t="s">
        <v>22</v>
      </c>
      <c r="D3093">
        <v>30</v>
      </c>
      <c r="E3093" t="s">
        <v>46</v>
      </c>
      <c r="F3093">
        <v>2</v>
      </c>
      <c r="G3093">
        <v>2</v>
      </c>
      <c r="H3093">
        <v>0</v>
      </c>
      <c r="I3093">
        <v>1</v>
      </c>
      <c r="J3093" s="4" t="s">
        <v>54</v>
      </c>
      <c r="K3093" t="str">
        <f t="shared" si="156"/>
        <v>2+0</v>
      </c>
      <c r="L3093">
        <f>VLOOKUP(A3093,'ZONE 1 PREMIUM'!$A$4:$N$16,14,0)</f>
        <v>12</v>
      </c>
      <c r="M3093">
        <f>VLOOKUP(D3093,DROPDOWN!B:C,2,0)</f>
        <v>10</v>
      </c>
      <c r="N3093" t="str">
        <f t="shared" si="157"/>
        <v>CO81:DG92</v>
      </c>
      <c r="O3093" s="4">
        <f t="shared" ca="1" si="155"/>
        <v>364623.53</v>
      </c>
    </row>
    <row r="3094" spans="1:15">
      <c r="A3094" s="2" t="s">
        <v>11</v>
      </c>
      <c r="B3094" t="s">
        <v>45</v>
      </c>
      <c r="C3094" t="s">
        <v>25</v>
      </c>
      <c r="D3094">
        <v>30</v>
      </c>
      <c r="E3094" t="s">
        <v>46</v>
      </c>
      <c r="F3094">
        <v>3</v>
      </c>
      <c r="G3094">
        <v>2</v>
      </c>
      <c r="H3094">
        <v>1</v>
      </c>
      <c r="I3094">
        <v>1</v>
      </c>
      <c r="J3094" s="4" t="s">
        <v>54</v>
      </c>
      <c r="K3094" t="str">
        <f t="shared" si="156"/>
        <v>2+1</v>
      </c>
      <c r="L3094">
        <f>VLOOKUP(A3094,'ZONE 1 PREMIUM'!$A$4:$N$16,14,0)</f>
        <v>2</v>
      </c>
      <c r="M3094">
        <f>VLOOKUP(D3094,DROPDOWN!B:C,2,0)</f>
        <v>10</v>
      </c>
      <c r="N3094" t="str">
        <f t="shared" si="157"/>
        <v>CO98:DG109</v>
      </c>
      <c r="O3094" s="4">
        <f t="shared" ca="1" si="155"/>
        <v>41021.060000000005</v>
      </c>
    </row>
    <row r="3095" spans="1:15">
      <c r="A3095" s="2" t="s">
        <v>12</v>
      </c>
      <c r="B3095" t="s">
        <v>27</v>
      </c>
      <c r="C3095" t="s">
        <v>28</v>
      </c>
      <c r="D3095">
        <v>30</v>
      </c>
      <c r="E3095" t="s">
        <v>46</v>
      </c>
      <c r="F3095">
        <v>3</v>
      </c>
      <c r="G3095">
        <v>2</v>
      </c>
      <c r="H3095">
        <v>1</v>
      </c>
      <c r="I3095">
        <v>1</v>
      </c>
      <c r="J3095" s="4" t="s">
        <v>54</v>
      </c>
      <c r="K3095" t="str">
        <f t="shared" si="156"/>
        <v>2+1</v>
      </c>
      <c r="L3095">
        <f>VLOOKUP(A3095,'ZONE 1 PREMIUM'!$A$4:$N$16,14,0)</f>
        <v>3</v>
      </c>
      <c r="M3095">
        <f>VLOOKUP(D3095,DROPDOWN!B:C,2,0)</f>
        <v>10</v>
      </c>
      <c r="N3095" t="str">
        <f t="shared" si="157"/>
        <v>CO98:DG109</v>
      </c>
      <c r="O3095" s="4">
        <f t="shared" ca="1" si="155"/>
        <v>45419.210000000006</v>
      </c>
    </row>
    <row r="3096" spans="1:15">
      <c r="A3096" s="2" t="s">
        <v>13</v>
      </c>
      <c r="B3096" t="s">
        <v>29</v>
      </c>
      <c r="C3096" t="s">
        <v>30</v>
      </c>
      <c r="D3096">
        <v>30</v>
      </c>
      <c r="E3096" t="s">
        <v>46</v>
      </c>
      <c r="F3096">
        <v>3</v>
      </c>
      <c r="G3096">
        <v>2</v>
      </c>
      <c r="H3096">
        <v>1</v>
      </c>
      <c r="I3096">
        <v>1</v>
      </c>
      <c r="J3096" s="4" t="s">
        <v>54</v>
      </c>
      <c r="K3096" t="str">
        <f t="shared" si="156"/>
        <v>2+1</v>
      </c>
      <c r="L3096">
        <f>VLOOKUP(A3096,'ZONE 1 PREMIUM'!$A$4:$N$16,14,0)</f>
        <v>4</v>
      </c>
      <c r="M3096">
        <f>VLOOKUP(D3096,DROPDOWN!B:C,2,0)</f>
        <v>10</v>
      </c>
      <c r="N3096" t="str">
        <f t="shared" si="157"/>
        <v>CO98:DG109</v>
      </c>
      <c r="O3096" s="4">
        <f t="shared" ca="1" si="155"/>
        <v>50931.340000000004</v>
      </c>
    </row>
    <row r="3097" spans="1:15">
      <c r="A3097" s="2" t="s">
        <v>14</v>
      </c>
      <c r="B3097" t="s">
        <v>31</v>
      </c>
      <c r="C3097" t="s">
        <v>32</v>
      </c>
      <c r="D3097">
        <v>30</v>
      </c>
      <c r="E3097" t="s">
        <v>46</v>
      </c>
      <c r="F3097">
        <v>3</v>
      </c>
      <c r="G3097">
        <v>2</v>
      </c>
      <c r="H3097">
        <v>1</v>
      </c>
      <c r="I3097">
        <v>1</v>
      </c>
      <c r="J3097" s="4" t="s">
        <v>54</v>
      </c>
      <c r="K3097" t="str">
        <f t="shared" si="156"/>
        <v>2+1</v>
      </c>
      <c r="L3097">
        <f>VLOOKUP(A3097,'ZONE 1 PREMIUM'!$A$4:$N$16,14,0)</f>
        <v>5</v>
      </c>
      <c r="M3097">
        <f>VLOOKUP(D3097,DROPDOWN!B:C,2,0)</f>
        <v>10</v>
      </c>
      <c r="N3097" t="str">
        <f t="shared" si="157"/>
        <v>CO98:DG109</v>
      </c>
      <c r="O3097" s="4">
        <f t="shared" ca="1" si="155"/>
        <v>58265.950000000004</v>
      </c>
    </row>
    <row r="3098" spans="1:15">
      <c r="A3098" s="2" t="s">
        <v>15</v>
      </c>
      <c r="B3098" t="s">
        <v>33</v>
      </c>
      <c r="C3098" t="s">
        <v>34</v>
      </c>
      <c r="D3098">
        <v>30</v>
      </c>
      <c r="E3098" t="s">
        <v>46</v>
      </c>
      <c r="F3098">
        <v>3</v>
      </c>
      <c r="G3098">
        <v>2</v>
      </c>
      <c r="H3098">
        <v>1</v>
      </c>
      <c r="I3098">
        <v>1</v>
      </c>
      <c r="J3098" s="4" t="s">
        <v>54</v>
      </c>
      <c r="K3098" t="str">
        <f t="shared" si="156"/>
        <v>2+1</v>
      </c>
      <c r="L3098">
        <f>VLOOKUP(A3098,'ZONE 1 PREMIUM'!$A$4:$N$16,14,0)</f>
        <v>6</v>
      </c>
      <c r="M3098">
        <f>VLOOKUP(D3098,DROPDOWN!B:C,2,0)</f>
        <v>10</v>
      </c>
      <c r="N3098" t="str">
        <f t="shared" si="157"/>
        <v>CO98:DG109</v>
      </c>
      <c r="O3098" s="4">
        <f t="shared" ca="1" si="155"/>
        <v>73385.340000000011</v>
      </c>
    </row>
    <row r="3099" spans="1:15">
      <c r="A3099" s="2" t="s">
        <v>16</v>
      </c>
      <c r="B3099" t="s">
        <v>35</v>
      </c>
      <c r="C3099" t="s">
        <v>36</v>
      </c>
      <c r="D3099">
        <v>30</v>
      </c>
      <c r="E3099" t="s">
        <v>46</v>
      </c>
      <c r="F3099">
        <v>3</v>
      </c>
      <c r="G3099">
        <v>2</v>
      </c>
      <c r="H3099">
        <v>1</v>
      </c>
      <c r="I3099">
        <v>1</v>
      </c>
      <c r="J3099" s="4" t="s">
        <v>54</v>
      </c>
      <c r="K3099" t="str">
        <f t="shared" si="156"/>
        <v>2+1</v>
      </c>
      <c r="L3099">
        <f>VLOOKUP(A3099,'ZONE 1 PREMIUM'!$A$4:$N$16,14,0)</f>
        <v>7</v>
      </c>
      <c r="M3099">
        <f>VLOOKUP(D3099,DROPDOWN!B:C,2,0)</f>
        <v>10</v>
      </c>
      <c r="N3099" t="str">
        <f t="shared" si="157"/>
        <v>CO98:DG109</v>
      </c>
      <c r="O3099" s="4">
        <f t="shared" ca="1" si="155"/>
        <v>96515.140000000014</v>
      </c>
    </row>
    <row r="3100" spans="1:15">
      <c r="A3100" s="2" t="s">
        <v>17</v>
      </c>
      <c r="B3100" t="s">
        <v>37</v>
      </c>
      <c r="C3100" t="s">
        <v>38</v>
      </c>
      <c r="D3100">
        <v>30</v>
      </c>
      <c r="E3100" t="s">
        <v>46</v>
      </c>
      <c r="F3100">
        <v>3</v>
      </c>
      <c r="G3100">
        <v>2</v>
      </c>
      <c r="H3100">
        <v>1</v>
      </c>
      <c r="I3100">
        <v>1</v>
      </c>
      <c r="J3100" s="4" t="s">
        <v>54</v>
      </c>
      <c r="K3100" t="str">
        <f t="shared" si="156"/>
        <v>2+1</v>
      </c>
      <c r="L3100">
        <f>VLOOKUP(A3100,'ZONE 1 PREMIUM'!$A$4:$N$16,14,0)</f>
        <v>8</v>
      </c>
      <c r="M3100">
        <f>VLOOKUP(D3100,DROPDOWN!B:C,2,0)</f>
        <v>10</v>
      </c>
      <c r="N3100" t="str">
        <f t="shared" si="157"/>
        <v>CO98:DG109</v>
      </c>
      <c r="O3100" s="4">
        <f t="shared" ca="1" si="155"/>
        <v>128633.08000000002</v>
      </c>
    </row>
    <row r="3101" spans="1:15">
      <c r="A3101" s="2" t="s">
        <v>18</v>
      </c>
      <c r="B3101" t="s">
        <v>39</v>
      </c>
      <c r="C3101" t="s">
        <v>40</v>
      </c>
      <c r="D3101">
        <v>30</v>
      </c>
      <c r="E3101" t="s">
        <v>46</v>
      </c>
      <c r="F3101">
        <v>3</v>
      </c>
      <c r="G3101">
        <v>2</v>
      </c>
      <c r="H3101">
        <v>1</v>
      </c>
      <c r="I3101">
        <v>1</v>
      </c>
      <c r="J3101" s="4" t="s">
        <v>54</v>
      </c>
      <c r="K3101" t="str">
        <f t="shared" si="156"/>
        <v>2+1</v>
      </c>
      <c r="L3101">
        <f>VLOOKUP(A3101,'ZONE 1 PREMIUM'!$A$4:$N$16,14,0)</f>
        <v>9</v>
      </c>
      <c r="M3101">
        <f>VLOOKUP(D3101,DROPDOWN!B:C,2,0)</f>
        <v>10</v>
      </c>
      <c r="N3101" t="str">
        <f t="shared" si="157"/>
        <v>CO98:DG109</v>
      </c>
      <c r="O3101" s="4">
        <f t="shared" ca="1" si="155"/>
        <v>175842.07</v>
      </c>
    </row>
    <row r="3102" spans="1:15">
      <c r="A3102" s="2" t="s">
        <v>19</v>
      </c>
      <c r="B3102" t="s">
        <v>41</v>
      </c>
      <c r="C3102" t="s">
        <v>42</v>
      </c>
      <c r="D3102">
        <v>30</v>
      </c>
      <c r="E3102" t="s">
        <v>46</v>
      </c>
      <c r="F3102">
        <v>3</v>
      </c>
      <c r="G3102">
        <v>2</v>
      </c>
      <c r="H3102">
        <v>1</v>
      </c>
      <c r="I3102">
        <v>1</v>
      </c>
      <c r="J3102" s="4" t="s">
        <v>54</v>
      </c>
      <c r="K3102" t="str">
        <f t="shared" si="156"/>
        <v>2+1</v>
      </c>
      <c r="L3102">
        <f>VLOOKUP(A3102,'ZONE 1 PREMIUM'!$A$4:$N$16,14,0)</f>
        <v>10</v>
      </c>
      <c r="M3102">
        <f>VLOOKUP(D3102,DROPDOWN!B:C,2,0)</f>
        <v>10</v>
      </c>
      <c r="N3102" t="str">
        <f t="shared" si="157"/>
        <v>CO98:DG109</v>
      </c>
      <c r="O3102" s="4">
        <f t="shared" ca="1" si="155"/>
        <v>236616.11000000002</v>
      </c>
    </row>
    <row r="3103" spans="1:15">
      <c r="A3103" s="2" t="s">
        <v>20</v>
      </c>
      <c r="B3103" t="s">
        <v>43</v>
      </c>
      <c r="C3103" t="s">
        <v>44</v>
      </c>
      <c r="D3103">
        <v>30</v>
      </c>
      <c r="E3103" t="s">
        <v>46</v>
      </c>
      <c r="F3103">
        <v>3</v>
      </c>
      <c r="G3103">
        <v>2</v>
      </c>
      <c r="H3103">
        <v>1</v>
      </c>
      <c r="I3103">
        <v>1</v>
      </c>
      <c r="J3103" s="4" t="s">
        <v>54</v>
      </c>
      <c r="K3103" t="str">
        <f t="shared" si="156"/>
        <v>2+1</v>
      </c>
      <c r="L3103">
        <f>VLOOKUP(A3103,'ZONE 1 PREMIUM'!$A$4:$N$16,14,0)</f>
        <v>11</v>
      </c>
      <c r="M3103">
        <f>VLOOKUP(D3103,DROPDOWN!B:C,2,0)</f>
        <v>10</v>
      </c>
      <c r="N3103" t="str">
        <f t="shared" si="157"/>
        <v>CO98:DG109</v>
      </c>
      <c r="O3103" s="4">
        <f t="shared" ca="1" si="155"/>
        <v>290722.62</v>
      </c>
    </row>
    <row r="3104" spans="1:15">
      <c r="A3104" s="2" t="s">
        <v>21</v>
      </c>
      <c r="B3104" t="s">
        <v>22</v>
      </c>
      <c r="D3104">
        <v>30</v>
      </c>
      <c r="E3104" t="s">
        <v>46</v>
      </c>
      <c r="F3104">
        <v>3</v>
      </c>
      <c r="G3104">
        <v>2</v>
      </c>
      <c r="H3104">
        <v>1</v>
      </c>
      <c r="I3104">
        <v>1</v>
      </c>
      <c r="J3104" s="4" t="s">
        <v>54</v>
      </c>
      <c r="K3104" t="str">
        <f t="shared" si="156"/>
        <v>2+1</v>
      </c>
      <c r="L3104">
        <f>VLOOKUP(A3104,'ZONE 1 PREMIUM'!$A$4:$N$16,14,0)</f>
        <v>12</v>
      </c>
      <c r="M3104">
        <f>VLOOKUP(D3104,DROPDOWN!B:C,2,0)</f>
        <v>10</v>
      </c>
      <c r="N3104" t="str">
        <f t="shared" si="157"/>
        <v>CO98:DG109</v>
      </c>
      <c r="O3104" s="4">
        <f t="shared" ca="1" si="155"/>
        <v>371125.38</v>
      </c>
    </row>
    <row r="3105" spans="1:15">
      <c r="A3105" s="2" t="s">
        <v>11</v>
      </c>
      <c r="B3105" t="s">
        <v>45</v>
      </c>
      <c r="C3105" t="s">
        <v>25</v>
      </c>
      <c r="D3105">
        <v>30</v>
      </c>
      <c r="E3105" t="s">
        <v>46</v>
      </c>
      <c r="F3105">
        <v>4</v>
      </c>
      <c r="G3105">
        <v>2</v>
      </c>
      <c r="H3105">
        <v>2</v>
      </c>
      <c r="I3105">
        <v>1</v>
      </c>
      <c r="J3105" s="4" t="s">
        <v>54</v>
      </c>
      <c r="K3105" t="str">
        <f t="shared" si="156"/>
        <v>2+2</v>
      </c>
      <c r="L3105">
        <f>VLOOKUP(A3105,'ZONE 1 PREMIUM'!$A$4:$N$16,14,0)</f>
        <v>2</v>
      </c>
      <c r="M3105">
        <f>VLOOKUP(D3105,DROPDOWN!B:C,2,0)</f>
        <v>10</v>
      </c>
      <c r="N3105" t="str">
        <f t="shared" si="157"/>
        <v>CO113:DG124</v>
      </c>
      <c r="O3105" s="4">
        <f t="shared" ca="1" si="155"/>
        <v>48078.810000000005</v>
      </c>
    </row>
    <row r="3106" spans="1:15">
      <c r="A3106" s="2" t="s">
        <v>12</v>
      </c>
      <c r="B3106" t="s">
        <v>27</v>
      </c>
      <c r="C3106" t="s">
        <v>28</v>
      </c>
      <c r="D3106">
        <v>30</v>
      </c>
      <c r="E3106" t="s">
        <v>46</v>
      </c>
      <c r="F3106">
        <v>4</v>
      </c>
      <c r="G3106">
        <v>2</v>
      </c>
      <c r="H3106">
        <v>2</v>
      </c>
      <c r="I3106">
        <v>1</v>
      </c>
      <c r="J3106" s="4" t="s">
        <v>54</v>
      </c>
      <c r="K3106" t="str">
        <f t="shared" si="156"/>
        <v>2+2</v>
      </c>
      <c r="L3106">
        <f>VLOOKUP(A3106,'ZONE 1 PREMIUM'!$A$4:$N$16,14,0)</f>
        <v>3</v>
      </c>
      <c r="M3106">
        <f>VLOOKUP(D3106,DROPDOWN!B:C,2,0)</f>
        <v>10</v>
      </c>
      <c r="N3106" t="str">
        <f t="shared" si="157"/>
        <v>CO113:DG124</v>
      </c>
      <c r="O3106" s="4">
        <f t="shared" ca="1" si="155"/>
        <v>52351.61</v>
      </c>
    </row>
    <row r="3107" spans="1:15">
      <c r="A3107" s="2" t="s">
        <v>13</v>
      </c>
      <c r="B3107" t="s">
        <v>29</v>
      </c>
      <c r="C3107" t="s">
        <v>30</v>
      </c>
      <c r="D3107">
        <v>30</v>
      </c>
      <c r="E3107" t="s">
        <v>46</v>
      </c>
      <c r="F3107">
        <v>4</v>
      </c>
      <c r="G3107">
        <v>2</v>
      </c>
      <c r="H3107">
        <v>2</v>
      </c>
      <c r="I3107">
        <v>1</v>
      </c>
      <c r="J3107" s="4" t="s">
        <v>54</v>
      </c>
      <c r="K3107" t="str">
        <f t="shared" si="156"/>
        <v>2+2</v>
      </c>
      <c r="L3107">
        <f>VLOOKUP(A3107,'ZONE 1 PREMIUM'!$A$4:$N$16,14,0)</f>
        <v>4</v>
      </c>
      <c r="M3107">
        <f>VLOOKUP(D3107,DROPDOWN!B:C,2,0)</f>
        <v>10</v>
      </c>
      <c r="N3107" t="str">
        <f t="shared" si="157"/>
        <v>CO113:DG124</v>
      </c>
      <c r="O3107" s="4">
        <f t="shared" ca="1" si="155"/>
        <v>59033.310000000005</v>
      </c>
    </row>
    <row r="3108" spans="1:15">
      <c r="A3108" s="2" t="s">
        <v>14</v>
      </c>
      <c r="B3108" t="s">
        <v>31</v>
      </c>
      <c r="C3108" t="s">
        <v>32</v>
      </c>
      <c r="D3108">
        <v>30</v>
      </c>
      <c r="E3108" t="s">
        <v>46</v>
      </c>
      <c r="F3108">
        <v>4</v>
      </c>
      <c r="G3108">
        <v>2</v>
      </c>
      <c r="H3108">
        <v>2</v>
      </c>
      <c r="I3108">
        <v>1</v>
      </c>
      <c r="J3108" s="4" t="s">
        <v>54</v>
      </c>
      <c r="K3108" t="str">
        <f t="shared" si="156"/>
        <v>2+2</v>
      </c>
      <c r="L3108">
        <f>VLOOKUP(A3108,'ZONE 1 PREMIUM'!$A$4:$N$16,14,0)</f>
        <v>5</v>
      </c>
      <c r="M3108">
        <f>VLOOKUP(D3108,DROPDOWN!B:C,2,0)</f>
        <v>10</v>
      </c>
      <c r="N3108" t="str">
        <f t="shared" si="157"/>
        <v>CO113:DG124</v>
      </c>
      <c r="O3108" s="4">
        <f t="shared" ca="1" si="155"/>
        <v>66935.81</v>
      </c>
    </row>
    <row r="3109" spans="1:15">
      <c r="A3109" s="2" t="s">
        <v>15</v>
      </c>
      <c r="B3109" t="s">
        <v>33</v>
      </c>
      <c r="C3109" t="s">
        <v>34</v>
      </c>
      <c r="D3109">
        <v>30</v>
      </c>
      <c r="E3109" t="s">
        <v>46</v>
      </c>
      <c r="F3109">
        <v>4</v>
      </c>
      <c r="G3109">
        <v>2</v>
      </c>
      <c r="H3109">
        <v>2</v>
      </c>
      <c r="I3109">
        <v>1</v>
      </c>
      <c r="J3109" s="4" t="s">
        <v>54</v>
      </c>
      <c r="K3109" t="str">
        <f t="shared" si="156"/>
        <v>2+2</v>
      </c>
      <c r="L3109">
        <f>VLOOKUP(A3109,'ZONE 1 PREMIUM'!$A$4:$N$16,14,0)</f>
        <v>6</v>
      </c>
      <c r="M3109">
        <f>VLOOKUP(D3109,DROPDOWN!B:C,2,0)</f>
        <v>10</v>
      </c>
      <c r="N3109" t="str">
        <f t="shared" si="157"/>
        <v>CO113:DG124</v>
      </c>
      <c r="O3109" s="4">
        <f t="shared" ca="1" si="155"/>
        <v>83152.83</v>
      </c>
    </row>
    <row r="3110" spans="1:15">
      <c r="A3110" s="2" t="s">
        <v>16</v>
      </c>
      <c r="B3110" t="s">
        <v>35</v>
      </c>
      <c r="C3110" t="s">
        <v>36</v>
      </c>
      <c r="D3110">
        <v>30</v>
      </c>
      <c r="E3110" t="s">
        <v>46</v>
      </c>
      <c r="F3110">
        <v>4</v>
      </c>
      <c r="G3110">
        <v>2</v>
      </c>
      <c r="H3110">
        <v>2</v>
      </c>
      <c r="I3110">
        <v>1</v>
      </c>
      <c r="J3110" s="4" t="s">
        <v>54</v>
      </c>
      <c r="K3110" t="str">
        <f t="shared" si="156"/>
        <v>2+2</v>
      </c>
      <c r="L3110">
        <f>VLOOKUP(A3110,'ZONE 1 PREMIUM'!$A$4:$N$16,14,0)</f>
        <v>7</v>
      </c>
      <c r="M3110">
        <f>VLOOKUP(D3110,DROPDOWN!B:C,2,0)</f>
        <v>10</v>
      </c>
      <c r="N3110" t="str">
        <f t="shared" si="157"/>
        <v>CO113:DG124</v>
      </c>
      <c r="O3110" s="4">
        <f t="shared" ca="1" si="155"/>
        <v>108665.37000000001</v>
      </c>
    </row>
    <row r="3111" spans="1:15">
      <c r="A3111" s="2" t="s">
        <v>17</v>
      </c>
      <c r="B3111" t="s">
        <v>37</v>
      </c>
      <c r="C3111" t="s">
        <v>38</v>
      </c>
      <c r="D3111">
        <v>30</v>
      </c>
      <c r="E3111" t="s">
        <v>46</v>
      </c>
      <c r="F3111">
        <v>4</v>
      </c>
      <c r="G3111">
        <v>2</v>
      </c>
      <c r="H3111">
        <v>2</v>
      </c>
      <c r="I3111">
        <v>1</v>
      </c>
      <c r="J3111" s="4" t="s">
        <v>54</v>
      </c>
      <c r="K3111" t="str">
        <f t="shared" si="156"/>
        <v>2+2</v>
      </c>
      <c r="L3111">
        <f>VLOOKUP(A3111,'ZONE 1 PREMIUM'!$A$4:$N$16,14,0)</f>
        <v>8</v>
      </c>
      <c r="M3111">
        <f>VLOOKUP(D3111,DROPDOWN!B:C,2,0)</f>
        <v>10</v>
      </c>
      <c r="N3111" t="str">
        <f t="shared" si="157"/>
        <v>CO113:DG124</v>
      </c>
      <c r="O3111" s="4">
        <f t="shared" ca="1" si="155"/>
        <v>140107.51</v>
      </c>
    </row>
    <row r="3112" spans="1:15">
      <c r="A3112" s="2" t="s">
        <v>18</v>
      </c>
      <c r="B3112" t="s">
        <v>39</v>
      </c>
      <c r="C3112" t="s">
        <v>40</v>
      </c>
      <c r="D3112">
        <v>30</v>
      </c>
      <c r="E3112" t="s">
        <v>46</v>
      </c>
      <c r="F3112">
        <v>4</v>
      </c>
      <c r="G3112">
        <v>2</v>
      </c>
      <c r="H3112">
        <v>2</v>
      </c>
      <c r="I3112">
        <v>1</v>
      </c>
      <c r="J3112" s="4" t="s">
        <v>54</v>
      </c>
      <c r="K3112" t="str">
        <f t="shared" si="156"/>
        <v>2+2</v>
      </c>
      <c r="L3112">
        <f>VLOOKUP(A3112,'ZONE 1 PREMIUM'!$A$4:$N$16,14,0)</f>
        <v>9</v>
      </c>
      <c r="M3112">
        <f>VLOOKUP(D3112,DROPDOWN!B:C,2,0)</f>
        <v>10</v>
      </c>
      <c r="N3112" t="str">
        <f t="shared" si="157"/>
        <v>CO113:DG124</v>
      </c>
      <c r="O3112" s="4">
        <f t="shared" ca="1" si="155"/>
        <v>185116.88</v>
      </c>
    </row>
    <row r="3113" spans="1:15">
      <c r="A3113" s="2" t="s">
        <v>19</v>
      </c>
      <c r="B3113" t="s">
        <v>41</v>
      </c>
      <c r="C3113" t="s">
        <v>42</v>
      </c>
      <c r="D3113">
        <v>30</v>
      </c>
      <c r="E3113" t="s">
        <v>46</v>
      </c>
      <c r="F3113">
        <v>4</v>
      </c>
      <c r="G3113">
        <v>2</v>
      </c>
      <c r="H3113">
        <v>2</v>
      </c>
      <c r="I3113">
        <v>1</v>
      </c>
      <c r="J3113" s="4" t="s">
        <v>54</v>
      </c>
      <c r="K3113" t="str">
        <f t="shared" si="156"/>
        <v>2+2</v>
      </c>
      <c r="L3113">
        <f>VLOOKUP(A3113,'ZONE 1 PREMIUM'!$A$4:$N$16,14,0)</f>
        <v>10</v>
      </c>
      <c r="M3113">
        <f>VLOOKUP(D3113,DROPDOWN!B:C,2,0)</f>
        <v>10</v>
      </c>
      <c r="N3113" t="str">
        <f t="shared" si="157"/>
        <v>CO113:DG124</v>
      </c>
      <c r="O3113" s="4">
        <f t="shared" ca="1" si="155"/>
        <v>240917.25000000003</v>
      </c>
    </row>
    <row r="3114" spans="1:15">
      <c r="A3114" s="2" t="s">
        <v>20</v>
      </c>
      <c r="B3114" t="s">
        <v>43</v>
      </c>
      <c r="C3114" t="s">
        <v>44</v>
      </c>
      <c r="D3114">
        <v>30</v>
      </c>
      <c r="E3114" t="s">
        <v>46</v>
      </c>
      <c r="F3114">
        <v>4</v>
      </c>
      <c r="G3114">
        <v>2</v>
      </c>
      <c r="H3114">
        <v>2</v>
      </c>
      <c r="I3114">
        <v>1</v>
      </c>
      <c r="J3114" s="4" t="s">
        <v>54</v>
      </c>
      <c r="K3114" t="str">
        <f t="shared" si="156"/>
        <v>2+2</v>
      </c>
      <c r="L3114">
        <f>VLOOKUP(A3114,'ZONE 1 PREMIUM'!$A$4:$N$16,14,0)</f>
        <v>11</v>
      </c>
      <c r="M3114">
        <f>VLOOKUP(D3114,DROPDOWN!B:C,2,0)</f>
        <v>10</v>
      </c>
      <c r="N3114" t="str">
        <f t="shared" si="157"/>
        <v>CO113:DG124</v>
      </c>
      <c r="O3114" s="4">
        <f t="shared" ca="1" si="155"/>
        <v>295453.22000000003</v>
      </c>
    </row>
    <row r="3115" spans="1:15">
      <c r="A3115" s="2" t="s">
        <v>21</v>
      </c>
      <c r="B3115" t="s">
        <v>22</v>
      </c>
      <c r="D3115">
        <v>30</v>
      </c>
      <c r="E3115" t="s">
        <v>46</v>
      </c>
      <c r="F3115">
        <v>4</v>
      </c>
      <c r="G3115">
        <v>2</v>
      </c>
      <c r="H3115">
        <v>2</v>
      </c>
      <c r="I3115">
        <v>1</v>
      </c>
      <c r="J3115" s="4" t="s">
        <v>54</v>
      </c>
      <c r="K3115" t="str">
        <f t="shared" si="156"/>
        <v>2+2</v>
      </c>
      <c r="L3115">
        <f>VLOOKUP(A3115,'ZONE 1 PREMIUM'!$A$4:$N$16,14,0)</f>
        <v>12</v>
      </c>
      <c r="M3115">
        <f>VLOOKUP(D3115,DROPDOWN!B:C,2,0)</f>
        <v>10</v>
      </c>
      <c r="N3115" t="str">
        <f t="shared" si="157"/>
        <v>CO113:DG124</v>
      </c>
      <c r="O3115" s="4">
        <f t="shared" ca="1" si="155"/>
        <v>376068.53</v>
      </c>
    </row>
    <row r="3116" spans="1:15">
      <c r="A3116" s="2" t="s">
        <v>11</v>
      </c>
      <c r="B3116" t="s">
        <v>45</v>
      </c>
      <c r="C3116" t="s">
        <v>25</v>
      </c>
      <c r="D3116">
        <v>30</v>
      </c>
      <c r="E3116" t="s">
        <v>46</v>
      </c>
      <c r="F3116">
        <v>5</v>
      </c>
      <c r="G3116">
        <v>2</v>
      </c>
      <c r="H3116">
        <v>3</v>
      </c>
      <c r="I3116">
        <v>1</v>
      </c>
      <c r="J3116" s="4" t="s">
        <v>54</v>
      </c>
      <c r="K3116" t="str">
        <f t="shared" si="156"/>
        <v>2+3</v>
      </c>
      <c r="L3116">
        <f>VLOOKUP(A3116,'ZONE 1 PREMIUM'!$A$4:$N$16,14,0)</f>
        <v>2</v>
      </c>
      <c r="M3116">
        <f>VLOOKUP(D3116,DROPDOWN!B:C,2,0)</f>
        <v>10</v>
      </c>
      <c r="N3116" t="str">
        <f t="shared" si="157"/>
        <v>CO128:DG139</v>
      </c>
      <c r="O3116" s="4">
        <f t="shared" ca="1" si="155"/>
        <v>55135.47</v>
      </c>
    </row>
    <row r="3117" spans="1:15">
      <c r="A3117" s="2" t="s">
        <v>12</v>
      </c>
      <c r="B3117" t="s">
        <v>27</v>
      </c>
      <c r="C3117" t="s">
        <v>28</v>
      </c>
      <c r="D3117">
        <v>30</v>
      </c>
      <c r="E3117" t="s">
        <v>46</v>
      </c>
      <c r="F3117">
        <v>5</v>
      </c>
      <c r="G3117">
        <v>2</v>
      </c>
      <c r="H3117">
        <v>3</v>
      </c>
      <c r="I3117">
        <v>1</v>
      </c>
      <c r="J3117" s="4" t="s">
        <v>54</v>
      </c>
      <c r="K3117" t="str">
        <f t="shared" si="156"/>
        <v>2+3</v>
      </c>
      <c r="L3117">
        <f>VLOOKUP(A3117,'ZONE 1 PREMIUM'!$A$4:$N$16,14,0)</f>
        <v>3</v>
      </c>
      <c r="M3117">
        <f>VLOOKUP(D3117,DROPDOWN!B:C,2,0)</f>
        <v>10</v>
      </c>
      <c r="N3117" t="str">
        <f t="shared" si="157"/>
        <v>CO128:DG139</v>
      </c>
      <c r="O3117" s="4">
        <f t="shared" ca="1" si="155"/>
        <v>59284.01</v>
      </c>
    </row>
    <row r="3118" spans="1:15">
      <c r="A3118" s="2" t="s">
        <v>13</v>
      </c>
      <c r="B3118" t="s">
        <v>29</v>
      </c>
      <c r="C3118" t="s">
        <v>30</v>
      </c>
      <c r="D3118">
        <v>30</v>
      </c>
      <c r="E3118" t="s">
        <v>46</v>
      </c>
      <c r="F3118">
        <v>5</v>
      </c>
      <c r="G3118">
        <v>2</v>
      </c>
      <c r="H3118">
        <v>3</v>
      </c>
      <c r="I3118">
        <v>1</v>
      </c>
      <c r="J3118" s="4" t="s">
        <v>54</v>
      </c>
      <c r="K3118" t="str">
        <f t="shared" si="156"/>
        <v>2+3</v>
      </c>
      <c r="L3118">
        <f>VLOOKUP(A3118,'ZONE 1 PREMIUM'!$A$4:$N$16,14,0)</f>
        <v>4</v>
      </c>
      <c r="M3118">
        <f>VLOOKUP(D3118,DROPDOWN!B:C,2,0)</f>
        <v>10</v>
      </c>
      <c r="N3118" t="str">
        <f t="shared" si="157"/>
        <v>CO128:DG139</v>
      </c>
      <c r="O3118" s="4">
        <f t="shared" ca="1" si="155"/>
        <v>67135.28</v>
      </c>
    </row>
    <row r="3119" spans="1:15">
      <c r="A3119" s="2" t="s">
        <v>14</v>
      </c>
      <c r="B3119" t="s">
        <v>31</v>
      </c>
      <c r="C3119" t="s">
        <v>32</v>
      </c>
      <c r="D3119">
        <v>30</v>
      </c>
      <c r="E3119" t="s">
        <v>46</v>
      </c>
      <c r="F3119">
        <v>5</v>
      </c>
      <c r="G3119">
        <v>2</v>
      </c>
      <c r="H3119">
        <v>3</v>
      </c>
      <c r="I3119">
        <v>1</v>
      </c>
      <c r="J3119" s="4" t="s">
        <v>54</v>
      </c>
      <c r="K3119" t="str">
        <f t="shared" si="156"/>
        <v>2+3</v>
      </c>
      <c r="L3119">
        <f>VLOOKUP(A3119,'ZONE 1 PREMIUM'!$A$4:$N$16,14,0)</f>
        <v>5</v>
      </c>
      <c r="M3119">
        <f>VLOOKUP(D3119,DROPDOWN!B:C,2,0)</f>
        <v>10</v>
      </c>
      <c r="N3119" t="str">
        <f t="shared" si="157"/>
        <v>CO128:DG139</v>
      </c>
      <c r="O3119" s="4">
        <f t="shared" ca="1" si="155"/>
        <v>75605.670000000013</v>
      </c>
    </row>
    <row r="3120" spans="1:15">
      <c r="A3120" s="2" t="s">
        <v>15</v>
      </c>
      <c r="B3120" t="s">
        <v>33</v>
      </c>
      <c r="C3120" t="s">
        <v>34</v>
      </c>
      <c r="D3120">
        <v>30</v>
      </c>
      <c r="E3120" t="s">
        <v>46</v>
      </c>
      <c r="F3120">
        <v>5</v>
      </c>
      <c r="G3120">
        <v>2</v>
      </c>
      <c r="H3120">
        <v>3</v>
      </c>
      <c r="I3120">
        <v>1</v>
      </c>
      <c r="J3120" s="4" t="s">
        <v>54</v>
      </c>
      <c r="K3120" t="str">
        <f t="shared" si="156"/>
        <v>2+3</v>
      </c>
      <c r="L3120">
        <f>VLOOKUP(A3120,'ZONE 1 PREMIUM'!$A$4:$N$16,14,0)</f>
        <v>6</v>
      </c>
      <c r="M3120">
        <f>VLOOKUP(D3120,DROPDOWN!B:C,2,0)</f>
        <v>10</v>
      </c>
      <c r="N3120" t="str">
        <f t="shared" si="157"/>
        <v>CO128:DG139</v>
      </c>
      <c r="O3120" s="4">
        <f t="shared" ca="1" si="155"/>
        <v>92920.320000000007</v>
      </c>
    </row>
    <row r="3121" spans="1:15">
      <c r="A3121" s="2" t="s">
        <v>16</v>
      </c>
      <c r="B3121" t="s">
        <v>35</v>
      </c>
      <c r="C3121" t="s">
        <v>36</v>
      </c>
      <c r="D3121">
        <v>30</v>
      </c>
      <c r="E3121" t="s">
        <v>46</v>
      </c>
      <c r="F3121">
        <v>5</v>
      </c>
      <c r="G3121">
        <v>2</v>
      </c>
      <c r="H3121">
        <v>3</v>
      </c>
      <c r="I3121">
        <v>1</v>
      </c>
      <c r="J3121" s="4" t="s">
        <v>54</v>
      </c>
      <c r="K3121" t="str">
        <f t="shared" si="156"/>
        <v>2+3</v>
      </c>
      <c r="L3121">
        <f>VLOOKUP(A3121,'ZONE 1 PREMIUM'!$A$4:$N$16,14,0)</f>
        <v>7</v>
      </c>
      <c r="M3121">
        <f>VLOOKUP(D3121,DROPDOWN!B:C,2,0)</f>
        <v>10</v>
      </c>
      <c r="N3121" t="str">
        <f t="shared" si="157"/>
        <v>CO128:DG139</v>
      </c>
      <c r="O3121" s="4">
        <f t="shared" ca="1" si="155"/>
        <v>118642.14000000001</v>
      </c>
    </row>
    <row r="3122" spans="1:15">
      <c r="A3122" s="2" t="s">
        <v>17</v>
      </c>
      <c r="B3122" t="s">
        <v>37</v>
      </c>
      <c r="C3122" t="s">
        <v>38</v>
      </c>
      <c r="D3122">
        <v>30</v>
      </c>
      <c r="E3122" t="s">
        <v>46</v>
      </c>
      <c r="F3122">
        <v>5</v>
      </c>
      <c r="G3122">
        <v>2</v>
      </c>
      <c r="H3122">
        <v>3</v>
      </c>
      <c r="I3122">
        <v>1</v>
      </c>
      <c r="J3122" s="4" t="s">
        <v>54</v>
      </c>
      <c r="K3122" t="str">
        <f t="shared" si="156"/>
        <v>2+3</v>
      </c>
      <c r="L3122">
        <f>VLOOKUP(A3122,'ZONE 1 PREMIUM'!$A$4:$N$16,14,0)</f>
        <v>8</v>
      </c>
      <c r="M3122">
        <f>VLOOKUP(D3122,DROPDOWN!B:C,2,0)</f>
        <v>10</v>
      </c>
      <c r="N3122" t="str">
        <f t="shared" si="157"/>
        <v>CO128:DG139</v>
      </c>
      <c r="O3122" s="4">
        <f t="shared" ca="1" si="155"/>
        <v>149267.87000000002</v>
      </c>
    </row>
    <row r="3123" spans="1:15">
      <c r="A3123" s="2" t="s">
        <v>18</v>
      </c>
      <c r="B3123" t="s">
        <v>39</v>
      </c>
      <c r="C3123" t="s">
        <v>40</v>
      </c>
      <c r="D3123">
        <v>30</v>
      </c>
      <c r="E3123" t="s">
        <v>46</v>
      </c>
      <c r="F3123">
        <v>5</v>
      </c>
      <c r="G3123">
        <v>2</v>
      </c>
      <c r="H3123">
        <v>3</v>
      </c>
      <c r="I3123">
        <v>1</v>
      </c>
      <c r="J3123" s="4" t="s">
        <v>54</v>
      </c>
      <c r="K3123" t="str">
        <f t="shared" si="156"/>
        <v>2+3</v>
      </c>
      <c r="L3123">
        <f>VLOOKUP(A3123,'ZONE 1 PREMIUM'!$A$4:$N$16,14,0)</f>
        <v>9</v>
      </c>
      <c r="M3123">
        <f>VLOOKUP(D3123,DROPDOWN!B:C,2,0)</f>
        <v>10</v>
      </c>
      <c r="N3123" t="str">
        <f t="shared" si="157"/>
        <v>CO128:DG139</v>
      </c>
      <c r="O3123" s="4">
        <f t="shared" ca="1" si="155"/>
        <v>194223.83000000002</v>
      </c>
    </row>
    <row r="3124" spans="1:15">
      <c r="A3124" s="2" t="s">
        <v>19</v>
      </c>
      <c r="B3124" t="s">
        <v>41</v>
      </c>
      <c r="C3124" t="s">
        <v>42</v>
      </c>
      <c r="D3124">
        <v>30</v>
      </c>
      <c r="E3124" t="s">
        <v>46</v>
      </c>
      <c r="F3124">
        <v>5</v>
      </c>
      <c r="G3124">
        <v>2</v>
      </c>
      <c r="H3124">
        <v>3</v>
      </c>
      <c r="I3124">
        <v>1</v>
      </c>
      <c r="J3124" s="4" t="s">
        <v>54</v>
      </c>
      <c r="K3124" t="str">
        <f t="shared" si="156"/>
        <v>2+3</v>
      </c>
      <c r="L3124">
        <f>VLOOKUP(A3124,'ZONE 1 PREMIUM'!$A$4:$N$16,14,0)</f>
        <v>10</v>
      </c>
      <c r="M3124">
        <f>VLOOKUP(D3124,DROPDOWN!B:C,2,0)</f>
        <v>10</v>
      </c>
      <c r="N3124" t="str">
        <f t="shared" si="157"/>
        <v>CO128:DG139</v>
      </c>
      <c r="O3124" s="4">
        <f t="shared" ca="1" si="155"/>
        <v>249572.94000000003</v>
      </c>
    </row>
    <row r="3125" spans="1:15">
      <c r="A3125" s="2" t="s">
        <v>20</v>
      </c>
      <c r="B3125" t="s">
        <v>43</v>
      </c>
      <c r="C3125" t="s">
        <v>44</v>
      </c>
      <c r="D3125">
        <v>30</v>
      </c>
      <c r="E3125" t="s">
        <v>46</v>
      </c>
      <c r="F3125">
        <v>5</v>
      </c>
      <c r="G3125">
        <v>2</v>
      </c>
      <c r="H3125">
        <v>3</v>
      </c>
      <c r="I3125">
        <v>1</v>
      </c>
      <c r="J3125" s="4" t="s">
        <v>54</v>
      </c>
      <c r="K3125" t="str">
        <f t="shared" si="156"/>
        <v>2+3</v>
      </c>
      <c r="L3125">
        <f>VLOOKUP(A3125,'ZONE 1 PREMIUM'!$A$4:$N$16,14,0)</f>
        <v>11</v>
      </c>
      <c r="M3125">
        <f>VLOOKUP(D3125,DROPDOWN!B:C,2,0)</f>
        <v>10</v>
      </c>
      <c r="N3125" t="str">
        <f t="shared" si="157"/>
        <v>CO128:DG139</v>
      </c>
      <c r="O3125" s="4">
        <f t="shared" ca="1" si="155"/>
        <v>305051.76</v>
      </c>
    </row>
    <row r="3126" spans="1:15">
      <c r="A3126" s="2" t="s">
        <v>21</v>
      </c>
      <c r="B3126" t="s">
        <v>22</v>
      </c>
      <c r="D3126">
        <v>30</v>
      </c>
      <c r="E3126" t="s">
        <v>46</v>
      </c>
      <c r="F3126">
        <v>5</v>
      </c>
      <c r="G3126">
        <v>2</v>
      </c>
      <c r="H3126">
        <v>3</v>
      </c>
      <c r="I3126">
        <v>1</v>
      </c>
      <c r="J3126" s="4" t="s">
        <v>54</v>
      </c>
      <c r="K3126" t="str">
        <f t="shared" si="156"/>
        <v>2+3</v>
      </c>
      <c r="L3126">
        <f>VLOOKUP(A3126,'ZONE 1 PREMIUM'!$A$4:$N$16,14,0)</f>
        <v>12</v>
      </c>
      <c r="M3126">
        <f>VLOOKUP(D3126,DROPDOWN!B:C,2,0)</f>
        <v>10</v>
      </c>
      <c r="N3126" t="str">
        <f t="shared" si="157"/>
        <v>CO128:DG139</v>
      </c>
      <c r="O3126" s="4">
        <f t="shared" ca="1" si="155"/>
        <v>386255.67000000004</v>
      </c>
    </row>
    <row r="3127" spans="1:15">
      <c r="A3127" s="2" t="s">
        <v>11</v>
      </c>
      <c r="B3127" t="s">
        <v>45</v>
      </c>
      <c r="C3127" t="s">
        <v>25</v>
      </c>
      <c r="D3127">
        <v>30</v>
      </c>
      <c r="E3127" t="s">
        <v>46</v>
      </c>
      <c r="F3127">
        <v>6</v>
      </c>
      <c r="G3127">
        <v>2</v>
      </c>
      <c r="H3127">
        <v>4</v>
      </c>
      <c r="I3127">
        <v>1</v>
      </c>
      <c r="J3127" s="4" t="s">
        <v>54</v>
      </c>
      <c r="K3127" t="str">
        <f t="shared" si="156"/>
        <v>2+4</v>
      </c>
      <c r="L3127">
        <f>VLOOKUP(A3127,'ZONE 1 PREMIUM'!$A$4:$N$16,14,0)</f>
        <v>2</v>
      </c>
      <c r="M3127">
        <f>VLOOKUP(D3127,DROPDOWN!B:C,2,0)</f>
        <v>10</v>
      </c>
      <c r="N3127" t="str">
        <f t="shared" si="157"/>
        <v>CO143:DG154</v>
      </c>
      <c r="O3127" s="4">
        <f t="shared" ca="1" si="155"/>
        <v>62193.22</v>
      </c>
    </row>
    <row r="3128" spans="1:15">
      <c r="A3128" s="2" t="s">
        <v>12</v>
      </c>
      <c r="B3128" t="s">
        <v>27</v>
      </c>
      <c r="C3128" t="s">
        <v>28</v>
      </c>
      <c r="D3128">
        <v>30</v>
      </c>
      <c r="E3128" t="s">
        <v>46</v>
      </c>
      <c r="F3128">
        <v>6</v>
      </c>
      <c r="G3128">
        <v>2</v>
      </c>
      <c r="H3128">
        <v>4</v>
      </c>
      <c r="I3128">
        <v>1</v>
      </c>
      <c r="J3128" s="4" t="s">
        <v>54</v>
      </c>
      <c r="K3128" t="str">
        <f t="shared" si="156"/>
        <v>2+4</v>
      </c>
      <c r="L3128">
        <f>VLOOKUP(A3128,'ZONE 1 PREMIUM'!$A$4:$N$16,14,0)</f>
        <v>3</v>
      </c>
      <c r="M3128">
        <f>VLOOKUP(D3128,DROPDOWN!B:C,2,0)</f>
        <v>10</v>
      </c>
      <c r="N3128" t="str">
        <f t="shared" si="157"/>
        <v>CO143:DG154</v>
      </c>
      <c r="O3128" s="4">
        <f t="shared" ca="1" si="155"/>
        <v>66216.41</v>
      </c>
    </row>
    <row r="3129" spans="1:15">
      <c r="A3129" s="2" t="s">
        <v>13</v>
      </c>
      <c r="B3129" t="s">
        <v>29</v>
      </c>
      <c r="C3129" t="s">
        <v>30</v>
      </c>
      <c r="D3129">
        <v>30</v>
      </c>
      <c r="E3129" t="s">
        <v>46</v>
      </c>
      <c r="F3129">
        <v>6</v>
      </c>
      <c r="G3129">
        <v>2</v>
      </c>
      <c r="H3129">
        <v>4</v>
      </c>
      <c r="I3129">
        <v>1</v>
      </c>
      <c r="J3129" s="4" t="s">
        <v>54</v>
      </c>
      <c r="K3129" t="str">
        <f t="shared" si="156"/>
        <v>2+4</v>
      </c>
      <c r="L3129">
        <f>VLOOKUP(A3129,'ZONE 1 PREMIUM'!$A$4:$N$16,14,0)</f>
        <v>4</v>
      </c>
      <c r="M3129">
        <f>VLOOKUP(D3129,DROPDOWN!B:C,2,0)</f>
        <v>10</v>
      </c>
      <c r="N3129" t="str">
        <f t="shared" si="157"/>
        <v>CO143:DG154</v>
      </c>
      <c r="O3129" s="4">
        <f t="shared" ca="1" si="155"/>
        <v>75236.160000000003</v>
      </c>
    </row>
    <row r="3130" spans="1:15">
      <c r="A3130" s="2" t="s">
        <v>14</v>
      </c>
      <c r="B3130" t="s">
        <v>31</v>
      </c>
      <c r="C3130" t="s">
        <v>32</v>
      </c>
      <c r="D3130">
        <v>30</v>
      </c>
      <c r="E3130" t="s">
        <v>46</v>
      </c>
      <c r="F3130">
        <v>6</v>
      </c>
      <c r="G3130">
        <v>2</v>
      </c>
      <c r="H3130">
        <v>4</v>
      </c>
      <c r="I3130">
        <v>1</v>
      </c>
      <c r="J3130" s="4" t="s">
        <v>54</v>
      </c>
      <c r="K3130" t="str">
        <f t="shared" si="156"/>
        <v>2+4</v>
      </c>
      <c r="L3130">
        <f>VLOOKUP(A3130,'ZONE 1 PREMIUM'!$A$4:$N$16,14,0)</f>
        <v>5</v>
      </c>
      <c r="M3130">
        <f>VLOOKUP(D3130,DROPDOWN!B:C,2,0)</f>
        <v>10</v>
      </c>
      <c r="N3130" t="str">
        <f t="shared" si="157"/>
        <v>CO143:DG154</v>
      </c>
      <c r="O3130" s="4">
        <f t="shared" ca="1" si="155"/>
        <v>84275.530000000013</v>
      </c>
    </row>
    <row r="3131" spans="1:15">
      <c r="A3131" s="2" t="s">
        <v>15</v>
      </c>
      <c r="B3131" t="s">
        <v>33</v>
      </c>
      <c r="C3131" t="s">
        <v>34</v>
      </c>
      <c r="D3131">
        <v>30</v>
      </c>
      <c r="E3131" t="s">
        <v>46</v>
      </c>
      <c r="F3131">
        <v>6</v>
      </c>
      <c r="G3131">
        <v>2</v>
      </c>
      <c r="H3131">
        <v>4</v>
      </c>
      <c r="I3131">
        <v>1</v>
      </c>
      <c r="J3131" s="4" t="s">
        <v>54</v>
      </c>
      <c r="K3131" t="str">
        <f t="shared" si="156"/>
        <v>2+4</v>
      </c>
      <c r="L3131">
        <f>VLOOKUP(A3131,'ZONE 1 PREMIUM'!$A$4:$N$16,14,0)</f>
        <v>6</v>
      </c>
      <c r="M3131">
        <f>VLOOKUP(D3131,DROPDOWN!B:C,2,0)</f>
        <v>10</v>
      </c>
      <c r="N3131" t="str">
        <f t="shared" si="157"/>
        <v>CO143:DG154</v>
      </c>
      <c r="O3131" s="4">
        <f t="shared" ca="1" si="155"/>
        <v>102686.72</v>
      </c>
    </row>
    <row r="3132" spans="1:15">
      <c r="A3132" s="2" t="s">
        <v>16</v>
      </c>
      <c r="B3132" t="s">
        <v>35</v>
      </c>
      <c r="C3132" t="s">
        <v>36</v>
      </c>
      <c r="D3132">
        <v>30</v>
      </c>
      <c r="E3132" t="s">
        <v>46</v>
      </c>
      <c r="F3132">
        <v>6</v>
      </c>
      <c r="G3132">
        <v>2</v>
      </c>
      <c r="H3132">
        <v>4</v>
      </c>
      <c r="I3132">
        <v>1</v>
      </c>
      <c r="J3132" s="4" t="s">
        <v>54</v>
      </c>
      <c r="K3132" t="str">
        <f t="shared" si="156"/>
        <v>2+4</v>
      </c>
      <c r="L3132">
        <f>VLOOKUP(A3132,'ZONE 1 PREMIUM'!$A$4:$N$16,14,0)</f>
        <v>7</v>
      </c>
      <c r="M3132">
        <f>VLOOKUP(D3132,DROPDOWN!B:C,2,0)</f>
        <v>10</v>
      </c>
      <c r="N3132" t="str">
        <f t="shared" si="157"/>
        <v>CO143:DG154</v>
      </c>
      <c r="O3132" s="4">
        <f t="shared" ca="1" si="155"/>
        <v>127648.81000000001</v>
      </c>
    </row>
    <row r="3133" spans="1:15">
      <c r="A3133" s="2" t="s">
        <v>17</v>
      </c>
      <c r="B3133" t="s">
        <v>37</v>
      </c>
      <c r="C3133" t="s">
        <v>38</v>
      </c>
      <c r="D3133">
        <v>30</v>
      </c>
      <c r="E3133" t="s">
        <v>46</v>
      </c>
      <c r="F3133">
        <v>6</v>
      </c>
      <c r="G3133">
        <v>2</v>
      </c>
      <c r="H3133">
        <v>4</v>
      </c>
      <c r="I3133">
        <v>1</v>
      </c>
      <c r="J3133" s="4" t="s">
        <v>54</v>
      </c>
      <c r="K3133" t="str">
        <f t="shared" si="156"/>
        <v>2+4</v>
      </c>
      <c r="L3133">
        <f>VLOOKUP(A3133,'ZONE 1 PREMIUM'!$A$4:$N$16,14,0)</f>
        <v>8</v>
      </c>
      <c r="M3133">
        <f>VLOOKUP(D3133,DROPDOWN!B:C,2,0)</f>
        <v>10</v>
      </c>
      <c r="N3133" t="str">
        <f t="shared" si="157"/>
        <v>CO143:DG154</v>
      </c>
      <c r="O3133" s="4">
        <f t="shared" ca="1" si="155"/>
        <v>158288.71000000002</v>
      </c>
    </row>
    <row r="3134" spans="1:15">
      <c r="A3134" s="2" t="s">
        <v>18</v>
      </c>
      <c r="B3134" t="s">
        <v>39</v>
      </c>
      <c r="C3134" t="s">
        <v>40</v>
      </c>
      <c r="D3134">
        <v>30</v>
      </c>
      <c r="E3134" t="s">
        <v>46</v>
      </c>
      <c r="F3134">
        <v>6</v>
      </c>
      <c r="G3134">
        <v>2</v>
      </c>
      <c r="H3134">
        <v>4</v>
      </c>
      <c r="I3134">
        <v>1</v>
      </c>
      <c r="J3134" s="4" t="s">
        <v>54</v>
      </c>
      <c r="K3134" t="str">
        <f t="shared" si="156"/>
        <v>2+4</v>
      </c>
      <c r="L3134">
        <f>VLOOKUP(A3134,'ZONE 1 PREMIUM'!$A$4:$N$16,14,0)</f>
        <v>9</v>
      </c>
      <c r="M3134">
        <f>VLOOKUP(D3134,DROPDOWN!B:C,2,0)</f>
        <v>10</v>
      </c>
      <c r="N3134" t="str">
        <f t="shared" si="157"/>
        <v>CO143:DG154</v>
      </c>
      <c r="O3134" s="4">
        <f t="shared" ca="1" si="155"/>
        <v>202917.67</v>
      </c>
    </row>
    <row r="3135" spans="1:15">
      <c r="A3135" s="2" t="s">
        <v>19</v>
      </c>
      <c r="B3135" t="s">
        <v>41</v>
      </c>
      <c r="C3135" t="s">
        <v>42</v>
      </c>
      <c r="D3135">
        <v>30</v>
      </c>
      <c r="E3135" t="s">
        <v>46</v>
      </c>
      <c r="F3135">
        <v>6</v>
      </c>
      <c r="G3135">
        <v>2</v>
      </c>
      <c r="H3135">
        <v>4</v>
      </c>
      <c r="I3135">
        <v>1</v>
      </c>
      <c r="J3135" s="4" t="s">
        <v>54</v>
      </c>
      <c r="K3135" t="str">
        <f t="shared" si="156"/>
        <v>2+4</v>
      </c>
      <c r="L3135">
        <f>VLOOKUP(A3135,'ZONE 1 PREMIUM'!$A$4:$N$16,14,0)</f>
        <v>10</v>
      </c>
      <c r="M3135">
        <f>VLOOKUP(D3135,DROPDOWN!B:C,2,0)</f>
        <v>10</v>
      </c>
      <c r="N3135" t="str">
        <f t="shared" si="157"/>
        <v>CO143:DG154</v>
      </c>
      <c r="O3135" s="4">
        <f t="shared" ca="1" si="155"/>
        <v>259155.13</v>
      </c>
    </row>
    <row r="3136" spans="1:15">
      <c r="A3136" s="2" t="s">
        <v>20</v>
      </c>
      <c r="B3136" t="s">
        <v>43</v>
      </c>
      <c r="C3136" t="s">
        <v>44</v>
      </c>
      <c r="D3136">
        <v>30</v>
      </c>
      <c r="E3136" t="s">
        <v>46</v>
      </c>
      <c r="F3136">
        <v>6</v>
      </c>
      <c r="G3136">
        <v>2</v>
      </c>
      <c r="H3136">
        <v>4</v>
      </c>
      <c r="I3136">
        <v>1</v>
      </c>
      <c r="J3136" s="4" t="s">
        <v>54</v>
      </c>
      <c r="K3136" t="str">
        <f t="shared" si="156"/>
        <v>2+4</v>
      </c>
      <c r="L3136">
        <f>VLOOKUP(A3136,'ZONE 1 PREMIUM'!$A$4:$N$16,14,0)</f>
        <v>11</v>
      </c>
      <c r="M3136">
        <f>VLOOKUP(D3136,DROPDOWN!B:C,2,0)</f>
        <v>10</v>
      </c>
      <c r="N3136" t="str">
        <f t="shared" si="157"/>
        <v>CO143:DG154</v>
      </c>
      <c r="O3136" s="4">
        <f t="shared" ca="1" si="155"/>
        <v>313943.98000000004</v>
      </c>
    </row>
    <row r="3137" spans="1:15">
      <c r="A3137" s="2" t="s">
        <v>21</v>
      </c>
      <c r="B3137" t="s">
        <v>22</v>
      </c>
      <c r="D3137">
        <v>30</v>
      </c>
      <c r="E3137" t="s">
        <v>46</v>
      </c>
      <c r="F3137">
        <v>6</v>
      </c>
      <c r="G3137">
        <v>2</v>
      </c>
      <c r="H3137">
        <v>4</v>
      </c>
      <c r="I3137">
        <v>1</v>
      </c>
      <c r="J3137" s="4" t="s">
        <v>54</v>
      </c>
      <c r="K3137" t="str">
        <f t="shared" si="156"/>
        <v>2+4</v>
      </c>
      <c r="L3137">
        <f>VLOOKUP(A3137,'ZONE 1 PREMIUM'!$A$4:$N$16,14,0)</f>
        <v>12</v>
      </c>
      <c r="M3137">
        <f>VLOOKUP(D3137,DROPDOWN!B:C,2,0)</f>
        <v>10</v>
      </c>
      <c r="N3137" t="str">
        <f t="shared" si="157"/>
        <v>CO143:DG154</v>
      </c>
      <c r="O3137" s="4">
        <f t="shared" ca="1" si="155"/>
        <v>393641.51</v>
      </c>
    </row>
    <row r="3138" spans="1:15">
      <c r="A3138" s="2" t="s">
        <v>9</v>
      </c>
      <c r="B3138" t="s">
        <v>47</v>
      </c>
      <c r="C3138" t="s">
        <v>48</v>
      </c>
      <c r="D3138">
        <v>40</v>
      </c>
      <c r="E3138" t="s">
        <v>26</v>
      </c>
      <c r="F3138">
        <v>1</v>
      </c>
      <c r="H3138">
        <v>1</v>
      </c>
      <c r="I3138">
        <v>1</v>
      </c>
      <c r="J3138" s="4" t="s">
        <v>52</v>
      </c>
      <c r="K3138" t="str">
        <f t="shared" si="156"/>
        <v>+1</v>
      </c>
      <c r="L3138">
        <f>VLOOKUP(A3138,'ZONE 1 PREMIUM'!$A$3:$M$16,13,0)</f>
        <v>2</v>
      </c>
      <c r="M3138">
        <f>VLOOKUP(D3138,DROPDOWN!B:C,2,0)</f>
        <v>11</v>
      </c>
      <c r="N3138" t="e">
        <f t="shared" ref="N3138:N3201" si="158">VLOOKUP(K3138,$AQ$3:$AR$12,2,0)</f>
        <v>#N/A</v>
      </c>
      <c r="O3138" s="13">
        <v>7275.6767839003614</v>
      </c>
    </row>
    <row r="3139" spans="1:15">
      <c r="A3139" s="2" t="s">
        <v>10</v>
      </c>
      <c r="B3139" t="s">
        <v>49</v>
      </c>
      <c r="C3139" t="s">
        <v>50</v>
      </c>
      <c r="D3139">
        <v>40</v>
      </c>
      <c r="E3139" t="s">
        <v>26</v>
      </c>
      <c r="F3139">
        <v>1</v>
      </c>
      <c r="G3139">
        <v>1</v>
      </c>
      <c r="H3139">
        <v>0</v>
      </c>
      <c r="I3139">
        <v>1</v>
      </c>
      <c r="J3139" s="4" t="s">
        <v>52</v>
      </c>
      <c r="K3139" t="str">
        <f t="shared" si="156"/>
        <v>1+0</v>
      </c>
      <c r="L3139">
        <f>VLOOKUP(A3139,'ZONE 1 PREMIUM'!$A$3:$M$16,13,0)</f>
        <v>3</v>
      </c>
      <c r="M3139">
        <f>VLOOKUP(D3139,DROPDOWN!B:C,2,0)</f>
        <v>11</v>
      </c>
      <c r="N3139" t="str">
        <f t="shared" si="158"/>
        <v>X3:AP16</v>
      </c>
      <c r="O3139" s="4">
        <f t="shared" ref="O3139:O3201" ca="1" si="159">INDEX(INDIRECT(N3139),L3139,M3139)</f>
        <v>12886.9</v>
      </c>
    </row>
    <row r="3140" spans="1:15">
      <c r="A3140" s="2" t="s">
        <v>11</v>
      </c>
      <c r="B3140" t="s">
        <v>45</v>
      </c>
      <c r="C3140" t="s">
        <v>25</v>
      </c>
      <c r="D3140">
        <v>40</v>
      </c>
      <c r="E3140" t="s">
        <v>26</v>
      </c>
      <c r="F3140">
        <v>1</v>
      </c>
      <c r="G3140">
        <v>1</v>
      </c>
      <c r="H3140">
        <v>0</v>
      </c>
      <c r="I3140">
        <v>1</v>
      </c>
      <c r="J3140" s="4" t="s">
        <v>52</v>
      </c>
      <c r="K3140" t="str">
        <f t="shared" ref="K3140:K3203" si="160">G3140&amp;"+"&amp;H3140</f>
        <v>1+0</v>
      </c>
      <c r="L3140">
        <f>VLOOKUP(A3140,'ZONE 1 PREMIUM'!$A$3:$M$16,13,0)</f>
        <v>4</v>
      </c>
      <c r="M3140">
        <f>VLOOKUP(D3140,DROPDOWN!B:C,2,0)</f>
        <v>11</v>
      </c>
      <c r="N3140" t="str">
        <f t="shared" si="158"/>
        <v>X3:AP16</v>
      </c>
      <c r="O3140" s="4">
        <f t="shared" ca="1" si="159"/>
        <v>35452.199999999997</v>
      </c>
    </row>
    <row r="3141" spans="1:15">
      <c r="A3141" s="2" t="s">
        <v>12</v>
      </c>
      <c r="B3141" t="s">
        <v>27</v>
      </c>
      <c r="C3141" t="s">
        <v>28</v>
      </c>
      <c r="D3141">
        <v>40</v>
      </c>
      <c r="E3141" t="s">
        <v>26</v>
      </c>
      <c r="F3141">
        <v>1</v>
      </c>
      <c r="G3141">
        <v>1</v>
      </c>
      <c r="H3141">
        <v>0</v>
      </c>
      <c r="I3141">
        <v>1</v>
      </c>
      <c r="J3141" s="4" t="s">
        <v>52</v>
      </c>
      <c r="K3141" t="str">
        <f t="shared" si="160"/>
        <v>1+0</v>
      </c>
      <c r="L3141">
        <f>VLOOKUP(A3141,'ZONE 1 PREMIUM'!$A$3:$M$16,13,0)</f>
        <v>5</v>
      </c>
      <c r="M3141">
        <f>VLOOKUP(D3141,DROPDOWN!B:C,2,0)</f>
        <v>11</v>
      </c>
      <c r="N3141" t="str">
        <f t="shared" si="158"/>
        <v>X3:AP16</v>
      </c>
      <c r="O3141" s="4">
        <f t="shared" ca="1" si="159"/>
        <v>40468.5</v>
      </c>
    </row>
    <row r="3142" spans="1:15">
      <c r="A3142" s="2" t="s">
        <v>13</v>
      </c>
      <c r="B3142" t="s">
        <v>29</v>
      </c>
      <c r="C3142" t="s">
        <v>30</v>
      </c>
      <c r="D3142">
        <v>40</v>
      </c>
      <c r="E3142" t="s">
        <v>26</v>
      </c>
      <c r="F3142">
        <v>1</v>
      </c>
      <c r="G3142">
        <v>1</v>
      </c>
      <c r="H3142">
        <v>0</v>
      </c>
      <c r="I3142">
        <v>1</v>
      </c>
      <c r="J3142" s="4" t="s">
        <v>52</v>
      </c>
      <c r="K3142" t="str">
        <f t="shared" si="160"/>
        <v>1+0</v>
      </c>
      <c r="L3142">
        <f>VLOOKUP(A3142,'ZONE 1 PREMIUM'!$A$3:$M$16,13,0)</f>
        <v>6</v>
      </c>
      <c r="M3142">
        <f>VLOOKUP(D3142,DROPDOWN!B:C,2,0)</f>
        <v>11</v>
      </c>
      <c r="N3142" t="str">
        <f t="shared" si="158"/>
        <v>X3:AP16</v>
      </c>
      <c r="O3142" s="4">
        <f t="shared" ca="1" si="159"/>
        <v>46916.549999999996</v>
      </c>
    </row>
    <row r="3143" spans="1:15">
      <c r="A3143" s="2" t="s">
        <v>14</v>
      </c>
      <c r="B3143" t="s">
        <v>31</v>
      </c>
      <c r="C3143" t="s">
        <v>32</v>
      </c>
      <c r="D3143">
        <v>40</v>
      </c>
      <c r="E3143" t="s">
        <v>26</v>
      </c>
      <c r="F3143">
        <v>1</v>
      </c>
      <c r="G3143">
        <v>1</v>
      </c>
      <c r="H3143">
        <v>0</v>
      </c>
      <c r="I3143">
        <v>1</v>
      </c>
      <c r="J3143" s="4" t="s">
        <v>52</v>
      </c>
      <c r="K3143" t="str">
        <f t="shared" si="160"/>
        <v>1+0</v>
      </c>
      <c r="L3143">
        <f>VLOOKUP(A3143,'ZONE 1 PREMIUM'!$A$3:$M$16,13,0)</f>
        <v>7</v>
      </c>
      <c r="M3143">
        <f>VLOOKUP(D3143,DROPDOWN!B:C,2,0)</f>
        <v>11</v>
      </c>
      <c r="N3143" t="str">
        <f t="shared" si="158"/>
        <v>X3:AP16</v>
      </c>
      <c r="O3143" s="4">
        <f t="shared" ca="1" si="159"/>
        <v>54534.149999999994</v>
      </c>
    </row>
    <row r="3144" spans="1:15">
      <c r="A3144" s="2" t="s">
        <v>15</v>
      </c>
      <c r="B3144" t="s">
        <v>33</v>
      </c>
      <c r="C3144" t="s">
        <v>34</v>
      </c>
      <c r="D3144">
        <v>40</v>
      </c>
      <c r="E3144" t="s">
        <v>26</v>
      </c>
      <c r="F3144">
        <v>1</v>
      </c>
      <c r="G3144">
        <v>1</v>
      </c>
      <c r="H3144">
        <v>0</v>
      </c>
      <c r="I3144">
        <v>1</v>
      </c>
      <c r="J3144" s="4" t="s">
        <v>52</v>
      </c>
      <c r="K3144" t="str">
        <f t="shared" si="160"/>
        <v>1+0</v>
      </c>
      <c r="L3144">
        <f>VLOOKUP(A3144,'ZONE 1 PREMIUM'!$A$3:$M$16,13,0)</f>
        <v>8</v>
      </c>
      <c r="M3144">
        <f>VLOOKUP(D3144,DROPDOWN!B:C,2,0)</f>
        <v>11</v>
      </c>
      <c r="N3144" t="str">
        <f t="shared" si="158"/>
        <v>X3:AP16</v>
      </c>
      <c r="O3144" s="4">
        <f t="shared" ca="1" si="159"/>
        <v>68076.549999999988</v>
      </c>
    </row>
    <row r="3145" spans="1:15">
      <c r="A3145" s="2" t="s">
        <v>16</v>
      </c>
      <c r="B3145" t="s">
        <v>35</v>
      </c>
      <c r="C3145" t="s">
        <v>36</v>
      </c>
      <c r="D3145">
        <v>40</v>
      </c>
      <c r="E3145" t="s">
        <v>26</v>
      </c>
      <c r="F3145">
        <v>1</v>
      </c>
      <c r="G3145">
        <v>1</v>
      </c>
      <c r="H3145">
        <v>0</v>
      </c>
      <c r="I3145">
        <v>1</v>
      </c>
      <c r="J3145" s="4" t="s">
        <v>52</v>
      </c>
      <c r="K3145" t="str">
        <f t="shared" si="160"/>
        <v>1+0</v>
      </c>
      <c r="L3145">
        <f>VLOOKUP(A3145,'ZONE 1 PREMIUM'!$A$3:$M$16,13,0)</f>
        <v>9</v>
      </c>
      <c r="M3145">
        <f>VLOOKUP(D3145,DROPDOWN!B:C,2,0)</f>
        <v>11</v>
      </c>
      <c r="N3145" t="str">
        <f t="shared" si="158"/>
        <v>X3:AP16</v>
      </c>
      <c r="O3145" s="4">
        <f t="shared" ca="1" si="159"/>
        <v>90237.049999999988</v>
      </c>
    </row>
    <row r="3146" spans="1:15">
      <c r="A3146" s="2" t="s">
        <v>17</v>
      </c>
      <c r="B3146" t="s">
        <v>37</v>
      </c>
      <c r="C3146" t="s">
        <v>38</v>
      </c>
      <c r="D3146">
        <v>40</v>
      </c>
      <c r="E3146" t="s">
        <v>26</v>
      </c>
      <c r="F3146">
        <v>1</v>
      </c>
      <c r="G3146">
        <v>1</v>
      </c>
      <c r="H3146">
        <v>0</v>
      </c>
      <c r="I3146">
        <v>1</v>
      </c>
      <c r="J3146" s="4" t="s">
        <v>52</v>
      </c>
      <c r="K3146" t="str">
        <f t="shared" si="160"/>
        <v>1+0</v>
      </c>
      <c r="L3146">
        <f>VLOOKUP(A3146,'ZONE 1 PREMIUM'!$A$3:$M$16,13,0)</f>
        <v>10</v>
      </c>
      <c r="M3146">
        <f>VLOOKUP(D3146,DROPDOWN!B:C,2,0)</f>
        <v>11</v>
      </c>
      <c r="N3146" t="str">
        <f t="shared" si="158"/>
        <v>X3:AP16</v>
      </c>
      <c r="O3146" s="4">
        <f t="shared" ca="1" si="159"/>
        <v>121431.95</v>
      </c>
    </row>
    <row r="3147" spans="1:15">
      <c r="A3147" s="2" t="s">
        <v>18</v>
      </c>
      <c r="B3147" t="s">
        <v>39</v>
      </c>
      <c r="C3147" t="s">
        <v>40</v>
      </c>
      <c r="D3147">
        <v>40</v>
      </c>
      <c r="E3147" t="s">
        <v>26</v>
      </c>
      <c r="F3147">
        <v>1</v>
      </c>
      <c r="G3147">
        <v>1</v>
      </c>
      <c r="H3147">
        <v>0</v>
      </c>
      <c r="I3147">
        <v>1</v>
      </c>
      <c r="J3147" s="4" t="s">
        <v>52</v>
      </c>
      <c r="K3147" t="str">
        <f t="shared" si="160"/>
        <v>1+0</v>
      </c>
      <c r="L3147">
        <f>VLOOKUP(A3147,'ZONE 1 PREMIUM'!$A$3:$M$16,13,0)</f>
        <v>11</v>
      </c>
      <c r="M3147">
        <f>VLOOKUP(D3147,DROPDOWN!B:C,2,0)</f>
        <v>11</v>
      </c>
      <c r="N3147" t="str">
        <f t="shared" si="158"/>
        <v>X3:AP16</v>
      </c>
      <c r="O3147" s="4">
        <f t="shared" ca="1" si="159"/>
        <v>168524.44999999998</v>
      </c>
    </row>
    <row r="3148" spans="1:15">
      <c r="A3148" s="2" t="s">
        <v>19</v>
      </c>
      <c r="B3148" t="s">
        <v>41</v>
      </c>
      <c r="C3148" t="s">
        <v>42</v>
      </c>
      <c r="D3148">
        <v>40</v>
      </c>
      <c r="E3148" t="s">
        <v>26</v>
      </c>
      <c r="F3148">
        <v>1</v>
      </c>
      <c r="G3148">
        <v>1</v>
      </c>
      <c r="H3148">
        <v>0</v>
      </c>
      <c r="I3148">
        <v>1</v>
      </c>
      <c r="J3148" s="4" t="s">
        <v>52</v>
      </c>
      <c r="K3148" t="str">
        <f t="shared" si="160"/>
        <v>1+0</v>
      </c>
      <c r="L3148">
        <f>VLOOKUP(A3148,'ZONE 1 PREMIUM'!$A$3:$M$16,13,0)</f>
        <v>12</v>
      </c>
      <c r="M3148">
        <f>VLOOKUP(D3148,DROPDOWN!B:C,2,0)</f>
        <v>11</v>
      </c>
      <c r="N3148" t="str">
        <f t="shared" si="158"/>
        <v>X3:AP16</v>
      </c>
      <c r="O3148" s="4">
        <f t="shared" ca="1" si="159"/>
        <v>220032.94999999998</v>
      </c>
    </row>
    <row r="3149" spans="1:15">
      <c r="A3149" s="2" t="s">
        <v>20</v>
      </c>
      <c r="B3149" t="s">
        <v>43</v>
      </c>
      <c r="C3149" t="s">
        <v>44</v>
      </c>
      <c r="D3149">
        <v>40</v>
      </c>
      <c r="E3149" t="s">
        <v>26</v>
      </c>
      <c r="F3149">
        <v>1</v>
      </c>
      <c r="G3149">
        <v>1</v>
      </c>
      <c r="H3149">
        <v>0</v>
      </c>
      <c r="I3149">
        <v>1</v>
      </c>
      <c r="J3149" s="4" t="s">
        <v>52</v>
      </c>
      <c r="K3149" t="str">
        <f t="shared" si="160"/>
        <v>1+0</v>
      </c>
      <c r="L3149">
        <f>VLOOKUP(A3149,'ZONE 1 PREMIUM'!$A$3:$M$16,13,0)</f>
        <v>13</v>
      </c>
      <c r="M3149">
        <f>VLOOKUP(D3149,DROPDOWN!B:C,2,0)</f>
        <v>11</v>
      </c>
      <c r="N3149" t="str">
        <f t="shared" si="158"/>
        <v>X3:AP16</v>
      </c>
      <c r="O3149" s="4">
        <f t="shared" ca="1" si="159"/>
        <v>265792.59999999998</v>
      </c>
    </row>
    <row r="3150" spans="1:15">
      <c r="A3150" s="2" t="s">
        <v>21</v>
      </c>
      <c r="B3150" t="s">
        <v>22</v>
      </c>
      <c r="D3150">
        <v>40</v>
      </c>
      <c r="E3150" t="s">
        <v>26</v>
      </c>
      <c r="F3150">
        <v>1</v>
      </c>
      <c r="G3150">
        <v>1</v>
      </c>
      <c r="H3150">
        <v>0</v>
      </c>
      <c r="I3150">
        <v>1</v>
      </c>
      <c r="J3150" s="4" t="s">
        <v>52</v>
      </c>
      <c r="K3150" t="str">
        <f t="shared" si="160"/>
        <v>1+0</v>
      </c>
      <c r="L3150">
        <f>VLOOKUP(A3150,'ZONE 1 PREMIUM'!$A$3:$M$16,13,0)</f>
        <v>14</v>
      </c>
      <c r="M3150">
        <f>VLOOKUP(D3150,DROPDOWN!B:C,2,0)</f>
        <v>11</v>
      </c>
      <c r="N3150" t="str">
        <f t="shared" si="158"/>
        <v>X3:AP16</v>
      </c>
      <c r="O3150" s="4">
        <f t="shared" ca="1" si="159"/>
        <v>358940.3</v>
      </c>
    </row>
    <row r="3151" spans="1:15">
      <c r="A3151" s="2" t="s">
        <v>11</v>
      </c>
      <c r="B3151" t="s">
        <v>45</v>
      </c>
      <c r="C3151" t="s">
        <v>25</v>
      </c>
      <c r="D3151">
        <v>40</v>
      </c>
      <c r="E3151" t="s">
        <v>46</v>
      </c>
      <c r="F3151">
        <v>2</v>
      </c>
      <c r="G3151">
        <v>1</v>
      </c>
      <c r="H3151">
        <v>1</v>
      </c>
      <c r="I3151">
        <v>1</v>
      </c>
      <c r="J3151" s="4" t="s">
        <v>52</v>
      </c>
      <c r="K3151" t="str">
        <f t="shared" si="160"/>
        <v>1+1</v>
      </c>
      <c r="L3151">
        <f>VLOOKUP(A3151,'ZONE 1 PREMIUM'!$A$4:$N$16,14,0)</f>
        <v>2</v>
      </c>
      <c r="M3151">
        <f>VLOOKUP(D3151,DROPDOWN!B:C,2,0)</f>
        <v>11</v>
      </c>
      <c r="N3151" t="str">
        <f t="shared" si="158"/>
        <v>X20:AP31</v>
      </c>
      <c r="O3151" s="4">
        <f t="shared" ca="1" si="159"/>
        <v>39652</v>
      </c>
    </row>
    <row r="3152" spans="1:15">
      <c r="A3152" s="2" t="s">
        <v>12</v>
      </c>
      <c r="B3152" t="s">
        <v>27</v>
      </c>
      <c r="C3152" t="s">
        <v>28</v>
      </c>
      <c r="D3152">
        <v>40</v>
      </c>
      <c r="E3152" t="s">
        <v>46</v>
      </c>
      <c r="F3152">
        <v>2</v>
      </c>
      <c r="G3152">
        <v>1</v>
      </c>
      <c r="H3152">
        <v>1</v>
      </c>
      <c r="I3152">
        <v>1</v>
      </c>
      <c r="J3152" s="4" t="s">
        <v>52</v>
      </c>
      <c r="K3152" t="str">
        <f t="shared" si="160"/>
        <v>1+1</v>
      </c>
      <c r="L3152">
        <f>VLOOKUP(A3152,'ZONE 1 PREMIUM'!$A$4:$N$16,14,0)</f>
        <v>3</v>
      </c>
      <c r="M3152">
        <f>VLOOKUP(D3152,DROPDOWN!B:C,2,0)</f>
        <v>11</v>
      </c>
      <c r="N3152" t="str">
        <f t="shared" si="158"/>
        <v>X20:AP31</v>
      </c>
      <c r="O3152" s="4">
        <f t="shared" ca="1" si="159"/>
        <v>43627.549999999996</v>
      </c>
    </row>
    <row r="3153" spans="1:15">
      <c r="A3153" s="2" t="s">
        <v>13</v>
      </c>
      <c r="B3153" t="s">
        <v>29</v>
      </c>
      <c r="C3153" t="s">
        <v>30</v>
      </c>
      <c r="D3153">
        <v>40</v>
      </c>
      <c r="E3153" t="s">
        <v>46</v>
      </c>
      <c r="F3153">
        <v>2</v>
      </c>
      <c r="G3153">
        <v>1</v>
      </c>
      <c r="H3153">
        <v>1</v>
      </c>
      <c r="I3153">
        <v>1</v>
      </c>
      <c r="J3153" s="4" t="s">
        <v>52</v>
      </c>
      <c r="K3153" t="str">
        <f t="shared" si="160"/>
        <v>1+1</v>
      </c>
      <c r="L3153">
        <f>VLOOKUP(A3153,'ZONE 1 PREMIUM'!$A$4:$N$16,14,0)</f>
        <v>4</v>
      </c>
      <c r="M3153">
        <f>VLOOKUP(D3153,DROPDOWN!B:C,2,0)</f>
        <v>11</v>
      </c>
      <c r="N3153" t="str">
        <f t="shared" si="158"/>
        <v>X20:AP31</v>
      </c>
      <c r="O3153" s="4">
        <f t="shared" ca="1" si="159"/>
        <v>50711.549999999996</v>
      </c>
    </row>
    <row r="3154" spans="1:15">
      <c r="A3154" s="2" t="s">
        <v>14</v>
      </c>
      <c r="B3154" t="s">
        <v>31</v>
      </c>
      <c r="C3154" t="s">
        <v>32</v>
      </c>
      <c r="D3154">
        <v>40</v>
      </c>
      <c r="E3154" t="s">
        <v>46</v>
      </c>
      <c r="F3154">
        <v>2</v>
      </c>
      <c r="G3154">
        <v>1</v>
      </c>
      <c r="H3154">
        <v>1</v>
      </c>
      <c r="I3154">
        <v>1</v>
      </c>
      <c r="J3154" s="4" t="s">
        <v>52</v>
      </c>
      <c r="K3154" t="str">
        <f t="shared" si="160"/>
        <v>1+1</v>
      </c>
      <c r="L3154">
        <f>VLOOKUP(A3154,'ZONE 1 PREMIUM'!$A$4:$N$16,14,0)</f>
        <v>5</v>
      </c>
      <c r="M3154">
        <f>VLOOKUP(D3154,DROPDOWN!B:C,2,0)</f>
        <v>11</v>
      </c>
      <c r="N3154" t="str">
        <f t="shared" si="158"/>
        <v>X20:AP31</v>
      </c>
      <c r="O3154" s="4">
        <f t="shared" ca="1" si="159"/>
        <v>59696.499999999993</v>
      </c>
    </row>
    <row r="3155" spans="1:15">
      <c r="A3155" s="2" t="s">
        <v>15</v>
      </c>
      <c r="B3155" t="s">
        <v>33</v>
      </c>
      <c r="C3155" t="s">
        <v>34</v>
      </c>
      <c r="D3155">
        <v>40</v>
      </c>
      <c r="E3155" t="s">
        <v>46</v>
      </c>
      <c r="F3155">
        <v>2</v>
      </c>
      <c r="G3155">
        <v>1</v>
      </c>
      <c r="H3155">
        <v>1</v>
      </c>
      <c r="I3155">
        <v>1</v>
      </c>
      <c r="J3155" s="4" t="s">
        <v>52</v>
      </c>
      <c r="K3155" t="str">
        <f t="shared" si="160"/>
        <v>1+1</v>
      </c>
      <c r="L3155">
        <f>VLOOKUP(A3155,'ZONE 1 PREMIUM'!$A$4:$N$16,14,0)</f>
        <v>6</v>
      </c>
      <c r="M3155">
        <f>VLOOKUP(D3155,DROPDOWN!B:C,2,0)</f>
        <v>11</v>
      </c>
      <c r="N3155" t="str">
        <f t="shared" si="158"/>
        <v>X20:AP31</v>
      </c>
      <c r="O3155" s="4">
        <f t="shared" ca="1" si="159"/>
        <v>73924.299999999988</v>
      </c>
    </row>
    <row r="3156" spans="1:15">
      <c r="A3156" s="2" t="s">
        <v>16</v>
      </c>
      <c r="B3156" t="s">
        <v>35</v>
      </c>
      <c r="C3156" t="s">
        <v>36</v>
      </c>
      <c r="D3156">
        <v>40</v>
      </c>
      <c r="E3156" t="s">
        <v>46</v>
      </c>
      <c r="F3156">
        <v>2</v>
      </c>
      <c r="G3156">
        <v>1</v>
      </c>
      <c r="H3156">
        <v>1</v>
      </c>
      <c r="I3156">
        <v>1</v>
      </c>
      <c r="J3156" s="4" t="s">
        <v>52</v>
      </c>
      <c r="K3156" t="str">
        <f t="shared" si="160"/>
        <v>1+1</v>
      </c>
      <c r="L3156">
        <f>VLOOKUP(A3156,'ZONE 1 PREMIUM'!$A$4:$N$16,14,0)</f>
        <v>7</v>
      </c>
      <c r="M3156">
        <f>VLOOKUP(D3156,DROPDOWN!B:C,2,0)</f>
        <v>11</v>
      </c>
      <c r="N3156" t="str">
        <f t="shared" si="158"/>
        <v>X20:AP31</v>
      </c>
      <c r="O3156" s="4">
        <f t="shared" ca="1" si="159"/>
        <v>96602.299999999988</v>
      </c>
    </row>
    <row r="3157" spans="1:15">
      <c r="A3157" s="2" t="s">
        <v>17</v>
      </c>
      <c r="B3157" t="s">
        <v>37</v>
      </c>
      <c r="C3157" t="s">
        <v>38</v>
      </c>
      <c r="D3157">
        <v>40</v>
      </c>
      <c r="E3157" t="s">
        <v>46</v>
      </c>
      <c r="F3157">
        <v>2</v>
      </c>
      <c r="G3157">
        <v>1</v>
      </c>
      <c r="H3157">
        <v>1</v>
      </c>
      <c r="I3157">
        <v>1</v>
      </c>
      <c r="J3157" s="4" t="s">
        <v>52</v>
      </c>
      <c r="K3157" t="str">
        <f t="shared" si="160"/>
        <v>1+1</v>
      </c>
      <c r="L3157">
        <f>VLOOKUP(A3157,'ZONE 1 PREMIUM'!$A$4:$N$16,14,0)</f>
        <v>8</v>
      </c>
      <c r="M3157">
        <f>VLOOKUP(D3157,DROPDOWN!B:C,2,0)</f>
        <v>11</v>
      </c>
      <c r="N3157" t="str">
        <f t="shared" si="158"/>
        <v>X20:AP31</v>
      </c>
      <c r="O3157" s="4">
        <f t="shared" ca="1" si="159"/>
        <v>128088.15</v>
      </c>
    </row>
    <row r="3158" spans="1:15">
      <c r="A3158" s="2" t="s">
        <v>18</v>
      </c>
      <c r="B3158" t="s">
        <v>39</v>
      </c>
      <c r="C3158" t="s">
        <v>40</v>
      </c>
      <c r="D3158">
        <v>40</v>
      </c>
      <c r="E3158" t="s">
        <v>46</v>
      </c>
      <c r="F3158">
        <v>2</v>
      </c>
      <c r="G3158">
        <v>1</v>
      </c>
      <c r="H3158">
        <v>1</v>
      </c>
      <c r="I3158">
        <v>1</v>
      </c>
      <c r="J3158" s="4" t="s">
        <v>52</v>
      </c>
      <c r="K3158" t="str">
        <f t="shared" si="160"/>
        <v>1+1</v>
      </c>
      <c r="L3158">
        <f>VLOOKUP(A3158,'ZONE 1 PREMIUM'!$A$4:$N$16,14,0)</f>
        <v>9</v>
      </c>
      <c r="M3158">
        <f>VLOOKUP(D3158,DROPDOWN!B:C,2,0)</f>
        <v>11</v>
      </c>
      <c r="N3158" t="str">
        <f t="shared" si="158"/>
        <v>X20:AP31</v>
      </c>
      <c r="O3158" s="4">
        <f t="shared" ca="1" si="159"/>
        <v>177127.59999999998</v>
      </c>
    </row>
    <row r="3159" spans="1:15">
      <c r="A3159" s="2" t="s">
        <v>19</v>
      </c>
      <c r="B3159" t="s">
        <v>41</v>
      </c>
      <c r="C3159" t="s">
        <v>42</v>
      </c>
      <c r="D3159">
        <v>40</v>
      </c>
      <c r="E3159" t="s">
        <v>46</v>
      </c>
      <c r="F3159">
        <v>2</v>
      </c>
      <c r="G3159">
        <v>1</v>
      </c>
      <c r="H3159">
        <v>1</v>
      </c>
      <c r="I3159">
        <v>1</v>
      </c>
      <c r="J3159" s="4" t="s">
        <v>52</v>
      </c>
      <c r="K3159" t="str">
        <f t="shared" si="160"/>
        <v>1+1</v>
      </c>
      <c r="L3159">
        <f>VLOOKUP(A3159,'ZONE 1 PREMIUM'!$A$4:$N$16,14,0)</f>
        <v>10</v>
      </c>
      <c r="M3159">
        <f>VLOOKUP(D3159,DROPDOWN!B:C,2,0)</f>
        <v>11</v>
      </c>
      <c r="N3159" t="str">
        <f t="shared" si="158"/>
        <v>X20:AP31</v>
      </c>
      <c r="O3159" s="4">
        <f t="shared" ca="1" si="159"/>
        <v>228513.05</v>
      </c>
    </row>
    <row r="3160" spans="1:15">
      <c r="A3160" s="2" t="s">
        <v>20</v>
      </c>
      <c r="B3160" t="s">
        <v>43</v>
      </c>
      <c r="C3160" t="s">
        <v>44</v>
      </c>
      <c r="D3160">
        <v>40</v>
      </c>
      <c r="E3160" t="s">
        <v>46</v>
      </c>
      <c r="F3160">
        <v>2</v>
      </c>
      <c r="G3160">
        <v>1</v>
      </c>
      <c r="H3160">
        <v>1</v>
      </c>
      <c r="I3160">
        <v>1</v>
      </c>
      <c r="J3160" s="4" t="s">
        <v>52</v>
      </c>
      <c r="K3160" t="str">
        <f t="shared" si="160"/>
        <v>1+1</v>
      </c>
      <c r="L3160">
        <f>VLOOKUP(A3160,'ZONE 1 PREMIUM'!$A$4:$N$16,14,0)</f>
        <v>11</v>
      </c>
      <c r="M3160">
        <f>VLOOKUP(D3160,DROPDOWN!B:C,2,0)</f>
        <v>11</v>
      </c>
      <c r="N3160" t="str">
        <f t="shared" si="158"/>
        <v>X20:AP31</v>
      </c>
      <c r="O3160" s="4">
        <f t="shared" ca="1" si="159"/>
        <v>270820.39999999997</v>
      </c>
    </row>
    <row r="3161" spans="1:15">
      <c r="A3161" s="2" t="s">
        <v>21</v>
      </c>
      <c r="B3161" t="s">
        <v>22</v>
      </c>
      <c r="D3161">
        <v>40</v>
      </c>
      <c r="E3161" t="s">
        <v>46</v>
      </c>
      <c r="F3161">
        <v>2</v>
      </c>
      <c r="G3161">
        <v>1</v>
      </c>
      <c r="H3161">
        <v>1</v>
      </c>
      <c r="I3161">
        <v>1</v>
      </c>
      <c r="J3161" s="4" t="s">
        <v>52</v>
      </c>
      <c r="K3161" t="str">
        <f t="shared" si="160"/>
        <v>1+1</v>
      </c>
      <c r="L3161">
        <f>VLOOKUP(A3161,'ZONE 1 PREMIUM'!$A$4:$N$16,14,0)</f>
        <v>12</v>
      </c>
      <c r="M3161">
        <f>VLOOKUP(D3161,DROPDOWN!B:C,2,0)</f>
        <v>11</v>
      </c>
      <c r="N3161" t="str">
        <f t="shared" si="158"/>
        <v>X20:AP31</v>
      </c>
      <c r="O3161" s="4">
        <f t="shared" ca="1" si="159"/>
        <v>369338.6</v>
      </c>
    </row>
    <row r="3162" spans="1:15">
      <c r="A3162" s="2" t="s">
        <v>11</v>
      </c>
      <c r="B3162" t="s">
        <v>45</v>
      </c>
      <c r="C3162" t="s">
        <v>25</v>
      </c>
      <c r="D3162">
        <v>40</v>
      </c>
      <c r="E3162" t="s">
        <v>46</v>
      </c>
      <c r="F3162">
        <v>3</v>
      </c>
      <c r="G3162">
        <v>1</v>
      </c>
      <c r="H3162">
        <v>2</v>
      </c>
      <c r="I3162">
        <v>1</v>
      </c>
      <c r="J3162" s="4" t="s">
        <v>52</v>
      </c>
      <c r="K3162" t="str">
        <f t="shared" si="160"/>
        <v>1+2</v>
      </c>
      <c r="L3162">
        <f>VLOOKUP(A3162,'ZONE 1 PREMIUM'!$A$4:$N$16,14,0)</f>
        <v>2</v>
      </c>
      <c r="M3162">
        <f>VLOOKUP(D3162,DROPDOWN!B:C,2,0)</f>
        <v>11</v>
      </c>
      <c r="N3162" t="str">
        <f t="shared" si="158"/>
        <v>X35:AP46</v>
      </c>
      <c r="O3162" s="4">
        <f t="shared" ca="1" si="159"/>
        <v>51360.149999999994</v>
      </c>
    </row>
    <row r="3163" spans="1:15">
      <c r="A3163" s="2" t="s">
        <v>12</v>
      </c>
      <c r="B3163" t="s">
        <v>27</v>
      </c>
      <c r="C3163" t="s">
        <v>28</v>
      </c>
      <c r="D3163">
        <v>40</v>
      </c>
      <c r="E3163" t="s">
        <v>46</v>
      </c>
      <c r="F3163">
        <v>3</v>
      </c>
      <c r="G3163">
        <v>1</v>
      </c>
      <c r="H3163">
        <v>2</v>
      </c>
      <c r="I3163">
        <v>1</v>
      </c>
      <c r="J3163" s="4" t="s">
        <v>52</v>
      </c>
      <c r="K3163" t="str">
        <f t="shared" si="160"/>
        <v>1+2</v>
      </c>
      <c r="L3163">
        <f>VLOOKUP(A3163,'ZONE 1 PREMIUM'!$A$4:$N$16,14,0)</f>
        <v>3</v>
      </c>
      <c r="M3163">
        <f>VLOOKUP(D3163,DROPDOWN!B:C,2,0)</f>
        <v>11</v>
      </c>
      <c r="N3163" t="str">
        <f t="shared" si="158"/>
        <v>X35:AP46</v>
      </c>
      <c r="O3163" s="4">
        <f t="shared" ca="1" si="159"/>
        <v>54912.499999999993</v>
      </c>
    </row>
    <row r="3164" spans="1:15">
      <c r="A3164" s="2" t="s">
        <v>13</v>
      </c>
      <c r="B3164" t="s">
        <v>29</v>
      </c>
      <c r="C3164" t="s">
        <v>30</v>
      </c>
      <c r="D3164">
        <v>40</v>
      </c>
      <c r="E3164" t="s">
        <v>46</v>
      </c>
      <c r="F3164">
        <v>3</v>
      </c>
      <c r="G3164">
        <v>1</v>
      </c>
      <c r="H3164">
        <v>2</v>
      </c>
      <c r="I3164">
        <v>1</v>
      </c>
      <c r="J3164" s="4" t="s">
        <v>52</v>
      </c>
      <c r="K3164" t="str">
        <f t="shared" si="160"/>
        <v>1+2</v>
      </c>
      <c r="L3164">
        <f>VLOOKUP(A3164,'ZONE 1 PREMIUM'!$A$4:$N$16,14,0)</f>
        <v>4</v>
      </c>
      <c r="M3164">
        <f>VLOOKUP(D3164,DROPDOWN!B:C,2,0)</f>
        <v>11</v>
      </c>
      <c r="N3164" t="str">
        <f t="shared" si="158"/>
        <v>X35:AP46</v>
      </c>
      <c r="O3164" s="4">
        <f t="shared" ca="1" si="159"/>
        <v>63905.499999999993</v>
      </c>
    </row>
    <row r="3165" spans="1:15">
      <c r="A3165" s="2" t="s">
        <v>14</v>
      </c>
      <c r="B3165" t="s">
        <v>31</v>
      </c>
      <c r="C3165" t="s">
        <v>32</v>
      </c>
      <c r="D3165">
        <v>40</v>
      </c>
      <c r="E3165" t="s">
        <v>46</v>
      </c>
      <c r="F3165">
        <v>3</v>
      </c>
      <c r="G3165">
        <v>1</v>
      </c>
      <c r="H3165">
        <v>2</v>
      </c>
      <c r="I3165">
        <v>1</v>
      </c>
      <c r="J3165" s="4" t="s">
        <v>52</v>
      </c>
      <c r="K3165" t="str">
        <f t="shared" si="160"/>
        <v>1+2</v>
      </c>
      <c r="L3165">
        <f>VLOOKUP(A3165,'ZONE 1 PREMIUM'!$A$4:$N$16,14,0)</f>
        <v>5</v>
      </c>
      <c r="M3165">
        <f>VLOOKUP(D3165,DROPDOWN!B:C,2,0)</f>
        <v>11</v>
      </c>
      <c r="N3165" t="str">
        <f t="shared" si="158"/>
        <v>X35:AP46</v>
      </c>
      <c r="O3165" s="4">
        <f t="shared" ca="1" si="159"/>
        <v>71794.5</v>
      </c>
    </row>
    <row r="3166" spans="1:15">
      <c r="A3166" s="2" t="s">
        <v>15</v>
      </c>
      <c r="B3166" t="s">
        <v>33</v>
      </c>
      <c r="C3166" t="s">
        <v>34</v>
      </c>
      <c r="D3166">
        <v>40</v>
      </c>
      <c r="E3166" t="s">
        <v>46</v>
      </c>
      <c r="F3166">
        <v>3</v>
      </c>
      <c r="G3166">
        <v>1</v>
      </c>
      <c r="H3166">
        <v>2</v>
      </c>
      <c r="I3166">
        <v>1</v>
      </c>
      <c r="J3166" s="4" t="s">
        <v>52</v>
      </c>
      <c r="K3166" t="str">
        <f t="shared" si="160"/>
        <v>1+2</v>
      </c>
      <c r="L3166">
        <f>VLOOKUP(A3166,'ZONE 1 PREMIUM'!$A$4:$N$16,14,0)</f>
        <v>6</v>
      </c>
      <c r="M3166">
        <f>VLOOKUP(D3166,DROPDOWN!B:C,2,0)</f>
        <v>11</v>
      </c>
      <c r="N3166" t="str">
        <f t="shared" si="158"/>
        <v>X35:AP46</v>
      </c>
      <c r="O3166" s="4">
        <f t="shared" ca="1" si="159"/>
        <v>90141.599999999991</v>
      </c>
    </row>
    <row r="3167" spans="1:15">
      <c r="A3167" s="2" t="s">
        <v>16</v>
      </c>
      <c r="B3167" t="s">
        <v>35</v>
      </c>
      <c r="C3167" t="s">
        <v>36</v>
      </c>
      <c r="D3167">
        <v>40</v>
      </c>
      <c r="E3167" t="s">
        <v>46</v>
      </c>
      <c r="F3167">
        <v>3</v>
      </c>
      <c r="G3167">
        <v>1</v>
      </c>
      <c r="H3167">
        <v>2</v>
      </c>
      <c r="I3167">
        <v>1</v>
      </c>
      <c r="J3167" s="4" t="s">
        <v>52</v>
      </c>
      <c r="K3167" t="str">
        <f t="shared" si="160"/>
        <v>1+2</v>
      </c>
      <c r="L3167">
        <f>VLOOKUP(A3167,'ZONE 1 PREMIUM'!$A$4:$N$16,14,0)</f>
        <v>7</v>
      </c>
      <c r="M3167">
        <f>VLOOKUP(D3167,DROPDOWN!B:C,2,0)</f>
        <v>11</v>
      </c>
      <c r="N3167" t="str">
        <f t="shared" si="158"/>
        <v>X35:AP46</v>
      </c>
      <c r="O3167" s="4">
        <f t="shared" ca="1" si="159"/>
        <v>116775.59999999999</v>
      </c>
    </row>
    <row r="3168" spans="1:15">
      <c r="A3168" s="2" t="s">
        <v>17</v>
      </c>
      <c r="B3168" t="s">
        <v>37</v>
      </c>
      <c r="C3168" t="s">
        <v>38</v>
      </c>
      <c r="D3168">
        <v>40</v>
      </c>
      <c r="E3168" t="s">
        <v>46</v>
      </c>
      <c r="F3168">
        <v>3</v>
      </c>
      <c r="G3168">
        <v>1</v>
      </c>
      <c r="H3168">
        <v>2</v>
      </c>
      <c r="I3168">
        <v>1</v>
      </c>
      <c r="J3168" s="4" t="s">
        <v>52</v>
      </c>
      <c r="K3168" t="str">
        <f t="shared" si="160"/>
        <v>1+2</v>
      </c>
      <c r="L3168">
        <f>VLOOKUP(A3168,'ZONE 1 PREMIUM'!$A$4:$N$16,14,0)</f>
        <v>8</v>
      </c>
      <c r="M3168">
        <f>VLOOKUP(D3168,DROPDOWN!B:C,2,0)</f>
        <v>11</v>
      </c>
      <c r="N3168" t="str">
        <f t="shared" si="158"/>
        <v>X35:AP46</v>
      </c>
      <c r="O3168" s="4">
        <f t="shared" ca="1" si="159"/>
        <v>149843.84999999998</v>
      </c>
    </row>
    <row r="3169" spans="1:15">
      <c r="A3169" s="2" t="s">
        <v>18</v>
      </c>
      <c r="B3169" t="s">
        <v>39</v>
      </c>
      <c r="C3169" t="s">
        <v>40</v>
      </c>
      <c r="D3169">
        <v>40</v>
      </c>
      <c r="E3169" t="s">
        <v>46</v>
      </c>
      <c r="F3169">
        <v>3</v>
      </c>
      <c r="G3169">
        <v>1</v>
      </c>
      <c r="H3169">
        <v>2</v>
      </c>
      <c r="I3169">
        <v>1</v>
      </c>
      <c r="J3169" s="4" t="s">
        <v>52</v>
      </c>
      <c r="K3169" t="str">
        <f t="shared" si="160"/>
        <v>1+2</v>
      </c>
      <c r="L3169">
        <f>VLOOKUP(A3169,'ZONE 1 PREMIUM'!$A$4:$N$16,14,0)</f>
        <v>9</v>
      </c>
      <c r="M3169">
        <f>VLOOKUP(D3169,DROPDOWN!B:C,2,0)</f>
        <v>11</v>
      </c>
      <c r="N3169" t="str">
        <f t="shared" si="158"/>
        <v>X35:AP46</v>
      </c>
      <c r="O3169" s="4">
        <f t="shared" ca="1" si="159"/>
        <v>194959.49999999997</v>
      </c>
    </row>
    <row r="3170" spans="1:15">
      <c r="A3170" s="2" t="s">
        <v>19</v>
      </c>
      <c r="B3170" t="s">
        <v>41</v>
      </c>
      <c r="C3170" t="s">
        <v>42</v>
      </c>
      <c r="D3170">
        <v>40</v>
      </c>
      <c r="E3170" t="s">
        <v>46</v>
      </c>
      <c r="F3170">
        <v>3</v>
      </c>
      <c r="G3170">
        <v>1</v>
      </c>
      <c r="H3170">
        <v>2</v>
      </c>
      <c r="I3170">
        <v>1</v>
      </c>
      <c r="J3170" s="4" t="s">
        <v>52</v>
      </c>
      <c r="K3170" t="str">
        <f t="shared" si="160"/>
        <v>1+2</v>
      </c>
      <c r="L3170">
        <f>VLOOKUP(A3170,'ZONE 1 PREMIUM'!$A$4:$N$16,14,0)</f>
        <v>10</v>
      </c>
      <c r="M3170">
        <f>VLOOKUP(D3170,DROPDOWN!B:C,2,0)</f>
        <v>11</v>
      </c>
      <c r="N3170" t="str">
        <f t="shared" si="158"/>
        <v>X35:AP46</v>
      </c>
      <c r="O3170" s="4">
        <f t="shared" ca="1" si="159"/>
        <v>250238.84999999998</v>
      </c>
    </row>
    <row r="3171" spans="1:15">
      <c r="A3171" s="2" t="s">
        <v>20</v>
      </c>
      <c r="B3171" t="s">
        <v>43</v>
      </c>
      <c r="C3171" t="s">
        <v>44</v>
      </c>
      <c r="D3171">
        <v>40</v>
      </c>
      <c r="E3171" t="s">
        <v>46</v>
      </c>
      <c r="F3171">
        <v>3</v>
      </c>
      <c r="G3171">
        <v>1</v>
      </c>
      <c r="H3171">
        <v>2</v>
      </c>
      <c r="I3171">
        <v>1</v>
      </c>
      <c r="J3171" s="4" t="s">
        <v>52</v>
      </c>
      <c r="K3171" t="str">
        <f t="shared" si="160"/>
        <v>1+2</v>
      </c>
      <c r="L3171">
        <f>VLOOKUP(A3171,'ZONE 1 PREMIUM'!$A$4:$N$16,14,0)</f>
        <v>11</v>
      </c>
      <c r="M3171">
        <f>VLOOKUP(D3171,DROPDOWN!B:C,2,0)</f>
        <v>11</v>
      </c>
      <c r="N3171" t="str">
        <f t="shared" si="158"/>
        <v>X35:AP46</v>
      </c>
      <c r="O3171" s="4">
        <f t="shared" ca="1" si="159"/>
        <v>296445.84999999998</v>
      </c>
    </row>
    <row r="3172" spans="1:15">
      <c r="A3172" s="2" t="s">
        <v>21</v>
      </c>
      <c r="B3172" t="s">
        <v>22</v>
      </c>
      <c r="D3172">
        <v>40</v>
      </c>
      <c r="E3172" t="s">
        <v>46</v>
      </c>
      <c r="F3172">
        <v>3</v>
      </c>
      <c r="G3172">
        <v>1</v>
      </c>
      <c r="H3172">
        <v>2</v>
      </c>
      <c r="I3172">
        <v>1</v>
      </c>
      <c r="J3172" s="4" t="s">
        <v>52</v>
      </c>
      <c r="K3172" t="str">
        <f t="shared" si="160"/>
        <v>1+2</v>
      </c>
      <c r="L3172">
        <f>VLOOKUP(A3172,'ZONE 1 PREMIUM'!$A$4:$N$16,14,0)</f>
        <v>12</v>
      </c>
      <c r="M3172">
        <f>VLOOKUP(D3172,DROPDOWN!B:C,2,0)</f>
        <v>11</v>
      </c>
      <c r="N3172" t="str">
        <f t="shared" si="158"/>
        <v>X35:AP46</v>
      </c>
      <c r="O3172" s="4">
        <f t="shared" ca="1" si="159"/>
        <v>388550.49999999994</v>
      </c>
    </row>
    <row r="3173" spans="1:15">
      <c r="A3173" s="2" t="s">
        <v>11</v>
      </c>
      <c r="B3173" t="s">
        <v>45</v>
      </c>
      <c r="C3173" t="s">
        <v>25</v>
      </c>
      <c r="D3173">
        <v>40</v>
      </c>
      <c r="E3173" t="s">
        <v>46</v>
      </c>
      <c r="F3173">
        <v>4</v>
      </c>
      <c r="G3173">
        <v>1</v>
      </c>
      <c r="H3173">
        <v>3</v>
      </c>
      <c r="I3173">
        <v>1</v>
      </c>
      <c r="J3173" s="4" t="s">
        <v>52</v>
      </c>
      <c r="K3173" t="str">
        <f t="shared" si="160"/>
        <v>1+3</v>
      </c>
      <c r="L3173">
        <f>VLOOKUP(A3173,'ZONE 1 PREMIUM'!$A$4:$N$16,14,0)</f>
        <v>2</v>
      </c>
      <c r="M3173">
        <f>VLOOKUP(D3173,DROPDOWN!B:C,2,0)</f>
        <v>11</v>
      </c>
      <c r="N3173" t="str">
        <f t="shared" si="158"/>
        <v>X50:AP61</v>
      </c>
      <c r="O3173" s="4">
        <f t="shared" ca="1" si="159"/>
        <v>63068.299999999996</v>
      </c>
    </row>
    <row r="3174" spans="1:15">
      <c r="A3174" s="2" t="s">
        <v>12</v>
      </c>
      <c r="B3174" t="s">
        <v>27</v>
      </c>
      <c r="C3174" t="s">
        <v>28</v>
      </c>
      <c r="D3174">
        <v>40</v>
      </c>
      <c r="E3174" t="s">
        <v>46</v>
      </c>
      <c r="F3174">
        <v>4</v>
      </c>
      <c r="G3174">
        <v>1</v>
      </c>
      <c r="H3174">
        <v>3</v>
      </c>
      <c r="I3174">
        <v>1</v>
      </c>
      <c r="J3174" s="4" t="s">
        <v>52</v>
      </c>
      <c r="K3174" t="str">
        <f t="shared" si="160"/>
        <v>1+3</v>
      </c>
      <c r="L3174">
        <f>VLOOKUP(A3174,'ZONE 1 PREMIUM'!$A$4:$N$16,14,0)</f>
        <v>3</v>
      </c>
      <c r="M3174">
        <f>VLOOKUP(D3174,DROPDOWN!B:C,2,0)</f>
        <v>11</v>
      </c>
      <c r="N3174" t="str">
        <f t="shared" si="158"/>
        <v>X50:AP61</v>
      </c>
      <c r="O3174" s="4">
        <f t="shared" ca="1" si="159"/>
        <v>66414.799999999988</v>
      </c>
    </row>
    <row r="3175" spans="1:15">
      <c r="A3175" s="2" t="s">
        <v>13</v>
      </c>
      <c r="B3175" t="s">
        <v>29</v>
      </c>
      <c r="C3175" t="s">
        <v>30</v>
      </c>
      <c r="D3175">
        <v>40</v>
      </c>
      <c r="E3175" t="s">
        <v>46</v>
      </c>
      <c r="F3175">
        <v>4</v>
      </c>
      <c r="G3175">
        <v>1</v>
      </c>
      <c r="H3175">
        <v>3</v>
      </c>
      <c r="I3175">
        <v>1</v>
      </c>
      <c r="J3175" s="4" t="s">
        <v>52</v>
      </c>
      <c r="K3175" t="str">
        <f t="shared" si="160"/>
        <v>1+3</v>
      </c>
      <c r="L3175">
        <f>VLOOKUP(A3175,'ZONE 1 PREMIUM'!$A$4:$N$16,14,0)</f>
        <v>4</v>
      </c>
      <c r="M3175">
        <f>VLOOKUP(D3175,DROPDOWN!B:C,2,0)</f>
        <v>11</v>
      </c>
      <c r="N3175" t="str">
        <f t="shared" si="158"/>
        <v>X50:AP61</v>
      </c>
      <c r="O3175" s="4">
        <f t="shared" ca="1" si="159"/>
        <v>77351.299999999988</v>
      </c>
    </row>
    <row r="3176" spans="1:15">
      <c r="A3176" s="2" t="s">
        <v>14</v>
      </c>
      <c r="B3176" t="s">
        <v>31</v>
      </c>
      <c r="C3176" t="s">
        <v>32</v>
      </c>
      <c r="D3176">
        <v>40</v>
      </c>
      <c r="E3176" t="s">
        <v>46</v>
      </c>
      <c r="F3176">
        <v>4</v>
      </c>
      <c r="G3176">
        <v>1</v>
      </c>
      <c r="H3176">
        <v>3</v>
      </c>
      <c r="I3176">
        <v>1</v>
      </c>
      <c r="J3176" s="4" t="s">
        <v>52</v>
      </c>
      <c r="K3176" t="str">
        <f t="shared" si="160"/>
        <v>1+3</v>
      </c>
      <c r="L3176">
        <f>VLOOKUP(A3176,'ZONE 1 PREMIUM'!$A$4:$N$16,14,0)</f>
        <v>5</v>
      </c>
      <c r="M3176">
        <f>VLOOKUP(D3176,DROPDOWN!B:C,2,0)</f>
        <v>11</v>
      </c>
      <c r="N3176" t="str">
        <f t="shared" si="158"/>
        <v>X50:AP61</v>
      </c>
      <c r="O3176" s="4">
        <f t="shared" ca="1" si="159"/>
        <v>86186.75</v>
      </c>
    </row>
    <row r="3177" spans="1:15">
      <c r="A3177" s="2" t="s">
        <v>15</v>
      </c>
      <c r="B3177" t="s">
        <v>33</v>
      </c>
      <c r="C3177" t="s">
        <v>34</v>
      </c>
      <c r="D3177">
        <v>40</v>
      </c>
      <c r="E3177" t="s">
        <v>46</v>
      </c>
      <c r="F3177">
        <v>4</v>
      </c>
      <c r="G3177">
        <v>1</v>
      </c>
      <c r="H3177">
        <v>3</v>
      </c>
      <c r="I3177">
        <v>1</v>
      </c>
      <c r="J3177" s="4" t="s">
        <v>52</v>
      </c>
      <c r="K3177" t="str">
        <f t="shared" si="160"/>
        <v>1+3</v>
      </c>
      <c r="L3177">
        <f>VLOOKUP(A3177,'ZONE 1 PREMIUM'!$A$4:$N$16,14,0)</f>
        <v>6</v>
      </c>
      <c r="M3177">
        <f>VLOOKUP(D3177,DROPDOWN!B:C,2,0)</f>
        <v>11</v>
      </c>
      <c r="N3177" t="str">
        <f t="shared" si="158"/>
        <v>X50:AP61</v>
      </c>
      <c r="O3177" s="4">
        <f t="shared" ca="1" si="159"/>
        <v>106357.74999999999</v>
      </c>
    </row>
    <row r="3178" spans="1:15">
      <c r="A3178" s="2" t="s">
        <v>16</v>
      </c>
      <c r="B3178" t="s">
        <v>35</v>
      </c>
      <c r="C3178" t="s">
        <v>36</v>
      </c>
      <c r="D3178">
        <v>40</v>
      </c>
      <c r="E3178" t="s">
        <v>46</v>
      </c>
      <c r="F3178">
        <v>4</v>
      </c>
      <c r="G3178">
        <v>1</v>
      </c>
      <c r="H3178">
        <v>3</v>
      </c>
      <c r="I3178">
        <v>1</v>
      </c>
      <c r="J3178" s="4" t="s">
        <v>52</v>
      </c>
      <c r="K3178" t="str">
        <f t="shared" si="160"/>
        <v>1+3</v>
      </c>
      <c r="L3178">
        <f>VLOOKUP(A3178,'ZONE 1 PREMIUM'!$A$4:$N$16,14,0)</f>
        <v>7</v>
      </c>
      <c r="M3178">
        <f>VLOOKUP(D3178,DROPDOWN!B:C,2,0)</f>
        <v>11</v>
      </c>
      <c r="N3178" t="str">
        <f t="shared" si="158"/>
        <v>X50:AP61</v>
      </c>
      <c r="O3178" s="4">
        <f t="shared" ca="1" si="159"/>
        <v>134895</v>
      </c>
    </row>
    <row r="3179" spans="1:15">
      <c r="A3179" s="2" t="s">
        <v>17</v>
      </c>
      <c r="B3179" t="s">
        <v>37</v>
      </c>
      <c r="C3179" t="s">
        <v>38</v>
      </c>
      <c r="D3179">
        <v>40</v>
      </c>
      <c r="E3179" t="s">
        <v>46</v>
      </c>
      <c r="F3179">
        <v>4</v>
      </c>
      <c r="G3179">
        <v>1</v>
      </c>
      <c r="H3179">
        <v>3</v>
      </c>
      <c r="I3179">
        <v>1</v>
      </c>
      <c r="J3179" s="4" t="s">
        <v>52</v>
      </c>
      <c r="K3179" t="str">
        <f t="shared" si="160"/>
        <v>1+3</v>
      </c>
      <c r="L3179">
        <f>VLOOKUP(A3179,'ZONE 1 PREMIUM'!$A$4:$N$16,14,0)</f>
        <v>8</v>
      </c>
      <c r="M3179">
        <f>VLOOKUP(D3179,DROPDOWN!B:C,2,0)</f>
        <v>11</v>
      </c>
      <c r="N3179" t="str">
        <f t="shared" si="158"/>
        <v>X50:AP61</v>
      </c>
      <c r="O3179" s="4">
        <f t="shared" ca="1" si="159"/>
        <v>166023.19999999998</v>
      </c>
    </row>
    <row r="3180" spans="1:15">
      <c r="A3180" s="2" t="s">
        <v>18</v>
      </c>
      <c r="B3180" t="s">
        <v>39</v>
      </c>
      <c r="C3180" t="s">
        <v>40</v>
      </c>
      <c r="D3180">
        <v>40</v>
      </c>
      <c r="E3180" t="s">
        <v>46</v>
      </c>
      <c r="F3180">
        <v>4</v>
      </c>
      <c r="G3180">
        <v>1</v>
      </c>
      <c r="H3180">
        <v>3</v>
      </c>
      <c r="I3180">
        <v>1</v>
      </c>
      <c r="J3180" s="4" t="s">
        <v>52</v>
      </c>
      <c r="K3180" t="str">
        <f t="shared" si="160"/>
        <v>1+3</v>
      </c>
      <c r="L3180">
        <f>VLOOKUP(A3180,'ZONE 1 PREMIUM'!$A$4:$N$16,14,0)</f>
        <v>9</v>
      </c>
      <c r="M3180">
        <f>VLOOKUP(D3180,DROPDOWN!B:C,2,0)</f>
        <v>11</v>
      </c>
      <c r="N3180" t="str">
        <f t="shared" si="158"/>
        <v>X50:AP61</v>
      </c>
      <c r="O3180" s="4">
        <f t="shared" ca="1" si="159"/>
        <v>212768.4</v>
      </c>
    </row>
    <row r="3181" spans="1:15">
      <c r="A3181" s="2" t="s">
        <v>19</v>
      </c>
      <c r="B3181" t="s">
        <v>41</v>
      </c>
      <c r="C3181" t="s">
        <v>42</v>
      </c>
      <c r="D3181">
        <v>40</v>
      </c>
      <c r="E3181" t="s">
        <v>46</v>
      </c>
      <c r="F3181">
        <v>4</v>
      </c>
      <c r="G3181">
        <v>1</v>
      </c>
      <c r="H3181">
        <v>3</v>
      </c>
      <c r="I3181">
        <v>1</v>
      </c>
      <c r="J3181" s="4" t="s">
        <v>52</v>
      </c>
      <c r="K3181" t="str">
        <f t="shared" si="160"/>
        <v>1+3</v>
      </c>
      <c r="L3181">
        <f>VLOOKUP(A3181,'ZONE 1 PREMIUM'!$A$4:$N$16,14,0)</f>
        <v>10</v>
      </c>
      <c r="M3181">
        <f>VLOOKUP(D3181,DROPDOWN!B:C,2,0)</f>
        <v>11</v>
      </c>
      <c r="N3181" t="str">
        <f t="shared" si="158"/>
        <v>X50:AP61</v>
      </c>
      <c r="O3181" s="4">
        <f t="shared" ca="1" si="159"/>
        <v>264651.8</v>
      </c>
    </row>
    <row r="3182" spans="1:15">
      <c r="A3182" s="2" t="s">
        <v>20</v>
      </c>
      <c r="B3182" t="s">
        <v>43</v>
      </c>
      <c r="C3182" t="s">
        <v>44</v>
      </c>
      <c r="D3182">
        <v>40</v>
      </c>
      <c r="E3182" t="s">
        <v>46</v>
      </c>
      <c r="F3182">
        <v>4</v>
      </c>
      <c r="G3182">
        <v>1</v>
      </c>
      <c r="H3182">
        <v>3</v>
      </c>
      <c r="I3182">
        <v>1</v>
      </c>
      <c r="J3182" s="4" t="s">
        <v>52</v>
      </c>
      <c r="K3182" t="str">
        <f t="shared" si="160"/>
        <v>1+3</v>
      </c>
      <c r="L3182">
        <f>VLOOKUP(A3182,'ZONE 1 PREMIUM'!$A$4:$N$16,14,0)</f>
        <v>11</v>
      </c>
      <c r="M3182">
        <f>VLOOKUP(D3182,DROPDOWN!B:C,2,0)</f>
        <v>11</v>
      </c>
      <c r="N3182" t="str">
        <f t="shared" si="158"/>
        <v>X50:AP61</v>
      </c>
      <c r="O3182" s="4">
        <f t="shared" ca="1" si="159"/>
        <v>310127.39999999997</v>
      </c>
    </row>
    <row r="3183" spans="1:15">
      <c r="A3183" s="2" t="s">
        <v>21</v>
      </c>
      <c r="B3183" t="s">
        <v>22</v>
      </c>
      <c r="D3183">
        <v>40</v>
      </c>
      <c r="E3183" t="s">
        <v>46</v>
      </c>
      <c r="F3183">
        <v>4</v>
      </c>
      <c r="G3183">
        <v>1</v>
      </c>
      <c r="H3183">
        <v>3</v>
      </c>
      <c r="I3183">
        <v>1</v>
      </c>
      <c r="J3183" s="4" t="s">
        <v>52</v>
      </c>
      <c r="K3183" t="str">
        <f t="shared" si="160"/>
        <v>1+3</v>
      </c>
      <c r="L3183">
        <f>VLOOKUP(A3183,'ZONE 1 PREMIUM'!$A$4:$N$16,14,0)</f>
        <v>12</v>
      </c>
      <c r="M3183">
        <f>VLOOKUP(D3183,DROPDOWN!B:C,2,0)</f>
        <v>11</v>
      </c>
      <c r="N3183" t="str">
        <f t="shared" si="158"/>
        <v>X50:AP61</v>
      </c>
      <c r="O3183" s="4">
        <f t="shared" ca="1" si="159"/>
        <v>402982.99999999994</v>
      </c>
    </row>
    <row r="3184" spans="1:15">
      <c r="A3184" s="2" t="s">
        <v>11</v>
      </c>
      <c r="B3184" t="s">
        <v>45</v>
      </c>
      <c r="C3184" t="s">
        <v>25</v>
      </c>
      <c r="D3184">
        <v>40</v>
      </c>
      <c r="E3184" t="s">
        <v>46</v>
      </c>
      <c r="F3184">
        <v>5</v>
      </c>
      <c r="G3184">
        <v>1</v>
      </c>
      <c r="H3184">
        <v>4</v>
      </c>
      <c r="I3184">
        <v>1</v>
      </c>
      <c r="J3184" s="4" t="s">
        <v>52</v>
      </c>
      <c r="K3184" t="str">
        <f t="shared" si="160"/>
        <v>1+4</v>
      </c>
      <c r="L3184">
        <f>VLOOKUP(A3184,'ZONE 1 PREMIUM'!$A$4:$N$16,14,0)</f>
        <v>2</v>
      </c>
      <c r="M3184">
        <f>VLOOKUP(D3184,DROPDOWN!B:C,2,0)</f>
        <v>11</v>
      </c>
      <c r="N3184" t="str">
        <f t="shared" si="158"/>
        <v>X65:AP76</v>
      </c>
      <c r="O3184" s="4">
        <f t="shared" ca="1" si="159"/>
        <v>74776.45</v>
      </c>
    </row>
    <row r="3185" spans="1:15">
      <c r="A3185" s="2" t="s">
        <v>12</v>
      </c>
      <c r="B3185" t="s">
        <v>27</v>
      </c>
      <c r="C3185" t="s">
        <v>28</v>
      </c>
      <c r="D3185">
        <v>40</v>
      </c>
      <c r="E3185" t="s">
        <v>46</v>
      </c>
      <c r="F3185">
        <v>5</v>
      </c>
      <c r="G3185">
        <v>1</v>
      </c>
      <c r="H3185">
        <v>4</v>
      </c>
      <c r="I3185">
        <v>1</v>
      </c>
      <c r="J3185" s="4" t="s">
        <v>52</v>
      </c>
      <c r="K3185" t="str">
        <f t="shared" si="160"/>
        <v>1+4</v>
      </c>
      <c r="L3185">
        <f>VLOOKUP(A3185,'ZONE 1 PREMIUM'!$A$4:$N$16,14,0)</f>
        <v>3</v>
      </c>
      <c r="M3185">
        <f>VLOOKUP(D3185,DROPDOWN!B:C,2,0)</f>
        <v>11</v>
      </c>
      <c r="N3185" t="str">
        <f t="shared" si="158"/>
        <v>X65:AP76</v>
      </c>
      <c r="O3185" s="4">
        <f t="shared" ca="1" si="159"/>
        <v>77915.95</v>
      </c>
    </row>
    <row r="3186" spans="1:15">
      <c r="A3186" s="2" t="s">
        <v>13</v>
      </c>
      <c r="B3186" t="s">
        <v>29</v>
      </c>
      <c r="C3186" t="s">
        <v>30</v>
      </c>
      <c r="D3186">
        <v>40</v>
      </c>
      <c r="E3186" t="s">
        <v>46</v>
      </c>
      <c r="F3186">
        <v>5</v>
      </c>
      <c r="G3186">
        <v>1</v>
      </c>
      <c r="H3186">
        <v>4</v>
      </c>
      <c r="I3186">
        <v>1</v>
      </c>
      <c r="J3186" s="4" t="s">
        <v>52</v>
      </c>
      <c r="K3186" t="str">
        <f t="shared" si="160"/>
        <v>1+4</v>
      </c>
      <c r="L3186">
        <f>VLOOKUP(A3186,'ZONE 1 PREMIUM'!$A$4:$N$16,14,0)</f>
        <v>4</v>
      </c>
      <c r="M3186">
        <f>VLOOKUP(D3186,DROPDOWN!B:C,2,0)</f>
        <v>11</v>
      </c>
      <c r="N3186" t="str">
        <f t="shared" si="158"/>
        <v>X65:AP76</v>
      </c>
      <c r="O3186" s="4">
        <f t="shared" ca="1" si="159"/>
        <v>90798.25</v>
      </c>
    </row>
    <row r="3187" spans="1:15">
      <c r="A3187" s="2" t="s">
        <v>14</v>
      </c>
      <c r="B3187" t="s">
        <v>31</v>
      </c>
      <c r="C3187" t="s">
        <v>32</v>
      </c>
      <c r="D3187">
        <v>40</v>
      </c>
      <c r="E3187" t="s">
        <v>46</v>
      </c>
      <c r="F3187">
        <v>5</v>
      </c>
      <c r="G3187">
        <v>1</v>
      </c>
      <c r="H3187">
        <v>4</v>
      </c>
      <c r="I3187">
        <v>1</v>
      </c>
      <c r="J3187" s="4" t="s">
        <v>52</v>
      </c>
      <c r="K3187" t="str">
        <f t="shared" si="160"/>
        <v>1+4</v>
      </c>
      <c r="L3187">
        <f>VLOOKUP(A3187,'ZONE 1 PREMIUM'!$A$4:$N$16,14,0)</f>
        <v>5</v>
      </c>
      <c r="M3187">
        <f>VLOOKUP(D3187,DROPDOWN!B:C,2,0)</f>
        <v>11</v>
      </c>
      <c r="N3187" t="str">
        <f t="shared" si="158"/>
        <v>X65:AP76</v>
      </c>
      <c r="O3187" s="4">
        <f t="shared" ca="1" si="159"/>
        <v>100580.15</v>
      </c>
    </row>
    <row r="3188" spans="1:15">
      <c r="A3188" s="2" t="s">
        <v>15</v>
      </c>
      <c r="B3188" t="s">
        <v>33</v>
      </c>
      <c r="C3188" t="s">
        <v>34</v>
      </c>
      <c r="D3188">
        <v>40</v>
      </c>
      <c r="E3188" t="s">
        <v>46</v>
      </c>
      <c r="F3188">
        <v>5</v>
      </c>
      <c r="G3188">
        <v>1</v>
      </c>
      <c r="H3188">
        <v>4</v>
      </c>
      <c r="I3188">
        <v>1</v>
      </c>
      <c r="J3188" s="4" t="s">
        <v>52</v>
      </c>
      <c r="K3188" t="str">
        <f t="shared" si="160"/>
        <v>1+4</v>
      </c>
      <c r="L3188">
        <f>VLOOKUP(A3188,'ZONE 1 PREMIUM'!$A$4:$N$16,14,0)</f>
        <v>6</v>
      </c>
      <c r="M3188">
        <f>VLOOKUP(D3188,DROPDOWN!B:C,2,0)</f>
        <v>11</v>
      </c>
      <c r="N3188" t="str">
        <f t="shared" si="158"/>
        <v>X65:AP76</v>
      </c>
      <c r="O3188" s="4">
        <f t="shared" ca="1" si="159"/>
        <v>122575.04999999999</v>
      </c>
    </row>
    <row r="3189" spans="1:15">
      <c r="A3189" s="2" t="s">
        <v>16</v>
      </c>
      <c r="B3189" t="s">
        <v>35</v>
      </c>
      <c r="C3189" t="s">
        <v>36</v>
      </c>
      <c r="D3189">
        <v>40</v>
      </c>
      <c r="E3189" t="s">
        <v>46</v>
      </c>
      <c r="F3189">
        <v>5</v>
      </c>
      <c r="G3189">
        <v>1</v>
      </c>
      <c r="H3189">
        <v>4</v>
      </c>
      <c r="I3189">
        <v>1</v>
      </c>
      <c r="J3189" s="4" t="s">
        <v>52</v>
      </c>
      <c r="K3189" t="str">
        <f t="shared" si="160"/>
        <v>1+4</v>
      </c>
      <c r="L3189">
        <f>VLOOKUP(A3189,'ZONE 1 PREMIUM'!$A$4:$N$16,14,0)</f>
        <v>7</v>
      </c>
      <c r="M3189">
        <f>VLOOKUP(D3189,DROPDOWN!B:C,2,0)</f>
        <v>11</v>
      </c>
      <c r="N3189" t="str">
        <f t="shared" si="158"/>
        <v>X65:AP76</v>
      </c>
      <c r="O3189" s="4">
        <f t="shared" ca="1" si="159"/>
        <v>150052</v>
      </c>
    </row>
    <row r="3190" spans="1:15">
      <c r="A3190" s="2" t="s">
        <v>17</v>
      </c>
      <c r="B3190" t="s">
        <v>37</v>
      </c>
      <c r="C3190" t="s">
        <v>38</v>
      </c>
      <c r="D3190">
        <v>40</v>
      </c>
      <c r="E3190" t="s">
        <v>46</v>
      </c>
      <c r="F3190">
        <v>5</v>
      </c>
      <c r="G3190">
        <v>1</v>
      </c>
      <c r="H3190">
        <v>4</v>
      </c>
      <c r="I3190">
        <v>1</v>
      </c>
      <c r="J3190" s="4" t="s">
        <v>52</v>
      </c>
      <c r="K3190" t="str">
        <f t="shared" si="160"/>
        <v>1+4</v>
      </c>
      <c r="L3190">
        <f>VLOOKUP(A3190,'ZONE 1 PREMIUM'!$A$4:$N$16,14,0)</f>
        <v>8</v>
      </c>
      <c r="M3190">
        <f>VLOOKUP(D3190,DROPDOWN!B:C,2,0)</f>
        <v>11</v>
      </c>
      <c r="N3190" t="str">
        <f t="shared" si="158"/>
        <v>X65:AP76</v>
      </c>
      <c r="O3190" s="4">
        <f t="shared" ca="1" si="159"/>
        <v>180788.05</v>
      </c>
    </row>
    <row r="3191" spans="1:15">
      <c r="A3191" s="2" t="s">
        <v>18</v>
      </c>
      <c r="B3191" t="s">
        <v>39</v>
      </c>
      <c r="C3191" t="s">
        <v>40</v>
      </c>
      <c r="D3191">
        <v>40</v>
      </c>
      <c r="E3191" t="s">
        <v>46</v>
      </c>
      <c r="F3191">
        <v>5</v>
      </c>
      <c r="G3191">
        <v>1</v>
      </c>
      <c r="H3191">
        <v>4</v>
      </c>
      <c r="I3191">
        <v>1</v>
      </c>
      <c r="J3191" s="4" t="s">
        <v>52</v>
      </c>
      <c r="K3191" t="str">
        <f t="shared" si="160"/>
        <v>1+4</v>
      </c>
      <c r="L3191">
        <f>VLOOKUP(A3191,'ZONE 1 PREMIUM'!$A$4:$N$16,14,0)</f>
        <v>9</v>
      </c>
      <c r="M3191">
        <f>VLOOKUP(D3191,DROPDOWN!B:C,2,0)</f>
        <v>11</v>
      </c>
      <c r="N3191" t="str">
        <f t="shared" si="158"/>
        <v>X65:AP76</v>
      </c>
      <c r="O3191" s="4">
        <f t="shared" ca="1" si="159"/>
        <v>227897.8</v>
      </c>
    </row>
    <row r="3192" spans="1:15">
      <c r="A3192" s="2" t="s">
        <v>19</v>
      </c>
      <c r="B3192" t="s">
        <v>41</v>
      </c>
      <c r="C3192" t="s">
        <v>42</v>
      </c>
      <c r="D3192">
        <v>40</v>
      </c>
      <c r="E3192" t="s">
        <v>46</v>
      </c>
      <c r="F3192">
        <v>5</v>
      </c>
      <c r="G3192">
        <v>1</v>
      </c>
      <c r="H3192">
        <v>4</v>
      </c>
      <c r="I3192">
        <v>1</v>
      </c>
      <c r="J3192" s="4" t="s">
        <v>52</v>
      </c>
      <c r="K3192" t="str">
        <f t="shared" si="160"/>
        <v>1+4</v>
      </c>
      <c r="L3192">
        <f>VLOOKUP(A3192,'ZONE 1 PREMIUM'!$A$4:$N$16,14,0)</f>
        <v>10</v>
      </c>
      <c r="M3192">
        <f>VLOOKUP(D3192,DROPDOWN!B:C,2,0)</f>
        <v>11</v>
      </c>
      <c r="N3192" t="str">
        <f t="shared" si="158"/>
        <v>X65:AP76</v>
      </c>
      <c r="O3192" s="4">
        <f t="shared" ca="1" si="159"/>
        <v>279481.05</v>
      </c>
    </row>
    <row r="3193" spans="1:15">
      <c r="A3193" s="2" t="s">
        <v>20</v>
      </c>
      <c r="B3193" t="s">
        <v>43</v>
      </c>
      <c r="C3193" t="s">
        <v>44</v>
      </c>
      <c r="D3193">
        <v>40</v>
      </c>
      <c r="E3193" t="s">
        <v>46</v>
      </c>
      <c r="F3193">
        <v>5</v>
      </c>
      <c r="G3193">
        <v>1</v>
      </c>
      <c r="H3193">
        <v>4</v>
      </c>
      <c r="I3193">
        <v>1</v>
      </c>
      <c r="J3193" s="4" t="s">
        <v>52</v>
      </c>
      <c r="K3193" t="str">
        <f t="shared" si="160"/>
        <v>1+4</v>
      </c>
      <c r="L3193">
        <f>VLOOKUP(A3193,'ZONE 1 PREMIUM'!$A$4:$N$16,14,0)</f>
        <v>11</v>
      </c>
      <c r="M3193">
        <f>VLOOKUP(D3193,DROPDOWN!B:C,2,0)</f>
        <v>11</v>
      </c>
      <c r="N3193" t="str">
        <f t="shared" si="158"/>
        <v>X65:AP76</v>
      </c>
      <c r="O3193" s="4">
        <f t="shared" ca="1" si="159"/>
        <v>325003.8</v>
      </c>
    </row>
    <row r="3194" spans="1:15">
      <c r="A3194" s="2" t="s">
        <v>21</v>
      </c>
      <c r="B3194" t="s">
        <v>22</v>
      </c>
      <c r="D3194">
        <v>40</v>
      </c>
      <c r="E3194" t="s">
        <v>46</v>
      </c>
      <c r="F3194">
        <v>5</v>
      </c>
      <c r="G3194">
        <v>1</v>
      </c>
      <c r="H3194">
        <v>4</v>
      </c>
      <c r="I3194">
        <v>1</v>
      </c>
      <c r="J3194" s="4" t="s">
        <v>52</v>
      </c>
      <c r="K3194" t="str">
        <f t="shared" si="160"/>
        <v>1+4</v>
      </c>
      <c r="L3194">
        <f>VLOOKUP(A3194,'ZONE 1 PREMIUM'!$A$4:$N$16,14,0)</f>
        <v>12</v>
      </c>
      <c r="M3194">
        <f>VLOOKUP(D3194,DROPDOWN!B:C,2,0)</f>
        <v>11</v>
      </c>
      <c r="N3194" t="str">
        <f t="shared" si="158"/>
        <v>X65:AP76</v>
      </c>
      <c r="O3194" s="4">
        <f t="shared" ca="1" si="159"/>
        <v>418317.1</v>
      </c>
    </row>
    <row r="3195" spans="1:15">
      <c r="A3195" s="2" t="s">
        <v>11</v>
      </c>
      <c r="B3195" t="s">
        <v>45</v>
      </c>
      <c r="C3195" t="s">
        <v>25</v>
      </c>
      <c r="D3195">
        <v>40</v>
      </c>
      <c r="E3195" t="s">
        <v>46</v>
      </c>
      <c r="F3195">
        <v>2</v>
      </c>
      <c r="G3195">
        <v>2</v>
      </c>
      <c r="H3195">
        <v>0</v>
      </c>
      <c r="I3195">
        <v>1</v>
      </c>
      <c r="J3195" s="4" t="s">
        <v>52</v>
      </c>
      <c r="K3195" t="str">
        <f t="shared" si="160"/>
        <v>2+0</v>
      </c>
      <c r="L3195">
        <f>VLOOKUP(A3195,'ZONE 1 PREMIUM'!$A$4:$N$16,14,0)</f>
        <v>2</v>
      </c>
      <c r="M3195">
        <f>VLOOKUP(D3195,DROPDOWN!B:C,2,0)</f>
        <v>11</v>
      </c>
      <c r="N3195" t="str">
        <f t="shared" si="158"/>
        <v>X81:AP92</v>
      </c>
      <c r="O3195" s="4">
        <f t="shared" ca="1" si="159"/>
        <v>55563.399999999994</v>
      </c>
    </row>
    <row r="3196" spans="1:15">
      <c r="A3196" s="2" t="s">
        <v>12</v>
      </c>
      <c r="B3196" t="s">
        <v>27</v>
      </c>
      <c r="C3196" t="s">
        <v>28</v>
      </c>
      <c r="D3196">
        <v>40</v>
      </c>
      <c r="E3196" t="s">
        <v>46</v>
      </c>
      <c r="F3196">
        <v>2</v>
      </c>
      <c r="G3196">
        <v>2</v>
      </c>
      <c r="H3196">
        <v>0</v>
      </c>
      <c r="I3196">
        <v>1</v>
      </c>
      <c r="J3196" s="4" t="s">
        <v>52</v>
      </c>
      <c r="K3196" t="str">
        <f t="shared" si="160"/>
        <v>2+0</v>
      </c>
      <c r="L3196">
        <f>VLOOKUP(A3196,'ZONE 1 PREMIUM'!$A$4:$N$16,14,0)</f>
        <v>3</v>
      </c>
      <c r="M3196">
        <f>VLOOKUP(D3196,DROPDOWN!B:C,2,0)</f>
        <v>11</v>
      </c>
      <c r="N3196" t="str">
        <f t="shared" si="158"/>
        <v>X81:AP92</v>
      </c>
      <c r="O3196" s="4">
        <f t="shared" ca="1" si="159"/>
        <v>62898.1</v>
      </c>
    </row>
    <row r="3197" spans="1:15">
      <c r="A3197" s="2" t="s">
        <v>13</v>
      </c>
      <c r="B3197" t="s">
        <v>29</v>
      </c>
      <c r="C3197" t="s">
        <v>30</v>
      </c>
      <c r="D3197">
        <v>40</v>
      </c>
      <c r="E3197" t="s">
        <v>46</v>
      </c>
      <c r="F3197">
        <v>2</v>
      </c>
      <c r="G3197">
        <v>2</v>
      </c>
      <c r="H3197">
        <v>0</v>
      </c>
      <c r="I3197">
        <v>1</v>
      </c>
      <c r="J3197" s="4" t="s">
        <v>52</v>
      </c>
      <c r="K3197" t="str">
        <f t="shared" si="160"/>
        <v>2+0</v>
      </c>
      <c r="L3197">
        <f>VLOOKUP(A3197,'ZONE 1 PREMIUM'!$A$4:$N$16,14,0)</f>
        <v>4</v>
      </c>
      <c r="M3197">
        <f>VLOOKUP(D3197,DROPDOWN!B:C,2,0)</f>
        <v>11</v>
      </c>
      <c r="N3197" t="str">
        <f t="shared" si="158"/>
        <v>X81:AP92</v>
      </c>
      <c r="O3197" s="4">
        <f t="shared" ca="1" si="159"/>
        <v>70031.549999999988</v>
      </c>
    </row>
    <row r="3198" spans="1:15">
      <c r="A3198" s="2" t="s">
        <v>14</v>
      </c>
      <c r="B3198" t="s">
        <v>31</v>
      </c>
      <c r="C3198" t="s">
        <v>32</v>
      </c>
      <c r="D3198">
        <v>40</v>
      </c>
      <c r="E3198" t="s">
        <v>46</v>
      </c>
      <c r="F3198">
        <v>2</v>
      </c>
      <c r="G3198">
        <v>2</v>
      </c>
      <c r="H3198">
        <v>0</v>
      </c>
      <c r="I3198">
        <v>1</v>
      </c>
      <c r="J3198" s="4" t="s">
        <v>52</v>
      </c>
      <c r="K3198" t="str">
        <f t="shared" si="160"/>
        <v>2+0</v>
      </c>
      <c r="L3198">
        <f>VLOOKUP(A3198,'ZONE 1 PREMIUM'!$A$4:$N$16,14,0)</f>
        <v>5</v>
      </c>
      <c r="M3198">
        <f>VLOOKUP(D3198,DROPDOWN!B:C,2,0)</f>
        <v>11</v>
      </c>
      <c r="N3198" t="str">
        <f t="shared" si="158"/>
        <v>X81:AP92</v>
      </c>
      <c r="O3198" s="4">
        <f t="shared" ca="1" si="159"/>
        <v>81276.25</v>
      </c>
    </row>
    <row r="3199" spans="1:15">
      <c r="A3199" s="2" t="s">
        <v>15</v>
      </c>
      <c r="B3199" t="s">
        <v>33</v>
      </c>
      <c r="C3199" t="s">
        <v>34</v>
      </c>
      <c r="D3199">
        <v>40</v>
      </c>
      <c r="E3199" t="s">
        <v>46</v>
      </c>
      <c r="F3199">
        <v>2</v>
      </c>
      <c r="G3199">
        <v>2</v>
      </c>
      <c r="H3199">
        <v>0</v>
      </c>
      <c r="I3199">
        <v>1</v>
      </c>
      <c r="J3199" s="4" t="s">
        <v>52</v>
      </c>
      <c r="K3199" t="str">
        <f t="shared" si="160"/>
        <v>2+0</v>
      </c>
      <c r="L3199">
        <f>VLOOKUP(A3199,'ZONE 1 PREMIUM'!$A$4:$N$16,14,0)</f>
        <v>6</v>
      </c>
      <c r="M3199">
        <f>VLOOKUP(D3199,DROPDOWN!B:C,2,0)</f>
        <v>11</v>
      </c>
      <c r="N3199" t="str">
        <f t="shared" si="158"/>
        <v>X81:AP92</v>
      </c>
      <c r="O3199" s="4">
        <f t="shared" ca="1" si="159"/>
        <v>104461.4</v>
      </c>
    </row>
    <row r="3200" spans="1:15">
      <c r="A3200" s="2" t="s">
        <v>16</v>
      </c>
      <c r="B3200" t="s">
        <v>35</v>
      </c>
      <c r="C3200" t="s">
        <v>36</v>
      </c>
      <c r="D3200">
        <v>40</v>
      </c>
      <c r="E3200" t="s">
        <v>46</v>
      </c>
      <c r="F3200">
        <v>2</v>
      </c>
      <c r="G3200">
        <v>2</v>
      </c>
      <c r="H3200">
        <v>0</v>
      </c>
      <c r="I3200">
        <v>1</v>
      </c>
      <c r="J3200" s="4" t="s">
        <v>52</v>
      </c>
      <c r="K3200" t="str">
        <f t="shared" si="160"/>
        <v>2+0</v>
      </c>
      <c r="L3200">
        <f>VLOOKUP(A3200,'ZONE 1 PREMIUM'!$A$4:$N$16,14,0)</f>
        <v>7</v>
      </c>
      <c r="M3200">
        <f>VLOOKUP(D3200,DROPDOWN!B:C,2,0)</f>
        <v>11</v>
      </c>
      <c r="N3200" t="str">
        <f t="shared" si="158"/>
        <v>X81:AP92</v>
      </c>
      <c r="O3200" s="4">
        <f t="shared" ca="1" si="159"/>
        <v>138906.19999999998</v>
      </c>
    </row>
    <row r="3201" spans="1:15">
      <c r="A3201" s="2" t="s">
        <v>17</v>
      </c>
      <c r="B3201" t="s">
        <v>37</v>
      </c>
      <c r="C3201" t="s">
        <v>38</v>
      </c>
      <c r="D3201">
        <v>40</v>
      </c>
      <c r="E3201" t="s">
        <v>46</v>
      </c>
      <c r="F3201">
        <v>2</v>
      </c>
      <c r="G3201">
        <v>2</v>
      </c>
      <c r="H3201">
        <v>0</v>
      </c>
      <c r="I3201">
        <v>1</v>
      </c>
      <c r="J3201" s="4" t="s">
        <v>52</v>
      </c>
      <c r="K3201" t="str">
        <f t="shared" si="160"/>
        <v>2+0</v>
      </c>
      <c r="L3201">
        <f>VLOOKUP(A3201,'ZONE 1 PREMIUM'!$A$4:$N$16,14,0)</f>
        <v>8</v>
      </c>
      <c r="M3201">
        <f>VLOOKUP(D3201,DROPDOWN!B:C,2,0)</f>
        <v>11</v>
      </c>
      <c r="N3201" t="str">
        <f t="shared" si="158"/>
        <v>X81:AP92</v>
      </c>
      <c r="O3201" s="4">
        <f t="shared" ca="1" si="159"/>
        <v>190756.24999999997</v>
      </c>
    </row>
    <row r="3202" spans="1:15">
      <c r="A3202" s="2" t="s">
        <v>18</v>
      </c>
      <c r="B3202" t="s">
        <v>39</v>
      </c>
      <c r="C3202" t="s">
        <v>40</v>
      </c>
      <c r="D3202">
        <v>40</v>
      </c>
      <c r="E3202" t="s">
        <v>46</v>
      </c>
      <c r="F3202">
        <v>2</v>
      </c>
      <c r="G3202">
        <v>2</v>
      </c>
      <c r="H3202">
        <v>0</v>
      </c>
      <c r="I3202">
        <v>1</v>
      </c>
      <c r="J3202" s="4" t="s">
        <v>52</v>
      </c>
      <c r="K3202" t="str">
        <f t="shared" si="160"/>
        <v>2+0</v>
      </c>
      <c r="L3202">
        <f>VLOOKUP(A3202,'ZONE 1 PREMIUM'!$A$4:$N$16,14,0)</f>
        <v>9</v>
      </c>
      <c r="M3202">
        <f>VLOOKUP(D3202,DROPDOWN!B:C,2,0)</f>
        <v>11</v>
      </c>
      <c r="N3202" t="str">
        <f t="shared" ref="N3202:N3249" si="161">VLOOKUP(K3202,$AQ$3:$AR$12,2,0)</f>
        <v>X81:AP92</v>
      </c>
      <c r="O3202" s="4">
        <f t="shared" ref="O3202:O3265" ca="1" si="162">INDEX(INDIRECT(N3202),L3202,M3202)</f>
        <v>269265.59999999998</v>
      </c>
    </row>
    <row r="3203" spans="1:15">
      <c r="A3203" s="2" t="s">
        <v>19</v>
      </c>
      <c r="B3203" t="s">
        <v>41</v>
      </c>
      <c r="C3203" t="s">
        <v>42</v>
      </c>
      <c r="D3203">
        <v>40</v>
      </c>
      <c r="E3203" t="s">
        <v>46</v>
      </c>
      <c r="F3203">
        <v>2</v>
      </c>
      <c r="G3203">
        <v>2</v>
      </c>
      <c r="H3203">
        <v>0</v>
      </c>
      <c r="I3203">
        <v>1</v>
      </c>
      <c r="J3203" s="4" t="s">
        <v>52</v>
      </c>
      <c r="K3203" t="str">
        <f t="shared" si="160"/>
        <v>2+0</v>
      </c>
      <c r="L3203">
        <f>VLOOKUP(A3203,'ZONE 1 PREMIUM'!$A$4:$N$16,14,0)</f>
        <v>10</v>
      </c>
      <c r="M3203">
        <f>VLOOKUP(D3203,DROPDOWN!B:C,2,0)</f>
        <v>11</v>
      </c>
      <c r="N3203" t="str">
        <f t="shared" si="161"/>
        <v>X81:AP92</v>
      </c>
      <c r="O3203" s="4">
        <f t="shared" ca="1" si="162"/>
        <v>379587.39999999997</v>
      </c>
    </row>
    <row r="3204" spans="1:15">
      <c r="A3204" s="2" t="s">
        <v>20</v>
      </c>
      <c r="B3204" t="s">
        <v>43</v>
      </c>
      <c r="C3204" t="s">
        <v>44</v>
      </c>
      <c r="D3204">
        <v>40</v>
      </c>
      <c r="E3204" t="s">
        <v>46</v>
      </c>
      <c r="F3204">
        <v>2</v>
      </c>
      <c r="G3204">
        <v>2</v>
      </c>
      <c r="H3204">
        <v>0</v>
      </c>
      <c r="I3204">
        <v>1</v>
      </c>
      <c r="J3204" s="4" t="s">
        <v>52</v>
      </c>
      <c r="K3204" t="str">
        <f t="shared" ref="K3204:K3267" si="163">G3204&amp;"+"&amp;H3204</f>
        <v>2+0</v>
      </c>
      <c r="L3204">
        <f>VLOOKUP(A3204,'ZONE 1 PREMIUM'!$A$4:$N$16,14,0)</f>
        <v>11</v>
      </c>
      <c r="M3204">
        <f>VLOOKUP(D3204,DROPDOWN!B:C,2,0)</f>
        <v>11</v>
      </c>
      <c r="N3204" t="str">
        <f t="shared" si="161"/>
        <v>X81:AP92</v>
      </c>
      <c r="O3204" s="4">
        <f t="shared" ca="1" si="162"/>
        <v>473694.19999999995</v>
      </c>
    </row>
    <row r="3205" spans="1:15">
      <c r="A3205" s="2" t="s">
        <v>21</v>
      </c>
      <c r="B3205" t="s">
        <v>22</v>
      </c>
      <c r="D3205">
        <v>40</v>
      </c>
      <c r="E3205" t="s">
        <v>46</v>
      </c>
      <c r="F3205">
        <v>2</v>
      </c>
      <c r="G3205">
        <v>2</v>
      </c>
      <c r="H3205">
        <v>0</v>
      </c>
      <c r="I3205">
        <v>1</v>
      </c>
      <c r="J3205" s="4" t="s">
        <v>52</v>
      </c>
      <c r="K3205" t="str">
        <f t="shared" si="163"/>
        <v>2+0</v>
      </c>
      <c r="L3205">
        <f>VLOOKUP(A3205,'ZONE 1 PREMIUM'!$A$4:$N$16,14,0)</f>
        <v>12</v>
      </c>
      <c r="M3205">
        <f>VLOOKUP(D3205,DROPDOWN!B:C,2,0)</f>
        <v>11</v>
      </c>
      <c r="N3205" t="str">
        <f t="shared" si="161"/>
        <v>X81:AP92</v>
      </c>
      <c r="O3205" s="4">
        <f t="shared" ca="1" si="162"/>
        <v>609455.14999999991</v>
      </c>
    </row>
    <row r="3206" spans="1:15">
      <c r="A3206" s="2" t="s">
        <v>11</v>
      </c>
      <c r="B3206" t="s">
        <v>45</v>
      </c>
      <c r="C3206" t="s">
        <v>25</v>
      </c>
      <c r="D3206">
        <v>40</v>
      </c>
      <c r="E3206" t="s">
        <v>46</v>
      </c>
      <c r="F3206">
        <v>3</v>
      </c>
      <c r="G3206">
        <v>2</v>
      </c>
      <c r="H3206">
        <v>1</v>
      </c>
      <c r="I3206">
        <v>1</v>
      </c>
      <c r="J3206" s="4" t="s">
        <v>52</v>
      </c>
      <c r="K3206" t="str">
        <f t="shared" si="163"/>
        <v>2+1</v>
      </c>
      <c r="L3206">
        <f>VLOOKUP(A3206,'ZONE 1 PREMIUM'!$A$4:$N$16,14,0)</f>
        <v>2</v>
      </c>
      <c r="M3206">
        <f>VLOOKUP(D3206,DROPDOWN!B:C,2,0)</f>
        <v>11</v>
      </c>
      <c r="N3206" t="str">
        <f t="shared" si="161"/>
        <v>X98:AP109</v>
      </c>
      <c r="O3206" s="4">
        <f t="shared" ca="1" si="162"/>
        <v>67433.7</v>
      </c>
    </row>
    <row r="3207" spans="1:15">
      <c r="A3207" s="2" t="s">
        <v>12</v>
      </c>
      <c r="B3207" t="s">
        <v>27</v>
      </c>
      <c r="C3207" t="s">
        <v>28</v>
      </c>
      <c r="D3207">
        <v>40</v>
      </c>
      <c r="E3207" t="s">
        <v>46</v>
      </c>
      <c r="F3207">
        <v>3</v>
      </c>
      <c r="G3207">
        <v>2</v>
      </c>
      <c r="H3207">
        <v>1</v>
      </c>
      <c r="I3207">
        <v>1</v>
      </c>
      <c r="J3207" s="4" t="s">
        <v>52</v>
      </c>
      <c r="K3207" t="str">
        <f t="shared" si="163"/>
        <v>2+1</v>
      </c>
      <c r="L3207">
        <f>VLOOKUP(A3207,'ZONE 1 PREMIUM'!$A$4:$N$16,14,0)</f>
        <v>3</v>
      </c>
      <c r="M3207">
        <f>VLOOKUP(D3207,DROPDOWN!B:C,2,0)</f>
        <v>11</v>
      </c>
      <c r="N3207" t="str">
        <f t="shared" si="161"/>
        <v>X98:AP109</v>
      </c>
      <c r="O3207" s="4">
        <f t="shared" ca="1" si="162"/>
        <v>74562.549999999988</v>
      </c>
    </row>
    <row r="3208" spans="1:15">
      <c r="A3208" s="2" t="s">
        <v>13</v>
      </c>
      <c r="B3208" t="s">
        <v>29</v>
      </c>
      <c r="C3208" t="s">
        <v>30</v>
      </c>
      <c r="D3208">
        <v>40</v>
      </c>
      <c r="E3208" t="s">
        <v>46</v>
      </c>
      <c r="F3208">
        <v>3</v>
      </c>
      <c r="G3208">
        <v>2</v>
      </c>
      <c r="H3208">
        <v>1</v>
      </c>
      <c r="I3208">
        <v>1</v>
      </c>
      <c r="J3208" s="4" t="s">
        <v>52</v>
      </c>
      <c r="K3208" t="str">
        <f t="shared" si="163"/>
        <v>2+1</v>
      </c>
      <c r="L3208">
        <f>VLOOKUP(A3208,'ZONE 1 PREMIUM'!$A$4:$N$16,14,0)</f>
        <v>4</v>
      </c>
      <c r="M3208">
        <f>VLOOKUP(D3208,DROPDOWN!B:C,2,0)</f>
        <v>11</v>
      </c>
      <c r="N3208" t="str">
        <f t="shared" si="161"/>
        <v>X98:AP109</v>
      </c>
      <c r="O3208" s="4">
        <f t="shared" ca="1" si="162"/>
        <v>83714.25</v>
      </c>
    </row>
    <row r="3209" spans="1:15">
      <c r="A3209" s="2" t="s">
        <v>14</v>
      </c>
      <c r="B3209" t="s">
        <v>31</v>
      </c>
      <c r="C3209" t="s">
        <v>32</v>
      </c>
      <c r="D3209">
        <v>40</v>
      </c>
      <c r="E3209" t="s">
        <v>46</v>
      </c>
      <c r="F3209">
        <v>3</v>
      </c>
      <c r="G3209">
        <v>2</v>
      </c>
      <c r="H3209">
        <v>1</v>
      </c>
      <c r="I3209">
        <v>1</v>
      </c>
      <c r="J3209" s="4" t="s">
        <v>52</v>
      </c>
      <c r="K3209" t="str">
        <f t="shared" si="163"/>
        <v>2+1</v>
      </c>
      <c r="L3209">
        <f>VLOOKUP(A3209,'ZONE 1 PREMIUM'!$A$4:$N$16,14,0)</f>
        <v>5</v>
      </c>
      <c r="M3209">
        <f>VLOOKUP(D3209,DROPDOWN!B:C,2,0)</f>
        <v>11</v>
      </c>
      <c r="N3209" t="str">
        <f t="shared" si="161"/>
        <v>X98:AP109</v>
      </c>
      <c r="O3209" s="4">
        <f t="shared" ca="1" si="162"/>
        <v>95959.45</v>
      </c>
    </row>
    <row r="3210" spans="1:15">
      <c r="A3210" s="2" t="s">
        <v>15</v>
      </c>
      <c r="B3210" t="s">
        <v>33</v>
      </c>
      <c r="C3210" t="s">
        <v>34</v>
      </c>
      <c r="D3210">
        <v>40</v>
      </c>
      <c r="E3210" t="s">
        <v>46</v>
      </c>
      <c r="F3210">
        <v>3</v>
      </c>
      <c r="G3210">
        <v>2</v>
      </c>
      <c r="H3210">
        <v>1</v>
      </c>
      <c r="I3210">
        <v>1</v>
      </c>
      <c r="J3210" s="4" t="s">
        <v>52</v>
      </c>
      <c r="K3210" t="str">
        <f t="shared" si="163"/>
        <v>2+1</v>
      </c>
      <c r="L3210">
        <f>VLOOKUP(A3210,'ZONE 1 PREMIUM'!$A$4:$N$16,14,0)</f>
        <v>6</v>
      </c>
      <c r="M3210">
        <f>VLOOKUP(D3210,DROPDOWN!B:C,2,0)</f>
        <v>11</v>
      </c>
      <c r="N3210" t="str">
        <f t="shared" si="161"/>
        <v>X98:AP109</v>
      </c>
      <c r="O3210" s="4">
        <f t="shared" ca="1" si="162"/>
        <v>121031.74999999999</v>
      </c>
    </row>
    <row r="3211" spans="1:15">
      <c r="A3211" s="2" t="s">
        <v>16</v>
      </c>
      <c r="B3211" t="s">
        <v>35</v>
      </c>
      <c r="C3211" t="s">
        <v>36</v>
      </c>
      <c r="D3211">
        <v>40</v>
      </c>
      <c r="E3211" t="s">
        <v>46</v>
      </c>
      <c r="F3211">
        <v>3</v>
      </c>
      <c r="G3211">
        <v>2</v>
      </c>
      <c r="H3211">
        <v>1</v>
      </c>
      <c r="I3211">
        <v>1</v>
      </c>
      <c r="J3211" s="4" t="s">
        <v>52</v>
      </c>
      <c r="K3211" t="str">
        <f t="shared" si="163"/>
        <v>2+1</v>
      </c>
      <c r="L3211">
        <f>VLOOKUP(A3211,'ZONE 1 PREMIUM'!$A$4:$N$16,14,0)</f>
        <v>7</v>
      </c>
      <c r="M3211">
        <f>VLOOKUP(D3211,DROPDOWN!B:C,2,0)</f>
        <v>11</v>
      </c>
      <c r="N3211" t="str">
        <f t="shared" si="161"/>
        <v>X98:AP109</v>
      </c>
      <c r="O3211" s="4">
        <f t="shared" ca="1" si="162"/>
        <v>159539.5</v>
      </c>
    </row>
    <row r="3212" spans="1:15">
      <c r="A3212" s="2" t="s">
        <v>17</v>
      </c>
      <c r="B3212" t="s">
        <v>37</v>
      </c>
      <c r="C3212" t="s">
        <v>38</v>
      </c>
      <c r="D3212">
        <v>40</v>
      </c>
      <c r="E3212" t="s">
        <v>46</v>
      </c>
      <c r="F3212">
        <v>3</v>
      </c>
      <c r="G3212">
        <v>2</v>
      </c>
      <c r="H3212">
        <v>1</v>
      </c>
      <c r="I3212">
        <v>1</v>
      </c>
      <c r="J3212" s="4" t="s">
        <v>52</v>
      </c>
      <c r="K3212" t="str">
        <f t="shared" si="163"/>
        <v>2+1</v>
      </c>
      <c r="L3212">
        <f>VLOOKUP(A3212,'ZONE 1 PREMIUM'!$A$4:$N$16,14,0)</f>
        <v>8</v>
      </c>
      <c r="M3212">
        <f>VLOOKUP(D3212,DROPDOWN!B:C,2,0)</f>
        <v>11</v>
      </c>
      <c r="N3212" t="str">
        <f t="shared" si="161"/>
        <v>X98:AP109</v>
      </c>
      <c r="O3212" s="4">
        <f t="shared" ca="1" si="162"/>
        <v>213014.49999999997</v>
      </c>
    </row>
    <row r="3213" spans="1:15">
      <c r="A3213" s="2" t="s">
        <v>18</v>
      </c>
      <c r="B3213" t="s">
        <v>39</v>
      </c>
      <c r="C3213" t="s">
        <v>40</v>
      </c>
      <c r="D3213">
        <v>40</v>
      </c>
      <c r="E3213" t="s">
        <v>46</v>
      </c>
      <c r="F3213">
        <v>3</v>
      </c>
      <c r="G3213">
        <v>2</v>
      </c>
      <c r="H3213">
        <v>1</v>
      </c>
      <c r="I3213">
        <v>1</v>
      </c>
      <c r="J3213" s="4" t="s">
        <v>52</v>
      </c>
      <c r="K3213" t="str">
        <f t="shared" si="163"/>
        <v>2+1</v>
      </c>
      <c r="L3213">
        <f>VLOOKUP(A3213,'ZONE 1 PREMIUM'!$A$4:$N$16,14,0)</f>
        <v>9</v>
      </c>
      <c r="M3213">
        <f>VLOOKUP(D3213,DROPDOWN!B:C,2,0)</f>
        <v>11</v>
      </c>
      <c r="N3213" t="str">
        <f t="shared" si="161"/>
        <v>X98:AP109</v>
      </c>
      <c r="O3213" s="4">
        <f t="shared" ca="1" si="162"/>
        <v>291930.94999999995</v>
      </c>
    </row>
    <row r="3214" spans="1:15">
      <c r="A3214" s="2" t="s">
        <v>19</v>
      </c>
      <c r="B3214" t="s">
        <v>41</v>
      </c>
      <c r="C3214" t="s">
        <v>42</v>
      </c>
      <c r="D3214">
        <v>40</v>
      </c>
      <c r="E3214" t="s">
        <v>46</v>
      </c>
      <c r="F3214">
        <v>3</v>
      </c>
      <c r="G3214">
        <v>2</v>
      </c>
      <c r="H3214">
        <v>1</v>
      </c>
      <c r="I3214">
        <v>1</v>
      </c>
      <c r="J3214" s="4" t="s">
        <v>52</v>
      </c>
      <c r="K3214" t="str">
        <f t="shared" si="163"/>
        <v>2+1</v>
      </c>
      <c r="L3214">
        <f>VLOOKUP(A3214,'ZONE 1 PREMIUM'!$A$4:$N$16,14,0)</f>
        <v>10</v>
      </c>
      <c r="M3214">
        <f>VLOOKUP(D3214,DROPDOWN!B:C,2,0)</f>
        <v>11</v>
      </c>
      <c r="N3214" t="str">
        <f t="shared" si="161"/>
        <v>X98:AP109</v>
      </c>
      <c r="O3214" s="4">
        <f t="shared" ca="1" si="162"/>
        <v>393780.69999999995</v>
      </c>
    </row>
    <row r="3215" spans="1:15">
      <c r="A3215" s="2" t="s">
        <v>20</v>
      </c>
      <c r="B3215" t="s">
        <v>43</v>
      </c>
      <c r="C3215" t="s">
        <v>44</v>
      </c>
      <c r="D3215">
        <v>40</v>
      </c>
      <c r="E3215" t="s">
        <v>46</v>
      </c>
      <c r="F3215">
        <v>3</v>
      </c>
      <c r="G3215">
        <v>2</v>
      </c>
      <c r="H3215">
        <v>1</v>
      </c>
      <c r="I3215">
        <v>1</v>
      </c>
      <c r="J3215" s="4" t="s">
        <v>52</v>
      </c>
      <c r="K3215" t="str">
        <f t="shared" si="163"/>
        <v>2+1</v>
      </c>
      <c r="L3215">
        <f>VLOOKUP(A3215,'ZONE 1 PREMIUM'!$A$4:$N$16,14,0)</f>
        <v>11</v>
      </c>
      <c r="M3215">
        <f>VLOOKUP(D3215,DROPDOWN!B:C,2,0)</f>
        <v>11</v>
      </c>
      <c r="N3215" t="str">
        <f t="shared" si="161"/>
        <v>X98:AP109</v>
      </c>
      <c r="O3215" s="4">
        <f t="shared" ca="1" si="162"/>
        <v>484684.74999999994</v>
      </c>
    </row>
    <row r="3216" spans="1:15">
      <c r="A3216" s="2" t="s">
        <v>21</v>
      </c>
      <c r="B3216" t="s">
        <v>22</v>
      </c>
      <c r="D3216">
        <v>40</v>
      </c>
      <c r="E3216" t="s">
        <v>46</v>
      </c>
      <c r="F3216">
        <v>3</v>
      </c>
      <c r="G3216">
        <v>2</v>
      </c>
      <c r="H3216">
        <v>1</v>
      </c>
      <c r="I3216">
        <v>1</v>
      </c>
      <c r="J3216" s="4" t="s">
        <v>52</v>
      </c>
      <c r="K3216" t="str">
        <f t="shared" si="163"/>
        <v>2+1</v>
      </c>
      <c r="L3216">
        <f>VLOOKUP(A3216,'ZONE 1 PREMIUM'!$A$4:$N$16,14,0)</f>
        <v>12</v>
      </c>
      <c r="M3216">
        <f>VLOOKUP(D3216,DROPDOWN!B:C,2,0)</f>
        <v>11</v>
      </c>
      <c r="N3216" t="str">
        <f t="shared" si="161"/>
        <v>X98:AP109</v>
      </c>
      <c r="O3216" s="4">
        <f t="shared" ca="1" si="162"/>
        <v>619883.35</v>
      </c>
    </row>
    <row r="3217" spans="1:15">
      <c r="A3217" s="2" t="s">
        <v>11</v>
      </c>
      <c r="B3217" t="s">
        <v>45</v>
      </c>
      <c r="C3217" t="s">
        <v>25</v>
      </c>
      <c r="D3217">
        <v>40</v>
      </c>
      <c r="E3217" t="s">
        <v>46</v>
      </c>
      <c r="F3217">
        <v>4</v>
      </c>
      <c r="G3217">
        <v>2</v>
      </c>
      <c r="H3217">
        <v>2</v>
      </c>
      <c r="I3217">
        <v>1</v>
      </c>
      <c r="J3217" s="4" t="s">
        <v>52</v>
      </c>
      <c r="K3217" t="str">
        <f t="shared" si="163"/>
        <v>2+2</v>
      </c>
      <c r="L3217">
        <f>VLOOKUP(A3217,'ZONE 1 PREMIUM'!$A$4:$N$16,14,0)</f>
        <v>2</v>
      </c>
      <c r="M3217">
        <f>VLOOKUP(D3217,DROPDOWN!B:C,2,0)</f>
        <v>11</v>
      </c>
      <c r="N3217" t="str">
        <f t="shared" si="161"/>
        <v>X113:AP124</v>
      </c>
      <c r="O3217" s="4">
        <f t="shared" ca="1" si="162"/>
        <v>79141.849999999991</v>
      </c>
    </row>
    <row r="3218" spans="1:15">
      <c r="A3218" s="2" t="s">
        <v>12</v>
      </c>
      <c r="B3218" t="s">
        <v>27</v>
      </c>
      <c r="C3218" t="s">
        <v>28</v>
      </c>
      <c r="D3218">
        <v>40</v>
      </c>
      <c r="E3218" t="s">
        <v>46</v>
      </c>
      <c r="F3218">
        <v>4</v>
      </c>
      <c r="G3218">
        <v>2</v>
      </c>
      <c r="H3218">
        <v>2</v>
      </c>
      <c r="I3218">
        <v>1</v>
      </c>
      <c r="J3218" s="4" t="s">
        <v>52</v>
      </c>
      <c r="K3218" t="str">
        <f t="shared" si="163"/>
        <v>2+2</v>
      </c>
      <c r="L3218">
        <f>VLOOKUP(A3218,'ZONE 1 PREMIUM'!$A$4:$N$16,14,0)</f>
        <v>3</v>
      </c>
      <c r="M3218">
        <f>VLOOKUP(D3218,DROPDOWN!B:C,2,0)</f>
        <v>11</v>
      </c>
      <c r="N3218" t="str">
        <f t="shared" si="161"/>
        <v>X113:AP124</v>
      </c>
      <c r="O3218" s="4">
        <f t="shared" ca="1" si="162"/>
        <v>86064.849999999991</v>
      </c>
    </row>
    <row r="3219" spans="1:15">
      <c r="A3219" s="2" t="s">
        <v>13</v>
      </c>
      <c r="B3219" t="s">
        <v>29</v>
      </c>
      <c r="C3219" t="s">
        <v>30</v>
      </c>
      <c r="D3219">
        <v>40</v>
      </c>
      <c r="E3219" t="s">
        <v>46</v>
      </c>
      <c r="F3219">
        <v>4</v>
      </c>
      <c r="G3219">
        <v>2</v>
      </c>
      <c r="H3219">
        <v>2</v>
      </c>
      <c r="I3219">
        <v>1</v>
      </c>
      <c r="J3219" s="4" t="s">
        <v>52</v>
      </c>
      <c r="K3219" t="str">
        <f t="shared" si="163"/>
        <v>2+2</v>
      </c>
      <c r="L3219">
        <f>VLOOKUP(A3219,'ZONE 1 PREMIUM'!$A$4:$N$16,14,0)</f>
        <v>4</v>
      </c>
      <c r="M3219">
        <f>VLOOKUP(D3219,DROPDOWN!B:C,2,0)</f>
        <v>11</v>
      </c>
      <c r="N3219" t="str">
        <f t="shared" si="161"/>
        <v>X113:AP124</v>
      </c>
      <c r="O3219" s="4">
        <f t="shared" ca="1" si="162"/>
        <v>97161.2</v>
      </c>
    </row>
    <row r="3220" spans="1:15">
      <c r="A3220" s="2" t="s">
        <v>14</v>
      </c>
      <c r="B3220" t="s">
        <v>31</v>
      </c>
      <c r="C3220" t="s">
        <v>32</v>
      </c>
      <c r="D3220">
        <v>40</v>
      </c>
      <c r="E3220" t="s">
        <v>46</v>
      </c>
      <c r="F3220">
        <v>4</v>
      </c>
      <c r="G3220">
        <v>2</v>
      </c>
      <c r="H3220">
        <v>2</v>
      </c>
      <c r="I3220">
        <v>1</v>
      </c>
      <c r="J3220" s="4" t="s">
        <v>52</v>
      </c>
      <c r="K3220" t="str">
        <f t="shared" si="163"/>
        <v>2+2</v>
      </c>
      <c r="L3220">
        <f>VLOOKUP(A3220,'ZONE 1 PREMIUM'!$A$4:$N$16,14,0)</f>
        <v>5</v>
      </c>
      <c r="M3220">
        <f>VLOOKUP(D3220,DROPDOWN!B:C,2,0)</f>
        <v>11</v>
      </c>
      <c r="N3220" t="str">
        <f t="shared" si="161"/>
        <v>X113:AP124</v>
      </c>
      <c r="O3220" s="4">
        <f t="shared" ca="1" si="162"/>
        <v>110352.84999999999</v>
      </c>
    </row>
    <row r="3221" spans="1:15">
      <c r="A3221" s="2" t="s">
        <v>15</v>
      </c>
      <c r="B3221" t="s">
        <v>33</v>
      </c>
      <c r="C3221" t="s">
        <v>34</v>
      </c>
      <c r="D3221">
        <v>40</v>
      </c>
      <c r="E3221" t="s">
        <v>46</v>
      </c>
      <c r="F3221">
        <v>4</v>
      </c>
      <c r="G3221">
        <v>2</v>
      </c>
      <c r="H3221">
        <v>2</v>
      </c>
      <c r="I3221">
        <v>1</v>
      </c>
      <c r="J3221" s="4" t="s">
        <v>52</v>
      </c>
      <c r="K3221" t="str">
        <f t="shared" si="163"/>
        <v>2+2</v>
      </c>
      <c r="L3221">
        <f>VLOOKUP(A3221,'ZONE 1 PREMIUM'!$A$4:$N$16,14,0)</f>
        <v>6</v>
      </c>
      <c r="M3221">
        <f>VLOOKUP(D3221,DROPDOWN!B:C,2,0)</f>
        <v>11</v>
      </c>
      <c r="N3221" t="str">
        <f t="shared" si="161"/>
        <v>X113:AP124</v>
      </c>
      <c r="O3221" s="4">
        <f t="shared" ca="1" si="162"/>
        <v>137249.04999999999</v>
      </c>
    </row>
    <row r="3222" spans="1:15">
      <c r="A3222" s="2" t="s">
        <v>16</v>
      </c>
      <c r="B3222" t="s">
        <v>35</v>
      </c>
      <c r="C3222" t="s">
        <v>36</v>
      </c>
      <c r="D3222">
        <v>40</v>
      </c>
      <c r="E3222" t="s">
        <v>46</v>
      </c>
      <c r="F3222">
        <v>4</v>
      </c>
      <c r="G3222">
        <v>2</v>
      </c>
      <c r="H3222">
        <v>2</v>
      </c>
      <c r="I3222">
        <v>1</v>
      </c>
      <c r="J3222" s="4" t="s">
        <v>52</v>
      </c>
      <c r="K3222" t="str">
        <f t="shared" si="163"/>
        <v>2+2</v>
      </c>
      <c r="L3222">
        <f>VLOOKUP(A3222,'ZONE 1 PREMIUM'!$A$4:$N$16,14,0)</f>
        <v>7</v>
      </c>
      <c r="M3222">
        <f>VLOOKUP(D3222,DROPDOWN!B:C,2,0)</f>
        <v>11</v>
      </c>
      <c r="N3222" t="str">
        <f t="shared" si="161"/>
        <v>X113:AP124</v>
      </c>
      <c r="O3222" s="4">
        <f t="shared" ca="1" si="162"/>
        <v>179713.94999999998</v>
      </c>
    </row>
    <row r="3223" spans="1:15">
      <c r="A3223" s="2" t="s">
        <v>17</v>
      </c>
      <c r="B3223" t="s">
        <v>37</v>
      </c>
      <c r="C3223" t="s">
        <v>38</v>
      </c>
      <c r="D3223">
        <v>40</v>
      </c>
      <c r="E3223" t="s">
        <v>46</v>
      </c>
      <c r="F3223">
        <v>4</v>
      </c>
      <c r="G3223">
        <v>2</v>
      </c>
      <c r="H3223">
        <v>2</v>
      </c>
      <c r="I3223">
        <v>1</v>
      </c>
      <c r="J3223" s="4" t="s">
        <v>52</v>
      </c>
      <c r="K3223" t="str">
        <f t="shared" si="163"/>
        <v>2+2</v>
      </c>
      <c r="L3223">
        <f>VLOOKUP(A3223,'ZONE 1 PREMIUM'!$A$4:$N$16,14,0)</f>
        <v>8</v>
      </c>
      <c r="M3223">
        <f>VLOOKUP(D3223,DROPDOWN!B:C,2,0)</f>
        <v>11</v>
      </c>
      <c r="N3223" t="str">
        <f t="shared" si="161"/>
        <v>X113:AP124</v>
      </c>
      <c r="O3223" s="4">
        <f t="shared" ca="1" si="162"/>
        <v>232071.15</v>
      </c>
    </row>
    <row r="3224" spans="1:15">
      <c r="A3224" s="2" t="s">
        <v>18</v>
      </c>
      <c r="B3224" t="s">
        <v>39</v>
      </c>
      <c r="C3224" t="s">
        <v>40</v>
      </c>
      <c r="D3224">
        <v>40</v>
      </c>
      <c r="E3224" t="s">
        <v>46</v>
      </c>
      <c r="F3224">
        <v>4</v>
      </c>
      <c r="G3224">
        <v>2</v>
      </c>
      <c r="H3224">
        <v>2</v>
      </c>
      <c r="I3224">
        <v>1</v>
      </c>
      <c r="J3224" s="4" t="s">
        <v>52</v>
      </c>
      <c r="K3224" t="str">
        <f t="shared" si="163"/>
        <v>2+2</v>
      </c>
      <c r="L3224">
        <f>VLOOKUP(A3224,'ZONE 1 PREMIUM'!$A$4:$N$16,14,0)</f>
        <v>9</v>
      </c>
      <c r="M3224">
        <f>VLOOKUP(D3224,DROPDOWN!B:C,2,0)</f>
        <v>11</v>
      </c>
      <c r="N3224" t="str">
        <f t="shared" si="161"/>
        <v>X113:AP124</v>
      </c>
      <c r="O3224" s="4">
        <f t="shared" ca="1" si="162"/>
        <v>307329.44999999995</v>
      </c>
    </row>
    <row r="3225" spans="1:15">
      <c r="A3225" s="2" t="s">
        <v>19</v>
      </c>
      <c r="B3225" t="s">
        <v>41</v>
      </c>
      <c r="C3225" t="s">
        <v>42</v>
      </c>
      <c r="D3225">
        <v>40</v>
      </c>
      <c r="E3225" t="s">
        <v>46</v>
      </c>
      <c r="F3225">
        <v>4</v>
      </c>
      <c r="G3225">
        <v>2</v>
      </c>
      <c r="H3225">
        <v>2</v>
      </c>
      <c r="I3225">
        <v>1</v>
      </c>
      <c r="J3225" s="4" t="s">
        <v>52</v>
      </c>
      <c r="K3225" t="str">
        <f t="shared" si="163"/>
        <v>2+2</v>
      </c>
      <c r="L3225">
        <f>VLOOKUP(A3225,'ZONE 1 PREMIUM'!$A$4:$N$16,14,0)</f>
        <v>10</v>
      </c>
      <c r="M3225">
        <f>VLOOKUP(D3225,DROPDOWN!B:C,2,0)</f>
        <v>11</v>
      </c>
      <c r="N3225" t="str">
        <f t="shared" si="161"/>
        <v>X113:AP124</v>
      </c>
      <c r="O3225" s="4">
        <f t="shared" ca="1" si="162"/>
        <v>400886.55</v>
      </c>
    </row>
    <row r="3226" spans="1:15">
      <c r="A3226" s="2" t="s">
        <v>20</v>
      </c>
      <c r="B3226" t="s">
        <v>43</v>
      </c>
      <c r="C3226" t="s">
        <v>44</v>
      </c>
      <c r="D3226">
        <v>40</v>
      </c>
      <c r="E3226" t="s">
        <v>46</v>
      </c>
      <c r="F3226">
        <v>4</v>
      </c>
      <c r="G3226">
        <v>2</v>
      </c>
      <c r="H3226">
        <v>2</v>
      </c>
      <c r="I3226">
        <v>1</v>
      </c>
      <c r="J3226" s="4" t="s">
        <v>52</v>
      </c>
      <c r="K3226" t="str">
        <f t="shared" si="163"/>
        <v>2+2</v>
      </c>
      <c r="L3226">
        <f>VLOOKUP(A3226,'ZONE 1 PREMIUM'!$A$4:$N$16,14,0)</f>
        <v>11</v>
      </c>
      <c r="M3226">
        <f>VLOOKUP(D3226,DROPDOWN!B:C,2,0)</f>
        <v>11</v>
      </c>
      <c r="N3226" t="str">
        <f t="shared" si="161"/>
        <v>X113:AP124</v>
      </c>
      <c r="O3226" s="4">
        <f t="shared" ca="1" si="162"/>
        <v>492475.99999999994</v>
      </c>
    </row>
    <row r="3227" spans="1:15">
      <c r="A3227" s="2" t="s">
        <v>21</v>
      </c>
      <c r="B3227" t="s">
        <v>22</v>
      </c>
      <c r="D3227">
        <v>40</v>
      </c>
      <c r="E3227" t="s">
        <v>46</v>
      </c>
      <c r="F3227">
        <v>4</v>
      </c>
      <c r="G3227">
        <v>2</v>
      </c>
      <c r="H3227">
        <v>2</v>
      </c>
      <c r="I3227">
        <v>1</v>
      </c>
      <c r="J3227" s="4" t="s">
        <v>52</v>
      </c>
      <c r="K3227" t="str">
        <f t="shared" si="163"/>
        <v>2+2</v>
      </c>
      <c r="L3227">
        <f>VLOOKUP(A3227,'ZONE 1 PREMIUM'!$A$4:$N$16,14,0)</f>
        <v>12</v>
      </c>
      <c r="M3227">
        <f>VLOOKUP(D3227,DROPDOWN!B:C,2,0)</f>
        <v>11</v>
      </c>
      <c r="N3227" t="str">
        <f t="shared" si="161"/>
        <v>X113:AP124</v>
      </c>
      <c r="O3227" s="4">
        <f t="shared" ca="1" si="162"/>
        <v>628001.19999999995</v>
      </c>
    </row>
    <row r="3228" spans="1:15">
      <c r="A3228" s="2" t="s">
        <v>11</v>
      </c>
      <c r="B3228" t="s">
        <v>45</v>
      </c>
      <c r="C3228" t="s">
        <v>25</v>
      </c>
      <c r="D3228">
        <v>40</v>
      </c>
      <c r="E3228" t="s">
        <v>46</v>
      </c>
      <c r="F3228">
        <v>5</v>
      </c>
      <c r="G3228">
        <v>2</v>
      </c>
      <c r="H3228">
        <v>3</v>
      </c>
      <c r="I3228">
        <v>1</v>
      </c>
      <c r="J3228" s="4" t="s">
        <v>52</v>
      </c>
      <c r="K3228" t="str">
        <f t="shared" si="163"/>
        <v>2+3</v>
      </c>
      <c r="L3228">
        <f>VLOOKUP(A3228,'ZONE 1 PREMIUM'!$A$4:$N$16,14,0)</f>
        <v>2</v>
      </c>
      <c r="M3228">
        <f>VLOOKUP(D3228,DROPDOWN!B:C,2,0)</f>
        <v>11</v>
      </c>
      <c r="N3228" t="str">
        <f t="shared" si="161"/>
        <v>X128:AP139</v>
      </c>
      <c r="O3228" s="4">
        <f t="shared" ca="1" si="162"/>
        <v>90850</v>
      </c>
    </row>
    <row r="3229" spans="1:15">
      <c r="A3229" s="2" t="s">
        <v>12</v>
      </c>
      <c r="B3229" t="s">
        <v>27</v>
      </c>
      <c r="C3229" t="s">
        <v>28</v>
      </c>
      <c r="D3229">
        <v>40</v>
      </c>
      <c r="E3229" t="s">
        <v>46</v>
      </c>
      <c r="F3229">
        <v>5</v>
      </c>
      <c r="G3229">
        <v>2</v>
      </c>
      <c r="H3229">
        <v>3</v>
      </c>
      <c r="I3229">
        <v>1</v>
      </c>
      <c r="J3229" s="4" t="s">
        <v>52</v>
      </c>
      <c r="K3229" t="str">
        <f t="shared" si="163"/>
        <v>2+3</v>
      </c>
      <c r="L3229">
        <f>VLOOKUP(A3229,'ZONE 1 PREMIUM'!$A$4:$N$16,14,0)</f>
        <v>3</v>
      </c>
      <c r="M3229">
        <f>VLOOKUP(D3229,DROPDOWN!B:C,2,0)</f>
        <v>11</v>
      </c>
      <c r="N3229" t="str">
        <f t="shared" si="161"/>
        <v>X128:AP139</v>
      </c>
      <c r="O3229" s="4">
        <f t="shared" ca="1" si="162"/>
        <v>97565.999999999985</v>
      </c>
    </row>
    <row r="3230" spans="1:15">
      <c r="A3230" s="2" t="s">
        <v>13</v>
      </c>
      <c r="B3230" t="s">
        <v>29</v>
      </c>
      <c r="C3230" t="s">
        <v>30</v>
      </c>
      <c r="D3230">
        <v>40</v>
      </c>
      <c r="E3230" t="s">
        <v>46</v>
      </c>
      <c r="F3230">
        <v>5</v>
      </c>
      <c r="G3230">
        <v>2</v>
      </c>
      <c r="H3230">
        <v>3</v>
      </c>
      <c r="I3230">
        <v>1</v>
      </c>
      <c r="J3230" s="4" t="s">
        <v>52</v>
      </c>
      <c r="K3230" t="str">
        <f t="shared" si="163"/>
        <v>2+3</v>
      </c>
      <c r="L3230">
        <f>VLOOKUP(A3230,'ZONE 1 PREMIUM'!$A$4:$N$16,14,0)</f>
        <v>4</v>
      </c>
      <c r="M3230">
        <f>VLOOKUP(D3230,DROPDOWN!B:C,2,0)</f>
        <v>11</v>
      </c>
      <c r="N3230" t="str">
        <f t="shared" si="161"/>
        <v>X128:AP139</v>
      </c>
      <c r="O3230" s="4">
        <f t="shared" ca="1" si="162"/>
        <v>110606.99999999999</v>
      </c>
    </row>
    <row r="3231" spans="1:15">
      <c r="A3231" s="2" t="s">
        <v>14</v>
      </c>
      <c r="B3231" t="s">
        <v>31</v>
      </c>
      <c r="C3231" t="s">
        <v>32</v>
      </c>
      <c r="D3231">
        <v>40</v>
      </c>
      <c r="E3231" t="s">
        <v>46</v>
      </c>
      <c r="F3231">
        <v>5</v>
      </c>
      <c r="G3231">
        <v>2</v>
      </c>
      <c r="H3231">
        <v>3</v>
      </c>
      <c r="I3231">
        <v>1</v>
      </c>
      <c r="J3231" s="4" t="s">
        <v>52</v>
      </c>
      <c r="K3231" t="str">
        <f t="shared" si="163"/>
        <v>2+3</v>
      </c>
      <c r="L3231">
        <f>VLOOKUP(A3231,'ZONE 1 PREMIUM'!$A$4:$N$16,14,0)</f>
        <v>5</v>
      </c>
      <c r="M3231">
        <f>VLOOKUP(D3231,DROPDOWN!B:C,2,0)</f>
        <v>11</v>
      </c>
      <c r="N3231" t="str">
        <f t="shared" si="161"/>
        <v>X128:AP139</v>
      </c>
      <c r="O3231" s="4">
        <f t="shared" ca="1" si="162"/>
        <v>124745.09999999999</v>
      </c>
    </row>
    <row r="3232" spans="1:15">
      <c r="A3232" s="2" t="s">
        <v>15</v>
      </c>
      <c r="B3232" t="s">
        <v>33</v>
      </c>
      <c r="C3232" t="s">
        <v>34</v>
      </c>
      <c r="D3232">
        <v>40</v>
      </c>
      <c r="E3232" t="s">
        <v>46</v>
      </c>
      <c r="F3232">
        <v>5</v>
      </c>
      <c r="G3232">
        <v>2</v>
      </c>
      <c r="H3232">
        <v>3</v>
      </c>
      <c r="I3232">
        <v>1</v>
      </c>
      <c r="J3232" s="4" t="s">
        <v>52</v>
      </c>
      <c r="K3232" t="str">
        <f t="shared" si="163"/>
        <v>2+3</v>
      </c>
      <c r="L3232">
        <f>VLOOKUP(A3232,'ZONE 1 PREMIUM'!$A$4:$N$16,14,0)</f>
        <v>6</v>
      </c>
      <c r="M3232">
        <f>VLOOKUP(D3232,DROPDOWN!B:C,2,0)</f>
        <v>11</v>
      </c>
      <c r="N3232" t="str">
        <f t="shared" si="161"/>
        <v>X128:AP139</v>
      </c>
      <c r="O3232" s="4">
        <f t="shared" ca="1" si="162"/>
        <v>153466.34999999998</v>
      </c>
    </row>
    <row r="3233" spans="1:15">
      <c r="A3233" s="2" t="s">
        <v>16</v>
      </c>
      <c r="B3233" t="s">
        <v>35</v>
      </c>
      <c r="C3233" t="s">
        <v>36</v>
      </c>
      <c r="D3233">
        <v>40</v>
      </c>
      <c r="E3233" t="s">
        <v>46</v>
      </c>
      <c r="F3233">
        <v>5</v>
      </c>
      <c r="G3233">
        <v>2</v>
      </c>
      <c r="H3233">
        <v>3</v>
      </c>
      <c r="I3233">
        <v>1</v>
      </c>
      <c r="J3233" s="4" t="s">
        <v>52</v>
      </c>
      <c r="K3233" t="str">
        <f t="shared" si="163"/>
        <v>2+3</v>
      </c>
      <c r="L3233">
        <f>VLOOKUP(A3233,'ZONE 1 PREMIUM'!$A$4:$N$16,14,0)</f>
        <v>7</v>
      </c>
      <c r="M3233">
        <f>VLOOKUP(D3233,DROPDOWN!B:C,2,0)</f>
        <v>11</v>
      </c>
      <c r="N3233" t="str">
        <f t="shared" si="161"/>
        <v>X128:AP139</v>
      </c>
      <c r="O3233" s="4">
        <f t="shared" ca="1" si="162"/>
        <v>196288.9</v>
      </c>
    </row>
    <row r="3234" spans="1:15">
      <c r="A3234" s="2" t="s">
        <v>17</v>
      </c>
      <c r="B3234" t="s">
        <v>37</v>
      </c>
      <c r="C3234" t="s">
        <v>38</v>
      </c>
      <c r="D3234">
        <v>40</v>
      </c>
      <c r="E3234" t="s">
        <v>46</v>
      </c>
      <c r="F3234">
        <v>5</v>
      </c>
      <c r="G3234">
        <v>2</v>
      </c>
      <c r="H3234">
        <v>3</v>
      </c>
      <c r="I3234">
        <v>1</v>
      </c>
      <c r="J3234" s="4" t="s">
        <v>52</v>
      </c>
      <c r="K3234" t="str">
        <f t="shared" si="163"/>
        <v>2+3</v>
      </c>
      <c r="L3234">
        <f>VLOOKUP(A3234,'ZONE 1 PREMIUM'!$A$4:$N$16,14,0)</f>
        <v>8</v>
      </c>
      <c r="M3234">
        <f>VLOOKUP(D3234,DROPDOWN!B:C,2,0)</f>
        <v>11</v>
      </c>
      <c r="N3234" t="str">
        <f t="shared" si="161"/>
        <v>X128:AP139</v>
      </c>
      <c r="O3234" s="4">
        <f t="shared" ca="1" si="162"/>
        <v>247292.55</v>
      </c>
    </row>
    <row r="3235" spans="1:15">
      <c r="A3235" s="2" t="s">
        <v>18</v>
      </c>
      <c r="B3235" t="s">
        <v>39</v>
      </c>
      <c r="C3235" t="s">
        <v>40</v>
      </c>
      <c r="D3235">
        <v>40</v>
      </c>
      <c r="E3235" t="s">
        <v>46</v>
      </c>
      <c r="F3235">
        <v>5</v>
      </c>
      <c r="G3235">
        <v>2</v>
      </c>
      <c r="H3235">
        <v>3</v>
      </c>
      <c r="I3235">
        <v>1</v>
      </c>
      <c r="J3235" s="4" t="s">
        <v>52</v>
      </c>
      <c r="K3235" t="str">
        <f t="shared" si="163"/>
        <v>2+3</v>
      </c>
      <c r="L3235">
        <f>VLOOKUP(A3235,'ZONE 1 PREMIUM'!$A$4:$N$16,14,0)</f>
        <v>9</v>
      </c>
      <c r="M3235">
        <f>VLOOKUP(D3235,DROPDOWN!B:C,2,0)</f>
        <v>11</v>
      </c>
      <c r="N3235" t="str">
        <f t="shared" si="161"/>
        <v>X128:AP139</v>
      </c>
      <c r="O3235" s="4">
        <f t="shared" ca="1" si="162"/>
        <v>322448.5</v>
      </c>
    </row>
    <row r="3236" spans="1:15">
      <c r="A3236" s="2" t="s">
        <v>19</v>
      </c>
      <c r="B3236" t="s">
        <v>41</v>
      </c>
      <c r="C3236" t="s">
        <v>42</v>
      </c>
      <c r="D3236">
        <v>40</v>
      </c>
      <c r="E3236" t="s">
        <v>46</v>
      </c>
      <c r="F3236">
        <v>5</v>
      </c>
      <c r="G3236">
        <v>2</v>
      </c>
      <c r="H3236">
        <v>3</v>
      </c>
      <c r="I3236">
        <v>1</v>
      </c>
      <c r="J3236" s="4" t="s">
        <v>52</v>
      </c>
      <c r="K3236" t="str">
        <f t="shared" si="163"/>
        <v>2+3</v>
      </c>
      <c r="L3236">
        <f>VLOOKUP(A3236,'ZONE 1 PREMIUM'!$A$4:$N$16,14,0)</f>
        <v>10</v>
      </c>
      <c r="M3236">
        <f>VLOOKUP(D3236,DROPDOWN!B:C,2,0)</f>
        <v>11</v>
      </c>
      <c r="N3236" t="str">
        <f t="shared" si="161"/>
        <v>X128:AP139</v>
      </c>
      <c r="O3236" s="4">
        <f t="shared" ca="1" si="162"/>
        <v>415239.69999999995</v>
      </c>
    </row>
    <row r="3237" spans="1:15">
      <c r="A3237" s="2" t="s">
        <v>20</v>
      </c>
      <c r="B3237" t="s">
        <v>43</v>
      </c>
      <c r="C3237" t="s">
        <v>44</v>
      </c>
      <c r="D3237">
        <v>40</v>
      </c>
      <c r="E3237" t="s">
        <v>46</v>
      </c>
      <c r="F3237">
        <v>5</v>
      </c>
      <c r="G3237">
        <v>2</v>
      </c>
      <c r="H3237">
        <v>3</v>
      </c>
      <c r="I3237">
        <v>1</v>
      </c>
      <c r="J3237" s="4" t="s">
        <v>52</v>
      </c>
      <c r="K3237" t="str">
        <f t="shared" si="163"/>
        <v>2+3</v>
      </c>
      <c r="L3237">
        <f>VLOOKUP(A3237,'ZONE 1 PREMIUM'!$A$4:$N$16,14,0)</f>
        <v>11</v>
      </c>
      <c r="M3237">
        <f>VLOOKUP(D3237,DROPDOWN!B:C,2,0)</f>
        <v>11</v>
      </c>
      <c r="N3237" t="str">
        <f t="shared" si="161"/>
        <v>X128:AP139</v>
      </c>
      <c r="O3237" s="4">
        <f t="shared" ca="1" si="162"/>
        <v>508385.1</v>
      </c>
    </row>
    <row r="3238" spans="1:15">
      <c r="A3238" s="2" t="s">
        <v>21</v>
      </c>
      <c r="B3238" t="s">
        <v>22</v>
      </c>
      <c r="D3238">
        <v>40</v>
      </c>
      <c r="E3238" t="s">
        <v>46</v>
      </c>
      <c r="F3238">
        <v>5</v>
      </c>
      <c r="G3238">
        <v>2</v>
      </c>
      <c r="H3238">
        <v>3</v>
      </c>
      <c r="I3238">
        <v>1</v>
      </c>
      <c r="J3238" s="4" t="s">
        <v>52</v>
      </c>
      <c r="K3238" t="str">
        <f t="shared" si="163"/>
        <v>2+3</v>
      </c>
      <c r="L3238">
        <f>VLOOKUP(A3238,'ZONE 1 PREMIUM'!$A$4:$N$16,14,0)</f>
        <v>12</v>
      </c>
      <c r="M3238">
        <f>VLOOKUP(D3238,DROPDOWN!B:C,2,0)</f>
        <v>11</v>
      </c>
      <c r="N3238" t="str">
        <f t="shared" si="161"/>
        <v>X128:AP139</v>
      </c>
      <c r="O3238" s="4">
        <f t="shared" ca="1" si="162"/>
        <v>644879.75</v>
      </c>
    </row>
    <row r="3239" spans="1:15">
      <c r="A3239" s="2" t="s">
        <v>11</v>
      </c>
      <c r="B3239" t="s">
        <v>45</v>
      </c>
      <c r="C3239" t="s">
        <v>25</v>
      </c>
      <c r="D3239">
        <v>40</v>
      </c>
      <c r="E3239" t="s">
        <v>46</v>
      </c>
      <c r="F3239">
        <v>6</v>
      </c>
      <c r="G3239">
        <v>2</v>
      </c>
      <c r="H3239">
        <v>4</v>
      </c>
      <c r="I3239">
        <v>1</v>
      </c>
      <c r="J3239" s="4" t="s">
        <v>52</v>
      </c>
      <c r="K3239" t="str">
        <f t="shared" si="163"/>
        <v>2+4</v>
      </c>
      <c r="L3239">
        <f>VLOOKUP(A3239,'ZONE 1 PREMIUM'!$A$4:$N$16,14,0)</f>
        <v>2</v>
      </c>
      <c r="M3239">
        <f>VLOOKUP(D3239,DROPDOWN!B:C,2,0)</f>
        <v>11</v>
      </c>
      <c r="N3239" t="str">
        <f t="shared" si="161"/>
        <v>X143:AP154</v>
      </c>
      <c r="O3239" s="4">
        <f t="shared" ca="1" si="162"/>
        <v>102556.99999999999</v>
      </c>
    </row>
    <row r="3240" spans="1:15">
      <c r="A3240" s="2" t="s">
        <v>12</v>
      </c>
      <c r="B3240" t="s">
        <v>27</v>
      </c>
      <c r="C3240" t="s">
        <v>28</v>
      </c>
      <c r="D3240">
        <v>40</v>
      </c>
      <c r="E3240" t="s">
        <v>46</v>
      </c>
      <c r="F3240">
        <v>6</v>
      </c>
      <c r="G3240">
        <v>2</v>
      </c>
      <c r="H3240">
        <v>4</v>
      </c>
      <c r="I3240">
        <v>1</v>
      </c>
      <c r="J3240" s="4" t="s">
        <v>52</v>
      </c>
      <c r="K3240" t="str">
        <f t="shared" si="163"/>
        <v>2+4</v>
      </c>
      <c r="L3240">
        <f>VLOOKUP(A3240,'ZONE 1 PREMIUM'!$A$4:$N$16,14,0)</f>
        <v>3</v>
      </c>
      <c r="M3240">
        <f>VLOOKUP(D3240,DROPDOWN!B:C,2,0)</f>
        <v>11</v>
      </c>
      <c r="N3240" t="str">
        <f t="shared" si="161"/>
        <v>X143:AP154</v>
      </c>
      <c r="O3240" s="4">
        <f t="shared" ca="1" si="162"/>
        <v>109068.29999999999</v>
      </c>
    </row>
    <row r="3241" spans="1:15">
      <c r="A3241" s="2" t="s">
        <v>13</v>
      </c>
      <c r="B3241" t="s">
        <v>29</v>
      </c>
      <c r="C3241" t="s">
        <v>30</v>
      </c>
      <c r="D3241">
        <v>40</v>
      </c>
      <c r="E3241" t="s">
        <v>46</v>
      </c>
      <c r="F3241">
        <v>6</v>
      </c>
      <c r="G3241">
        <v>2</v>
      </c>
      <c r="H3241">
        <v>4</v>
      </c>
      <c r="I3241">
        <v>1</v>
      </c>
      <c r="J3241" s="4" t="s">
        <v>52</v>
      </c>
      <c r="K3241" t="str">
        <f t="shared" si="163"/>
        <v>2+4</v>
      </c>
      <c r="L3241">
        <f>VLOOKUP(A3241,'ZONE 1 PREMIUM'!$A$4:$N$16,14,0)</f>
        <v>4</v>
      </c>
      <c r="M3241">
        <f>VLOOKUP(D3241,DROPDOWN!B:C,2,0)</f>
        <v>11</v>
      </c>
      <c r="N3241" t="str">
        <f t="shared" si="161"/>
        <v>X143:AP154</v>
      </c>
      <c r="O3241" s="4">
        <f t="shared" ca="1" si="162"/>
        <v>124052.79999999999</v>
      </c>
    </row>
    <row r="3242" spans="1:15">
      <c r="A3242" s="2" t="s">
        <v>14</v>
      </c>
      <c r="B3242" t="s">
        <v>31</v>
      </c>
      <c r="C3242" t="s">
        <v>32</v>
      </c>
      <c r="D3242">
        <v>40</v>
      </c>
      <c r="E3242" t="s">
        <v>46</v>
      </c>
      <c r="F3242">
        <v>6</v>
      </c>
      <c r="G3242">
        <v>2</v>
      </c>
      <c r="H3242">
        <v>4</v>
      </c>
      <c r="I3242">
        <v>1</v>
      </c>
      <c r="J3242" s="4" t="s">
        <v>52</v>
      </c>
      <c r="K3242" t="str">
        <f t="shared" si="163"/>
        <v>2+4</v>
      </c>
      <c r="L3242">
        <f>VLOOKUP(A3242,'ZONE 1 PREMIUM'!$A$4:$N$16,14,0)</f>
        <v>5</v>
      </c>
      <c r="M3242">
        <f>VLOOKUP(D3242,DROPDOWN!B:C,2,0)</f>
        <v>11</v>
      </c>
      <c r="N3242" t="str">
        <f t="shared" si="161"/>
        <v>X143:AP154</v>
      </c>
      <c r="O3242" s="4">
        <f t="shared" ca="1" si="162"/>
        <v>139138.5</v>
      </c>
    </row>
    <row r="3243" spans="1:15">
      <c r="A3243" s="2" t="s">
        <v>15</v>
      </c>
      <c r="B3243" t="s">
        <v>33</v>
      </c>
      <c r="C3243" t="s">
        <v>34</v>
      </c>
      <c r="D3243">
        <v>40</v>
      </c>
      <c r="E3243" t="s">
        <v>46</v>
      </c>
      <c r="F3243">
        <v>6</v>
      </c>
      <c r="G3243">
        <v>2</v>
      </c>
      <c r="H3243">
        <v>4</v>
      </c>
      <c r="I3243">
        <v>1</v>
      </c>
      <c r="J3243" s="4" t="s">
        <v>52</v>
      </c>
      <c r="K3243" t="str">
        <f t="shared" si="163"/>
        <v>2+4</v>
      </c>
      <c r="L3243">
        <f>VLOOKUP(A3243,'ZONE 1 PREMIUM'!$A$4:$N$16,14,0)</f>
        <v>6</v>
      </c>
      <c r="M3243">
        <f>VLOOKUP(D3243,DROPDOWN!B:C,2,0)</f>
        <v>11</v>
      </c>
      <c r="N3243" t="str">
        <f t="shared" si="161"/>
        <v>X143:AP154</v>
      </c>
      <c r="O3243" s="4">
        <f t="shared" ca="1" si="162"/>
        <v>169683.65</v>
      </c>
    </row>
    <row r="3244" spans="1:15">
      <c r="A3244" s="2" t="s">
        <v>16</v>
      </c>
      <c r="B3244" t="s">
        <v>35</v>
      </c>
      <c r="C3244" t="s">
        <v>36</v>
      </c>
      <c r="D3244">
        <v>40</v>
      </c>
      <c r="E3244" t="s">
        <v>46</v>
      </c>
      <c r="F3244">
        <v>6</v>
      </c>
      <c r="G3244">
        <v>2</v>
      </c>
      <c r="H3244">
        <v>4</v>
      </c>
      <c r="I3244">
        <v>1</v>
      </c>
      <c r="J3244" s="4" t="s">
        <v>52</v>
      </c>
      <c r="K3244" t="str">
        <f t="shared" si="163"/>
        <v>2+4</v>
      </c>
      <c r="L3244">
        <f>VLOOKUP(A3244,'ZONE 1 PREMIUM'!$A$4:$N$16,14,0)</f>
        <v>7</v>
      </c>
      <c r="M3244">
        <f>VLOOKUP(D3244,DROPDOWN!B:C,2,0)</f>
        <v>11</v>
      </c>
      <c r="N3244" t="str">
        <f t="shared" si="161"/>
        <v>X143:AP154</v>
      </c>
      <c r="O3244" s="4">
        <f t="shared" ca="1" si="162"/>
        <v>211258.44999999998</v>
      </c>
    </row>
    <row r="3245" spans="1:15">
      <c r="A3245" s="2" t="s">
        <v>17</v>
      </c>
      <c r="B3245" t="s">
        <v>37</v>
      </c>
      <c r="C3245" t="s">
        <v>38</v>
      </c>
      <c r="D3245">
        <v>40</v>
      </c>
      <c r="E3245" t="s">
        <v>46</v>
      </c>
      <c r="F3245">
        <v>6</v>
      </c>
      <c r="G3245">
        <v>2</v>
      </c>
      <c r="H3245">
        <v>4</v>
      </c>
      <c r="I3245">
        <v>1</v>
      </c>
      <c r="J3245" s="4" t="s">
        <v>52</v>
      </c>
      <c r="K3245" t="str">
        <f t="shared" si="163"/>
        <v>2+4</v>
      </c>
      <c r="L3245">
        <f>VLOOKUP(A3245,'ZONE 1 PREMIUM'!$A$4:$N$16,14,0)</f>
        <v>8</v>
      </c>
      <c r="M3245">
        <f>VLOOKUP(D3245,DROPDOWN!B:C,2,0)</f>
        <v>11</v>
      </c>
      <c r="N3245" t="str">
        <f t="shared" si="161"/>
        <v>X143:AP154</v>
      </c>
      <c r="O3245" s="4">
        <f t="shared" ca="1" si="162"/>
        <v>262281.64999999997</v>
      </c>
    </row>
    <row r="3246" spans="1:15">
      <c r="A3246" s="2" t="s">
        <v>18</v>
      </c>
      <c r="B3246" t="s">
        <v>39</v>
      </c>
      <c r="C3246" t="s">
        <v>40</v>
      </c>
      <c r="D3246">
        <v>40</v>
      </c>
      <c r="E3246" t="s">
        <v>46</v>
      </c>
      <c r="F3246">
        <v>6</v>
      </c>
      <c r="G3246">
        <v>2</v>
      </c>
      <c r="H3246">
        <v>4</v>
      </c>
      <c r="I3246">
        <v>1</v>
      </c>
      <c r="J3246" s="4" t="s">
        <v>52</v>
      </c>
      <c r="K3246" t="str">
        <f t="shared" si="163"/>
        <v>2+4</v>
      </c>
      <c r="L3246">
        <f>VLOOKUP(A3246,'ZONE 1 PREMIUM'!$A$4:$N$16,14,0)</f>
        <v>9</v>
      </c>
      <c r="M3246">
        <f>VLOOKUP(D3246,DROPDOWN!B:C,2,0)</f>
        <v>11</v>
      </c>
      <c r="N3246" t="str">
        <f t="shared" si="161"/>
        <v>X143:AP154</v>
      </c>
      <c r="O3246" s="4">
        <f t="shared" ca="1" si="162"/>
        <v>336883.3</v>
      </c>
    </row>
    <row r="3247" spans="1:15">
      <c r="A3247" s="2" t="s">
        <v>19</v>
      </c>
      <c r="B3247" t="s">
        <v>41</v>
      </c>
      <c r="C3247" t="s">
        <v>42</v>
      </c>
      <c r="D3247">
        <v>40</v>
      </c>
      <c r="E3247" t="s">
        <v>46</v>
      </c>
      <c r="F3247">
        <v>6</v>
      </c>
      <c r="G3247">
        <v>2</v>
      </c>
      <c r="H3247">
        <v>4</v>
      </c>
      <c r="I3247">
        <v>1</v>
      </c>
      <c r="J3247" s="4" t="s">
        <v>52</v>
      </c>
      <c r="K3247" t="str">
        <f t="shared" si="163"/>
        <v>2+4</v>
      </c>
      <c r="L3247">
        <f>VLOOKUP(A3247,'ZONE 1 PREMIUM'!$A$4:$N$16,14,0)</f>
        <v>10</v>
      </c>
      <c r="M3247">
        <f>VLOOKUP(D3247,DROPDOWN!B:C,2,0)</f>
        <v>11</v>
      </c>
      <c r="N3247" t="str">
        <f t="shared" si="161"/>
        <v>X143:AP154</v>
      </c>
      <c r="O3247" s="4">
        <f t="shared" ca="1" si="162"/>
        <v>431136.14999999997</v>
      </c>
    </row>
    <row r="3248" spans="1:15">
      <c r="A3248" s="2" t="s">
        <v>20</v>
      </c>
      <c r="B3248" t="s">
        <v>43</v>
      </c>
      <c r="C3248" t="s">
        <v>44</v>
      </c>
      <c r="D3248">
        <v>40</v>
      </c>
      <c r="E3248" t="s">
        <v>46</v>
      </c>
      <c r="F3248">
        <v>6</v>
      </c>
      <c r="G3248">
        <v>2</v>
      </c>
      <c r="H3248">
        <v>4</v>
      </c>
      <c r="I3248">
        <v>1</v>
      </c>
      <c r="J3248" s="4" t="s">
        <v>52</v>
      </c>
      <c r="K3248" t="str">
        <f t="shared" si="163"/>
        <v>2+4</v>
      </c>
      <c r="L3248">
        <f>VLOOKUP(A3248,'ZONE 1 PREMIUM'!$A$4:$N$16,14,0)</f>
        <v>11</v>
      </c>
      <c r="M3248">
        <f>VLOOKUP(D3248,DROPDOWN!B:C,2,0)</f>
        <v>11</v>
      </c>
      <c r="N3248" t="str">
        <f t="shared" si="161"/>
        <v>X143:AP154</v>
      </c>
      <c r="O3248" s="4">
        <f t="shared" ca="1" si="162"/>
        <v>523121.19999999995</v>
      </c>
    </row>
    <row r="3249" spans="1:15">
      <c r="A3249" s="2" t="s">
        <v>21</v>
      </c>
      <c r="B3249" t="s">
        <v>22</v>
      </c>
      <c r="D3249">
        <v>40</v>
      </c>
      <c r="E3249" t="s">
        <v>46</v>
      </c>
      <c r="F3249">
        <v>6</v>
      </c>
      <c r="G3249">
        <v>2</v>
      </c>
      <c r="H3249">
        <v>4</v>
      </c>
      <c r="I3249">
        <v>1</v>
      </c>
      <c r="J3249" s="4" t="s">
        <v>52</v>
      </c>
      <c r="K3249" t="str">
        <f t="shared" si="163"/>
        <v>2+4</v>
      </c>
      <c r="L3249">
        <f>VLOOKUP(A3249,'ZONE 1 PREMIUM'!$A$4:$N$16,14,0)</f>
        <v>12</v>
      </c>
      <c r="M3249">
        <f>VLOOKUP(D3249,DROPDOWN!B:C,2,0)</f>
        <v>11</v>
      </c>
      <c r="N3249" t="str">
        <f t="shared" si="161"/>
        <v>X143:AP154</v>
      </c>
      <c r="O3249" s="4">
        <f t="shared" ca="1" si="162"/>
        <v>657084.69999999995</v>
      </c>
    </row>
    <row r="3250" spans="1:15">
      <c r="A3250" s="2" t="s">
        <v>9</v>
      </c>
      <c r="B3250" t="s">
        <v>47</v>
      </c>
      <c r="C3250" t="s">
        <v>48</v>
      </c>
      <c r="D3250">
        <v>40</v>
      </c>
      <c r="E3250" t="s">
        <v>26</v>
      </c>
      <c r="F3250">
        <v>1</v>
      </c>
      <c r="H3250">
        <v>1</v>
      </c>
      <c r="I3250">
        <v>1</v>
      </c>
      <c r="J3250" s="4" t="s">
        <v>55</v>
      </c>
      <c r="K3250" t="str">
        <f t="shared" si="163"/>
        <v>+1</v>
      </c>
      <c r="N3250" t="e">
        <f t="shared" ref="N3250:N3313" si="164">VLOOKUP(K3250,$BN$3:$BO$12,2,0)</f>
        <v>#N/A</v>
      </c>
      <c r="O3250" s="7">
        <v>6675.2635244323137</v>
      </c>
    </row>
    <row r="3251" spans="1:15">
      <c r="A3251" s="2" t="s">
        <v>10</v>
      </c>
      <c r="B3251" t="s">
        <v>49</v>
      </c>
      <c r="C3251" t="s">
        <v>50</v>
      </c>
      <c r="D3251">
        <v>40</v>
      </c>
      <c r="E3251" t="s">
        <v>26</v>
      </c>
      <c r="F3251">
        <v>1</v>
      </c>
      <c r="G3251">
        <v>1</v>
      </c>
      <c r="H3251">
        <v>0</v>
      </c>
      <c r="I3251">
        <v>1</v>
      </c>
      <c r="J3251" s="4" t="s">
        <v>55</v>
      </c>
      <c r="K3251" t="str">
        <f t="shared" si="163"/>
        <v>1+0</v>
      </c>
      <c r="L3251">
        <f>VLOOKUP(A3251,'ZONE 1 PREMIUM'!$A$3:$M$16,13,0)</f>
        <v>3</v>
      </c>
      <c r="M3251">
        <f>VLOOKUP(D3251,DROPDOWN!B:C,2,0)</f>
        <v>11</v>
      </c>
      <c r="N3251" t="str">
        <f t="shared" si="164"/>
        <v>AU3:BM16</v>
      </c>
      <c r="O3251" s="4">
        <f t="shared" ca="1" si="162"/>
        <v>11424.375</v>
      </c>
    </row>
    <row r="3252" spans="1:15">
      <c r="A3252" s="2" t="s">
        <v>11</v>
      </c>
      <c r="B3252" t="s">
        <v>45</v>
      </c>
      <c r="C3252" t="s">
        <v>25</v>
      </c>
      <c r="D3252">
        <v>40</v>
      </c>
      <c r="E3252" t="s">
        <v>26</v>
      </c>
      <c r="F3252">
        <v>1</v>
      </c>
      <c r="G3252">
        <v>1</v>
      </c>
      <c r="H3252">
        <v>0</v>
      </c>
      <c r="I3252">
        <v>1</v>
      </c>
      <c r="J3252" s="4" t="s">
        <v>55</v>
      </c>
      <c r="K3252" t="str">
        <f t="shared" si="163"/>
        <v>1+0</v>
      </c>
      <c r="L3252">
        <f>VLOOKUP(A3252,'ZONE 1 PREMIUM'!$A$3:$M$16,13,0)</f>
        <v>4</v>
      </c>
      <c r="M3252">
        <f>VLOOKUP(D3252,DROPDOWN!B:C,2,0)</f>
        <v>11</v>
      </c>
      <c r="N3252" t="str">
        <f t="shared" si="164"/>
        <v>AU3:BM16</v>
      </c>
      <c r="O3252" s="4">
        <f t="shared" ca="1" si="162"/>
        <v>31440.375</v>
      </c>
    </row>
    <row r="3253" spans="1:15">
      <c r="A3253" s="2" t="s">
        <v>12</v>
      </c>
      <c r="B3253" t="s">
        <v>27</v>
      </c>
      <c r="C3253" t="s">
        <v>28</v>
      </c>
      <c r="D3253">
        <v>40</v>
      </c>
      <c r="E3253" t="s">
        <v>26</v>
      </c>
      <c r="F3253">
        <v>1</v>
      </c>
      <c r="G3253">
        <v>1</v>
      </c>
      <c r="H3253">
        <v>0</v>
      </c>
      <c r="I3253">
        <v>1</v>
      </c>
      <c r="J3253" s="4" t="s">
        <v>55</v>
      </c>
      <c r="K3253" t="str">
        <f t="shared" si="163"/>
        <v>1+0</v>
      </c>
      <c r="L3253">
        <f>VLOOKUP(A3253,'ZONE 1 PREMIUM'!$A$3:$M$16,13,0)</f>
        <v>5</v>
      </c>
      <c r="M3253">
        <f>VLOOKUP(D3253,DROPDOWN!B:C,2,0)</f>
        <v>11</v>
      </c>
      <c r="N3253" t="str">
        <f t="shared" si="164"/>
        <v>AU3:BM16</v>
      </c>
      <c r="O3253" s="4">
        <f t="shared" ca="1" si="162"/>
        <v>35902.125</v>
      </c>
    </row>
    <row r="3254" spans="1:15">
      <c r="A3254" s="2" t="s">
        <v>13</v>
      </c>
      <c r="B3254" t="s">
        <v>29</v>
      </c>
      <c r="C3254" t="s">
        <v>30</v>
      </c>
      <c r="D3254">
        <v>40</v>
      </c>
      <c r="E3254" t="s">
        <v>26</v>
      </c>
      <c r="F3254">
        <v>1</v>
      </c>
      <c r="G3254">
        <v>1</v>
      </c>
      <c r="H3254">
        <v>0</v>
      </c>
      <c r="I3254">
        <v>1</v>
      </c>
      <c r="J3254" s="4" t="s">
        <v>55</v>
      </c>
      <c r="K3254" t="str">
        <f t="shared" si="163"/>
        <v>1+0</v>
      </c>
      <c r="L3254">
        <f>VLOOKUP(A3254,'ZONE 1 PREMIUM'!$A$3:$M$16,13,0)</f>
        <v>6</v>
      </c>
      <c r="M3254">
        <f>VLOOKUP(D3254,DROPDOWN!B:C,2,0)</f>
        <v>11</v>
      </c>
      <c r="N3254" t="str">
        <f t="shared" si="164"/>
        <v>AU3:BM16</v>
      </c>
      <c r="O3254" s="4">
        <f t="shared" ca="1" si="162"/>
        <v>41612.625</v>
      </c>
    </row>
    <row r="3255" spans="1:15">
      <c r="A3255" s="2" t="s">
        <v>14</v>
      </c>
      <c r="B3255" t="s">
        <v>31</v>
      </c>
      <c r="C3255" t="s">
        <v>32</v>
      </c>
      <c r="D3255">
        <v>40</v>
      </c>
      <c r="E3255" t="s">
        <v>26</v>
      </c>
      <c r="F3255">
        <v>1</v>
      </c>
      <c r="G3255">
        <v>1</v>
      </c>
      <c r="H3255">
        <v>0</v>
      </c>
      <c r="I3255">
        <v>1</v>
      </c>
      <c r="J3255" s="4" t="s">
        <v>55</v>
      </c>
      <c r="K3255" t="str">
        <f t="shared" si="163"/>
        <v>1+0</v>
      </c>
      <c r="L3255">
        <f>VLOOKUP(A3255,'ZONE 1 PREMIUM'!$A$3:$M$16,13,0)</f>
        <v>7</v>
      </c>
      <c r="M3255">
        <f>VLOOKUP(D3255,DROPDOWN!B:C,2,0)</f>
        <v>11</v>
      </c>
      <c r="N3255" t="str">
        <f t="shared" si="164"/>
        <v>AU3:BM16</v>
      </c>
      <c r="O3255" s="4">
        <f t="shared" ca="1" si="162"/>
        <v>48358.125</v>
      </c>
    </row>
    <row r="3256" spans="1:15">
      <c r="A3256" s="2" t="s">
        <v>15</v>
      </c>
      <c r="B3256" t="s">
        <v>33</v>
      </c>
      <c r="C3256" t="s">
        <v>34</v>
      </c>
      <c r="D3256">
        <v>40</v>
      </c>
      <c r="E3256" t="s">
        <v>26</v>
      </c>
      <c r="F3256">
        <v>1</v>
      </c>
      <c r="G3256">
        <v>1</v>
      </c>
      <c r="H3256">
        <v>0</v>
      </c>
      <c r="I3256">
        <v>1</v>
      </c>
      <c r="J3256" s="4" t="s">
        <v>55</v>
      </c>
      <c r="K3256" t="str">
        <f t="shared" si="163"/>
        <v>1+0</v>
      </c>
      <c r="L3256">
        <f>VLOOKUP(A3256,'ZONE 1 PREMIUM'!$A$3:$M$16,13,0)</f>
        <v>8</v>
      </c>
      <c r="M3256">
        <f>VLOOKUP(D3256,DROPDOWN!B:C,2,0)</f>
        <v>11</v>
      </c>
      <c r="N3256" t="str">
        <f t="shared" si="164"/>
        <v>AU3:BM16</v>
      </c>
      <c r="O3256" s="4">
        <f t="shared" ca="1" si="162"/>
        <v>60368.625</v>
      </c>
    </row>
    <row r="3257" spans="1:15">
      <c r="A3257" s="2" t="s">
        <v>16</v>
      </c>
      <c r="B3257" t="s">
        <v>35</v>
      </c>
      <c r="C3257" t="s">
        <v>36</v>
      </c>
      <c r="D3257">
        <v>40</v>
      </c>
      <c r="E3257" t="s">
        <v>26</v>
      </c>
      <c r="F3257">
        <v>1</v>
      </c>
      <c r="G3257">
        <v>1</v>
      </c>
      <c r="H3257">
        <v>0</v>
      </c>
      <c r="I3257">
        <v>1</v>
      </c>
      <c r="J3257" s="4" t="s">
        <v>55</v>
      </c>
      <c r="K3257" t="str">
        <f t="shared" si="163"/>
        <v>1+0</v>
      </c>
      <c r="L3257">
        <f>VLOOKUP(A3257,'ZONE 1 PREMIUM'!$A$3:$M$16,13,0)</f>
        <v>9</v>
      </c>
      <c r="M3257">
        <f>VLOOKUP(D3257,DROPDOWN!B:C,2,0)</f>
        <v>11</v>
      </c>
      <c r="N3257" t="str">
        <f t="shared" si="164"/>
        <v>AU3:BM16</v>
      </c>
      <c r="O3257" s="4">
        <f t="shared" ca="1" si="162"/>
        <v>79993.125</v>
      </c>
    </row>
    <row r="3258" spans="1:15">
      <c r="A3258" s="2" t="s">
        <v>17</v>
      </c>
      <c r="B3258" t="s">
        <v>37</v>
      </c>
      <c r="C3258" t="s">
        <v>38</v>
      </c>
      <c r="D3258">
        <v>40</v>
      </c>
      <c r="E3258" t="s">
        <v>26</v>
      </c>
      <c r="F3258">
        <v>1</v>
      </c>
      <c r="G3258">
        <v>1</v>
      </c>
      <c r="H3258">
        <v>0</v>
      </c>
      <c r="I3258">
        <v>1</v>
      </c>
      <c r="J3258" s="4" t="s">
        <v>55</v>
      </c>
      <c r="K3258" t="str">
        <f t="shared" si="163"/>
        <v>1+0</v>
      </c>
      <c r="L3258">
        <f>VLOOKUP(A3258,'ZONE 1 PREMIUM'!$A$3:$M$16,13,0)</f>
        <v>10</v>
      </c>
      <c r="M3258">
        <f>VLOOKUP(D3258,DROPDOWN!B:C,2,0)</f>
        <v>11</v>
      </c>
      <c r="N3258" t="str">
        <f t="shared" si="164"/>
        <v>AU3:BM16</v>
      </c>
      <c r="O3258" s="4">
        <f t="shared" ca="1" si="162"/>
        <v>107645.625</v>
      </c>
    </row>
    <row r="3259" spans="1:15">
      <c r="A3259" s="2" t="s">
        <v>18</v>
      </c>
      <c r="B3259" t="s">
        <v>39</v>
      </c>
      <c r="C3259" t="s">
        <v>40</v>
      </c>
      <c r="D3259">
        <v>40</v>
      </c>
      <c r="E3259" t="s">
        <v>26</v>
      </c>
      <c r="F3259">
        <v>1</v>
      </c>
      <c r="G3259">
        <v>1</v>
      </c>
      <c r="H3259">
        <v>0</v>
      </c>
      <c r="I3259">
        <v>1</v>
      </c>
      <c r="J3259" s="4" t="s">
        <v>55</v>
      </c>
      <c r="K3259" t="str">
        <f t="shared" si="163"/>
        <v>1+0</v>
      </c>
      <c r="L3259">
        <f>VLOOKUP(A3259,'ZONE 1 PREMIUM'!$A$3:$M$16,13,0)</f>
        <v>11</v>
      </c>
      <c r="M3259">
        <f>VLOOKUP(D3259,DROPDOWN!B:C,2,0)</f>
        <v>11</v>
      </c>
      <c r="N3259" t="str">
        <f t="shared" si="164"/>
        <v>AU3:BM16</v>
      </c>
      <c r="O3259" s="4">
        <f t="shared" ca="1" si="162"/>
        <v>149347.125</v>
      </c>
    </row>
    <row r="3260" spans="1:15">
      <c r="A3260" s="2" t="s">
        <v>19</v>
      </c>
      <c r="B3260" t="s">
        <v>41</v>
      </c>
      <c r="C3260" t="s">
        <v>42</v>
      </c>
      <c r="D3260">
        <v>40</v>
      </c>
      <c r="E3260" t="s">
        <v>26</v>
      </c>
      <c r="F3260">
        <v>1</v>
      </c>
      <c r="G3260">
        <v>1</v>
      </c>
      <c r="H3260">
        <v>0</v>
      </c>
      <c r="I3260">
        <v>1</v>
      </c>
      <c r="J3260" s="4" t="s">
        <v>55</v>
      </c>
      <c r="K3260" t="str">
        <f t="shared" si="163"/>
        <v>1+0</v>
      </c>
      <c r="L3260">
        <f>VLOOKUP(A3260,'ZONE 1 PREMIUM'!$A$3:$M$16,13,0)</f>
        <v>12</v>
      </c>
      <c r="M3260">
        <f>VLOOKUP(D3260,DROPDOWN!B:C,2,0)</f>
        <v>11</v>
      </c>
      <c r="N3260" t="str">
        <f t="shared" si="164"/>
        <v>AU3:BM16</v>
      </c>
      <c r="O3260" s="4">
        <f t="shared" ca="1" si="162"/>
        <v>194964.75</v>
      </c>
    </row>
    <row r="3261" spans="1:15">
      <c r="A3261" s="2" t="s">
        <v>20</v>
      </c>
      <c r="B3261" t="s">
        <v>43</v>
      </c>
      <c r="C3261" t="s">
        <v>44</v>
      </c>
      <c r="D3261">
        <v>40</v>
      </c>
      <c r="E3261" t="s">
        <v>26</v>
      </c>
      <c r="F3261">
        <v>1</v>
      </c>
      <c r="G3261">
        <v>1</v>
      </c>
      <c r="H3261">
        <v>0</v>
      </c>
      <c r="I3261">
        <v>1</v>
      </c>
      <c r="J3261" s="4" t="s">
        <v>55</v>
      </c>
      <c r="K3261" t="str">
        <f t="shared" si="163"/>
        <v>1+0</v>
      </c>
      <c r="L3261">
        <f>VLOOKUP(A3261,'ZONE 1 PREMIUM'!$A$3:$M$16,13,0)</f>
        <v>13</v>
      </c>
      <c r="M3261">
        <f>VLOOKUP(D3261,DROPDOWN!B:C,2,0)</f>
        <v>11</v>
      </c>
      <c r="N3261" t="str">
        <f t="shared" si="164"/>
        <v>AU3:BM16</v>
      </c>
      <c r="O3261" s="4">
        <f t="shared" ca="1" si="162"/>
        <v>235487.25</v>
      </c>
    </row>
    <row r="3262" spans="1:15">
      <c r="A3262" s="2" t="s">
        <v>21</v>
      </c>
      <c r="B3262" t="s">
        <v>22</v>
      </c>
      <c r="D3262">
        <v>40</v>
      </c>
      <c r="E3262" t="s">
        <v>26</v>
      </c>
      <c r="F3262">
        <v>1</v>
      </c>
      <c r="G3262">
        <v>1</v>
      </c>
      <c r="H3262">
        <v>0</v>
      </c>
      <c r="I3262">
        <v>1</v>
      </c>
      <c r="J3262" s="4" t="s">
        <v>55</v>
      </c>
      <c r="K3262" t="str">
        <f t="shared" si="163"/>
        <v>1+0</v>
      </c>
      <c r="L3262">
        <f>VLOOKUP(A3262,'ZONE 1 PREMIUM'!$A$3:$M$16,13,0)</f>
        <v>14</v>
      </c>
      <c r="M3262">
        <f>VLOOKUP(D3262,DROPDOWN!B:C,2,0)</f>
        <v>11</v>
      </c>
      <c r="N3262" t="str">
        <f t="shared" si="164"/>
        <v>AU3:BM16</v>
      </c>
      <c r="O3262" s="4">
        <f t="shared" ca="1" si="162"/>
        <v>317972.25</v>
      </c>
    </row>
    <row r="3263" spans="1:15">
      <c r="A3263" s="2" t="s">
        <v>11</v>
      </c>
      <c r="B3263" t="s">
        <v>45</v>
      </c>
      <c r="C3263" t="s">
        <v>25</v>
      </c>
      <c r="D3263">
        <v>40</v>
      </c>
      <c r="E3263" t="s">
        <v>46</v>
      </c>
      <c r="F3263">
        <v>2</v>
      </c>
      <c r="G3263">
        <v>1</v>
      </c>
      <c r="H3263">
        <v>1</v>
      </c>
      <c r="I3263">
        <v>1</v>
      </c>
      <c r="J3263" s="4" t="s">
        <v>55</v>
      </c>
      <c r="K3263" t="str">
        <f t="shared" si="163"/>
        <v>1+1</v>
      </c>
      <c r="L3263">
        <f>VLOOKUP(A3263,'ZONE 1 PREMIUM'!$A$4:$N$16,14,0)</f>
        <v>2</v>
      </c>
      <c r="M3263">
        <f>VLOOKUP(D3263,DROPDOWN!B:C,2,0)</f>
        <v>11</v>
      </c>
      <c r="N3263" t="str">
        <f t="shared" si="164"/>
        <v>AU20:BM31</v>
      </c>
      <c r="O3263" s="4">
        <f t="shared" ca="1" si="162"/>
        <v>35173.125</v>
      </c>
    </row>
    <row r="3264" spans="1:15">
      <c r="A3264" s="2" t="s">
        <v>12</v>
      </c>
      <c r="B3264" t="s">
        <v>27</v>
      </c>
      <c r="C3264" t="s">
        <v>28</v>
      </c>
      <c r="D3264">
        <v>40</v>
      </c>
      <c r="E3264" t="s">
        <v>46</v>
      </c>
      <c r="F3264">
        <v>2</v>
      </c>
      <c r="G3264">
        <v>1</v>
      </c>
      <c r="H3264">
        <v>1</v>
      </c>
      <c r="I3264">
        <v>1</v>
      </c>
      <c r="J3264" s="4" t="s">
        <v>55</v>
      </c>
      <c r="K3264" t="str">
        <f t="shared" si="163"/>
        <v>1+1</v>
      </c>
      <c r="L3264">
        <f>VLOOKUP(A3264,'ZONE 1 PREMIUM'!$A$4:$N$16,14,0)</f>
        <v>3</v>
      </c>
      <c r="M3264">
        <f>VLOOKUP(D3264,DROPDOWN!B:C,2,0)</f>
        <v>11</v>
      </c>
      <c r="N3264" t="str">
        <f t="shared" si="164"/>
        <v>AU20:BM31</v>
      </c>
      <c r="O3264" s="4">
        <f t="shared" ca="1" si="162"/>
        <v>38713.5</v>
      </c>
    </row>
    <row r="3265" spans="1:15">
      <c r="A3265" s="2" t="s">
        <v>13</v>
      </c>
      <c r="B3265" t="s">
        <v>29</v>
      </c>
      <c r="C3265" t="s">
        <v>30</v>
      </c>
      <c r="D3265">
        <v>40</v>
      </c>
      <c r="E3265" t="s">
        <v>46</v>
      </c>
      <c r="F3265">
        <v>2</v>
      </c>
      <c r="G3265">
        <v>1</v>
      </c>
      <c r="H3265">
        <v>1</v>
      </c>
      <c r="I3265">
        <v>1</v>
      </c>
      <c r="J3265" s="4" t="s">
        <v>55</v>
      </c>
      <c r="K3265" t="str">
        <f t="shared" si="163"/>
        <v>1+1</v>
      </c>
      <c r="L3265">
        <f>VLOOKUP(A3265,'ZONE 1 PREMIUM'!$A$4:$N$16,14,0)</f>
        <v>4</v>
      </c>
      <c r="M3265">
        <f>VLOOKUP(D3265,DROPDOWN!B:C,2,0)</f>
        <v>11</v>
      </c>
      <c r="N3265" t="str">
        <f t="shared" si="164"/>
        <v>AU20:BM31</v>
      </c>
      <c r="O3265" s="4">
        <f t="shared" ca="1" si="162"/>
        <v>44992.125</v>
      </c>
    </row>
    <row r="3266" spans="1:15">
      <c r="A3266" s="2" t="s">
        <v>14</v>
      </c>
      <c r="B3266" t="s">
        <v>31</v>
      </c>
      <c r="C3266" t="s">
        <v>32</v>
      </c>
      <c r="D3266">
        <v>40</v>
      </c>
      <c r="E3266" t="s">
        <v>46</v>
      </c>
      <c r="F3266">
        <v>2</v>
      </c>
      <c r="G3266">
        <v>1</v>
      </c>
      <c r="H3266">
        <v>1</v>
      </c>
      <c r="I3266">
        <v>1</v>
      </c>
      <c r="J3266" s="4" t="s">
        <v>55</v>
      </c>
      <c r="K3266" t="str">
        <f t="shared" si="163"/>
        <v>1+1</v>
      </c>
      <c r="L3266">
        <f>VLOOKUP(A3266,'ZONE 1 PREMIUM'!$A$4:$N$16,14,0)</f>
        <v>5</v>
      </c>
      <c r="M3266">
        <f>VLOOKUP(D3266,DROPDOWN!B:C,2,0)</f>
        <v>11</v>
      </c>
      <c r="N3266" t="str">
        <f t="shared" si="164"/>
        <v>AU20:BM31</v>
      </c>
      <c r="O3266" s="4">
        <f t="shared" ref="O3266:O3329" ca="1" si="165">INDEX(INDIRECT(N3266),L3266,M3266)</f>
        <v>52956</v>
      </c>
    </row>
    <row r="3267" spans="1:15">
      <c r="A3267" s="2" t="s">
        <v>15</v>
      </c>
      <c r="B3267" t="s">
        <v>33</v>
      </c>
      <c r="C3267" t="s">
        <v>34</v>
      </c>
      <c r="D3267">
        <v>40</v>
      </c>
      <c r="E3267" t="s">
        <v>46</v>
      </c>
      <c r="F3267">
        <v>2</v>
      </c>
      <c r="G3267">
        <v>1</v>
      </c>
      <c r="H3267">
        <v>1</v>
      </c>
      <c r="I3267">
        <v>1</v>
      </c>
      <c r="J3267" s="4" t="s">
        <v>55</v>
      </c>
      <c r="K3267" t="str">
        <f t="shared" si="163"/>
        <v>1+1</v>
      </c>
      <c r="L3267">
        <f>VLOOKUP(A3267,'ZONE 1 PREMIUM'!$A$4:$N$16,14,0)</f>
        <v>6</v>
      </c>
      <c r="M3267">
        <f>VLOOKUP(D3267,DROPDOWN!B:C,2,0)</f>
        <v>11</v>
      </c>
      <c r="N3267" t="str">
        <f t="shared" si="164"/>
        <v>AU20:BM31</v>
      </c>
      <c r="O3267" s="4">
        <f t="shared" ca="1" si="165"/>
        <v>65575.125</v>
      </c>
    </row>
    <row r="3268" spans="1:15">
      <c r="A3268" s="2" t="s">
        <v>16</v>
      </c>
      <c r="B3268" t="s">
        <v>35</v>
      </c>
      <c r="C3268" t="s">
        <v>36</v>
      </c>
      <c r="D3268">
        <v>40</v>
      </c>
      <c r="E3268" t="s">
        <v>46</v>
      </c>
      <c r="F3268">
        <v>2</v>
      </c>
      <c r="G3268">
        <v>1</v>
      </c>
      <c r="H3268">
        <v>1</v>
      </c>
      <c r="I3268">
        <v>1</v>
      </c>
      <c r="J3268" s="4" t="s">
        <v>55</v>
      </c>
      <c r="K3268" t="str">
        <f t="shared" ref="K3268:K3331" si="166">G3268&amp;"+"&amp;H3268</f>
        <v>1+1</v>
      </c>
      <c r="L3268">
        <f>VLOOKUP(A3268,'ZONE 1 PREMIUM'!$A$4:$N$16,14,0)</f>
        <v>7</v>
      </c>
      <c r="M3268">
        <f>VLOOKUP(D3268,DROPDOWN!B:C,2,0)</f>
        <v>11</v>
      </c>
      <c r="N3268" t="str">
        <f t="shared" si="164"/>
        <v>AU20:BM31</v>
      </c>
      <c r="O3268" s="4">
        <f t="shared" ca="1" si="165"/>
        <v>85666.5</v>
      </c>
    </row>
    <row r="3269" spans="1:15">
      <c r="A3269" s="2" t="s">
        <v>17</v>
      </c>
      <c r="B3269" t="s">
        <v>37</v>
      </c>
      <c r="C3269" t="s">
        <v>38</v>
      </c>
      <c r="D3269">
        <v>40</v>
      </c>
      <c r="E3269" t="s">
        <v>46</v>
      </c>
      <c r="F3269">
        <v>2</v>
      </c>
      <c r="G3269">
        <v>1</v>
      </c>
      <c r="H3269">
        <v>1</v>
      </c>
      <c r="I3269">
        <v>1</v>
      </c>
      <c r="J3269" s="4" t="s">
        <v>55</v>
      </c>
      <c r="K3269" t="str">
        <f t="shared" si="166"/>
        <v>1+1</v>
      </c>
      <c r="L3269">
        <f>VLOOKUP(A3269,'ZONE 1 PREMIUM'!$A$4:$N$16,14,0)</f>
        <v>8</v>
      </c>
      <c r="M3269">
        <f>VLOOKUP(D3269,DROPDOWN!B:C,2,0)</f>
        <v>11</v>
      </c>
      <c r="N3269" t="str">
        <f t="shared" si="164"/>
        <v>AU20:BM31</v>
      </c>
      <c r="O3269" s="4">
        <f t="shared" ca="1" si="165"/>
        <v>113580</v>
      </c>
    </row>
    <row r="3270" spans="1:15">
      <c r="A3270" s="2" t="s">
        <v>18</v>
      </c>
      <c r="B3270" t="s">
        <v>39</v>
      </c>
      <c r="C3270" t="s">
        <v>40</v>
      </c>
      <c r="D3270">
        <v>40</v>
      </c>
      <c r="E3270" t="s">
        <v>46</v>
      </c>
      <c r="F3270">
        <v>2</v>
      </c>
      <c r="G3270">
        <v>1</v>
      </c>
      <c r="H3270">
        <v>1</v>
      </c>
      <c r="I3270">
        <v>1</v>
      </c>
      <c r="J3270" s="4" t="s">
        <v>55</v>
      </c>
      <c r="K3270" t="str">
        <f t="shared" si="166"/>
        <v>1+1</v>
      </c>
      <c r="L3270">
        <f>VLOOKUP(A3270,'ZONE 1 PREMIUM'!$A$4:$N$16,14,0)</f>
        <v>9</v>
      </c>
      <c r="M3270">
        <f>VLOOKUP(D3270,DROPDOWN!B:C,2,0)</f>
        <v>11</v>
      </c>
      <c r="N3270" t="str">
        <f t="shared" si="164"/>
        <v>AU20:BM31</v>
      </c>
      <c r="O3270" s="4">
        <f t="shared" ca="1" si="165"/>
        <v>157010.625</v>
      </c>
    </row>
    <row r="3271" spans="1:15">
      <c r="A3271" s="2" t="s">
        <v>19</v>
      </c>
      <c r="B3271" t="s">
        <v>41</v>
      </c>
      <c r="C3271" t="s">
        <v>42</v>
      </c>
      <c r="D3271">
        <v>40</v>
      </c>
      <c r="E3271" t="s">
        <v>46</v>
      </c>
      <c r="F3271">
        <v>2</v>
      </c>
      <c r="G3271">
        <v>1</v>
      </c>
      <c r="H3271">
        <v>1</v>
      </c>
      <c r="I3271">
        <v>1</v>
      </c>
      <c r="J3271" s="4" t="s">
        <v>55</v>
      </c>
      <c r="K3271" t="str">
        <f t="shared" si="166"/>
        <v>1+1</v>
      </c>
      <c r="L3271">
        <f>VLOOKUP(A3271,'ZONE 1 PREMIUM'!$A$4:$N$16,14,0)</f>
        <v>10</v>
      </c>
      <c r="M3271">
        <f>VLOOKUP(D3271,DROPDOWN!B:C,2,0)</f>
        <v>11</v>
      </c>
      <c r="N3271" t="str">
        <f t="shared" si="164"/>
        <v>AU20:BM31</v>
      </c>
      <c r="O3271" s="4">
        <f t="shared" ca="1" si="165"/>
        <v>202514.625</v>
      </c>
    </row>
    <row r="3272" spans="1:15">
      <c r="A3272" s="2" t="s">
        <v>20</v>
      </c>
      <c r="B3272" t="s">
        <v>43</v>
      </c>
      <c r="C3272" t="s">
        <v>44</v>
      </c>
      <c r="D3272">
        <v>40</v>
      </c>
      <c r="E3272" t="s">
        <v>46</v>
      </c>
      <c r="F3272">
        <v>2</v>
      </c>
      <c r="G3272">
        <v>1</v>
      </c>
      <c r="H3272">
        <v>1</v>
      </c>
      <c r="I3272">
        <v>1</v>
      </c>
      <c r="J3272" s="4" t="s">
        <v>55</v>
      </c>
      <c r="K3272" t="str">
        <f t="shared" si="166"/>
        <v>1+1</v>
      </c>
      <c r="L3272">
        <f>VLOOKUP(A3272,'ZONE 1 PREMIUM'!$A$4:$N$16,14,0)</f>
        <v>11</v>
      </c>
      <c r="M3272">
        <f>VLOOKUP(D3272,DROPDOWN!B:C,2,0)</f>
        <v>11</v>
      </c>
      <c r="N3272" t="str">
        <f t="shared" si="164"/>
        <v>AU20:BM31</v>
      </c>
      <c r="O3272" s="4">
        <f t="shared" ca="1" si="165"/>
        <v>239979.375</v>
      </c>
    </row>
    <row r="3273" spans="1:15">
      <c r="A3273" s="2" t="s">
        <v>21</v>
      </c>
      <c r="B3273" t="s">
        <v>22</v>
      </c>
      <c r="D3273">
        <v>40</v>
      </c>
      <c r="E3273" t="s">
        <v>46</v>
      </c>
      <c r="F3273">
        <v>2</v>
      </c>
      <c r="G3273">
        <v>1</v>
      </c>
      <c r="H3273">
        <v>1</v>
      </c>
      <c r="I3273">
        <v>1</v>
      </c>
      <c r="J3273" s="4" t="s">
        <v>55</v>
      </c>
      <c r="K3273" t="str">
        <f t="shared" si="166"/>
        <v>1+1</v>
      </c>
      <c r="L3273">
        <f>VLOOKUP(A3273,'ZONE 1 PREMIUM'!$A$4:$N$16,14,0)</f>
        <v>12</v>
      </c>
      <c r="M3273">
        <f>VLOOKUP(D3273,DROPDOWN!B:C,2,0)</f>
        <v>11</v>
      </c>
      <c r="N3273" t="str">
        <f t="shared" si="164"/>
        <v>AU20:BM31</v>
      </c>
      <c r="O3273" s="4">
        <f t="shared" ca="1" si="165"/>
        <v>327225.375</v>
      </c>
    </row>
    <row r="3274" spans="1:15">
      <c r="A3274" s="2" t="s">
        <v>11</v>
      </c>
      <c r="B3274" t="s">
        <v>45</v>
      </c>
      <c r="C3274" t="s">
        <v>25</v>
      </c>
      <c r="D3274">
        <v>40</v>
      </c>
      <c r="E3274" t="s">
        <v>46</v>
      </c>
      <c r="F3274">
        <v>3</v>
      </c>
      <c r="G3274">
        <v>1</v>
      </c>
      <c r="H3274">
        <v>2</v>
      </c>
      <c r="I3274">
        <v>1</v>
      </c>
      <c r="J3274" s="4" t="s">
        <v>55</v>
      </c>
      <c r="K3274" t="str">
        <f t="shared" si="166"/>
        <v>1+2</v>
      </c>
      <c r="L3274">
        <f>VLOOKUP(A3274,'ZONE 1 PREMIUM'!$A$4:$N$16,14,0)</f>
        <v>2</v>
      </c>
      <c r="M3274">
        <f>VLOOKUP(D3274,DROPDOWN!B:C,2,0)</f>
        <v>11</v>
      </c>
      <c r="N3274" t="str">
        <f t="shared" si="164"/>
        <v>AU35:BM46</v>
      </c>
      <c r="O3274" s="4">
        <f t="shared" ca="1" si="165"/>
        <v>45541.125</v>
      </c>
    </row>
    <row r="3275" spans="1:15">
      <c r="A3275" s="2" t="s">
        <v>12</v>
      </c>
      <c r="B3275" t="s">
        <v>27</v>
      </c>
      <c r="C3275" t="s">
        <v>28</v>
      </c>
      <c r="D3275">
        <v>40</v>
      </c>
      <c r="E3275" t="s">
        <v>46</v>
      </c>
      <c r="F3275">
        <v>3</v>
      </c>
      <c r="G3275">
        <v>1</v>
      </c>
      <c r="H3275">
        <v>2</v>
      </c>
      <c r="I3275">
        <v>1</v>
      </c>
      <c r="J3275" s="4" t="s">
        <v>55</v>
      </c>
      <c r="K3275" t="str">
        <f t="shared" si="166"/>
        <v>1+2</v>
      </c>
      <c r="L3275">
        <f>VLOOKUP(A3275,'ZONE 1 PREMIUM'!$A$4:$N$16,14,0)</f>
        <v>3</v>
      </c>
      <c r="M3275">
        <f>VLOOKUP(D3275,DROPDOWN!B:C,2,0)</f>
        <v>11</v>
      </c>
      <c r="N3275" t="str">
        <f t="shared" si="164"/>
        <v>AU35:BM46</v>
      </c>
      <c r="O3275" s="4">
        <f t="shared" ca="1" si="165"/>
        <v>48705.75</v>
      </c>
    </row>
    <row r="3276" spans="1:15">
      <c r="A3276" s="2" t="s">
        <v>13</v>
      </c>
      <c r="B3276" t="s">
        <v>29</v>
      </c>
      <c r="C3276" t="s">
        <v>30</v>
      </c>
      <c r="D3276">
        <v>40</v>
      </c>
      <c r="E3276" t="s">
        <v>46</v>
      </c>
      <c r="F3276">
        <v>3</v>
      </c>
      <c r="G3276">
        <v>1</v>
      </c>
      <c r="H3276">
        <v>2</v>
      </c>
      <c r="I3276">
        <v>1</v>
      </c>
      <c r="J3276" s="4" t="s">
        <v>55</v>
      </c>
      <c r="K3276" t="str">
        <f t="shared" si="166"/>
        <v>1+2</v>
      </c>
      <c r="L3276">
        <f>VLOOKUP(A3276,'ZONE 1 PREMIUM'!$A$4:$N$16,14,0)</f>
        <v>4</v>
      </c>
      <c r="M3276">
        <f>VLOOKUP(D3276,DROPDOWN!B:C,2,0)</f>
        <v>11</v>
      </c>
      <c r="N3276" t="str">
        <f t="shared" si="164"/>
        <v>AU35:BM46</v>
      </c>
      <c r="O3276" s="4">
        <f t="shared" ca="1" si="165"/>
        <v>56675.25</v>
      </c>
    </row>
    <row r="3277" spans="1:15">
      <c r="A3277" s="2" t="s">
        <v>14</v>
      </c>
      <c r="B3277" t="s">
        <v>31</v>
      </c>
      <c r="C3277" t="s">
        <v>32</v>
      </c>
      <c r="D3277">
        <v>40</v>
      </c>
      <c r="E3277" t="s">
        <v>46</v>
      </c>
      <c r="F3277">
        <v>3</v>
      </c>
      <c r="G3277">
        <v>1</v>
      </c>
      <c r="H3277">
        <v>2</v>
      </c>
      <c r="I3277">
        <v>1</v>
      </c>
      <c r="J3277" s="4" t="s">
        <v>55</v>
      </c>
      <c r="K3277" t="str">
        <f t="shared" si="166"/>
        <v>1+2</v>
      </c>
      <c r="L3277">
        <f>VLOOKUP(A3277,'ZONE 1 PREMIUM'!$A$4:$N$16,14,0)</f>
        <v>5</v>
      </c>
      <c r="M3277">
        <f>VLOOKUP(D3277,DROPDOWN!B:C,2,0)</f>
        <v>11</v>
      </c>
      <c r="N3277" t="str">
        <f t="shared" si="164"/>
        <v>AU35:BM46</v>
      </c>
      <c r="O3277" s="4">
        <f t="shared" ca="1" si="165"/>
        <v>63664.875</v>
      </c>
    </row>
    <row r="3278" spans="1:15">
      <c r="A3278" s="2" t="s">
        <v>15</v>
      </c>
      <c r="B3278" t="s">
        <v>33</v>
      </c>
      <c r="C3278" t="s">
        <v>34</v>
      </c>
      <c r="D3278">
        <v>40</v>
      </c>
      <c r="E3278" t="s">
        <v>46</v>
      </c>
      <c r="F3278">
        <v>3</v>
      </c>
      <c r="G3278">
        <v>1</v>
      </c>
      <c r="H3278">
        <v>2</v>
      </c>
      <c r="I3278">
        <v>1</v>
      </c>
      <c r="J3278" s="4" t="s">
        <v>55</v>
      </c>
      <c r="K3278" t="str">
        <f t="shared" si="166"/>
        <v>1+2</v>
      </c>
      <c r="L3278">
        <f>VLOOKUP(A3278,'ZONE 1 PREMIUM'!$A$4:$N$16,14,0)</f>
        <v>6</v>
      </c>
      <c r="M3278">
        <f>VLOOKUP(D3278,DROPDOWN!B:C,2,0)</f>
        <v>11</v>
      </c>
      <c r="N3278" t="str">
        <f t="shared" si="164"/>
        <v>AU35:BM46</v>
      </c>
      <c r="O3278" s="4">
        <f t="shared" ca="1" si="165"/>
        <v>79935.75</v>
      </c>
    </row>
    <row r="3279" spans="1:15">
      <c r="A3279" s="2" t="s">
        <v>16</v>
      </c>
      <c r="B3279" t="s">
        <v>35</v>
      </c>
      <c r="C3279" t="s">
        <v>36</v>
      </c>
      <c r="D3279">
        <v>40</v>
      </c>
      <c r="E3279" t="s">
        <v>46</v>
      </c>
      <c r="F3279">
        <v>3</v>
      </c>
      <c r="G3279">
        <v>1</v>
      </c>
      <c r="H3279">
        <v>2</v>
      </c>
      <c r="I3279">
        <v>1</v>
      </c>
      <c r="J3279" s="4" t="s">
        <v>55</v>
      </c>
      <c r="K3279" t="str">
        <f t="shared" si="166"/>
        <v>1+2</v>
      </c>
      <c r="L3279">
        <f>VLOOKUP(A3279,'ZONE 1 PREMIUM'!$A$4:$N$16,14,0)</f>
        <v>7</v>
      </c>
      <c r="M3279">
        <f>VLOOKUP(D3279,DROPDOWN!B:C,2,0)</f>
        <v>11</v>
      </c>
      <c r="N3279" t="str">
        <f t="shared" si="164"/>
        <v>AU35:BM46</v>
      </c>
      <c r="O3279" s="4">
        <f t="shared" ca="1" si="165"/>
        <v>103530.375</v>
      </c>
    </row>
    <row r="3280" spans="1:15">
      <c r="A3280" s="2" t="s">
        <v>17</v>
      </c>
      <c r="B3280" t="s">
        <v>37</v>
      </c>
      <c r="C3280" t="s">
        <v>38</v>
      </c>
      <c r="D3280">
        <v>40</v>
      </c>
      <c r="E3280" t="s">
        <v>46</v>
      </c>
      <c r="F3280">
        <v>3</v>
      </c>
      <c r="G3280">
        <v>1</v>
      </c>
      <c r="H3280">
        <v>2</v>
      </c>
      <c r="I3280">
        <v>1</v>
      </c>
      <c r="J3280" s="4" t="s">
        <v>55</v>
      </c>
      <c r="K3280" t="str">
        <f t="shared" si="166"/>
        <v>1+2</v>
      </c>
      <c r="L3280">
        <f>VLOOKUP(A3280,'ZONE 1 PREMIUM'!$A$4:$N$16,14,0)</f>
        <v>8</v>
      </c>
      <c r="M3280">
        <f>VLOOKUP(D3280,DROPDOWN!B:C,2,0)</f>
        <v>11</v>
      </c>
      <c r="N3280" t="str">
        <f t="shared" si="164"/>
        <v>AU35:BM46</v>
      </c>
      <c r="O3280" s="4">
        <f t="shared" ca="1" si="165"/>
        <v>132845.625</v>
      </c>
    </row>
    <row r="3281" spans="1:15">
      <c r="A3281" s="2" t="s">
        <v>18</v>
      </c>
      <c r="B3281" t="s">
        <v>39</v>
      </c>
      <c r="C3281" t="s">
        <v>40</v>
      </c>
      <c r="D3281">
        <v>40</v>
      </c>
      <c r="E3281" t="s">
        <v>46</v>
      </c>
      <c r="F3281">
        <v>3</v>
      </c>
      <c r="G3281">
        <v>1</v>
      </c>
      <c r="H3281">
        <v>2</v>
      </c>
      <c r="I3281">
        <v>1</v>
      </c>
      <c r="J3281" s="4" t="s">
        <v>55</v>
      </c>
      <c r="K3281" t="str">
        <f t="shared" si="166"/>
        <v>1+2</v>
      </c>
      <c r="L3281">
        <f>VLOOKUP(A3281,'ZONE 1 PREMIUM'!$A$4:$N$16,14,0)</f>
        <v>9</v>
      </c>
      <c r="M3281">
        <f>VLOOKUP(D3281,DROPDOWN!B:C,2,0)</f>
        <v>11</v>
      </c>
      <c r="N3281" t="str">
        <f t="shared" si="164"/>
        <v>AU35:BM46</v>
      </c>
      <c r="O3281" s="4">
        <f t="shared" ca="1" si="165"/>
        <v>172796.625</v>
      </c>
    </row>
    <row r="3282" spans="1:15">
      <c r="A3282" s="2" t="s">
        <v>19</v>
      </c>
      <c r="B3282" t="s">
        <v>41</v>
      </c>
      <c r="C3282" t="s">
        <v>42</v>
      </c>
      <c r="D3282">
        <v>40</v>
      </c>
      <c r="E3282" t="s">
        <v>46</v>
      </c>
      <c r="F3282">
        <v>3</v>
      </c>
      <c r="G3282">
        <v>1</v>
      </c>
      <c r="H3282">
        <v>2</v>
      </c>
      <c r="I3282">
        <v>1</v>
      </c>
      <c r="J3282" s="4" t="s">
        <v>55</v>
      </c>
      <c r="K3282" t="str">
        <f t="shared" si="166"/>
        <v>1+2</v>
      </c>
      <c r="L3282">
        <f>VLOOKUP(A3282,'ZONE 1 PREMIUM'!$A$4:$N$16,14,0)</f>
        <v>10</v>
      </c>
      <c r="M3282">
        <f>VLOOKUP(D3282,DROPDOWN!B:C,2,0)</f>
        <v>11</v>
      </c>
      <c r="N3282" t="str">
        <f t="shared" si="164"/>
        <v>AU35:BM46</v>
      </c>
      <c r="O3282" s="4">
        <f t="shared" ca="1" si="165"/>
        <v>221753.25</v>
      </c>
    </row>
    <row r="3283" spans="1:15">
      <c r="A3283" s="2" t="s">
        <v>20</v>
      </c>
      <c r="B3283" t="s">
        <v>43</v>
      </c>
      <c r="C3283" t="s">
        <v>44</v>
      </c>
      <c r="D3283">
        <v>40</v>
      </c>
      <c r="E3283" t="s">
        <v>46</v>
      </c>
      <c r="F3283">
        <v>3</v>
      </c>
      <c r="G3283">
        <v>1</v>
      </c>
      <c r="H3283">
        <v>2</v>
      </c>
      <c r="I3283">
        <v>1</v>
      </c>
      <c r="J3283" s="4" t="s">
        <v>55</v>
      </c>
      <c r="K3283" t="str">
        <f t="shared" si="166"/>
        <v>1+2</v>
      </c>
      <c r="L3283">
        <f>VLOOKUP(A3283,'ZONE 1 PREMIUM'!$A$4:$N$16,14,0)</f>
        <v>11</v>
      </c>
      <c r="M3283">
        <f>VLOOKUP(D3283,DROPDOWN!B:C,2,0)</f>
        <v>11</v>
      </c>
      <c r="N3283" t="str">
        <f t="shared" si="164"/>
        <v>AU35:BM46</v>
      </c>
      <c r="O3283" s="4">
        <f t="shared" ca="1" si="165"/>
        <v>262672.875</v>
      </c>
    </row>
    <row r="3284" spans="1:15">
      <c r="A3284" s="2" t="s">
        <v>21</v>
      </c>
      <c r="B3284" t="s">
        <v>22</v>
      </c>
      <c r="D3284">
        <v>40</v>
      </c>
      <c r="E3284" t="s">
        <v>46</v>
      </c>
      <c r="F3284">
        <v>3</v>
      </c>
      <c r="G3284">
        <v>1</v>
      </c>
      <c r="H3284">
        <v>2</v>
      </c>
      <c r="I3284">
        <v>1</v>
      </c>
      <c r="J3284" s="4" t="s">
        <v>55</v>
      </c>
      <c r="K3284" t="str">
        <f t="shared" si="166"/>
        <v>1+2</v>
      </c>
      <c r="L3284">
        <f>VLOOKUP(A3284,'ZONE 1 PREMIUM'!$A$4:$N$16,14,0)</f>
        <v>12</v>
      </c>
      <c r="M3284">
        <f>VLOOKUP(D3284,DROPDOWN!B:C,2,0)</f>
        <v>11</v>
      </c>
      <c r="N3284" t="str">
        <f t="shared" si="164"/>
        <v>AU35:BM46</v>
      </c>
      <c r="O3284" s="4">
        <f t="shared" ca="1" si="165"/>
        <v>344236.5</v>
      </c>
    </row>
    <row r="3285" spans="1:15">
      <c r="A3285" s="2" t="s">
        <v>11</v>
      </c>
      <c r="B3285" t="s">
        <v>45</v>
      </c>
      <c r="C3285" t="s">
        <v>25</v>
      </c>
      <c r="D3285">
        <v>40</v>
      </c>
      <c r="E3285" t="s">
        <v>46</v>
      </c>
      <c r="F3285">
        <v>4</v>
      </c>
      <c r="G3285">
        <v>1</v>
      </c>
      <c r="H3285">
        <v>3</v>
      </c>
      <c r="I3285">
        <v>1</v>
      </c>
      <c r="J3285" s="4" t="s">
        <v>55</v>
      </c>
      <c r="K3285" t="str">
        <f t="shared" si="166"/>
        <v>1+3</v>
      </c>
      <c r="L3285">
        <f>VLOOKUP(A3285,'ZONE 1 PREMIUM'!$A$4:$N$16,14,0)</f>
        <v>2</v>
      </c>
      <c r="M3285">
        <f>VLOOKUP(D3285,DROPDOWN!B:C,2,0)</f>
        <v>11</v>
      </c>
      <c r="N3285" t="str">
        <f t="shared" si="164"/>
        <v>AU50:BM61</v>
      </c>
      <c r="O3285" s="4">
        <f t="shared" ca="1" si="165"/>
        <v>55909.125</v>
      </c>
    </row>
    <row r="3286" spans="1:15">
      <c r="A3286" s="2" t="s">
        <v>12</v>
      </c>
      <c r="B3286" t="s">
        <v>27</v>
      </c>
      <c r="C3286" t="s">
        <v>28</v>
      </c>
      <c r="D3286">
        <v>40</v>
      </c>
      <c r="E3286" t="s">
        <v>46</v>
      </c>
      <c r="F3286">
        <v>4</v>
      </c>
      <c r="G3286">
        <v>1</v>
      </c>
      <c r="H3286">
        <v>3</v>
      </c>
      <c r="I3286">
        <v>1</v>
      </c>
      <c r="J3286" s="4" t="s">
        <v>55</v>
      </c>
      <c r="K3286" t="str">
        <f t="shared" si="166"/>
        <v>1+3</v>
      </c>
      <c r="L3286">
        <f>VLOOKUP(A3286,'ZONE 1 PREMIUM'!$A$4:$N$16,14,0)</f>
        <v>3</v>
      </c>
      <c r="M3286">
        <f>VLOOKUP(D3286,DROPDOWN!B:C,2,0)</f>
        <v>11</v>
      </c>
      <c r="N3286" t="str">
        <f t="shared" si="164"/>
        <v>AU50:BM61</v>
      </c>
      <c r="O3286" s="4">
        <f t="shared" ca="1" si="165"/>
        <v>58891.5</v>
      </c>
    </row>
    <row r="3287" spans="1:15">
      <c r="A3287" s="2" t="s">
        <v>13</v>
      </c>
      <c r="B3287" t="s">
        <v>29</v>
      </c>
      <c r="C3287" t="s">
        <v>30</v>
      </c>
      <c r="D3287">
        <v>40</v>
      </c>
      <c r="E3287" t="s">
        <v>46</v>
      </c>
      <c r="F3287">
        <v>4</v>
      </c>
      <c r="G3287">
        <v>1</v>
      </c>
      <c r="H3287">
        <v>3</v>
      </c>
      <c r="I3287">
        <v>1</v>
      </c>
      <c r="J3287" s="4" t="s">
        <v>55</v>
      </c>
      <c r="K3287" t="str">
        <f t="shared" si="166"/>
        <v>1+3</v>
      </c>
      <c r="L3287">
        <f>VLOOKUP(A3287,'ZONE 1 PREMIUM'!$A$4:$N$16,14,0)</f>
        <v>4</v>
      </c>
      <c r="M3287">
        <f>VLOOKUP(D3287,DROPDOWN!B:C,2,0)</f>
        <v>11</v>
      </c>
      <c r="N3287" t="str">
        <f t="shared" si="164"/>
        <v>AU50:BM61</v>
      </c>
      <c r="O3287" s="4">
        <f t="shared" ca="1" si="165"/>
        <v>68582.25</v>
      </c>
    </row>
    <row r="3288" spans="1:15">
      <c r="A3288" s="2" t="s">
        <v>14</v>
      </c>
      <c r="B3288" t="s">
        <v>31</v>
      </c>
      <c r="C3288" t="s">
        <v>32</v>
      </c>
      <c r="D3288">
        <v>40</v>
      </c>
      <c r="E3288" t="s">
        <v>46</v>
      </c>
      <c r="F3288">
        <v>4</v>
      </c>
      <c r="G3288">
        <v>1</v>
      </c>
      <c r="H3288">
        <v>3</v>
      </c>
      <c r="I3288">
        <v>1</v>
      </c>
      <c r="J3288" s="4" t="s">
        <v>55</v>
      </c>
      <c r="K3288" t="str">
        <f t="shared" si="166"/>
        <v>1+3</v>
      </c>
      <c r="L3288">
        <f>VLOOKUP(A3288,'ZONE 1 PREMIUM'!$A$4:$N$16,14,0)</f>
        <v>5</v>
      </c>
      <c r="M3288">
        <f>VLOOKUP(D3288,DROPDOWN!B:C,2,0)</f>
        <v>11</v>
      </c>
      <c r="N3288" t="str">
        <f t="shared" si="164"/>
        <v>AU50:BM61</v>
      </c>
      <c r="O3288" s="4">
        <f t="shared" ca="1" si="165"/>
        <v>76411.125</v>
      </c>
    </row>
    <row r="3289" spans="1:15">
      <c r="A3289" s="2" t="s">
        <v>15</v>
      </c>
      <c r="B3289" t="s">
        <v>33</v>
      </c>
      <c r="C3289" t="s">
        <v>34</v>
      </c>
      <c r="D3289">
        <v>40</v>
      </c>
      <c r="E3289" t="s">
        <v>46</v>
      </c>
      <c r="F3289">
        <v>4</v>
      </c>
      <c r="G3289">
        <v>1</v>
      </c>
      <c r="H3289">
        <v>3</v>
      </c>
      <c r="I3289">
        <v>1</v>
      </c>
      <c r="J3289" s="4" t="s">
        <v>55</v>
      </c>
      <c r="K3289" t="str">
        <f t="shared" si="166"/>
        <v>1+3</v>
      </c>
      <c r="L3289">
        <f>VLOOKUP(A3289,'ZONE 1 PREMIUM'!$A$4:$N$16,14,0)</f>
        <v>6</v>
      </c>
      <c r="M3289">
        <f>VLOOKUP(D3289,DROPDOWN!B:C,2,0)</f>
        <v>11</v>
      </c>
      <c r="N3289" t="str">
        <f t="shared" si="164"/>
        <v>AU50:BM61</v>
      </c>
      <c r="O3289" s="4">
        <f t="shared" ca="1" si="165"/>
        <v>94296.375</v>
      </c>
    </row>
    <row r="3290" spans="1:15">
      <c r="A3290" s="2" t="s">
        <v>16</v>
      </c>
      <c r="B3290" t="s">
        <v>35</v>
      </c>
      <c r="C3290" t="s">
        <v>36</v>
      </c>
      <c r="D3290">
        <v>40</v>
      </c>
      <c r="E3290" t="s">
        <v>46</v>
      </c>
      <c r="F3290">
        <v>4</v>
      </c>
      <c r="G3290">
        <v>1</v>
      </c>
      <c r="H3290">
        <v>3</v>
      </c>
      <c r="I3290">
        <v>1</v>
      </c>
      <c r="J3290" s="4" t="s">
        <v>55</v>
      </c>
      <c r="K3290" t="str">
        <f t="shared" si="166"/>
        <v>1+3</v>
      </c>
      <c r="L3290">
        <f>VLOOKUP(A3290,'ZONE 1 PREMIUM'!$A$4:$N$16,14,0)</f>
        <v>7</v>
      </c>
      <c r="M3290">
        <f>VLOOKUP(D3290,DROPDOWN!B:C,2,0)</f>
        <v>11</v>
      </c>
      <c r="N3290" t="str">
        <f t="shared" si="164"/>
        <v>AU50:BM61</v>
      </c>
      <c r="O3290" s="4">
        <f t="shared" ca="1" si="165"/>
        <v>119574</v>
      </c>
    </row>
    <row r="3291" spans="1:15">
      <c r="A3291" s="2" t="s">
        <v>17</v>
      </c>
      <c r="B3291" t="s">
        <v>37</v>
      </c>
      <c r="C3291" t="s">
        <v>38</v>
      </c>
      <c r="D3291">
        <v>40</v>
      </c>
      <c r="E3291" t="s">
        <v>46</v>
      </c>
      <c r="F3291">
        <v>4</v>
      </c>
      <c r="G3291">
        <v>1</v>
      </c>
      <c r="H3291">
        <v>3</v>
      </c>
      <c r="I3291">
        <v>1</v>
      </c>
      <c r="J3291" s="4" t="s">
        <v>55</v>
      </c>
      <c r="K3291" t="str">
        <f t="shared" si="166"/>
        <v>1+3</v>
      </c>
      <c r="L3291">
        <f>VLOOKUP(A3291,'ZONE 1 PREMIUM'!$A$4:$N$16,14,0)</f>
        <v>8</v>
      </c>
      <c r="M3291">
        <f>VLOOKUP(D3291,DROPDOWN!B:C,2,0)</f>
        <v>11</v>
      </c>
      <c r="N3291" t="str">
        <f t="shared" si="164"/>
        <v>AU50:BM61</v>
      </c>
      <c r="O3291" s="4">
        <f t="shared" ca="1" si="165"/>
        <v>147168</v>
      </c>
    </row>
    <row r="3292" spans="1:15">
      <c r="A3292" s="2" t="s">
        <v>18</v>
      </c>
      <c r="B3292" t="s">
        <v>39</v>
      </c>
      <c r="C3292" t="s">
        <v>40</v>
      </c>
      <c r="D3292">
        <v>40</v>
      </c>
      <c r="E3292" t="s">
        <v>46</v>
      </c>
      <c r="F3292">
        <v>4</v>
      </c>
      <c r="G3292">
        <v>1</v>
      </c>
      <c r="H3292">
        <v>3</v>
      </c>
      <c r="I3292">
        <v>1</v>
      </c>
      <c r="J3292" s="4" t="s">
        <v>55</v>
      </c>
      <c r="K3292" t="str">
        <f t="shared" si="166"/>
        <v>1+3</v>
      </c>
      <c r="L3292">
        <f>VLOOKUP(A3292,'ZONE 1 PREMIUM'!$A$4:$N$16,14,0)</f>
        <v>9</v>
      </c>
      <c r="M3292">
        <f>VLOOKUP(D3292,DROPDOWN!B:C,2,0)</f>
        <v>11</v>
      </c>
      <c r="N3292" t="str">
        <f t="shared" si="164"/>
        <v>AU50:BM61</v>
      </c>
      <c r="O3292" s="4">
        <f t="shared" ca="1" si="165"/>
        <v>188564.625</v>
      </c>
    </row>
    <row r="3293" spans="1:15">
      <c r="A3293" s="2" t="s">
        <v>19</v>
      </c>
      <c r="B3293" t="s">
        <v>41</v>
      </c>
      <c r="C3293" t="s">
        <v>42</v>
      </c>
      <c r="D3293">
        <v>40</v>
      </c>
      <c r="E3293" t="s">
        <v>46</v>
      </c>
      <c r="F3293">
        <v>4</v>
      </c>
      <c r="G3293">
        <v>1</v>
      </c>
      <c r="H3293">
        <v>3</v>
      </c>
      <c r="I3293">
        <v>1</v>
      </c>
      <c r="J3293" s="4" t="s">
        <v>55</v>
      </c>
      <c r="K3293" t="str">
        <f t="shared" si="166"/>
        <v>1+3</v>
      </c>
      <c r="L3293">
        <f>VLOOKUP(A3293,'ZONE 1 PREMIUM'!$A$4:$N$16,14,0)</f>
        <v>10</v>
      </c>
      <c r="M3293">
        <f>VLOOKUP(D3293,DROPDOWN!B:C,2,0)</f>
        <v>11</v>
      </c>
      <c r="N3293" t="str">
        <f t="shared" si="164"/>
        <v>AU50:BM61</v>
      </c>
      <c r="O3293" s="4">
        <f t="shared" ca="1" si="165"/>
        <v>234510.75</v>
      </c>
    </row>
    <row r="3294" spans="1:15">
      <c r="A3294" s="2" t="s">
        <v>20</v>
      </c>
      <c r="B3294" t="s">
        <v>43</v>
      </c>
      <c r="C3294" t="s">
        <v>44</v>
      </c>
      <c r="D3294">
        <v>40</v>
      </c>
      <c r="E3294" t="s">
        <v>46</v>
      </c>
      <c r="F3294">
        <v>4</v>
      </c>
      <c r="G3294">
        <v>1</v>
      </c>
      <c r="H3294">
        <v>3</v>
      </c>
      <c r="I3294">
        <v>1</v>
      </c>
      <c r="J3294" s="4" t="s">
        <v>55</v>
      </c>
      <c r="K3294" t="str">
        <f t="shared" si="166"/>
        <v>1+3</v>
      </c>
      <c r="L3294">
        <f>VLOOKUP(A3294,'ZONE 1 PREMIUM'!$A$4:$N$16,14,0)</f>
        <v>11</v>
      </c>
      <c r="M3294">
        <f>VLOOKUP(D3294,DROPDOWN!B:C,2,0)</f>
        <v>11</v>
      </c>
      <c r="N3294" t="str">
        <f t="shared" si="164"/>
        <v>AU50:BM61</v>
      </c>
      <c r="O3294" s="4">
        <f t="shared" ca="1" si="165"/>
        <v>274783.5</v>
      </c>
    </row>
    <row r="3295" spans="1:15">
      <c r="A3295" s="2" t="s">
        <v>21</v>
      </c>
      <c r="B3295" t="s">
        <v>22</v>
      </c>
      <c r="D3295">
        <v>40</v>
      </c>
      <c r="E3295" t="s">
        <v>46</v>
      </c>
      <c r="F3295">
        <v>4</v>
      </c>
      <c r="G3295">
        <v>1</v>
      </c>
      <c r="H3295">
        <v>3</v>
      </c>
      <c r="I3295">
        <v>1</v>
      </c>
      <c r="J3295" s="4" t="s">
        <v>55</v>
      </c>
      <c r="K3295" t="str">
        <f t="shared" si="166"/>
        <v>1+3</v>
      </c>
      <c r="L3295">
        <f>VLOOKUP(A3295,'ZONE 1 PREMIUM'!$A$4:$N$16,14,0)</f>
        <v>12</v>
      </c>
      <c r="M3295">
        <f>VLOOKUP(D3295,DROPDOWN!B:C,2,0)</f>
        <v>11</v>
      </c>
      <c r="N3295" t="str">
        <f t="shared" si="164"/>
        <v>AU50:BM61</v>
      </c>
      <c r="O3295" s="4">
        <f t="shared" ca="1" si="165"/>
        <v>357013.125</v>
      </c>
    </row>
    <row r="3296" spans="1:15">
      <c r="A3296" s="2" t="s">
        <v>11</v>
      </c>
      <c r="B3296" t="s">
        <v>45</v>
      </c>
      <c r="C3296" t="s">
        <v>25</v>
      </c>
      <c r="D3296">
        <v>40</v>
      </c>
      <c r="E3296" t="s">
        <v>46</v>
      </c>
      <c r="F3296">
        <v>5</v>
      </c>
      <c r="G3296">
        <v>1</v>
      </c>
      <c r="H3296">
        <v>4</v>
      </c>
      <c r="I3296">
        <v>1</v>
      </c>
      <c r="J3296" s="4" t="s">
        <v>55</v>
      </c>
      <c r="K3296" t="str">
        <f t="shared" si="166"/>
        <v>1+4</v>
      </c>
      <c r="L3296">
        <f>VLOOKUP(A3296,'ZONE 1 PREMIUM'!$A$4:$N$16,14,0)</f>
        <v>2</v>
      </c>
      <c r="M3296">
        <f>VLOOKUP(D3296,DROPDOWN!B:C,2,0)</f>
        <v>11</v>
      </c>
      <c r="N3296" t="str">
        <f t="shared" si="164"/>
        <v>AU65:BM76</v>
      </c>
      <c r="O3296" s="4">
        <f t="shared" ca="1" si="165"/>
        <v>66277.125</v>
      </c>
    </row>
    <row r="3297" spans="1:15">
      <c r="A3297" s="2" t="s">
        <v>12</v>
      </c>
      <c r="B3297" t="s">
        <v>27</v>
      </c>
      <c r="C3297" t="s">
        <v>28</v>
      </c>
      <c r="D3297">
        <v>40</v>
      </c>
      <c r="E3297" t="s">
        <v>46</v>
      </c>
      <c r="F3297">
        <v>5</v>
      </c>
      <c r="G3297">
        <v>1</v>
      </c>
      <c r="H3297">
        <v>4</v>
      </c>
      <c r="I3297">
        <v>1</v>
      </c>
      <c r="J3297" s="4" t="s">
        <v>55</v>
      </c>
      <c r="K3297" t="str">
        <f t="shared" si="166"/>
        <v>1+4</v>
      </c>
      <c r="L3297">
        <f>VLOOKUP(A3297,'ZONE 1 PREMIUM'!$A$4:$N$16,14,0)</f>
        <v>3</v>
      </c>
      <c r="M3297">
        <f>VLOOKUP(D3297,DROPDOWN!B:C,2,0)</f>
        <v>11</v>
      </c>
      <c r="N3297" t="str">
        <f t="shared" si="164"/>
        <v>AU65:BM76</v>
      </c>
      <c r="O3297" s="4">
        <f t="shared" ca="1" si="165"/>
        <v>69076.125</v>
      </c>
    </row>
    <row r="3298" spans="1:15">
      <c r="A3298" s="2" t="s">
        <v>13</v>
      </c>
      <c r="B3298" t="s">
        <v>29</v>
      </c>
      <c r="C3298" t="s">
        <v>30</v>
      </c>
      <c r="D3298">
        <v>40</v>
      </c>
      <c r="E3298" t="s">
        <v>46</v>
      </c>
      <c r="F3298">
        <v>5</v>
      </c>
      <c r="G3298">
        <v>1</v>
      </c>
      <c r="H3298">
        <v>4</v>
      </c>
      <c r="I3298">
        <v>1</v>
      </c>
      <c r="J3298" s="4" t="s">
        <v>55</v>
      </c>
      <c r="K3298" t="str">
        <f t="shared" si="166"/>
        <v>1+4</v>
      </c>
      <c r="L3298">
        <f>VLOOKUP(A3298,'ZONE 1 PREMIUM'!$A$4:$N$16,14,0)</f>
        <v>4</v>
      </c>
      <c r="M3298">
        <f>VLOOKUP(D3298,DROPDOWN!B:C,2,0)</f>
        <v>11</v>
      </c>
      <c r="N3298" t="str">
        <f t="shared" si="164"/>
        <v>AU65:BM76</v>
      </c>
      <c r="O3298" s="4">
        <f t="shared" ca="1" si="165"/>
        <v>80489.25</v>
      </c>
    </row>
    <row r="3299" spans="1:15">
      <c r="A3299" s="2" t="s">
        <v>14</v>
      </c>
      <c r="B3299" t="s">
        <v>31</v>
      </c>
      <c r="C3299" t="s">
        <v>32</v>
      </c>
      <c r="D3299">
        <v>40</v>
      </c>
      <c r="E3299" t="s">
        <v>46</v>
      </c>
      <c r="F3299">
        <v>5</v>
      </c>
      <c r="G3299">
        <v>1</v>
      </c>
      <c r="H3299">
        <v>4</v>
      </c>
      <c r="I3299">
        <v>1</v>
      </c>
      <c r="J3299" s="4" t="s">
        <v>55</v>
      </c>
      <c r="K3299" t="str">
        <f t="shared" si="166"/>
        <v>1+4</v>
      </c>
      <c r="L3299">
        <f>VLOOKUP(A3299,'ZONE 1 PREMIUM'!$A$4:$N$16,14,0)</f>
        <v>5</v>
      </c>
      <c r="M3299">
        <f>VLOOKUP(D3299,DROPDOWN!B:C,2,0)</f>
        <v>11</v>
      </c>
      <c r="N3299" t="str">
        <f t="shared" si="164"/>
        <v>AU65:BM76</v>
      </c>
      <c r="O3299" s="4">
        <f t="shared" ca="1" si="165"/>
        <v>89156.25</v>
      </c>
    </row>
    <row r="3300" spans="1:15">
      <c r="A3300" s="2" t="s">
        <v>15</v>
      </c>
      <c r="B3300" t="s">
        <v>33</v>
      </c>
      <c r="C3300" t="s">
        <v>34</v>
      </c>
      <c r="D3300">
        <v>40</v>
      </c>
      <c r="E3300" t="s">
        <v>46</v>
      </c>
      <c r="F3300">
        <v>5</v>
      </c>
      <c r="G3300">
        <v>1</v>
      </c>
      <c r="H3300">
        <v>4</v>
      </c>
      <c r="I3300">
        <v>1</v>
      </c>
      <c r="J3300" s="4" t="s">
        <v>55</v>
      </c>
      <c r="K3300" t="str">
        <f t="shared" si="166"/>
        <v>1+4</v>
      </c>
      <c r="L3300">
        <f>VLOOKUP(A3300,'ZONE 1 PREMIUM'!$A$4:$N$16,14,0)</f>
        <v>6</v>
      </c>
      <c r="M3300">
        <f>VLOOKUP(D3300,DROPDOWN!B:C,2,0)</f>
        <v>11</v>
      </c>
      <c r="N3300" t="str">
        <f t="shared" si="164"/>
        <v>AU65:BM76</v>
      </c>
      <c r="O3300" s="4">
        <f t="shared" ca="1" si="165"/>
        <v>108657</v>
      </c>
    </row>
    <row r="3301" spans="1:15">
      <c r="A3301" s="2" t="s">
        <v>16</v>
      </c>
      <c r="B3301" t="s">
        <v>35</v>
      </c>
      <c r="C3301" t="s">
        <v>36</v>
      </c>
      <c r="D3301">
        <v>40</v>
      </c>
      <c r="E3301" t="s">
        <v>46</v>
      </c>
      <c r="F3301">
        <v>5</v>
      </c>
      <c r="G3301">
        <v>1</v>
      </c>
      <c r="H3301">
        <v>4</v>
      </c>
      <c r="I3301">
        <v>1</v>
      </c>
      <c r="J3301" s="4" t="s">
        <v>55</v>
      </c>
      <c r="K3301" t="str">
        <f t="shared" si="166"/>
        <v>1+4</v>
      </c>
      <c r="L3301">
        <f>VLOOKUP(A3301,'ZONE 1 PREMIUM'!$A$4:$N$16,14,0)</f>
        <v>7</v>
      </c>
      <c r="M3301">
        <f>VLOOKUP(D3301,DROPDOWN!B:C,2,0)</f>
        <v>11</v>
      </c>
      <c r="N3301" t="str">
        <f t="shared" si="164"/>
        <v>AU65:BM76</v>
      </c>
      <c r="O3301" s="4">
        <f t="shared" ca="1" si="165"/>
        <v>132993</v>
      </c>
    </row>
    <row r="3302" spans="1:15">
      <c r="A3302" s="2" t="s">
        <v>17</v>
      </c>
      <c r="B3302" t="s">
        <v>37</v>
      </c>
      <c r="C3302" t="s">
        <v>38</v>
      </c>
      <c r="D3302">
        <v>40</v>
      </c>
      <c r="E3302" t="s">
        <v>46</v>
      </c>
      <c r="F3302">
        <v>5</v>
      </c>
      <c r="G3302">
        <v>1</v>
      </c>
      <c r="H3302">
        <v>4</v>
      </c>
      <c r="I3302">
        <v>1</v>
      </c>
      <c r="J3302" s="4" t="s">
        <v>55</v>
      </c>
      <c r="K3302" t="str">
        <f t="shared" si="166"/>
        <v>1+4</v>
      </c>
      <c r="L3302">
        <f>VLOOKUP(A3302,'ZONE 1 PREMIUM'!$A$4:$N$16,14,0)</f>
        <v>8</v>
      </c>
      <c r="M3302">
        <f>VLOOKUP(D3302,DROPDOWN!B:C,2,0)</f>
        <v>11</v>
      </c>
      <c r="N3302" t="str">
        <f t="shared" si="164"/>
        <v>AU65:BM76</v>
      </c>
      <c r="O3302" s="4">
        <f t="shared" ca="1" si="165"/>
        <v>160237.125</v>
      </c>
    </row>
    <row r="3303" spans="1:15">
      <c r="A3303" s="2" t="s">
        <v>18</v>
      </c>
      <c r="B3303" t="s">
        <v>39</v>
      </c>
      <c r="C3303" t="s">
        <v>40</v>
      </c>
      <c r="D3303">
        <v>40</v>
      </c>
      <c r="E3303" t="s">
        <v>46</v>
      </c>
      <c r="F3303">
        <v>5</v>
      </c>
      <c r="G3303">
        <v>1</v>
      </c>
      <c r="H3303">
        <v>4</v>
      </c>
      <c r="I3303">
        <v>1</v>
      </c>
      <c r="J3303" s="4" t="s">
        <v>55</v>
      </c>
      <c r="K3303" t="str">
        <f t="shared" si="166"/>
        <v>1+4</v>
      </c>
      <c r="L3303">
        <f>VLOOKUP(A3303,'ZONE 1 PREMIUM'!$A$4:$N$16,14,0)</f>
        <v>9</v>
      </c>
      <c r="M3303">
        <f>VLOOKUP(D3303,DROPDOWN!B:C,2,0)</f>
        <v>11</v>
      </c>
      <c r="N3303" t="str">
        <f t="shared" si="164"/>
        <v>AU65:BM76</v>
      </c>
      <c r="O3303" s="4">
        <f t="shared" ca="1" si="165"/>
        <v>201957.75</v>
      </c>
    </row>
    <row r="3304" spans="1:15">
      <c r="A3304" s="2" t="s">
        <v>19</v>
      </c>
      <c r="B3304" t="s">
        <v>41</v>
      </c>
      <c r="C3304" t="s">
        <v>42</v>
      </c>
      <c r="D3304">
        <v>40</v>
      </c>
      <c r="E3304" t="s">
        <v>46</v>
      </c>
      <c r="F3304">
        <v>5</v>
      </c>
      <c r="G3304">
        <v>1</v>
      </c>
      <c r="H3304">
        <v>4</v>
      </c>
      <c r="I3304">
        <v>1</v>
      </c>
      <c r="J3304" s="4" t="s">
        <v>55</v>
      </c>
      <c r="K3304" t="str">
        <f t="shared" si="166"/>
        <v>1+4</v>
      </c>
      <c r="L3304">
        <f>VLOOKUP(A3304,'ZONE 1 PREMIUM'!$A$4:$N$16,14,0)</f>
        <v>10</v>
      </c>
      <c r="M3304">
        <f>VLOOKUP(D3304,DROPDOWN!B:C,2,0)</f>
        <v>11</v>
      </c>
      <c r="N3304" t="str">
        <f t="shared" si="164"/>
        <v>AU65:BM76</v>
      </c>
      <c r="O3304" s="4">
        <f t="shared" ca="1" si="165"/>
        <v>247638.375</v>
      </c>
    </row>
    <row r="3305" spans="1:15">
      <c r="A3305" s="2" t="s">
        <v>20</v>
      </c>
      <c r="B3305" t="s">
        <v>43</v>
      </c>
      <c r="C3305" t="s">
        <v>44</v>
      </c>
      <c r="D3305">
        <v>40</v>
      </c>
      <c r="E3305" t="s">
        <v>46</v>
      </c>
      <c r="F3305">
        <v>5</v>
      </c>
      <c r="G3305">
        <v>1</v>
      </c>
      <c r="H3305">
        <v>4</v>
      </c>
      <c r="I3305">
        <v>1</v>
      </c>
      <c r="J3305" s="4" t="s">
        <v>55</v>
      </c>
      <c r="K3305" t="str">
        <f t="shared" si="166"/>
        <v>1+4</v>
      </c>
      <c r="L3305">
        <f>VLOOKUP(A3305,'ZONE 1 PREMIUM'!$A$4:$N$16,14,0)</f>
        <v>11</v>
      </c>
      <c r="M3305">
        <f>VLOOKUP(D3305,DROPDOWN!B:C,2,0)</f>
        <v>11</v>
      </c>
      <c r="N3305" t="str">
        <f t="shared" si="164"/>
        <v>AU65:BM76</v>
      </c>
      <c r="O3305" s="4">
        <f t="shared" ca="1" si="165"/>
        <v>287952.75</v>
      </c>
    </row>
    <row r="3306" spans="1:15">
      <c r="A3306" s="2" t="s">
        <v>21</v>
      </c>
      <c r="B3306" t="s">
        <v>22</v>
      </c>
      <c r="D3306">
        <v>40</v>
      </c>
      <c r="E3306" t="s">
        <v>46</v>
      </c>
      <c r="F3306">
        <v>5</v>
      </c>
      <c r="G3306">
        <v>1</v>
      </c>
      <c r="H3306">
        <v>4</v>
      </c>
      <c r="I3306">
        <v>1</v>
      </c>
      <c r="J3306" s="4" t="s">
        <v>55</v>
      </c>
      <c r="K3306" t="str">
        <f t="shared" si="166"/>
        <v>1+4</v>
      </c>
      <c r="L3306">
        <f>VLOOKUP(A3306,'ZONE 1 PREMIUM'!$A$4:$N$16,14,0)</f>
        <v>12</v>
      </c>
      <c r="M3306">
        <f>VLOOKUP(D3306,DROPDOWN!B:C,2,0)</f>
        <v>11</v>
      </c>
      <c r="N3306" t="str">
        <f t="shared" si="164"/>
        <v>AU65:BM76</v>
      </c>
      <c r="O3306" s="4">
        <f t="shared" ca="1" si="165"/>
        <v>370588.5</v>
      </c>
    </row>
    <row r="3307" spans="1:15">
      <c r="A3307" s="2" t="s">
        <v>11</v>
      </c>
      <c r="B3307" t="s">
        <v>45</v>
      </c>
      <c r="C3307" t="s">
        <v>25</v>
      </c>
      <c r="D3307">
        <v>40</v>
      </c>
      <c r="E3307" t="s">
        <v>46</v>
      </c>
      <c r="F3307">
        <v>2</v>
      </c>
      <c r="G3307">
        <v>2</v>
      </c>
      <c r="H3307">
        <v>0</v>
      </c>
      <c r="I3307">
        <v>1</v>
      </c>
      <c r="J3307" s="4" t="s">
        <v>55</v>
      </c>
      <c r="K3307" t="str">
        <f t="shared" si="166"/>
        <v>2+0</v>
      </c>
      <c r="L3307">
        <f>VLOOKUP(A3307,'ZONE 1 PREMIUM'!$A$4:$N$16,14,0)</f>
        <v>2</v>
      </c>
      <c r="M3307">
        <f>VLOOKUP(D3307,DROPDOWN!B:C,2,0)</f>
        <v>11</v>
      </c>
      <c r="N3307" t="str">
        <f t="shared" si="164"/>
        <v>AU81:BM92</v>
      </c>
      <c r="O3307" s="4">
        <f t="shared" ca="1" si="165"/>
        <v>49297.5</v>
      </c>
    </row>
    <row r="3308" spans="1:15">
      <c r="A3308" s="2" t="s">
        <v>12</v>
      </c>
      <c r="B3308" t="s">
        <v>27</v>
      </c>
      <c r="C3308" t="s">
        <v>28</v>
      </c>
      <c r="D3308">
        <v>40</v>
      </c>
      <c r="E3308" t="s">
        <v>46</v>
      </c>
      <c r="F3308">
        <v>2</v>
      </c>
      <c r="G3308">
        <v>2</v>
      </c>
      <c r="H3308">
        <v>0</v>
      </c>
      <c r="I3308">
        <v>1</v>
      </c>
      <c r="J3308" s="4" t="s">
        <v>55</v>
      </c>
      <c r="K3308" t="str">
        <f t="shared" si="166"/>
        <v>2+0</v>
      </c>
      <c r="L3308">
        <f>VLOOKUP(A3308,'ZONE 1 PREMIUM'!$A$4:$N$16,14,0)</f>
        <v>3</v>
      </c>
      <c r="M3308">
        <f>VLOOKUP(D3308,DROPDOWN!B:C,2,0)</f>
        <v>11</v>
      </c>
      <c r="N3308" t="str">
        <f t="shared" si="164"/>
        <v>AU81:BM92</v>
      </c>
      <c r="O3308" s="4">
        <f t="shared" ca="1" si="165"/>
        <v>55828.125</v>
      </c>
    </row>
    <row r="3309" spans="1:15">
      <c r="A3309" s="2" t="s">
        <v>13</v>
      </c>
      <c r="B3309" t="s">
        <v>29</v>
      </c>
      <c r="C3309" t="s">
        <v>30</v>
      </c>
      <c r="D3309">
        <v>40</v>
      </c>
      <c r="E3309" t="s">
        <v>46</v>
      </c>
      <c r="F3309">
        <v>2</v>
      </c>
      <c r="G3309">
        <v>2</v>
      </c>
      <c r="H3309">
        <v>0</v>
      </c>
      <c r="I3309">
        <v>1</v>
      </c>
      <c r="J3309" s="4" t="s">
        <v>55</v>
      </c>
      <c r="K3309" t="str">
        <f t="shared" si="166"/>
        <v>2+0</v>
      </c>
      <c r="L3309">
        <f>VLOOKUP(A3309,'ZONE 1 PREMIUM'!$A$4:$N$16,14,0)</f>
        <v>4</v>
      </c>
      <c r="M3309">
        <f>VLOOKUP(D3309,DROPDOWN!B:C,2,0)</f>
        <v>11</v>
      </c>
      <c r="N3309" t="str">
        <f t="shared" si="164"/>
        <v>AU81:BM92</v>
      </c>
      <c r="O3309" s="4">
        <f t="shared" ca="1" si="165"/>
        <v>62147.25</v>
      </c>
    </row>
    <row r="3310" spans="1:15">
      <c r="A3310" s="2" t="s">
        <v>14</v>
      </c>
      <c r="B3310" t="s">
        <v>31</v>
      </c>
      <c r="C3310" t="s">
        <v>32</v>
      </c>
      <c r="D3310">
        <v>40</v>
      </c>
      <c r="E3310" t="s">
        <v>46</v>
      </c>
      <c r="F3310">
        <v>2</v>
      </c>
      <c r="G3310">
        <v>2</v>
      </c>
      <c r="H3310">
        <v>0</v>
      </c>
      <c r="I3310">
        <v>1</v>
      </c>
      <c r="J3310" s="4" t="s">
        <v>55</v>
      </c>
      <c r="K3310" t="str">
        <f t="shared" si="166"/>
        <v>2+0</v>
      </c>
      <c r="L3310">
        <f>VLOOKUP(A3310,'ZONE 1 PREMIUM'!$A$4:$N$16,14,0)</f>
        <v>5</v>
      </c>
      <c r="M3310">
        <f>VLOOKUP(D3310,DROPDOWN!B:C,2,0)</f>
        <v>11</v>
      </c>
      <c r="N3310" t="str">
        <f t="shared" si="164"/>
        <v>AU81:BM92</v>
      </c>
      <c r="O3310" s="4">
        <f t="shared" ca="1" si="165"/>
        <v>72104.625</v>
      </c>
    </row>
    <row r="3311" spans="1:15">
      <c r="A3311" s="2" t="s">
        <v>15</v>
      </c>
      <c r="B3311" t="s">
        <v>33</v>
      </c>
      <c r="C3311" t="s">
        <v>34</v>
      </c>
      <c r="D3311">
        <v>40</v>
      </c>
      <c r="E3311" t="s">
        <v>46</v>
      </c>
      <c r="F3311">
        <v>2</v>
      </c>
      <c r="G3311">
        <v>2</v>
      </c>
      <c r="H3311">
        <v>0</v>
      </c>
      <c r="I3311">
        <v>1</v>
      </c>
      <c r="J3311" s="4" t="s">
        <v>55</v>
      </c>
      <c r="K3311" t="str">
        <f t="shared" si="166"/>
        <v>2+0</v>
      </c>
      <c r="L3311">
        <f>VLOOKUP(A3311,'ZONE 1 PREMIUM'!$A$4:$N$16,14,0)</f>
        <v>6</v>
      </c>
      <c r="M3311">
        <f>VLOOKUP(D3311,DROPDOWN!B:C,2,0)</f>
        <v>11</v>
      </c>
      <c r="N3311" t="str">
        <f t="shared" si="164"/>
        <v>AU81:BM92</v>
      </c>
      <c r="O3311" s="4">
        <f t="shared" ca="1" si="165"/>
        <v>92660.625</v>
      </c>
    </row>
    <row r="3312" spans="1:15">
      <c r="A3312" s="2" t="s">
        <v>16</v>
      </c>
      <c r="B3312" t="s">
        <v>35</v>
      </c>
      <c r="C3312" t="s">
        <v>36</v>
      </c>
      <c r="D3312">
        <v>40</v>
      </c>
      <c r="E3312" t="s">
        <v>46</v>
      </c>
      <c r="F3312">
        <v>2</v>
      </c>
      <c r="G3312">
        <v>2</v>
      </c>
      <c r="H3312">
        <v>0</v>
      </c>
      <c r="I3312">
        <v>1</v>
      </c>
      <c r="J3312" s="4" t="s">
        <v>55</v>
      </c>
      <c r="K3312" t="str">
        <f t="shared" si="166"/>
        <v>2+0</v>
      </c>
      <c r="L3312">
        <f>VLOOKUP(A3312,'ZONE 1 PREMIUM'!$A$4:$N$16,14,0)</f>
        <v>7</v>
      </c>
      <c r="M3312">
        <f>VLOOKUP(D3312,DROPDOWN!B:C,2,0)</f>
        <v>11</v>
      </c>
      <c r="N3312" t="str">
        <f t="shared" si="164"/>
        <v>AU81:BM92</v>
      </c>
      <c r="O3312" s="4">
        <f t="shared" ca="1" si="165"/>
        <v>123176.25</v>
      </c>
    </row>
    <row r="3313" spans="1:15">
      <c r="A3313" s="2" t="s">
        <v>17</v>
      </c>
      <c r="B3313" t="s">
        <v>37</v>
      </c>
      <c r="C3313" t="s">
        <v>38</v>
      </c>
      <c r="D3313">
        <v>40</v>
      </c>
      <c r="E3313" t="s">
        <v>46</v>
      </c>
      <c r="F3313">
        <v>2</v>
      </c>
      <c r="G3313">
        <v>2</v>
      </c>
      <c r="H3313">
        <v>0</v>
      </c>
      <c r="I3313">
        <v>1</v>
      </c>
      <c r="J3313" s="4" t="s">
        <v>55</v>
      </c>
      <c r="K3313" t="str">
        <f t="shared" si="166"/>
        <v>2+0</v>
      </c>
      <c r="L3313">
        <f>VLOOKUP(A3313,'ZONE 1 PREMIUM'!$A$4:$N$16,14,0)</f>
        <v>8</v>
      </c>
      <c r="M3313">
        <f>VLOOKUP(D3313,DROPDOWN!B:C,2,0)</f>
        <v>11</v>
      </c>
      <c r="N3313" t="str">
        <f t="shared" si="164"/>
        <v>AU81:BM92</v>
      </c>
      <c r="O3313" s="4">
        <f t="shared" ca="1" si="165"/>
        <v>169126.875</v>
      </c>
    </row>
    <row r="3314" spans="1:15">
      <c r="A3314" s="2" t="s">
        <v>18</v>
      </c>
      <c r="B3314" t="s">
        <v>39</v>
      </c>
      <c r="C3314" t="s">
        <v>40</v>
      </c>
      <c r="D3314">
        <v>40</v>
      </c>
      <c r="E3314" t="s">
        <v>46</v>
      </c>
      <c r="F3314">
        <v>2</v>
      </c>
      <c r="G3314">
        <v>2</v>
      </c>
      <c r="H3314">
        <v>0</v>
      </c>
      <c r="I3314">
        <v>1</v>
      </c>
      <c r="J3314" s="4" t="s">
        <v>55</v>
      </c>
      <c r="K3314" t="str">
        <f t="shared" si="166"/>
        <v>2+0</v>
      </c>
      <c r="L3314">
        <f>VLOOKUP(A3314,'ZONE 1 PREMIUM'!$A$4:$N$16,14,0)</f>
        <v>9</v>
      </c>
      <c r="M3314">
        <f>VLOOKUP(D3314,DROPDOWN!B:C,2,0)</f>
        <v>11</v>
      </c>
      <c r="N3314" t="str">
        <f t="shared" ref="N3314:N3361" si="167">VLOOKUP(K3314,$BN$3:$BO$12,2,0)</f>
        <v>AU81:BM92</v>
      </c>
      <c r="O3314" s="4">
        <f t="shared" ca="1" si="165"/>
        <v>238669.875</v>
      </c>
    </row>
    <row r="3315" spans="1:15">
      <c r="A3315" s="2" t="s">
        <v>19</v>
      </c>
      <c r="B3315" t="s">
        <v>41</v>
      </c>
      <c r="C3315" t="s">
        <v>42</v>
      </c>
      <c r="D3315">
        <v>40</v>
      </c>
      <c r="E3315" t="s">
        <v>46</v>
      </c>
      <c r="F3315">
        <v>2</v>
      </c>
      <c r="G3315">
        <v>2</v>
      </c>
      <c r="H3315">
        <v>0</v>
      </c>
      <c r="I3315">
        <v>1</v>
      </c>
      <c r="J3315" s="4" t="s">
        <v>55</v>
      </c>
      <c r="K3315" t="str">
        <f t="shared" si="166"/>
        <v>2+0</v>
      </c>
      <c r="L3315">
        <f>VLOOKUP(A3315,'ZONE 1 PREMIUM'!$A$4:$N$16,14,0)</f>
        <v>10</v>
      </c>
      <c r="M3315">
        <f>VLOOKUP(D3315,DROPDOWN!B:C,2,0)</f>
        <v>11</v>
      </c>
      <c r="N3315" t="str">
        <f t="shared" si="167"/>
        <v>AU81:BM92</v>
      </c>
      <c r="O3315" s="4">
        <f t="shared" ca="1" si="165"/>
        <v>336371.625</v>
      </c>
    </row>
    <row r="3316" spans="1:15">
      <c r="A3316" s="2" t="s">
        <v>20</v>
      </c>
      <c r="B3316" t="s">
        <v>43</v>
      </c>
      <c r="C3316" t="s">
        <v>44</v>
      </c>
      <c r="D3316">
        <v>40</v>
      </c>
      <c r="E3316" t="s">
        <v>46</v>
      </c>
      <c r="F3316">
        <v>2</v>
      </c>
      <c r="G3316">
        <v>2</v>
      </c>
      <c r="H3316">
        <v>0</v>
      </c>
      <c r="I3316">
        <v>1</v>
      </c>
      <c r="J3316" s="4" t="s">
        <v>55</v>
      </c>
      <c r="K3316" t="str">
        <f t="shared" si="166"/>
        <v>2+0</v>
      </c>
      <c r="L3316">
        <f>VLOOKUP(A3316,'ZONE 1 PREMIUM'!$A$4:$N$16,14,0)</f>
        <v>11</v>
      </c>
      <c r="M3316">
        <f>VLOOKUP(D3316,DROPDOWN!B:C,2,0)</f>
        <v>11</v>
      </c>
      <c r="N3316" t="str">
        <f t="shared" si="167"/>
        <v>AU81:BM92</v>
      </c>
      <c r="O3316" s="4">
        <f t="shared" ca="1" si="165"/>
        <v>419707.125</v>
      </c>
    </row>
    <row r="3317" spans="1:15">
      <c r="A3317" s="2" t="s">
        <v>21</v>
      </c>
      <c r="B3317" t="s">
        <v>22</v>
      </c>
      <c r="D3317">
        <v>40</v>
      </c>
      <c r="E3317" t="s">
        <v>46</v>
      </c>
      <c r="F3317">
        <v>2</v>
      </c>
      <c r="G3317">
        <v>2</v>
      </c>
      <c r="H3317">
        <v>0</v>
      </c>
      <c r="I3317">
        <v>1</v>
      </c>
      <c r="J3317" s="4" t="s">
        <v>55</v>
      </c>
      <c r="K3317" t="str">
        <f t="shared" si="166"/>
        <v>2+0</v>
      </c>
      <c r="L3317">
        <f>VLOOKUP(A3317,'ZONE 1 PREMIUM'!$A$4:$N$16,14,0)</f>
        <v>12</v>
      </c>
      <c r="M3317">
        <f>VLOOKUP(D3317,DROPDOWN!B:C,2,0)</f>
        <v>11</v>
      </c>
      <c r="N3317" t="str">
        <f t="shared" si="167"/>
        <v>AU81:BM92</v>
      </c>
      <c r="O3317" s="4">
        <f t="shared" ca="1" si="165"/>
        <v>539923.5</v>
      </c>
    </row>
    <row r="3318" spans="1:15">
      <c r="A3318" s="2" t="s">
        <v>11</v>
      </c>
      <c r="B3318" t="s">
        <v>45</v>
      </c>
      <c r="C3318" t="s">
        <v>25</v>
      </c>
      <c r="D3318">
        <v>40</v>
      </c>
      <c r="E3318" t="s">
        <v>46</v>
      </c>
      <c r="F3318">
        <v>3</v>
      </c>
      <c r="G3318">
        <v>2</v>
      </c>
      <c r="H3318">
        <v>1</v>
      </c>
      <c r="I3318">
        <v>1</v>
      </c>
      <c r="J3318" s="4" t="s">
        <v>55</v>
      </c>
      <c r="K3318" t="str">
        <f t="shared" si="166"/>
        <v>2+1</v>
      </c>
      <c r="L3318">
        <f>VLOOKUP(A3318,'ZONE 1 PREMIUM'!$A$4:$N$16,14,0)</f>
        <v>2</v>
      </c>
      <c r="M3318">
        <f>VLOOKUP(D3318,DROPDOWN!B:C,2,0)</f>
        <v>11</v>
      </c>
      <c r="N3318" t="str">
        <f t="shared" si="167"/>
        <v>AU98:BM109</v>
      </c>
      <c r="O3318" s="4">
        <f t="shared" ca="1" si="165"/>
        <v>59821.875</v>
      </c>
    </row>
    <row r="3319" spans="1:15">
      <c r="A3319" s="2" t="s">
        <v>12</v>
      </c>
      <c r="B3319" t="s">
        <v>27</v>
      </c>
      <c r="C3319" t="s">
        <v>28</v>
      </c>
      <c r="D3319">
        <v>40</v>
      </c>
      <c r="E3319" t="s">
        <v>46</v>
      </c>
      <c r="F3319">
        <v>3</v>
      </c>
      <c r="G3319">
        <v>2</v>
      </c>
      <c r="H3319">
        <v>1</v>
      </c>
      <c r="I3319">
        <v>1</v>
      </c>
      <c r="J3319" s="4" t="s">
        <v>55</v>
      </c>
      <c r="K3319" t="str">
        <f t="shared" si="166"/>
        <v>2+1</v>
      </c>
      <c r="L3319">
        <f>VLOOKUP(A3319,'ZONE 1 PREMIUM'!$A$4:$N$16,14,0)</f>
        <v>3</v>
      </c>
      <c r="M3319">
        <f>VLOOKUP(D3319,DROPDOWN!B:C,2,0)</f>
        <v>11</v>
      </c>
      <c r="N3319" t="str">
        <f t="shared" si="167"/>
        <v>AU98:BM109</v>
      </c>
      <c r="O3319" s="4">
        <f t="shared" ca="1" si="165"/>
        <v>66170.25</v>
      </c>
    </row>
    <row r="3320" spans="1:15">
      <c r="A3320" s="2" t="s">
        <v>13</v>
      </c>
      <c r="B3320" t="s">
        <v>29</v>
      </c>
      <c r="C3320" t="s">
        <v>30</v>
      </c>
      <c r="D3320">
        <v>40</v>
      </c>
      <c r="E3320" t="s">
        <v>46</v>
      </c>
      <c r="F3320">
        <v>3</v>
      </c>
      <c r="G3320">
        <v>2</v>
      </c>
      <c r="H3320">
        <v>1</v>
      </c>
      <c r="I3320">
        <v>1</v>
      </c>
      <c r="J3320" s="4" t="s">
        <v>55</v>
      </c>
      <c r="K3320" t="str">
        <f t="shared" si="166"/>
        <v>2+1</v>
      </c>
      <c r="L3320">
        <f>VLOOKUP(A3320,'ZONE 1 PREMIUM'!$A$4:$N$16,14,0)</f>
        <v>4</v>
      </c>
      <c r="M3320">
        <f>VLOOKUP(D3320,DROPDOWN!B:C,2,0)</f>
        <v>11</v>
      </c>
      <c r="N3320" t="str">
        <f t="shared" si="167"/>
        <v>AU98:BM109</v>
      </c>
      <c r="O3320" s="4">
        <f t="shared" ca="1" si="165"/>
        <v>74282.625</v>
      </c>
    </row>
    <row r="3321" spans="1:15">
      <c r="A3321" s="2" t="s">
        <v>14</v>
      </c>
      <c r="B3321" t="s">
        <v>31</v>
      </c>
      <c r="C3321" t="s">
        <v>32</v>
      </c>
      <c r="D3321">
        <v>40</v>
      </c>
      <c r="E3321" t="s">
        <v>46</v>
      </c>
      <c r="F3321">
        <v>3</v>
      </c>
      <c r="G3321">
        <v>2</v>
      </c>
      <c r="H3321">
        <v>1</v>
      </c>
      <c r="I3321">
        <v>1</v>
      </c>
      <c r="J3321" s="4" t="s">
        <v>55</v>
      </c>
      <c r="K3321" t="str">
        <f t="shared" si="166"/>
        <v>2+1</v>
      </c>
      <c r="L3321">
        <f>VLOOKUP(A3321,'ZONE 1 PREMIUM'!$A$4:$N$16,14,0)</f>
        <v>5</v>
      </c>
      <c r="M3321">
        <f>VLOOKUP(D3321,DROPDOWN!B:C,2,0)</f>
        <v>11</v>
      </c>
      <c r="N3321" t="str">
        <f t="shared" si="167"/>
        <v>AU98:BM109</v>
      </c>
      <c r="O3321" s="4">
        <f t="shared" ca="1" si="165"/>
        <v>85131</v>
      </c>
    </row>
    <row r="3322" spans="1:15">
      <c r="A3322" s="2" t="s">
        <v>15</v>
      </c>
      <c r="B3322" t="s">
        <v>33</v>
      </c>
      <c r="C3322" t="s">
        <v>34</v>
      </c>
      <c r="D3322">
        <v>40</v>
      </c>
      <c r="E3322" t="s">
        <v>46</v>
      </c>
      <c r="F3322">
        <v>3</v>
      </c>
      <c r="G3322">
        <v>2</v>
      </c>
      <c r="H3322">
        <v>1</v>
      </c>
      <c r="I3322">
        <v>1</v>
      </c>
      <c r="J3322" s="4" t="s">
        <v>55</v>
      </c>
      <c r="K3322" t="str">
        <f t="shared" si="166"/>
        <v>2+1</v>
      </c>
      <c r="L3322">
        <f>VLOOKUP(A3322,'ZONE 1 PREMIUM'!$A$4:$N$16,14,0)</f>
        <v>6</v>
      </c>
      <c r="M3322">
        <f>VLOOKUP(D3322,DROPDOWN!B:C,2,0)</f>
        <v>11</v>
      </c>
      <c r="N3322" t="str">
        <f t="shared" si="167"/>
        <v>AU98:BM109</v>
      </c>
      <c r="O3322" s="4">
        <f t="shared" ca="1" si="165"/>
        <v>107363.25</v>
      </c>
    </row>
    <row r="3323" spans="1:15">
      <c r="A3323" s="2" t="s">
        <v>16</v>
      </c>
      <c r="B3323" t="s">
        <v>35</v>
      </c>
      <c r="C3323" t="s">
        <v>36</v>
      </c>
      <c r="D3323">
        <v>40</v>
      </c>
      <c r="E3323" t="s">
        <v>46</v>
      </c>
      <c r="F3323">
        <v>3</v>
      </c>
      <c r="G3323">
        <v>2</v>
      </c>
      <c r="H3323">
        <v>1</v>
      </c>
      <c r="I3323">
        <v>1</v>
      </c>
      <c r="J3323" s="4" t="s">
        <v>55</v>
      </c>
      <c r="K3323" t="str">
        <f t="shared" si="166"/>
        <v>2+1</v>
      </c>
      <c r="L3323">
        <f>VLOOKUP(A3323,'ZONE 1 PREMIUM'!$A$4:$N$16,14,0)</f>
        <v>7</v>
      </c>
      <c r="M3323">
        <f>VLOOKUP(D3323,DROPDOWN!B:C,2,0)</f>
        <v>11</v>
      </c>
      <c r="N3323" t="str">
        <f t="shared" si="167"/>
        <v>AU98:BM109</v>
      </c>
      <c r="O3323" s="4">
        <f t="shared" ca="1" si="165"/>
        <v>141484.5</v>
      </c>
    </row>
    <row r="3324" spans="1:15">
      <c r="A3324" s="2" t="s">
        <v>17</v>
      </c>
      <c r="B3324" t="s">
        <v>37</v>
      </c>
      <c r="C3324" t="s">
        <v>38</v>
      </c>
      <c r="D3324">
        <v>40</v>
      </c>
      <c r="E3324" t="s">
        <v>46</v>
      </c>
      <c r="F3324">
        <v>3</v>
      </c>
      <c r="G3324">
        <v>2</v>
      </c>
      <c r="H3324">
        <v>1</v>
      </c>
      <c r="I3324">
        <v>1</v>
      </c>
      <c r="J3324" s="4" t="s">
        <v>55</v>
      </c>
      <c r="K3324" t="str">
        <f t="shared" si="166"/>
        <v>2+1</v>
      </c>
      <c r="L3324">
        <f>VLOOKUP(A3324,'ZONE 1 PREMIUM'!$A$4:$N$16,14,0)</f>
        <v>8</v>
      </c>
      <c r="M3324">
        <f>VLOOKUP(D3324,DROPDOWN!B:C,2,0)</f>
        <v>11</v>
      </c>
      <c r="N3324" t="str">
        <f t="shared" si="167"/>
        <v>AU98:BM109</v>
      </c>
      <c r="O3324" s="4">
        <f t="shared" ca="1" si="165"/>
        <v>188878.5</v>
      </c>
    </row>
    <row r="3325" spans="1:15">
      <c r="A3325" s="2" t="s">
        <v>18</v>
      </c>
      <c r="B3325" t="s">
        <v>39</v>
      </c>
      <c r="C3325" t="s">
        <v>40</v>
      </c>
      <c r="D3325">
        <v>40</v>
      </c>
      <c r="E3325" t="s">
        <v>46</v>
      </c>
      <c r="F3325">
        <v>3</v>
      </c>
      <c r="G3325">
        <v>2</v>
      </c>
      <c r="H3325">
        <v>1</v>
      </c>
      <c r="I3325">
        <v>1</v>
      </c>
      <c r="J3325" s="4" t="s">
        <v>55</v>
      </c>
      <c r="K3325" t="str">
        <f t="shared" si="166"/>
        <v>2+1</v>
      </c>
      <c r="L3325">
        <f>VLOOKUP(A3325,'ZONE 1 PREMIUM'!$A$4:$N$16,14,0)</f>
        <v>9</v>
      </c>
      <c r="M3325">
        <f>VLOOKUP(D3325,DROPDOWN!B:C,2,0)</f>
        <v>11</v>
      </c>
      <c r="N3325" t="str">
        <f t="shared" si="167"/>
        <v>AU98:BM109</v>
      </c>
      <c r="O3325" s="4">
        <f t="shared" ca="1" si="165"/>
        <v>258781.5</v>
      </c>
    </row>
    <row r="3326" spans="1:15">
      <c r="A3326" s="2" t="s">
        <v>19</v>
      </c>
      <c r="B3326" t="s">
        <v>41</v>
      </c>
      <c r="C3326" t="s">
        <v>42</v>
      </c>
      <c r="D3326">
        <v>40</v>
      </c>
      <c r="E3326" t="s">
        <v>46</v>
      </c>
      <c r="F3326">
        <v>3</v>
      </c>
      <c r="G3326">
        <v>2</v>
      </c>
      <c r="H3326">
        <v>1</v>
      </c>
      <c r="I3326">
        <v>1</v>
      </c>
      <c r="J3326" s="4" t="s">
        <v>55</v>
      </c>
      <c r="K3326" t="str">
        <f t="shared" si="166"/>
        <v>2+1</v>
      </c>
      <c r="L3326">
        <f>VLOOKUP(A3326,'ZONE 1 PREMIUM'!$A$4:$N$16,14,0)</f>
        <v>10</v>
      </c>
      <c r="M3326">
        <f>VLOOKUP(D3326,DROPDOWN!B:C,2,0)</f>
        <v>11</v>
      </c>
      <c r="N3326" t="str">
        <f t="shared" si="167"/>
        <v>AU98:BM109</v>
      </c>
      <c r="O3326" s="4">
        <f t="shared" ca="1" si="165"/>
        <v>348977.25</v>
      </c>
    </row>
    <row r="3327" spans="1:15">
      <c r="A3327" s="2" t="s">
        <v>20</v>
      </c>
      <c r="B3327" t="s">
        <v>43</v>
      </c>
      <c r="C3327" t="s">
        <v>44</v>
      </c>
      <c r="D3327">
        <v>40</v>
      </c>
      <c r="E3327" t="s">
        <v>46</v>
      </c>
      <c r="F3327">
        <v>3</v>
      </c>
      <c r="G3327">
        <v>2</v>
      </c>
      <c r="H3327">
        <v>1</v>
      </c>
      <c r="I3327">
        <v>1</v>
      </c>
      <c r="J3327" s="4" t="s">
        <v>55</v>
      </c>
      <c r="K3327" t="str">
        <f t="shared" si="166"/>
        <v>2+1</v>
      </c>
      <c r="L3327">
        <f>VLOOKUP(A3327,'ZONE 1 PREMIUM'!$A$4:$N$16,14,0)</f>
        <v>11</v>
      </c>
      <c r="M3327">
        <f>VLOOKUP(D3327,DROPDOWN!B:C,2,0)</f>
        <v>11</v>
      </c>
      <c r="N3327" t="str">
        <f t="shared" si="167"/>
        <v>AU98:BM109</v>
      </c>
      <c r="O3327" s="4">
        <f t="shared" ca="1" si="165"/>
        <v>429477.75</v>
      </c>
    </row>
    <row r="3328" spans="1:15">
      <c r="A3328" s="2" t="s">
        <v>21</v>
      </c>
      <c r="B3328" t="s">
        <v>22</v>
      </c>
      <c r="D3328">
        <v>40</v>
      </c>
      <c r="E3328" t="s">
        <v>46</v>
      </c>
      <c r="F3328">
        <v>3</v>
      </c>
      <c r="G3328">
        <v>2</v>
      </c>
      <c r="H3328">
        <v>1</v>
      </c>
      <c r="I3328">
        <v>1</v>
      </c>
      <c r="J3328" s="4" t="s">
        <v>55</v>
      </c>
      <c r="K3328" t="str">
        <f t="shared" si="166"/>
        <v>2+1</v>
      </c>
      <c r="L3328">
        <f>VLOOKUP(A3328,'ZONE 1 PREMIUM'!$A$4:$N$16,14,0)</f>
        <v>12</v>
      </c>
      <c r="M3328">
        <f>VLOOKUP(D3328,DROPDOWN!B:C,2,0)</f>
        <v>11</v>
      </c>
      <c r="N3328" t="str">
        <f t="shared" si="167"/>
        <v>AU98:BM109</v>
      </c>
      <c r="O3328" s="4">
        <f t="shared" ca="1" si="165"/>
        <v>549196.875</v>
      </c>
    </row>
    <row r="3329" spans="1:15">
      <c r="A3329" s="2" t="s">
        <v>11</v>
      </c>
      <c r="B3329" t="s">
        <v>45</v>
      </c>
      <c r="C3329" t="s">
        <v>25</v>
      </c>
      <c r="D3329">
        <v>40</v>
      </c>
      <c r="E3329" t="s">
        <v>46</v>
      </c>
      <c r="F3329">
        <v>4</v>
      </c>
      <c r="G3329">
        <v>2</v>
      </c>
      <c r="H3329">
        <v>2</v>
      </c>
      <c r="I3329">
        <v>1</v>
      </c>
      <c r="J3329" s="4" t="s">
        <v>55</v>
      </c>
      <c r="K3329" t="str">
        <f t="shared" si="166"/>
        <v>2+2</v>
      </c>
      <c r="L3329">
        <f>VLOOKUP(A3329,'ZONE 1 PREMIUM'!$A$4:$N$16,14,0)</f>
        <v>2</v>
      </c>
      <c r="M3329">
        <f>VLOOKUP(D3329,DROPDOWN!B:C,2,0)</f>
        <v>11</v>
      </c>
      <c r="N3329" t="str">
        <f t="shared" si="167"/>
        <v>AU113:BM124</v>
      </c>
      <c r="O3329" s="4">
        <f t="shared" ca="1" si="165"/>
        <v>70189.875</v>
      </c>
    </row>
    <row r="3330" spans="1:15">
      <c r="A3330" s="2" t="s">
        <v>12</v>
      </c>
      <c r="B3330" t="s">
        <v>27</v>
      </c>
      <c r="C3330" t="s">
        <v>28</v>
      </c>
      <c r="D3330">
        <v>40</v>
      </c>
      <c r="E3330" t="s">
        <v>46</v>
      </c>
      <c r="F3330">
        <v>4</v>
      </c>
      <c r="G3330">
        <v>2</v>
      </c>
      <c r="H3330">
        <v>2</v>
      </c>
      <c r="I3330">
        <v>1</v>
      </c>
      <c r="J3330" s="4" t="s">
        <v>55</v>
      </c>
      <c r="K3330" t="str">
        <f t="shared" si="166"/>
        <v>2+2</v>
      </c>
      <c r="L3330">
        <f>VLOOKUP(A3330,'ZONE 1 PREMIUM'!$A$4:$N$16,14,0)</f>
        <v>3</v>
      </c>
      <c r="M3330">
        <f>VLOOKUP(D3330,DROPDOWN!B:C,2,0)</f>
        <v>11</v>
      </c>
      <c r="N3330" t="str">
        <f t="shared" si="167"/>
        <v>AU113:BM124</v>
      </c>
      <c r="O3330" s="4">
        <f t="shared" ref="O3330:O3393" ca="1" si="168">INDEX(INDIRECT(N3330),L3330,M3330)</f>
        <v>76356</v>
      </c>
    </row>
    <row r="3331" spans="1:15">
      <c r="A3331" s="2" t="s">
        <v>13</v>
      </c>
      <c r="B3331" t="s">
        <v>29</v>
      </c>
      <c r="C3331" t="s">
        <v>30</v>
      </c>
      <c r="D3331">
        <v>40</v>
      </c>
      <c r="E3331" t="s">
        <v>46</v>
      </c>
      <c r="F3331">
        <v>4</v>
      </c>
      <c r="G3331">
        <v>2</v>
      </c>
      <c r="H3331">
        <v>2</v>
      </c>
      <c r="I3331">
        <v>1</v>
      </c>
      <c r="J3331" s="4" t="s">
        <v>55</v>
      </c>
      <c r="K3331" t="str">
        <f t="shared" si="166"/>
        <v>2+2</v>
      </c>
      <c r="L3331">
        <f>VLOOKUP(A3331,'ZONE 1 PREMIUM'!$A$4:$N$16,14,0)</f>
        <v>4</v>
      </c>
      <c r="M3331">
        <f>VLOOKUP(D3331,DROPDOWN!B:C,2,0)</f>
        <v>11</v>
      </c>
      <c r="N3331" t="str">
        <f t="shared" si="167"/>
        <v>AU113:BM124</v>
      </c>
      <c r="O3331" s="4">
        <f t="shared" ca="1" si="168"/>
        <v>86189.625</v>
      </c>
    </row>
    <row r="3332" spans="1:15">
      <c r="A3332" s="2" t="s">
        <v>14</v>
      </c>
      <c r="B3332" t="s">
        <v>31</v>
      </c>
      <c r="C3332" t="s">
        <v>32</v>
      </c>
      <c r="D3332">
        <v>40</v>
      </c>
      <c r="E3332" t="s">
        <v>46</v>
      </c>
      <c r="F3332">
        <v>4</v>
      </c>
      <c r="G3332">
        <v>2</v>
      </c>
      <c r="H3332">
        <v>2</v>
      </c>
      <c r="I3332">
        <v>1</v>
      </c>
      <c r="J3332" s="4" t="s">
        <v>55</v>
      </c>
      <c r="K3332" t="str">
        <f t="shared" ref="K3332:K3395" si="169">G3332&amp;"+"&amp;H3332</f>
        <v>2+2</v>
      </c>
      <c r="L3332">
        <f>VLOOKUP(A3332,'ZONE 1 PREMIUM'!$A$4:$N$16,14,0)</f>
        <v>5</v>
      </c>
      <c r="M3332">
        <f>VLOOKUP(D3332,DROPDOWN!B:C,2,0)</f>
        <v>11</v>
      </c>
      <c r="N3332" t="str">
        <f t="shared" si="167"/>
        <v>AU113:BM124</v>
      </c>
      <c r="O3332" s="4">
        <f t="shared" ca="1" si="168"/>
        <v>97876.125</v>
      </c>
    </row>
    <row r="3333" spans="1:15">
      <c r="A3333" s="2" t="s">
        <v>15</v>
      </c>
      <c r="B3333" t="s">
        <v>33</v>
      </c>
      <c r="C3333" t="s">
        <v>34</v>
      </c>
      <c r="D3333">
        <v>40</v>
      </c>
      <c r="E3333" t="s">
        <v>46</v>
      </c>
      <c r="F3333">
        <v>4</v>
      </c>
      <c r="G3333">
        <v>2</v>
      </c>
      <c r="H3333">
        <v>2</v>
      </c>
      <c r="I3333">
        <v>1</v>
      </c>
      <c r="J3333" s="4" t="s">
        <v>55</v>
      </c>
      <c r="K3333" t="str">
        <f t="shared" si="169"/>
        <v>2+2</v>
      </c>
      <c r="L3333">
        <f>VLOOKUP(A3333,'ZONE 1 PREMIUM'!$A$4:$N$16,14,0)</f>
        <v>6</v>
      </c>
      <c r="M3333">
        <f>VLOOKUP(D3333,DROPDOWN!B:C,2,0)</f>
        <v>11</v>
      </c>
      <c r="N3333" t="str">
        <f t="shared" si="167"/>
        <v>AU113:BM124</v>
      </c>
      <c r="O3333" s="4">
        <f t="shared" ca="1" si="168"/>
        <v>121723.875</v>
      </c>
    </row>
    <row r="3334" spans="1:15">
      <c r="A3334" s="2" t="s">
        <v>16</v>
      </c>
      <c r="B3334" t="s">
        <v>35</v>
      </c>
      <c r="C3334" t="s">
        <v>36</v>
      </c>
      <c r="D3334">
        <v>40</v>
      </c>
      <c r="E3334" t="s">
        <v>46</v>
      </c>
      <c r="F3334">
        <v>4</v>
      </c>
      <c r="G3334">
        <v>2</v>
      </c>
      <c r="H3334">
        <v>2</v>
      </c>
      <c r="I3334">
        <v>1</v>
      </c>
      <c r="J3334" s="4" t="s">
        <v>55</v>
      </c>
      <c r="K3334" t="str">
        <f t="shared" si="169"/>
        <v>2+2</v>
      </c>
      <c r="L3334">
        <f>VLOOKUP(A3334,'ZONE 1 PREMIUM'!$A$4:$N$16,14,0)</f>
        <v>7</v>
      </c>
      <c r="M3334">
        <f>VLOOKUP(D3334,DROPDOWN!B:C,2,0)</f>
        <v>11</v>
      </c>
      <c r="N3334" t="str">
        <f t="shared" si="167"/>
        <v>AU113:BM124</v>
      </c>
      <c r="O3334" s="4">
        <f t="shared" ca="1" si="168"/>
        <v>159348.375</v>
      </c>
    </row>
    <row r="3335" spans="1:15">
      <c r="A3335" s="2" t="s">
        <v>17</v>
      </c>
      <c r="B3335" t="s">
        <v>37</v>
      </c>
      <c r="C3335" t="s">
        <v>38</v>
      </c>
      <c r="D3335">
        <v>40</v>
      </c>
      <c r="E3335" t="s">
        <v>46</v>
      </c>
      <c r="F3335">
        <v>4</v>
      </c>
      <c r="G3335">
        <v>2</v>
      </c>
      <c r="H3335">
        <v>2</v>
      </c>
      <c r="I3335">
        <v>1</v>
      </c>
      <c r="J3335" s="4" t="s">
        <v>55</v>
      </c>
      <c r="K3335" t="str">
        <f t="shared" si="169"/>
        <v>2+2</v>
      </c>
      <c r="L3335">
        <f>VLOOKUP(A3335,'ZONE 1 PREMIUM'!$A$4:$N$16,14,0)</f>
        <v>8</v>
      </c>
      <c r="M3335">
        <f>VLOOKUP(D3335,DROPDOWN!B:C,2,0)</f>
        <v>11</v>
      </c>
      <c r="N3335" t="str">
        <f t="shared" si="167"/>
        <v>AU113:BM124</v>
      </c>
      <c r="O3335" s="4">
        <f t="shared" ca="1" si="168"/>
        <v>205750.125</v>
      </c>
    </row>
    <row r="3336" spans="1:15">
      <c r="A3336" s="2" t="s">
        <v>18</v>
      </c>
      <c r="B3336" t="s">
        <v>39</v>
      </c>
      <c r="C3336" t="s">
        <v>40</v>
      </c>
      <c r="D3336">
        <v>40</v>
      </c>
      <c r="E3336" t="s">
        <v>46</v>
      </c>
      <c r="F3336">
        <v>4</v>
      </c>
      <c r="G3336">
        <v>2</v>
      </c>
      <c r="H3336">
        <v>2</v>
      </c>
      <c r="I3336">
        <v>1</v>
      </c>
      <c r="J3336" s="4" t="s">
        <v>55</v>
      </c>
      <c r="K3336" t="str">
        <f t="shared" si="169"/>
        <v>2+2</v>
      </c>
      <c r="L3336">
        <f>VLOOKUP(A3336,'ZONE 1 PREMIUM'!$A$4:$N$16,14,0)</f>
        <v>9</v>
      </c>
      <c r="M3336">
        <f>VLOOKUP(D3336,DROPDOWN!B:C,2,0)</f>
        <v>11</v>
      </c>
      <c r="N3336" t="str">
        <f t="shared" si="167"/>
        <v>AU113:BM124</v>
      </c>
      <c r="O3336" s="4">
        <f t="shared" ca="1" si="168"/>
        <v>272412</v>
      </c>
    </row>
    <row r="3337" spans="1:15">
      <c r="A3337" s="2" t="s">
        <v>19</v>
      </c>
      <c r="B3337" t="s">
        <v>41</v>
      </c>
      <c r="C3337" t="s">
        <v>42</v>
      </c>
      <c r="D3337">
        <v>40</v>
      </c>
      <c r="E3337" t="s">
        <v>46</v>
      </c>
      <c r="F3337">
        <v>4</v>
      </c>
      <c r="G3337">
        <v>2</v>
      </c>
      <c r="H3337">
        <v>2</v>
      </c>
      <c r="I3337">
        <v>1</v>
      </c>
      <c r="J3337" s="4" t="s">
        <v>55</v>
      </c>
      <c r="K3337" t="str">
        <f t="shared" si="169"/>
        <v>2+2</v>
      </c>
      <c r="L3337">
        <f>VLOOKUP(A3337,'ZONE 1 PREMIUM'!$A$4:$N$16,14,0)</f>
        <v>10</v>
      </c>
      <c r="M3337">
        <f>VLOOKUP(D3337,DROPDOWN!B:C,2,0)</f>
        <v>11</v>
      </c>
      <c r="N3337" t="str">
        <f t="shared" si="167"/>
        <v>AU113:BM124</v>
      </c>
      <c r="O3337" s="4">
        <f t="shared" ca="1" si="168"/>
        <v>355259.25</v>
      </c>
    </row>
    <row r="3338" spans="1:15">
      <c r="A3338" s="2" t="s">
        <v>20</v>
      </c>
      <c r="B3338" t="s">
        <v>43</v>
      </c>
      <c r="C3338" t="s">
        <v>44</v>
      </c>
      <c r="D3338">
        <v>40</v>
      </c>
      <c r="E3338" t="s">
        <v>46</v>
      </c>
      <c r="F3338">
        <v>4</v>
      </c>
      <c r="G3338">
        <v>2</v>
      </c>
      <c r="H3338">
        <v>2</v>
      </c>
      <c r="I3338">
        <v>1</v>
      </c>
      <c r="J3338" s="4" t="s">
        <v>55</v>
      </c>
      <c r="K3338" t="str">
        <f t="shared" si="169"/>
        <v>2+2</v>
      </c>
      <c r="L3338">
        <f>VLOOKUP(A3338,'ZONE 1 PREMIUM'!$A$4:$N$16,14,0)</f>
        <v>11</v>
      </c>
      <c r="M3338">
        <f>VLOOKUP(D3338,DROPDOWN!B:C,2,0)</f>
        <v>11</v>
      </c>
      <c r="N3338" t="str">
        <f t="shared" si="167"/>
        <v>AU113:BM124</v>
      </c>
      <c r="O3338" s="4">
        <f t="shared" ca="1" si="168"/>
        <v>436368.375</v>
      </c>
    </row>
    <row r="3339" spans="1:15">
      <c r="A3339" s="2" t="s">
        <v>21</v>
      </c>
      <c r="B3339" t="s">
        <v>22</v>
      </c>
      <c r="D3339">
        <v>40</v>
      </c>
      <c r="E3339" t="s">
        <v>46</v>
      </c>
      <c r="F3339">
        <v>4</v>
      </c>
      <c r="G3339">
        <v>2</v>
      </c>
      <c r="H3339">
        <v>2</v>
      </c>
      <c r="I3339">
        <v>1</v>
      </c>
      <c r="J3339" s="4" t="s">
        <v>55</v>
      </c>
      <c r="K3339" t="str">
        <f t="shared" si="169"/>
        <v>2+2</v>
      </c>
      <c r="L3339">
        <f>VLOOKUP(A3339,'ZONE 1 PREMIUM'!$A$4:$N$16,14,0)</f>
        <v>12</v>
      </c>
      <c r="M3339">
        <f>VLOOKUP(D3339,DROPDOWN!B:C,2,0)</f>
        <v>11</v>
      </c>
      <c r="N3339" t="str">
        <f t="shared" si="167"/>
        <v>AU113:BM124</v>
      </c>
      <c r="O3339" s="4">
        <f t="shared" ca="1" si="168"/>
        <v>556378.875</v>
      </c>
    </row>
    <row r="3340" spans="1:15">
      <c r="A3340" s="2" t="s">
        <v>11</v>
      </c>
      <c r="B3340" t="s">
        <v>45</v>
      </c>
      <c r="C3340" t="s">
        <v>25</v>
      </c>
      <c r="D3340">
        <v>40</v>
      </c>
      <c r="E3340" t="s">
        <v>46</v>
      </c>
      <c r="F3340">
        <v>5</v>
      </c>
      <c r="G3340">
        <v>2</v>
      </c>
      <c r="H3340">
        <v>3</v>
      </c>
      <c r="I3340">
        <v>1</v>
      </c>
      <c r="J3340" s="4" t="s">
        <v>55</v>
      </c>
      <c r="K3340" t="str">
        <f t="shared" si="169"/>
        <v>2+3</v>
      </c>
      <c r="L3340">
        <f>VLOOKUP(A3340,'ZONE 1 PREMIUM'!$A$4:$N$16,14,0)</f>
        <v>2</v>
      </c>
      <c r="M3340">
        <f>VLOOKUP(D3340,DROPDOWN!B:C,2,0)</f>
        <v>11</v>
      </c>
      <c r="N3340" t="str">
        <f t="shared" si="167"/>
        <v>AU128:BM139</v>
      </c>
      <c r="O3340" s="4">
        <f t="shared" ca="1" si="168"/>
        <v>80557.875</v>
      </c>
    </row>
    <row r="3341" spans="1:15">
      <c r="A3341" s="2" t="s">
        <v>12</v>
      </c>
      <c r="B3341" t="s">
        <v>27</v>
      </c>
      <c r="C3341" t="s">
        <v>28</v>
      </c>
      <c r="D3341">
        <v>40</v>
      </c>
      <c r="E3341" t="s">
        <v>46</v>
      </c>
      <c r="F3341">
        <v>5</v>
      </c>
      <c r="G3341">
        <v>2</v>
      </c>
      <c r="H3341">
        <v>3</v>
      </c>
      <c r="I3341">
        <v>1</v>
      </c>
      <c r="J3341" s="4" t="s">
        <v>55</v>
      </c>
      <c r="K3341" t="str">
        <f t="shared" si="169"/>
        <v>2+3</v>
      </c>
      <c r="L3341">
        <f>VLOOKUP(A3341,'ZONE 1 PREMIUM'!$A$4:$N$16,14,0)</f>
        <v>3</v>
      </c>
      <c r="M3341">
        <f>VLOOKUP(D3341,DROPDOWN!B:C,2,0)</f>
        <v>11</v>
      </c>
      <c r="N3341" t="str">
        <f t="shared" si="167"/>
        <v>AU128:BM139</v>
      </c>
      <c r="O3341" s="4">
        <f t="shared" ca="1" si="168"/>
        <v>86540.625</v>
      </c>
    </row>
    <row r="3342" spans="1:15">
      <c r="A3342" s="2" t="s">
        <v>13</v>
      </c>
      <c r="B3342" t="s">
        <v>29</v>
      </c>
      <c r="C3342" t="s">
        <v>30</v>
      </c>
      <c r="D3342">
        <v>40</v>
      </c>
      <c r="E3342" t="s">
        <v>46</v>
      </c>
      <c r="F3342">
        <v>5</v>
      </c>
      <c r="G3342">
        <v>2</v>
      </c>
      <c r="H3342">
        <v>3</v>
      </c>
      <c r="I3342">
        <v>1</v>
      </c>
      <c r="J3342" s="4" t="s">
        <v>55</v>
      </c>
      <c r="K3342" t="str">
        <f t="shared" si="169"/>
        <v>2+3</v>
      </c>
      <c r="L3342">
        <f>VLOOKUP(A3342,'ZONE 1 PREMIUM'!$A$4:$N$16,14,0)</f>
        <v>4</v>
      </c>
      <c r="M3342">
        <f>VLOOKUP(D3342,DROPDOWN!B:C,2,0)</f>
        <v>11</v>
      </c>
      <c r="N3342" t="str">
        <f t="shared" si="167"/>
        <v>AU128:BM139</v>
      </c>
      <c r="O3342" s="4">
        <f t="shared" ca="1" si="168"/>
        <v>98097.75</v>
      </c>
    </row>
    <row r="3343" spans="1:15">
      <c r="A3343" s="2" t="s">
        <v>14</v>
      </c>
      <c r="B3343" t="s">
        <v>31</v>
      </c>
      <c r="C3343" t="s">
        <v>32</v>
      </c>
      <c r="D3343">
        <v>40</v>
      </c>
      <c r="E3343" t="s">
        <v>46</v>
      </c>
      <c r="F3343">
        <v>5</v>
      </c>
      <c r="G3343">
        <v>2</v>
      </c>
      <c r="H3343">
        <v>3</v>
      </c>
      <c r="I3343">
        <v>1</v>
      </c>
      <c r="J3343" s="4" t="s">
        <v>55</v>
      </c>
      <c r="K3343" t="str">
        <f t="shared" si="169"/>
        <v>2+3</v>
      </c>
      <c r="L3343">
        <f>VLOOKUP(A3343,'ZONE 1 PREMIUM'!$A$4:$N$16,14,0)</f>
        <v>5</v>
      </c>
      <c r="M3343">
        <f>VLOOKUP(D3343,DROPDOWN!B:C,2,0)</f>
        <v>11</v>
      </c>
      <c r="N3343" t="str">
        <f t="shared" si="167"/>
        <v>AU128:BM139</v>
      </c>
      <c r="O3343" s="4">
        <f t="shared" ca="1" si="168"/>
        <v>110621.25</v>
      </c>
    </row>
    <row r="3344" spans="1:15">
      <c r="A3344" s="2" t="s">
        <v>15</v>
      </c>
      <c r="B3344" t="s">
        <v>33</v>
      </c>
      <c r="C3344" t="s">
        <v>34</v>
      </c>
      <c r="D3344">
        <v>40</v>
      </c>
      <c r="E3344" t="s">
        <v>46</v>
      </c>
      <c r="F3344">
        <v>5</v>
      </c>
      <c r="G3344">
        <v>2</v>
      </c>
      <c r="H3344">
        <v>3</v>
      </c>
      <c r="I3344">
        <v>1</v>
      </c>
      <c r="J3344" s="4" t="s">
        <v>55</v>
      </c>
      <c r="K3344" t="str">
        <f t="shared" si="169"/>
        <v>2+3</v>
      </c>
      <c r="L3344">
        <f>VLOOKUP(A3344,'ZONE 1 PREMIUM'!$A$4:$N$16,14,0)</f>
        <v>6</v>
      </c>
      <c r="M3344">
        <f>VLOOKUP(D3344,DROPDOWN!B:C,2,0)</f>
        <v>11</v>
      </c>
      <c r="N3344" t="str">
        <f t="shared" si="167"/>
        <v>AU128:BM139</v>
      </c>
      <c r="O3344" s="4">
        <f t="shared" ca="1" si="168"/>
        <v>136084.5</v>
      </c>
    </row>
    <row r="3345" spans="1:15">
      <c r="A3345" s="2" t="s">
        <v>16</v>
      </c>
      <c r="B3345" t="s">
        <v>35</v>
      </c>
      <c r="C3345" t="s">
        <v>36</v>
      </c>
      <c r="D3345">
        <v>40</v>
      </c>
      <c r="E3345" t="s">
        <v>46</v>
      </c>
      <c r="F3345">
        <v>5</v>
      </c>
      <c r="G3345">
        <v>2</v>
      </c>
      <c r="H3345">
        <v>3</v>
      </c>
      <c r="I3345">
        <v>1</v>
      </c>
      <c r="J3345" s="4" t="s">
        <v>55</v>
      </c>
      <c r="K3345" t="str">
        <f t="shared" si="169"/>
        <v>2+3</v>
      </c>
      <c r="L3345">
        <f>VLOOKUP(A3345,'ZONE 1 PREMIUM'!$A$4:$N$16,14,0)</f>
        <v>7</v>
      </c>
      <c r="M3345">
        <f>VLOOKUP(D3345,DROPDOWN!B:C,2,0)</f>
        <v>11</v>
      </c>
      <c r="N3345" t="str">
        <f t="shared" si="167"/>
        <v>AU128:BM139</v>
      </c>
      <c r="O3345" s="4">
        <f t="shared" ca="1" si="168"/>
        <v>174022.875</v>
      </c>
    </row>
    <row r="3346" spans="1:15">
      <c r="A3346" s="2" t="s">
        <v>17</v>
      </c>
      <c r="B3346" t="s">
        <v>37</v>
      </c>
      <c r="C3346" t="s">
        <v>38</v>
      </c>
      <c r="D3346">
        <v>40</v>
      </c>
      <c r="E3346" t="s">
        <v>46</v>
      </c>
      <c r="F3346">
        <v>5</v>
      </c>
      <c r="G3346">
        <v>2</v>
      </c>
      <c r="H3346">
        <v>3</v>
      </c>
      <c r="I3346">
        <v>1</v>
      </c>
      <c r="J3346" s="4" t="s">
        <v>55</v>
      </c>
      <c r="K3346" t="str">
        <f t="shared" si="169"/>
        <v>2+3</v>
      </c>
      <c r="L3346">
        <f>VLOOKUP(A3346,'ZONE 1 PREMIUM'!$A$4:$N$16,14,0)</f>
        <v>8</v>
      </c>
      <c r="M3346">
        <f>VLOOKUP(D3346,DROPDOWN!B:C,2,0)</f>
        <v>11</v>
      </c>
      <c r="N3346" t="str">
        <f t="shared" si="167"/>
        <v>AU128:BM139</v>
      </c>
      <c r="O3346" s="4">
        <f t="shared" ca="1" si="168"/>
        <v>219223.125</v>
      </c>
    </row>
    <row r="3347" spans="1:15">
      <c r="A3347" s="2" t="s">
        <v>18</v>
      </c>
      <c r="B3347" t="s">
        <v>39</v>
      </c>
      <c r="C3347" t="s">
        <v>40</v>
      </c>
      <c r="D3347">
        <v>40</v>
      </c>
      <c r="E3347" t="s">
        <v>46</v>
      </c>
      <c r="F3347">
        <v>5</v>
      </c>
      <c r="G3347">
        <v>2</v>
      </c>
      <c r="H3347">
        <v>3</v>
      </c>
      <c r="I3347">
        <v>1</v>
      </c>
      <c r="J3347" s="4" t="s">
        <v>55</v>
      </c>
      <c r="K3347" t="str">
        <f t="shared" si="169"/>
        <v>2+3</v>
      </c>
      <c r="L3347">
        <f>VLOOKUP(A3347,'ZONE 1 PREMIUM'!$A$4:$N$16,14,0)</f>
        <v>9</v>
      </c>
      <c r="M3347">
        <f>VLOOKUP(D3347,DROPDOWN!B:C,2,0)</f>
        <v>11</v>
      </c>
      <c r="N3347" t="str">
        <f t="shared" si="167"/>
        <v>AU128:BM139</v>
      </c>
      <c r="O3347" s="4">
        <f t="shared" ca="1" si="168"/>
        <v>285795</v>
      </c>
    </row>
    <row r="3348" spans="1:15">
      <c r="A3348" s="2" t="s">
        <v>19</v>
      </c>
      <c r="B3348" t="s">
        <v>41</v>
      </c>
      <c r="C3348" t="s">
        <v>42</v>
      </c>
      <c r="D3348">
        <v>40</v>
      </c>
      <c r="E3348" t="s">
        <v>46</v>
      </c>
      <c r="F3348">
        <v>5</v>
      </c>
      <c r="G3348">
        <v>2</v>
      </c>
      <c r="H3348">
        <v>3</v>
      </c>
      <c r="I3348">
        <v>1</v>
      </c>
      <c r="J3348" s="4" t="s">
        <v>55</v>
      </c>
      <c r="K3348" t="str">
        <f t="shared" si="169"/>
        <v>2+3</v>
      </c>
      <c r="L3348">
        <f>VLOOKUP(A3348,'ZONE 1 PREMIUM'!$A$4:$N$16,14,0)</f>
        <v>10</v>
      </c>
      <c r="M3348">
        <f>VLOOKUP(D3348,DROPDOWN!B:C,2,0)</f>
        <v>11</v>
      </c>
      <c r="N3348" t="str">
        <f t="shared" si="167"/>
        <v>AU128:BM139</v>
      </c>
      <c r="O3348" s="4">
        <f t="shared" ca="1" si="168"/>
        <v>367963.875</v>
      </c>
    </row>
    <row r="3349" spans="1:15">
      <c r="A3349" s="2" t="s">
        <v>20</v>
      </c>
      <c r="B3349" t="s">
        <v>43</v>
      </c>
      <c r="C3349" t="s">
        <v>44</v>
      </c>
      <c r="D3349">
        <v>40</v>
      </c>
      <c r="E3349" t="s">
        <v>46</v>
      </c>
      <c r="F3349">
        <v>5</v>
      </c>
      <c r="G3349">
        <v>2</v>
      </c>
      <c r="H3349">
        <v>3</v>
      </c>
      <c r="I3349">
        <v>1</v>
      </c>
      <c r="J3349" s="4" t="s">
        <v>55</v>
      </c>
      <c r="K3349" t="str">
        <f t="shared" si="169"/>
        <v>2+3</v>
      </c>
      <c r="L3349">
        <f>VLOOKUP(A3349,'ZONE 1 PREMIUM'!$A$4:$N$16,14,0)</f>
        <v>11</v>
      </c>
      <c r="M3349">
        <f>VLOOKUP(D3349,DROPDOWN!B:C,2,0)</f>
        <v>11</v>
      </c>
      <c r="N3349" t="str">
        <f t="shared" si="167"/>
        <v>AU128:BM139</v>
      </c>
      <c r="O3349" s="4">
        <f t="shared" ca="1" si="168"/>
        <v>450453.375</v>
      </c>
    </row>
    <row r="3350" spans="1:15">
      <c r="A3350" s="2" t="s">
        <v>21</v>
      </c>
      <c r="B3350" t="s">
        <v>22</v>
      </c>
      <c r="D3350">
        <v>40</v>
      </c>
      <c r="E3350" t="s">
        <v>46</v>
      </c>
      <c r="F3350">
        <v>5</v>
      </c>
      <c r="G3350">
        <v>2</v>
      </c>
      <c r="H3350">
        <v>3</v>
      </c>
      <c r="I3350">
        <v>1</v>
      </c>
      <c r="J3350" s="4" t="s">
        <v>55</v>
      </c>
      <c r="K3350" t="str">
        <f t="shared" si="169"/>
        <v>2+3</v>
      </c>
      <c r="L3350">
        <f>VLOOKUP(A3350,'ZONE 1 PREMIUM'!$A$4:$N$16,14,0)</f>
        <v>12</v>
      </c>
      <c r="M3350">
        <f>VLOOKUP(D3350,DROPDOWN!B:C,2,0)</f>
        <v>11</v>
      </c>
      <c r="N3350" t="str">
        <f t="shared" si="167"/>
        <v>AU128:BM139</v>
      </c>
      <c r="O3350" s="4">
        <f t="shared" ca="1" si="168"/>
        <v>571323.375</v>
      </c>
    </row>
    <row r="3351" spans="1:15">
      <c r="A3351" s="2" t="s">
        <v>11</v>
      </c>
      <c r="B3351" t="s">
        <v>45</v>
      </c>
      <c r="C3351" t="s">
        <v>25</v>
      </c>
      <c r="D3351">
        <v>40</v>
      </c>
      <c r="E3351" t="s">
        <v>46</v>
      </c>
      <c r="F3351">
        <v>6</v>
      </c>
      <c r="G3351">
        <v>2</v>
      </c>
      <c r="H3351">
        <v>4</v>
      </c>
      <c r="I3351">
        <v>1</v>
      </c>
      <c r="J3351" s="4" t="s">
        <v>55</v>
      </c>
      <c r="K3351" t="str">
        <f t="shared" si="169"/>
        <v>2+4</v>
      </c>
      <c r="L3351">
        <f>VLOOKUP(A3351,'ZONE 1 PREMIUM'!$A$4:$N$16,14,0)</f>
        <v>2</v>
      </c>
      <c r="M3351">
        <f>VLOOKUP(D3351,DROPDOWN!B:C,2,0)</f>
        <v>11</v>
      </c>
      <c r="N3351" t="str">
        <f t="shared" si="167"/>
        <v>AU143:BM154</v>
      </c>
      <c r="O3351" s="4">
        <f t="shared" ca="1" si="168"/>
        <v>90925.875</v>
      </c>
    </row>
    <row r="3352" spans="1:15">
      <c r="A3352" s="2" t="s">
        <v>12</v>
      </c>
      <c r="B3352" t="s">
        <v>27</v>
      </c>
      <c r="C3352" t="s">
        <v>28</v>
      </c>
      <c r="D3352">
        <v>40</v>
      </c>
      <c r="E3352" t="s">
        <v>46</v>
      </c>
      <c r="F3352">
        <v>6</v>
      </c>
      <c r="G3352">
        <v>2</v>
      </c>
      <c r="H3352">
        <v>4</v>
      </c>
      <c r="I3352">
        <v>1</v>
      </c>
      <c r="J3352" s="4" t="s">
        <v>55</v>
      </c>
      <c r="K3352" t="str">
        <f t="shared" si="169"/>
        <v>2+4</v>
      </c>
      <c r="L3352">
        <f>VLOOKUP(A3352,'ZONE 1 PREMIUM'!$A$4:$N$16,14,0)</f>
        <v>3</v>
      </c>
      <c r="M3352">
        <f>VLOOKUP(D3352,DROPDOWN!B:C,2,0)</f>
        <v>11</v>
      </c>
      <c r="N3352" t="str">
        <f t="shared" si="167"/>
        <v>AU143:BM154</v>
      </c>
      <c r="O3352" s="4">
        <f t="shared" ca="1" si="168"/>
        <v>96725.25</v>
      </c>
    </row>
    <row r="3353" spans="1:15">
      <c r="A3353" s="2" t="s">
        <v>13</v>
      </c>
      <c r="B3353" t="s">
        <v>29</v>
      </c>
      <c r="C3353" t="s">
        <v>30</v>
      </c>
      <c r="D3353">
        <v>40</v>
      </c>
      <c r="E3353" t="s">
        <v>46</v>
      </c>
      <c r="F3353">
        <v>6</v>
      </c>
      <c r="G3353">
        <v>2</v>
      </c>
      <c r="H3353">
        <v>4</v>
      </c>
      <c r="I3353">
        <v>1</v>
      </c>
      <c r="J3353" s="4" t="s">
        <v>55</v>
      </c>
      <c r="K3353" t="str">
        <f t="shared" si="169"/>
        <v>2+4</v>
      </c>
      <c r="L3353">
        <f>VLOOKUP(A3353,'ZONE 1 PREMIUM'!$A$4:$N$16,14,0)</f>
        <v>4</v>
      </c>
      <c r="M3353">
        <f>VLOOKUP(D3353,DROPDOWN!B:C,2,0)</f>
        <v>11</v>
      </c>
      <c r="N3353" t="str">
        <f t="shared" si="167"/>
        <v>AU143:BM154</v>
      </c>
      <c r="O3353" s="4">
        <f t="shared" ca="1" si="168"/>
        <v>110004.75</v>
      </c>
    </row>
    <row r="3354" spans="1:15">
      <c r="A3354" s="2" t="s">
        <v>14</v>
      </c>
      <c r="B3354" t="s">
        <v>31</v>
      </c>
      <c r="C3354" t="s">
        <v>32</v>
      </c>
      <c r="D3354">
        <v>40</v>
      </c>
      <c r="E3354" t="s">
        <v>46</v>
      </c>
      <c r="F3354">
        <v>6</v>
      </c>
      <c r="G3354">
        <v>2</v>
      </c>
      <c r="H3354">
        <v>4</v>
      </c>
      <c r="I3354">
        <v>1</v>
      </c>
      <c r="J3354" s="4" t="s">
        <v>55</v>
      </c>
      <c r="K3354" t="str">
        <f t="shared" si="169"/>
        <v>2+4</v>
      </c>
      <c r="L3354">
        <f>VLOOKUP(A3354,'ZONE 1 PREMIUM'!$A$4:$N$16,14,0)</f>
        <v>5</v>
      </c>
      <c r="M3354">
        <f>VLOOKUP(D3354,DROPDOWN!B:C,2,0)</f>
        <v>11</v>
      </c>
      <c r="N3354" t="str">
        <f t="shared" si="167"/>
        <v>AU143:BM154</v>
      </c>
      <c r="O3354" s="4">
        <f t="shared" ca="1" si="168"/>
        <v>123367.5</v>
      </c>
    </row>
    <row r="3355" spans="1:15">
      <c r="A3355" s="2" t="s">
        <v>15</v>
      </c>
      <c r="B3355" t="s">
        <v>33</v>
      </c>
      <c r="C3355" t="s">
        <v>34</v>
      </c>
      <c r="D3355">
        <v>40</v>
      </c>
      <c r="E3355" t="s">
        <v>46</v>
      </c>
      <c r="F3355">
        <v>6</v>
      </c>
      <c r="G3355">
        <v>2</v>
      </c>
      <c r="H3355">
        <v>4</v>
      </c>
      <c r="I3355">
        <v>1</v>
      </c>
      <c r="J3355" s="4" t="s">
        <v>55</v>
      </c>
      <c r="K3355" t="str">
        <f t="shared" si="169"/>
        <v>2+4</v>
      </c>
      <c r="L3355">
        <f>VLOOKUP(A3355,'ZONE 1 PREMIUM'!$A$4:$N$16,14,0)</f>
        <v>6</v>
      </c>
      <c r="M3355">
        <f>VLOOKUP(D3355,DROPDOWN!B:C,2,0)</f>
        <v>11</v>
      </c>
      <c r="N3355" t="str">
        <f t="shared" si="167"/>
        <v>AU143:BM154</v>
      </c>
      <c r="O3355" s="4">
        <f t="shared" ca="1" si="168"/>
        <v>150445.125</v>
      </c>
    </row>
    <row r="3356" spans="1:15">
      <c r="A3356" s="2" t="s">
        <v>16</v>
      </c>
      <c r="B3356" t="s">
        <v>35</v>
      </c>
      <c r="C3356" t="s">
        <v>36</v>
      </c>
      <c r="D3356">
        <v>40</v>
      </c>
      <c r="E3356" t="s">
        <v>46</v>
      </c>
      <c r="F3356">
        <v>6</v>
      </c>
      <c r="G3356">
        <v>2</v>
      </c>
      <c r="H3356">
        <v>4</v>
      </c>
      <c r="I3356">
        <v>1</v>
      </c>
      <c r="J3356" s="4" t="s">
        <v>55</v>
      </c>
      <c r="K3356" t="str">
        <f t="shared" si="169"/>
        <v>2+4</v>
      </c>
      <c r="L3356">
        <f>VLOOKUP(A3356,'ZONE 1 PREMIUM'!$A$4:$N$16,14,0)</f>
        <v>7</v>
      </c>
      <c r="M3356">
        <f>VLOOKUP(D3356,DROPDOWN!B:C,2,0)</f>
        <v>11</v>
      </c>
      <c r="N3356" t="str">
        <f t="shared" si="167"/>
        <v>AU143:BM154</v>
      </c>
      <c r="O3356" s="4">
        <f t="shared" ca="1" si="168"/>
        <v>187274.25</v>
      </c>
    </row>
    <row r="3357" spans="1:15">
      <c r="A3357" s="2" t="s">
        <v>17</v>
      </c>
      <c r="B3357" t="s">
        <v>37</v>
      </c>
      <c r="C3357" t="s">
        <v>38</v>
      </c>
      <c r="D3357">
        <v>40</v>
      </c>
      <c r="E3357" t="s">
        <v>46</v>
      </c>
      <c r="F3357">
        <v>6</v>
      </c>
      <c r="G3357">
        <v>2</v>
      </c>
      <c r="H3357">
        <v>4</v>
      </c>
      <c r="I3357">
        <v>1</v>
      </c>
      <c r="J3357" s="4" t="s">
        <v>55</v>
      </c>
      <c r="K3357" t="str">
        <f t="shared" si="169"/>
        <v>2+4</v>
      </c>
      <c r="L3357">
        <f>VLOOKUP(A3357,'ZONE 1 PREMIUM'!$A$4:$N$16,14,0)</f>
        <v>8</v>
      </c>
      <c r="M3357">
        <f>VLOOKUP(D3357,DROPDOWN!B:C,2,0)</f>
        <v>11</v>
      </c>
      <c r="N3357" t="str">
        <f t="shared" si="167"/>
        <v>AU143:BM154</v>
      </c>
      <c r="O3357" s="4">
        <f t="shared" ca="1" si="168"/>
        <v>232492.5</v>
      </c>
    </row>
    <row r="3358" spans="1:15">
      <c r="A3358" s="2" t="s">
        <v>18</v>
      </c>
      <c r="B3358" t="s">
        <v>39</v>
      </c>
      <c r="C3358" t="s">
        <v>40</v>
      </c>
      <c r="D3358">
        <v>40</v>
      </c>
      <c r="E3358" t="s">
        <v>46</v>
      </c>
      <c r="F3358">
        <v>6</v>
      </c>
      <c r="G3358">
        <v>2</v>
      </c>
      <c r="H3358">
        <v>4</v>
      </c>
      <c r="I3358">
        <v>1</v>
      </c>
      <c r="J3358" s="4" t="s">
        <v>55</v>
      </c>
      <c r="K3358" t="str">
        <f t="shared" si="169"/>
        <v>2+4</v>
      </c>
      <c r="L3358">
        <f>VLOOKUP(A3358,'ZONE 1 PREMIUM'!$A$4:$N$16,14,0)</f>
        <v>9</v>
      </c>
      <c r="M3358">
        <f>VLOOKUP(D3358,DROPDOWN!B:C,2,0)</f>
        <v>11</v>
      </c>
      <c r="N3358" t="str">
        <f t="shared" si="167"/>
        <v>AU143:BM154</v>
      </c>
      <c r="O3358" s="4">
        <f t="shared" ca="1" si="168"/>
        <v>298571.625</v>
      </c>
    </row>
    <row r="3359" spans="1:15">
      <c r="A3359" s="2" t="s">
        <v>19</v>
      </c>
      <c r="B3359" t="s">
        <v>41</v>
      </c>
      <c r="C3359" t="s">
        <v>42</v>
      </c>
      <c r="D3359">
        <v>40</v>
      </c>
      <c r="E3359" t="s">
        <v>46</v>
      </c>
      <c r="F3359">
        <v>6</v>
      </c>
      <c r="G3359">
        <v>2</v>
      </c>
      <c r="H3359">
        <v>4</v>
      </c>
      <c r="I3359">
        <v>1</v>
      </c>
      <c r="J3359" s="4" t="s">
        <v>55</v>
      </c>
      <c r="K3359" t="str">
        <f t="shared" si="169"/>
        <v>2+4</v>
      </c>
      <c r="L3359">
        <f>VLOOKUP(A3359,'ZONE 1 PREMIUM'!$A$4:$N$16,14,0)</f>
        <v>10</v>
      </c>
      <c r="M3359">
        <f>VLOOKUP(D3359,DROPDOWN!B:C,2,0)</f>
        <v>11</v>
      </c>
      <c r="N3359" t="str">
        <f t="shared" si="167"/>
        <v>AU143:BM154</v>
      </c>
      <c r="O3359" s="4">
        <f t="shared" ca="1" si="168"/>
        <v>382037.625</v>
      </c>
    </row>
    <row r="3360" spans="1:15">
      <c r="A3360" s="2" t="s">
        <v>20</v>
      </c>
      <c r="B3360" t="s">
        <v>43</v>
      </c>
      <c r="C3360" t="s">
        <v>44</v>
      </c>
      <c r="D3360">
        <v>40</v>
      </c>
      <c r="E3360" t="s">
        <v>46</v>
      </c>
      <c r="F3360">
        <v>6</v>
      </c>
      <c r="G3360">
        <v>2</v>
      </c>
      <c r="H3360">
        <v>4</v>
      </c>
      <c r="I3360">
        <v>1</v>
      </c>
      <c r="J3360" s="4" t="s">
        <v>55</v>
      </c>
      <c r="K3360" t="str">
        <f t="shared" si="169"/>
        <v>2+4</v>
      </c>
      <c r="L3360">
        <f>VLOOKUP(A3360,'ZONE 1 PREMIUM'!$A$4:$N$16,14,0)</f>
        <v>11</v>
      </c>
      <c r="M3360">
        <f>VLOOKUP(D3360,DROPDOWN!B:C,2,0)</f>
        <v>11</v>
      </c>
      <c r="N3360" t="str">
        <f t="shared" si="167"/>
        <v>AU143:BM154</v>
      </c>
      <c r="O3360" s="4">
        <f t="shared" ca="1" si="168"/>
        <v>463497.75</v>
      </c>
    </row>
    <row r="3361" spans="1:15">
      <c r="A3361" s="2" t="s">
        <v>21</v>
      </c>
      <c r="B3361" t="s">
        <v>22</v>
      </c>
      <c r="D3361">
        <v>40</v>
      </c>
      <c r="E3361" t="s">
        <v>46</v>
      </c>
      <c r="F3361">
        <v>6</v>
      </c>
      <c r="G3361">
        <v>2</v>
      </c>
      <c r="H3361">
        <v>4</v>
      </c>
      <c r="I3361">
        <v>1</v>
      </c>
      <c r="J3361" s="4" t="s">
        <v>55</v>
      </c>
      <c r="K3361" t="str">
        <f t="shared" si="169"/>
        <v>2+4</v>
      </c>
      <c r="L3361">
        <f>VLOOKUP(A3361,'ZONE 1 PREMIUM'!$A$4:$N$16,14,0)</f>
        <v>12</v>
      </c>
      <c r="M3361">
        <f>VLOOKUP(D3361,DROPDOWN!B:C,2,0)</f>
        <v>11</v>
      </c>
      <c r="N3361" t="str">
        <f t="shared" si="167"/>
        <v>AU143:BM154</v>
      </c>
      <c r="O3361" s="4">
        <f t="shared" ca="1" si="168"/>
        <v>582126.75</v>
      </c>
    </row>
    <row r="3362" spans="1:15">
      <c r="A3362" s="2" t="s">
        <v>9</v>
      </c>
      <c r="B3362" t="s">
        <v>47</v>
      </c>
      <c r="C3362" t="s">
        <v>48</v>
      </c>
      <c r="D3362">
        <v>40</v>
      </c>
      <c r="E3362" t="s">
        <v>26</v>
      </c>
      <c r="F3362">
        <v>1</v>
      </c>
      <c r="H3362">
        <v>1</v>
      </c>
      <c r="I3362">
        <v>1</v>
      </c>
      <c r="J3362" s="4" t="s">
        <v>53</v>
      </c>
      <c r="K3362" t="str">
        <f t="shared" si="169"/>
        <v>+1</v>
      </c>
      <c r="N3362" t="e">
        <f t="shared" ref="N3362:N3425" si="170">VLOOKUP(K3362,$CK$3:$CL$12,2,0)</f>
        <v>#N/A</v>
      </c>
      <c r="O3362" s="13">
        <v>6375.0568946982903</v>
      </c>
    </row>
    <row r="3363" spans="1:15">
      <c r="A3363" s="2" t="s">
        <v>10</v>
      </c>
      <c r="B3363" t="s">
        <v>49</v>
      </c>
      <c r="C3363" t="s">
        <v>50</v>
      </c>
      <c r="D3363">
        <v>40</v>
      </c>
      <c r="E3363" t="s">
        <v>26</v>
      </c>
      <c r="F3363">
        <v>1</v>
      </c>
      <c r="G3363">
        <v>1</v>
      </c>
      <c r="H3363">
        <v>0</v>
      </c>
      <c r="I3363">
        <v>1</v>
      </c>
      <c r="J3363" s="4" t="s">
        <v>53</v>
      </c>
      <c r="K3363" t="str">
        <f t="shared" si="169"/>
        <v>1+0</v>
      </c>
      <c r="L3363">
        <f>VLOOKUP(A3363,'ZONE 1 PREMIUM'!$A$3:$M$16,13,0)</f>
        <v>3</v>
      </c>
      <c r="M3363">
        <f>VLOOKUP(D3363,DROPDOWN!B:C,2,0)</f>
        <v>11</v>
      </c>
      <c r="N3363" t="str">
        <f t="shared" si="170"/>
        <v>BR3:CJ16</v>
      </c>
      <c r="O3363" s="4">
        <f t="shared" ca="1" si="168"/>
        <v>10534.7</v>
      </c>
    </row>
    <row r="3364" spans="1:15">
      <c r="A3364" s="2" t="s">
        <v>11</v>
      </c>
      <c r="B3364" t="s">
        <v>45</v>
      </c>
      <c r="C3364" t="s">
        <v>25</v>
      </c>
      <c r="D3364">
        <v>40</v>
      </c>
      <c r="E3364" t="s">
        <v>26</v>
      </c>
      <c r="F3364">
        <v>1</v>
      </c>
      <c r="G3364">
        <v>1</v>
      </c>
      <c r="H3364">
        <v>0</v>
      </c>
      <c r="I3364">
        <v>1</v>
      </c>
      <c r="J3364" s="4" t="s">
        <v>53</v>
      </c>
      <c r="K3364" t="str">
        <f t="shared" si="169"/>
        <v>1+0</v>
      </c>
      <c r="L3364">
        <f>VLOOKUP(A3364,'ZONE 1 PREMIUM'!$A$3:$M$16,13,0)</f>
        <v>4</v>
      </c>
      <c r="M3364">
        <f>VLOOKUP(D3364,DROPDOWN!B:C,2,0)</f>
        <v>11</v>
      </c>
      <c r="N3364" t="str">
        <f t="shared" si="170"/>
        <v>BR3:CJ16</v>
      </c>
      <c r="O3364" s="4">
        <f t="shared" ca="1" si="168"/>
        <v>28998.2</v>
      </c>
    </row>
    <row r="3365" spans="1:15">
      <c r="A3365" s="2" t="s">
        <v>12</v>
      </c>
      <c r="B3365" t="s">
        <v>27</v>
      </c>
      <c r="C3365" t="s">
        <v>28</v>
      </c>
      <c r="D3365">
        <v>40</v>
      </c>
      <c r="E3365" t="s">
        <v>26</v>
      </c>
      <c r="F3365">
        <v>1</v>
      </c>
      <c r="G3365">
        <v>1</v>
      </c>
      <c r="H3365">
        <v>0</v>
      </c>
      <c r="I3365">
        <v>1</v>
      </c>
      <c r="J3365" s="4" t="s">
        <v>53</v>
      </c>
      <c r="K3365" t="str">
        <f t="shared" si="169"/>
        <v>1+0</v>
      </c>
      <c r="L3365">
        <f>VLOOKUP(A3365,'ZONE 1 PREMIUM'!$A$3:$M$16,13,0)</f>
        <v>5</v>
      </c>
      <c r="M3365">
        <f>VLOOKUP(D3365,DROPDOWN!B:C,2,0)</f>
        <v>11</v>
      </c>
      <c r="N3365" t="str">
        <f t="shared" si="170"/>
        <v>BR3:CJ16</v>
      </c>
      <c r="O3365" s="4">
        <f t="shared" ca="1" si="168"/>
        <v>33119.9</v>
      </c>
    </row>
    <row r="3366" spans="1:15">
      <c r="A3366" s="2" t="s">
        <v>13</v>
      </c>
      <c r="B3366" t="s">
        <v>29</v>
      </c>
      <c r="C3366" t="s">
        <v>30</v>
      </c>
      <c r="D3366">
        <v>40</v>
      </c>
      <c r="E3366" t="s">
        <v>26</v>
      </c>
      <c r="F3366">
        <v>1</v>
      </c>
      <c r="G3366">
        <v>1</v>
      </c>
      <c r="H3366">
        <v>0</v>
      </c>
      <c r="I3366">
        <v>1</v>
      </c>
      <c r="J3366" s="4" t="s">
        <v>53</v>
      </c>
      <c r="K3366" t="str">
        <f t="shared" si="169"/>
        <v>1+0</v>
      </c>
      <c r="L3366">
        <f>VLOOKUP(A3366,'ZONE 1 PREMIUM'!$A$3:$M$16,13,0)</f>
        <v>6</v>
      </c>
      <c r="M3366">
        <f>VLOOKUP(D3366,DROPDOWN!B:C,2,0)</f>
        <v>11</v>
      </c>
      <c r="N3366" t="str">
        <f t="shared" si="170"/>
        <v>BR3:CJ16</v>
      </c>
      <c r="O3366" s="4">
        <f t="shared" ca="1" si="168"/>
        <v>38381.200000000004</v>
      </c>
    </row>
    <row r="3367" spans="1:15">
      <c r="A3367" s="2" t="s">
        <v>14</v>
      </c>
      <c r="B3367" t="s">
        <v>31</v>
      </c>
      <c r="C3367" t="s">
        <v>32</v>
      </c>
      <c r="D3367">
        <v>40</v>
      </c>
      <c r="E3367" t="s">
        <v>26</v>
      </c>
      <c r="F3367">
        <v>1</v>
      </c>
      <c r="G3367">
        <v>1</v>
      </c>
      <c r="H3367">
        <v>0</v>
      </c>
      <c r="I3367">
        <v>1</v>
      </c>
      <c r="J3367" s="4" t="s">
        <v>53</v>
      </c>
      <c r="K3367" t="str">
        <f t="shared" si="169"/>
        <v>1+0</v>
      </c>
      <c r="L3367">
        <f>VLOOKUP(A3367,'ZONE 1 PREMIUM'!$A$3:$M$16,13,0)</f>
        <v>7</v>
      </c>
      <c r="M3367">
        <f>VLOOKUP(D3367,DROPDOWN!B:C,2,0)</f>
        <v>11</v>
      </c>
      <c r="N3367" t="str">
        <f t="shared" si="170"/>
        <v>BR3:CJ16</v>
      </c>
      <c r="O3367" s="4">
        <f t="shared" ca="1" si="168"/>
        <v>44597.3</v>
      </c>
    </row>
    <row r="3368" spans="1:15">
      <c r="A3368" s="2" t="s">
        <v>15</v>
      </c>
      <c r="B3368" t="s">
        <v>33</v>
      </c>
      <c r="C3368" t="s">
        <v>34</v>
      </c>
      <c r="D3368">
        <v>40</v>
      </c>
      <c r="E3368" t="s">
        <v>26</v>
      </c>
      <c r="F3368">
        <v>1</v>
      </c>
      <c r="G3368">
        <v>1</v>
      </c>
      <c r="H3368">
        <v>0</v>
      </c>
      <c r="I3368">
        <v>1</v>
      </c>
      <c r="J3368" s="4" t="s">
        <v>53</v>
      </c>
      <c r="K3368" t="str">
        <f t="shared" si="169"/>
        <v>1+0</v>
      </c>
      <c r="L3368">
        <f>VLOOKUP(A3368,'ZONE 1 PREMIUM'!$A$3:$M$16,13,0)</f>
        <v>8</v>
      </c>
      <c r="M3368">
        <f>VLOOKUP(D3368,DROPDOWN!B:C,2,0)</f>
        <v>11</v>
      </c>
      <c r="N3368" t="str">
        <f t="shared" si="170"/>
        <v>BR3:CJ16</v>
      </c>
      <c r="O3368" s="4">
        <f t="shared" ca="1" si="168"/>
        <v>55675.4</v>
      </c>
    </row>
    <row r="3369" spans="1:15">
      <c r="A3369" s="2" t="s">
        <v>16</v>
      </c>
      <c r="B3369" t="s">
        <v>35</v>
      </c>
      <c r="C3369" t="s">
        <v>36</v>
      </c>
      <c r="D3369">
        <v>40</v>
      </c>
      <c r="E3369" t="s">
        <v>26</v>
      </c>
      <c r="F3369">
        <v>1</v>
      </c>
      <c r="G3369">
        <v>1</v>
      </c>
      <c r="H3369">
        <v>0</v>
      </c>
      <c r="I3369">
        <v>1</v>
      </c>
      <c r="J3369" s="4" t="s">
        <v>53</v>
      </c>
      <c r="K3369" t="str">
        <f t="shared" si="169"/>
        <v>1+0</v>
      </c>
      <c r="L3369">
        <f>VLOOKUP(A3369,'ZONE 1 PREMIUM'!$A$3:$M$16,13,0)</f>
        <v>9</v>
      </c>
      <c r="M3369">
        <f>VLOOKUP(D3369,DROPDOWN!B:C,2,0)</f>
        <v>11</v>
      </c>
      <c r="N3369" t="str">
        <f t="shared" si="170"/>
        <v>BR3:CJ16</v>
      </c>
      <c r="O3369" s="4">
        <f t="shared" ca="1" si="168"/>
        <v>73759.400000000009</v>
      </c>
    </row>
    <row r="3370" spans="1:15">
      <c r="A3370" s="2" t="s">
        <v>17</v>
      </c>
      <c r="B3370" t="s">
        <v>37</v>
      </c>
      <c r="C3370" t="s">
        <v>38</v>
      </c>
      <c r="D3370">
        <v>40</v>
      </c>
      <c r="E3370" t="s">
        <v>26</v>
      </c>
      <c r="F3370">
        <v>1</v>
      </c>
      <c r="G3370">
        <v>1</v>
      </c>
      <c r="H3370">
        <v>0</v>
      </c>
      <c r="I3370">
        <v>1</v>
      </c>
      <c r="J3370" s="4" t="s">
        <v>53</v>
      </c>
      <c r="K3370" t="str">
        <f t="shared" si="169"/>
        <v>1+0</v>
      </c>
      <c r="L3370">
        <f>VLOOKUP(A3370,'ZONE 1 PREMIUM'!$A$3:$M$16,13,0)</f>
        <v>10</v>
      </c>
      <c r="M3370">
        <f>VLOOKUP(D3370,DROPDOWN!B:C,2,0)</f>
        <v>11</v>
      </c>
      <c r="N3370" t="str">
        <f t="shared" si="170"/>
        <v>BR3:CJ16</v>
      </c>
      <c r="O3370" s="4">
        <f t="shared" ca="1" si="168"/>
        <v>99257.400000000009</v>
      </c>
    </row>
    <row r="3371" spans="1:15">
      <c r="A3371" s="2" t="s">
        <v>18</v>
      </c>
      <c r="B3371" t="s">
        <v>39</v>
      </c>
      <c r="C3371" t="s">
        <v>40</v>
      </c>
      <c r="D3371">
        <v>40</v>
      </c>
      <c r="E3371" t="s">
        <v>26</v>
      </c>
      <c r="F3371">
        <v>1</v>
      </c>
      <c r="G3371">
        <v>1</v>
      </c>
      <c r="H3371">
        <v>0</v>
      </c>
      <c r="I3371">
        <v>1</v>
      </c>
      <c r="J3371" s="4" t="s">
        <v>53</v>
      </c>
      <c r="K3371" t="str">
        <f t="shared" si="169"/>
        <v>1+0</v>
      </c>
      <c r="L3371">
        <f>VLOOKUP(A3371,'ZONE 1 PREMIUM'!$A$3:$M$16,13,0)</f>
        <v>11</v>
      </c>
      <c r="M3371">
        <f>VLOOKUP(D3371,DROPDOWN!B:C,2,0)</f>
        <v>11</v>
      </c>
      <c r="N3371" t="str">
        <f t="shared" si="170"/>
        <v>BR3:CJ16</v>
      </c>
      <c r="O3371" s="4">
        <f t="shared" ca="1" si="168"/>
        <v>137685.90000000002</v>
      </c>
    </row>
    <row r="3372" spans="1:15">
      <c r="A3372" s="2" t="s">
        <v>19</v>
      </c>
      <c r="B3372" t="s">
        <v>41</v>
      </c>
      <c r="C3372" t="s">
        <v>42</v>
      </c>
      <c r="D3372">
        <v>40</v>
      </c>
      <c r="E3372" t="s">
        <v>26</v>
      </c>
      <c r="F3372">
        <v>1</v>
      </c>
      <c r="G3372">
        <v>1</v>
      </c>
      <c r="H3372">
        <v>0</v>
      </c>
      <c r="I3372">
        <v>1</v>
      </c>
      <c r="J3372" s="4" t="s">
        <v>53</v>
      </c>
      <c r="K3372" t="str">
        <f t="shared" si="169"/>
        <v>1+0</v>
      </c>
      <c r="L3372">
        <f>VLOOKUP(A3372,'ZONE 1 PREMIUM'!$A$3:$M$16,13,0)</f>
        <v>12</v>
      </c>
      <c r="M3372">
        <f>VLOOKUP(D3372,DROPDOWN!B:C,2,0)</f>
        <v>11</v>
      </c>
      <c r="N3372" t="str">
        <f t="shared" si="170"/>
        <v>BR3:CJ16</v>
      </c>
      <c r="O3372" s="4">
        <f t="shared" ca="1" si="168"/>
        <v>179726.80000000002</v>
      </c>
    </row>
    <row r="3373" spans="1:15">
      <c r="A3373" s="2" t="s">
        <v>20</v>
      </c>
      <c r="B3373" t="s">
        <v>43</v>
      </c>
      <c r="C3373" t="s">
        <v>44</v>
      </c>
      <c r="D3373">
        <v>40</v>
      </c>
      <c r="E3373" t="s">
        <v>26</v>
      </c>
      <c r="F3373">
        <v>1</v>
      </c>
      <c r="G3373">
        <v>1</v>
      </c>
      <c r="H3373">
        <v>0</v>
      </c>
      <c r="I3373">
        <v>1</v>
      </c>
      <c r="J3373" s="4" t="s">
        <v>53</v>
      </c>
      <c r="K3373" t="str">
        <f t="shared" si="169"/>
        <v>1+0</v>
      </c>
      <c r="L3373">
        <f>VLOOKUP(A3373,'ZONE 1 PREMIUM'!$A$3:$M$16,13,0)</f>
        <v>13</v>
      </c>
      <c r="M3373">
        <f>VLOOKUP(D3373,DROPDOWN!B:C,2,0)</f>
        <v>11</v>
      </c>
      <c r="N3373" t="str">
        <f t="shared" si="170"/>
        <v>BR3:CJ16</v>
      </c>
      <c r="O3373" s="4">
        <f t="shared" ca="1" si="168"/>
        <v>217069.6</v>
      </c>
    </row>
    <row r="3374" spans="1:15">
      <c r="A3374" s="2" t="s">
        <v>21</v>
      </c>
      <c r="B3374" t="s">
        <v>22</v>
      </c>
      <c r="D3374">
        <v>40</v>
      </c>
      <c r="E3374" t="s">
        <v>26</v>
      </c>
      <c r="F3374">
        <v>1</v>
      </c>
      <c r="G3374">
        <v>1</v>
      </c>
      <c r="H3374">
        <v>0</v>
      </c>
      <c r="I3374">
        <v>1</v>
      </c>
      <c r="J3374" s="4" t="s">
        <v>53</v>
      </c>
      <c r="K3374" t="str">
        <f t="shared" si="169"/>
        <v>1+0</v>
      </c>
      <c r="L3374">
        <f>VLOOKUP(A3374,'ZONE 1 PREMIUM'!$A$3:$M$16,13,0)</f>
        <v>14</v>
      </c>
      <c r="M3374">
        <f>VLOOKUP(D3374,DROPDOWN!B:C,2,0)</f>
        <v>11</v>
      </c>
      <c r="N3374" t="str">
        <f t="shared" si="170"/>
        <v>BR3:CJ16</v>
      </c>
      <c r="O3374" s="4">
        <f t="shared" ca="1" si="168"/>
        <v>293080.7</v>
      </c>
    </row>
    <row r="3375" spans="1:15">
      <c r="A3375" s="2" t="s">
        <v>11</v>
      </c>
      <c r="B3375" t="s">
        <v>45</v>
      </c>
      <c r="C3375" t="s">
        <v>25</v>
      </c>
      <c r="D3375">
        <v>40</v>
      </c>
      <c r="E3375" t="s">
        <v>46</v>
      </c>
      <c r="F3375">
        <v>2</v>
      </c>
      <c r="G3375">
        <v>1</v>
      </c>
      <c r="H3375">
        <v>1</v>
      </c>
      <c r="I3375">
        <v>1</v>
      </c>
      <c r="J3375" s="4" t="s">
        <v>53</v>
      </c>
      <c r="K3375" t="str">
        <f t="shared" si="169"/>
        <v>1+1</v>
      </c>
      <c r="L3375">
        <f>VLOOKUP(A3375,'ZONE 1 PREMIUM'!$A$4:$N$16,14,0)</f>
        <v>2</v>
      </c>
      <c r="M3375">
        <f>VLOOKUP(D3375,DROPDOWN!B:C,2,0)</f>
        <v>11</v>
      </c>
      <c r="N3375" t="str">
        <f t="shared" si="170"/>
        <v>BR20:CJ31</v>
      </c>
      <c r="O3375" s="4">
        <f t="shared" ca="1" si="168"/>
        <v>32444.500000000004</v>
      </c>
    </row>
    <row r="3376" spans="1:15">
      <c r="A3376" s="2" t="s">
        <v>12</v>
      </c>
      <c r="B3376" t="s">
        <v>27</v>
      </c>
      <c r="C3376" t="s">
        <v>28</v>
      </c>
      <c r="D3376">
        <v>40</v>
      </c>
      <c r="E3376" t="s">
        <v>46</v>
      </c>
      <c r="F3376">
        <v>2</v>
      </c>
      <c r="G3376">
        <v>1</v>
      </c>
      <c r="H3376">
        <v>1</v>
      </c>
      <c r="I3376">
        <v>1</v>
      </c>
      <c r="J3376" s="4" t="s">
        <v>53</v>
      </c>
      <c r="K3376" t="str">
        <f t="shared" si="169"/>
        <v>1+1</v>
      </c>
      <c r="L3376">
        <f>VLOOKUP(A3376,'ZONE 1 PREMIUM'!$A$4:$N$16,14,0)</f>
        <v>3</v>
      </c>
      <c r="M3376">
        <f>VLOOKUP(D3376,DROPDOWN!B:C,2,0)</f>
        <v>11</v>
      </c>
      <c r="N3376" t="str">
        <f t="shared" si="170"/>
        <v>BR20:CJ31</v>
      </c>
      <c r="O3376" s="4">
        <f t="shared" ca="1" si="168"/>
        <v>35717</v>
      </c>
    </row>
    <row r="3377" spans="1:15">
      <c r="A3377" s="2" t="s">
        <v>13</v>
      </c>
      <c r="B3377" t="s">
        <v>29</v>
      </c>
      <c r="C3377" t="s">
        <v>30</v>
      </c>
      <c r="D3377">
        <v>40</v>
      </c>
      <c r="E3377" t="s">
        <v>46</v>
      </c>
      <c r="F3377">
        <v>2</v>
      </c>
      <c r="G3377">
        <v>1</v>
      </c>
      <c r="H3377">
        <v>1</v>
      </c>
      <c r="I3377">
        <v>1</v>
      </c>
      <c r="J3377" s="4" t="s">
        <v>53</v>
      </c>
      <c r="K3377" t="str">
        <f t="shared" si="169"/>
        <v>1+1</v>
      </c>
      <c r="L3377">
        <f>VLOOKUP(A3377,'ZONE 1 PREMIUM'!$A$4:$N$16,14,0)</f>
        <v>4</v>
      </c>
      <c r="M3377">
        <f>VLOOKUP(D3377,DROPDOWN!B:C,2,0)</f>
        <v>11</v>
      </c>
      <c r="N3377" t="str">
        <f t="shared" si="170"/>
        <v>BR20:CJ31</v>
      </c>
      <c r="O3377" s="4">
        <f t="shared" ca="1" si="168"/>
        <v>41506.300000000003</v>
      </c>
    </row>
    <row r="3378" spans="1:15">
      <c r="A3378" s="2" t="s">
        <v>14</v>
      </c>
      <c r="B3378" t="s">
        <v>31</v>
      </c>
      <c r="C3378" t="s">
        <v>32</v>
      </c>
      <c r="D3378">
        <v>40</v>
      </c>
      <c r="E3378" t="s">
        <v>46</v>
      </c>
      <c r="F3378">
        <v>2</v>
      </c>
      <c r="G3378">
        <v>1</v>
      </c>
      <c r="H3378">
        <v>1</v>
      </c>
      <c r="I3378">
        <v>1</v>
      </c>
      <c r="J3378" s="4" t="s">
        <v>53</v>
      </c>
      <c r="K3378" t="str">
        <f t="shared" si="169"/>
        <v>1+1</v>
      </c>
      <c r="L3378">
        <f>VLOOKUP(A3378,'ZONE 1 PREMIUM'!$A$4:$N$16,14,0)</f>
        <v>5</v>
      </c>
      <c r="M3378">
        <f>VLOOKUP(D3378,DROPDOWN!B:C,2,0)</f>
        <v>11</v>
      </c>
      <c r="N3378" t="str">
        <f t="shared" si="170"/>
        <v>BR20:CJ31</v>
      </c>
      <c r="O3378" s="4">
        <f t="shared" ca="1" si="168"/>
        <v>48849.9</v>
      </c>
    </row>
    <row r="3379" spans="1:15">
      <c r="A3379" s="2" t="s">
        <v>15</v>
      </c>
      <c r="B3379" t="s">
        <v>33</v>
      </c>
      <c r="C3379" t="s">
        <v>34</v>
      </c>
      <c r="D3379">
        <v>40</v>
      </c>
      <c r="E3379" t="s">
        <v>46</v>
      </c>
      <c r="F3379">
        <v>2</v>
      </c>
      <c r="G3379">
        <v>1</v>
      </c>
      <c r="H3379">
        <v>1</v>
      </c>
      <c r="I3379">
        <v>1</v>
      </c>
      <c r="J3379" s="4" t="s">
        <v>53</v>
      </c>
      <c r="K3379" t="str">
        <f t="shared" si="169"/>
        <v>1+1</v>
      </c>
      <c r="L3379">
        <f>VLOOKUP(A3379,'ZONE 1 PREMIUM'!$A$4:$N$16,14,0)</f>
        <v>6</v>
      </c>
      <c r="M3379">
        <f>VLOOKUP(D3379,DROPDOWN!B:C,2,0)</f>
        <v>11</v>
      </c>
      <c r="N3379" t="str">
        <f t="shared" si="170"/>
        <v>BR20:CJ31</v>
      </c>
      <c r="O3379" s="4">
        <f t="shared" ca="1" si="168"/>
        <v>60489.000000000007</v>
      </c>
    </row>
    <row r="3380" spans="1:15">
      <c r="A3380" s="2" t="s">
        <v>16</v>
      </c>
      <c r="B3380" t="s">
        <v>35</v>
      </c>
      <c r="C3380" t="s">
        <v>36</v>
      </c>
      <c r="D3380">
        <v>40</v>
      </c>
      <c r="E3380" t="s">
        <v>46</v>
      </c>
      <c r="F3380">
        <v>2</v>
      </c>
      <c r="G3380">
        <v>1</v>
      </c>
      <c r="H3380">
        <v>1</v>
      </c>
      <c r="I3380">
        <v>1</v>
      </c>
      <c r="J3380" s="4" t="s">
        <v>53</v>
      </c>
      <c r="K3380" t="str">
        <f t="shared" si="169"/>
        <v>1+1</v>
      </c>
      <c r="L3380">
        <f>VLOOKUP(A3380,'ZONE 1 PREMIUM'!$A$4:$N$16,14,0)</f>
        <v>7</v>
      </c>
      <c r="M3380">
        <f>VLOOKUP(D3380,DROPDOWN!B:C,2,0)</f>
        <v>11</v>
      </c>
      <c r="N3380" t="str">
        <f t="shared" si="170"/>
        <v>BR20:CJ31</v>
      </c>
      <c r="O3380" s="4">
        <f t="shared" ca="1" si="168"/>
        <v>79007.5</v>
      </c>
    </row>
    <row r="3381" spans="1:15">
      <c r="A3381" s="2" t="s">
        <v>17</v>
      </c>
      <c r="B3381" t="s">
        <v>37</v>
      </c>
      <c r="C3381" t="s">
        <v>38</v>
      </c>
      <c r="D3381">
        <v>40</v>
      </c>
      <c r="E3381" t="s">
        <v>46</v>
      </c>
      <c r="F3381">
        <v>2</v>
      </c>
      <c r="G3381">
        <v>1</v>
      </c>
      <c r="H3381">
        <v>1</v>
      </c>
      <c r="I3381">
        <v>1</v>
      </c>
      <c r="J3381" s="4" t="s">
        <v>53</v>
      </c>
      <c r="K3381" t="str">
        <f t="shared" si="169"/>
        <v>1+1</v>
      </c>
      <c r="L3381">
        <f>VLOOKUP(A3381,'ZONE 1 PREMIUM'!$A$4:$N$16,14,0)</f>
        <v>8</v>
      </c>
      <c r="M3381">
        <f>VLOOKUP(D3381,DROPDOWN!B:C,2,0)</f>
        <v>11</v>
      </c>
      <c r="N3381" t="str">
        <f t="shared" si="170"/>
        <v>BR20:CJ31</v>
      </c>
      <c r="O3381" s="4">
        <f t="shared" ca="1" si="168"/>
        <v>104746.40000000001</v>
      </c>
    </row>
    <row r="3382" spans="1:15">
      <c r="A3382" s="2" t="s">
        <v>18</v>
      </c>
      <c r="B3382" t="s">
        <v>39</v>
      </c>
      <c r="C3382" t="s">
        <v>40</v>
      </c>
      <c r="D3382">
        <v>40</v>
      </c>
      <c r="E3382" t="s">
        <v>46</v>
      </c>
      <c r="F3382">
        <v>2</v>
      </c>
      <c r="G3382">
        <v>1</v>
      </c>
      <c r="H3382">
        <v>1</v>
      </c>
      <c r="I3382">
        <v>1</v>
      </c>
      <c r="J3382" s="4" t="s">
        <v>53</v>
      </c>
      <c r="K3382" t="str">
        <f t="shared" si="169"/>
        <v>1+1</v>
      </c>
      <c r="L3382">
        <f>VLOOKUP(A3382,'ZONE 1 PREMIUM'!$A$4:$N$16,14,0)</f>
        <v>9</v>
      </c>
      <c r="M3382">
        <f>VLOOKUP(D3382,DROPDOWN!B:C,2,0)</f>
        <v>11</v>
      </c>
      <c r="N3382" t="str">
        <f t="shared" si="170"/>
        <v>BR20:CJ31</v>
      </c>
      <c r="O3382" s="4">
        <f t="shared" ca="1" si="168"/>
        <v>144771</v>
      </c>
    </row>
    <row r="3383" spans="1:15">
      <c r="A3383" s="2" t="s">
        <v>19</v>
      </c>
      <c r="B3383" t="s">
        <v>41</v>
      </c>
      <c r="C3383" t="s">
        <v>42</v>
      </c>
      <c r="D3383">
        <v>40</v>
      </c>
      <c r="E3383" t="s">
        <v>46</v>
      </c>
      <c r="F3383">
        <v>2</v>
      </c>
      <c r="G3383">
        <v>1</v>
      </c>
      <c r="H3383">
        <v>1</v>
      </c>
      <c r="I3383">
        <v>1</v>
      </c>
      <c r="J3383" s="4" t="s">
        <v>53</v>
      </c>
      <c r="K3383" t="str">
        <f t="shared" si="169"/>
        <v>1+1</v>
      </c>
      <c r="L3383">
        <f>VLOOKUP(A3383,'ZONE 1 PREMIUM'!$A$4:$N$16,14,0)</f>
        <v>10</v>
      </c>
      <c r="M3383">
        <f>VLOOKUP(D3383,DROPDOWN!B:C,2,0)</f>
        <v>11</v>
      </c>
      <c r="N3383" t="str">
        <f t="shared" si="170"/>
        <v>BR20:CJ31</v>
      </c>
      <c r="O3383" s="4">
        <f t="shared" ca="1" si="168"/>
        <v>186705.2</v>
      </c>
    </row>
    <row r="3384" spans="1:15">
      <c r="A3384" s="2" t="s">
        <v>20</v>
      </c>
      <c r="B3384" t="s">
        <v>43</v>
      </c>
      <c r="C3384" t="s">
        <v>44</v>
      </c>
      <c r="D3384">
        <v>40</v>
      </c>
      <c r="E3384" t="s">
        <v>46</v>
      </c>
      <c r="F3384">
        <v>2</v>
      </c>
      <c r="G3384">
        <v>1</v>
      </c>
      <c r="H3384">
        <v>1</v>
      </c>
      <c r="I3384">
        <v>1</v>
      </c>
      <c r="J3384" s="4" t="s">
        <v>53</v>
      </c>
      <c r="K3384" t="str">
        <f t="shared" si="169"/>
        <v>1+1</v>
      </c>
      <c r="L3384">
        <f>VLOOKUP(A3384,'ZONE 1 PREMIUM'!$A$4:$N$16,14,0)</f>
        <v>11</v>
      </c>
      <c r="M3384">
        <f>VLOOKUP(D3384,DROPDOWN!B:C,2,0)</f>
        <v>11</v>
      </c>
      <c r="N3384" t="str">
        <f t="shared" si="170"/>
        <v>BR20:CJ31</v>
      </c>
      <c r="O3384" s="4">
        <f t="shared" ca="1" si="168"/>
        <v>221229.80000000002</v>
      </c>
    </row>
    <row r="3385" spans="1:15">
      <c r="A3385" s="2" t="s">
        <v>21</v>
      </c>
      <c r="B3385" t="s">
        <v>22</v>
      </c>
      <c r="D3385">
        <v>40</v>
      </c>
      <c r="E3385" t="s">
        <v>46</v>
      </c>
      <c r="F3385">
        <v>2</v>
      </c>
      <c r="G3385">
        <v>1</v>
      </c>
      <c r="H3385">
        <v>1</v>
      </c>
      <c r="I3385">
        <v>1</v>
      </c>
      <c r="J3385" s="4" t="s">
        <v>53</v>
      </c>
      <c r="K3385" t="str">
        <f t="shared" si="169"/>
        <v>1+1</v>
      </c>
      <c r="L3385">
        <f>VLOOKUP(A3385,'ZONE 1 PREMIUM'!$A$4:$N$16,14,0)</f>
        <v>12</v>
      </c>
      <c r="M3385">
        <f>VLOOKUP(D3385,DROPDOWN!B:C,2,0)</f>
        <v>11</v>
      </c>
      <c r="N3385" t="str">
        <f t="shared" si="170"/>
        <v>BR20:CJ31</v>
      </c>
      <c r="O3385" s="4">
        <f t="shared" ca="1" si="168"/>
        <v>301632.10000000003</v>
      </c>
    </row>
    <row r="3386" spans="1:15">
      <c r="A3386" s="2" t="s">
        <v>11</v>
      </c>
      <c r="B3386" t="s">
        <v>45</v>
      </c>
      <c r="C3386" t="s">
        <v>25</v>
      </c>
      <c r="D3386">
        <v>40</v>
      </c>
      <c r="E3386" t="s">
        <v>46</v>
      </c>
      <c r="F3386">
        <v>3</v>
      </c>
      <c r="G3386">
        <v>1</v>
      </c>
      <c r="H3386">
        <v>2</v>
      </c>
      <c r="I3386">
        <v>1</v>
      </c>
      <c r="J3386" s="4" t="s">
        <v>53</v>
      </c>
      <c r="K3386" t="str">
        <f t="shared" si="169"/>
        <v>1+2</v>
      </c>
      <c r="L3386">
        <f>VLOOKUP(A3386,'ZONE 1 PREMIUM'!$A$4:$N$16,14,0)</f>
        <v>2</v>
      </c>
      <c r="M3386">
        <f>VLOOKUP(D3386,DROPDOWN!B:C,2,0)</f>
        <v>11</v>
      </c>
      <c r="N3386" t="str">
        <f t="shared" si="170"/>
        <v>BR35:CJ46</v>
      </c>
      <c r="O3386" s="4">
        <f t="shared" ca="1" si="168"/>
        <v>41999.100000000006</v>
      </c>
    </row>
    <row r="3387" spans="1:15">
      <c r="A3387" s="2" t="s">
        <v>12</v>
      </c>
      <c r="B3387" t="s">
        <v>27</v>
      </c>
      <c r="C3387" t="s">
        <v>28</v>
      </c>
      <c r="D3387">
        <v>40</v>
      </c>
      <c r="E3387" t="s">
        <v>46</v>
      </c>
      <c r="F3387">
        <v>3</v>
      </c>
      <c r="G3387">
        <v>1</v>
      </c>
      <c r="H3387">
        <v>2</v>
      </c>
      <c r="I3387">
        <v>1</v>
      </c>
      <c r="J3387" s="4" t="s">
        <v>53</v>
      </c>
      <c r="K3387" t="str">
        <f t="shared" si="169"/>
        <v>1+2</v>
      </c>
      <c r="L3387">
        <f>VLOOKUP(A3387,'ZONE 1 PREMIUM'!$A$4:$N$16,14,0)</f>
        <v>3</v>
      </c>
      <c r="M3387">
        <f>VLOOKUP(D3387,DROPDOWN!B:C,2,0)</f>
        <v>11</v>
      </c>
      <c r="N3387" t="str">
        <f t="shared" si="170"/>
        <v>BR35:CJ46</v>
      </c>
      <c r="O3387" s="4">
        <f t="shared" ca="1" si="168"/>
        <v>44925.100000000006</v>
      </c>
    </row>
    <row r="3388" spans="1:15">
      <c r="A3388" s="2" t="s">
        <v>13</v>
      </c>
      <c r="B3388" t="s">
        <v>29</v>
      </c>
      <c r="C3388" t="s">
        <v>30</v>
      </c>
      <c r="D3388">
        <v>40</v>
      </c>
      <c r="E3388" t="s">
        <v>46</v>
      </c>
      <c r="F3388">
        <v>3</v>
      </c>
      <c r="G3388">
        <v>1</v>
      </c>
      <c r="H3388">
        <v>2</v>
      </c>
      <c r="I3388">
        <v>1</v>
      </c>
      <c r="J3388" s="4" t="s">
        <v>53</v>
      </c>
      <c r="K3388" t="str">
        <f t="shared" si="169"/>
        <v>1+2</v>
      </c>
      <c r="L3388">
        <f>VLOOKUP(A3388,'ZONE 1 PREMIUM'!$A$4:$N$16,14,0)</f>
        <v>4</v>
      </c>
      <c r="M3388">
        <f>VLOOKUP(D3388,DROPDOWN!B:C,2,0)</f>
        <v>11</v>
      </c>
      <c r="N3388" t="str">
        <f t="shared" si="170"/>
        <v>BR35:CJ46</v>
      </c>
      <c r="O3388" s="4">
        <f t="shared" ca="1" si="168"/>
        <v>52272.000000000007</v>
      </c>
    </row>
    <row r="3389" spans="1:15">
      <c r="A3389" s="2" t="s">
        <v>14</v>
      </c>
      <c r="B3389" t="s">
        <v>31</v>
      </c>
      <c r="C3389" t="s">
        <v>32</v>
      </c>
      <c r="D3389">
        <v>40</v>
      </c>
      <c r="E3389" t="s">
        <v>46</v>
      </c>
      <c r="F3389">
        <v>3</v>
      </c>
      <c r="G3389">
        <v>1</v>
      </c>
      <c r="H3389">
        <v>2</v>
      </c>
      <c r="I3389">
        <v>1</v>
      </c>
      <c r="J3389" s="4" t="s">
        <v>53</v>
      </c>
      <c r="K3389" t="str">
        <f t="shared" si="169"/>
        <v>1+2</v>
      </c>
      <c r="L3389">
        <f>VLOOKUP(A3389,'ZONE 1 PREMIUM'!$A$4:$N$16,14,0)</f>
        <v>5</v>
      </c>
      <c r="M3389">
        <f>VLOOKUP(D3389,DROPDOWN!B:C,2,0)</f>
        <v>11</v>
      </c>
      <c r="N3389" t="str">
        <f t="shared" si="170"/>
        <v>BR35:CJ46</v>
      </c>
      <c r="O3389" s="4">
        <f t="shared" ca="1" si="168"/>
        <v>58715.8</v>
      </c>
    </row>
    <row r="3390" spans="1:15">
      <c r="A3390" s="2" t="s">
        <v>15</v>
      </c>
      <c r="B3390" t="s">
        <v>33</v>
      </c>
      <c r="C3390" t="s">
        <v>34</v>
      </c>
      <c r="D3390">
        <v>40</v>
      </c>
      <c r="E3390" t="s">
        <v>46</v>
      </c>
      <c r="F3390">
        <v>3</v>
      </c>
      <c r="G3390">
        <v>1</v>
      </c>
      <c r="H3390">
        <v>2</v>
      </c>
      <c r="I3390">
        <v>1</v>
      </c>
      <c r="J3390" s="4" t="s">
        <v>53</v>
      </c>
      <c r="K3390" t="str">
        <f t="shared" si="169"/>
        <v>1+2</v>
      </c>
      <c r="L3390">
        <f>VLOOKUP(A3390,'ZONE 1 PREMIUM'!$A$4:$N$16,14,0)</f>
        <v>6</v>
      </c>
      <c r="M3390">
        <f>VLOOKUP(D3390,DROPDOWN!B:C,2,0)</f>
        <v>11</v>
      </c>
      <c r="N3390" t="str">
        <f t="shared" si="170"/>
        <v>BR35:CJ46</v>
      </c>
      <c r="O3390" s="4">
        <f t="shared" ca="1" si="168"/>
        <v>73722</v>
      </c>
    </row>
    <row r="3391" spans="1:15">
      <c r="A3391" s="2" t="s">
        <v>16</v>
      </c>
      <c r="B3391" t="s">
        <v>35</v>
      </c>
      <c r="C3391" t="s">
        <v>36</v>
      </c>
      <c r="D3391">
        <v>40</v>
      </c>
      <c r="E3391" t="s">
        <v>46</v>
      </c>
      <c r="F3391">
        <v>3</v>
      </c>
      <c r="G3391">
        <v>1</v>
      </c>
      <c r="H3391">
        <v>2</v>
      </c>
      <c r="I3391">
        <v>1</v>
      </c>
      <c r="J3391" s="4" t="s">
        <v>53</v>
      </c>
      <c r="K3391" t="str">
        <f t="shared" si="169"/>
        <v>1+2</v>
      </c>
      <c r="L3391">
        <f>VLOOKUP(A3391,'ZONE 1 PREMIUM'!$A$4:$N$16,14,0)</f>
        <v>7</v>
      </c>
      <c r="M3391">
        <f>VLOOKUP(D3391,DROPDOWN!B:C,2,0)</f>
        <v>11</v>
      </c>
      <c r="N3391" t="str">
        <f t="shared" si="170"/>
        <v>BR35:CJ46</v>
      </c>
      <c r="O3391" s="4">
        <f t="shared" ca="1" si="168"/>
        <v>95470.1</v>
      </c>
    </row>
    <row r="3392" spans="1:15">
      <c r="A3392" s="2" t="s">
        <v>17</v>
      </c>
      <c r="B3392" t="s">
        <v>37</v>
      </c>
      <c r="C3392" t="s">
        <v>38</v>
      </c>
      <c r="D3392">
        <v>40</v>
      </c>
      <c r="E3392" t="s">
        <v>46</v>
      </c>
      <c r="F3392">
        <v>3</v>
      </c>
      <c r="G3392">
        <v>1</v>
      </c>
      <c r="H3392">
        <v>2</v>
      </c>
      <c r="I3392">
        <v>1</v>
      </c>
      <c r="J3392" s="4" t="s">
        <v>53</v>
      </c>
      <c r="K3392" t="str">
        <f t="shared" si="169"/>
        <v>1+2</v>
      </c>
      <c r="L3392">
        <f>VLOOKUP(A3392,'ZONE 1 PREMIUM'!$A$4:$N$16,14,0)</f>
        <v>8</v>
      </c>
      <c r="M3392">
        <f>VLOOKUP(D3392,DROPDOWN!B:C,2,0)</f>
        <v>11</v>
      </c>
      <c r="N3392" t="str">
        <f t="shared" si="170"/>
        <v>BR35:CJ46</v>
      </c>
      <c r="O3392" s="4">
        <f t="shared" ca="1" si="168"/>
        <v>122500.40000000001</v>
      </c>
    </row>
    <row r="3393" spans="1:15">
      <c r="A3393" s="2" t="s">
        <v>18</v>
      </c>
      <c r="B3393" t="s">
        <v>39</v>
      </c>
      <c r="C3393" t="s">
        <v>40</v>
      </c>
      <c r="D3393">
        <v>40</v>
      </c>
      <c r="E3393" t="s">
        <v>46</v>
      </c>
      <c r="F3393">
        <v>3</v>
      </c>
      <c r="G3393">
        <v>1</v>
      </c>
      <c r="H3393">
        <v>2</v>
      </c>
      <c r="I3393">
        <v>1</v>
      </c>
      <c r="J3393" s="4" t="s">
        <v>53</v>
      </c>
      <c r="K3393" t="str">
        <f t="shared" si="169"/>
        <v>1+2</v>
      </c>
      <c r="L3393">
        <f>VLOOKUP(A3393,'ZONE 1 PREMIUM'!$A$4:$N$16,14,0)</f>
        <v>9</v>
      </c>
      <c r="M3393">
        <f>VLOOKUP(D3393,DROPDOWN!B:C,2,0)</f>
        <v>11</v>
      </c>
      <c r="N3393" t="str">
        <f t="shared" si="170"/>
        <v>BR35:CJ46</v>
      </c>
      <c r="O3393" s="4">
        <f t="shared" ca="1" si="168"/>
        <v>159317.40000000002</v>
      </c>
    </row>
    <row r="3394" spans="1:15">
      <c r="A3394" s="2" t="s">
        <v>19</v>
      </c>
      <c r="B3394" t="s">
        <v>41</v>
      </c>
      <c r="C3394" t="s">
        <v>42</v>
      </c>
      <c r="D3394">
        <v>40</v>
      </c>
      <c r="E3394" t="s">
        <v>46</v>
      </c>
      <c r="F3394">
        <v>3</v>
      </c>
      <c r="G3394">
        <v>1</v>
      </c>
      <c r="H3394">
        <v>2</v>
      </c>
      <c r="I3394">
        <v>1</v>
      </c>
      <c r="J3394" s="4" t="s">
        <v>53</v>
      </c>
      <c r="K3394" t="str">
        <f t="shared" si="169"/>
        <v>1+2</v>
      </c>
      <c r="L3394">
        <f>VLOOKUP(A3394,'ZONE 1 PREMIUM'!$A$4:$N$16,14,0)</f>
        <v>10</v>
      </c>
      <c r="M3394">
        <f>VLOOKUP(D3394,DROPDOWN!B:C,2,0)</f>
        <v>11</v>
      </c>
      <c r="N3394" t="str">
        <f t="shared" si="170"/>
        <v>BR35:CJ46</v>
      </c>
      <c r="O3394" s="4">
        <f t="shared" ref="O3394:O3457" ca="1" si="171">INDEX(INDIRECT(N3394),L3394,M3394)</f>
        <v>204432.80000000002</v>
      </c>
    </row>
    <row r="3395" spans="1:15">
      <c r="A3395" s="2" t="s">
        <v>20</v>
      </c>
      <c r="B3395" t="s">
        <v>43</v>
      </c>
      <c r="C3395" t="s">
        <v>44</v>
      </c>
      <c r="D3395">
        <v>40</v>
      </c>
      <c r="E3395" t="s">
        <v>46</v>
      </c>
      <c r="F3395">
        <v>3</v>
      </c>
      <c r="G3395">
        <v>1</v>
      </c>
      <c r="H3395">
        <v>2</v>
      </c>
      <c r="I3395">
        <v>1</v>
      </c>
      <c r="J3395" s="4" t="s">
        <v>53</v>
      </c>
      <c r="K3395" t="str">
        <f t="shared" si="169"/>
        <v>1+2</v>
      </c>
      <c r="L3395">
        <f>VLOOKUP(A3395,'ZONE 1 PREMIUM'!$A$4:$N$16,14,0)</f>
        <v>11</v>
      </c>
      <c r="M3395">
        <f>VLOOKUP(D3395,DROPDOWN!B:C,2,0)</f>
        <v>11</v>
      </c>
      <c r="N3395" t="str">
        <f t="shared" si="170"/>
        <v>BR35:CJ46</v>
      </c>
      <c r="O3395" s="4">
        <f t="shared" ca="1" si="171"/>
        <v>242143.00000000003</v>
      </c>
    </row>
    <row r="3396" spans="1:15">
      <c r="A3396" s="2" t="s">
        <v>21</v>
      </c>
      <c r="B3396" t="s">
        <v>22</v>
      </c>
      <c r="D3396">
        <v>40</v>
      </c>
      <c r="E3396" t="s">
        <v>46</v>
      </c>
      <c r="F3396">
        <v>3</v>
      </c>
      <c r="G3396">
        <v>1</v>
      </c>
      <c r="H3396">
        <v>2</v>
      </c>
      <c r="I3396">
        <v>1</v>
      </c>
      <c r="J3396" s="4" t="s">
        <v>53</v>
      </c>
      <c r="K3396" t="str">
        <f t="shared" ref="K3396:K3459" si="172">G3396&amp;"+"&amp;H3396</f>
        <v>1+2</v>
      </c>
      <c r="L3396">
        <f>VLOOKUP(A3396,'ZONE 1 PREMIUM'!$A$4:$N$16,14,0)</f>
        <v>12</v>
      </c>
      <c r="M3396">
        <f>VLOOKUP(D3396,DROPDOWN!B:C,2,0)</f>
        <v>11</v>
      </c>
      <c r="N3396" t="str">
        <f t="shared" si="170"/>
        <v>BR35:CJ46</v>
      </c>
      <c r="O3396" s="4">
        <f t="shared" ca="1" si="171"/>
        <v>317306</v>
      </c>
    </row>
    <row r="3397" spans="1:15">
      <c r="A3397" s="2" t="s">
        <v>11</v>
      </c>
      <c r="B3397" t="s">
        <v>45</v>
      </c>
      <c r="C3397" t="s">
        <v>25</v>
      </c>
      <c r="D3397">
        <v>40</v>
      </c>
      <c r="E3397" t="s">
        <v>46</v>
      </c>
      <c r="F3397">
        <v>4</v>
      </c>
      <c r="G3397">
        <v>1</v>
      </c>
      <c r="H3397">
        <v>3</v>
      </c>
      <c r="I3397">
        <v>1</v>
      </c>
      <c r="J3397" s="4" t="s">
        <v>53</v>
      </c>
      <c r="K3397" t="str">
        <f t="shared" si="172"/>
        <v>1+3</v>
      </c>
      <c r="L3397">
        <f>VLOOKUP(A3397,'ZONE 1 PREMIUM'!$A$4:$N$16,14,0)</f>
        <v>2</v>
      </c>
      <c r="M3397">
        <f>VLOOKUP(D3397,DROPDOWN!B:C,2,0)</f>
        <v>11</v>
      </c>
      <c r="N3397" t="str">
        <f t="shared" si="170"/>
        <v>BR50:CJ61</v>
      </c>
      <c r="O3397" s="4">
        <f t="shared" ca="1" si="171"/>
        <v>51552.600000000006</v>
      </c>
    </row>
    <row r="3398" spans="1:15">
      <c r="A3398" s="2" t="s">
        <v>12</v>
      </c>
      <c r="B3398" t="s">
        <v>27</v>
      </c>
      <c r="C3398" t="s">
        <v>28</v>
      </c>
      <c r="D3398">
        <v>40</v>
      </c>
      <c r="E3398" t="s">
        <v>46</v>
      </c>
      <c r="F3398">
        <v>4</v>
      </c>
      <c r="G3398">
        <v>1</v>
      </c>
      <c r="H3398">
        <v>3</v>
      </c>
      <c r="I3398">
        <v>1</v>
      </c>
      <c r="J3398" s="4" t="s">
        <v>53</v>
      </c>
      <c r="K3398" t="str">
        <f t="shared" si="172"/>
        <v>1+3</v>
      </c>
      <c r="L3398">
        <f>VLOOKUP(A3398,'ZONE 1 PREMIUM'!$A$4:$N$16,14,0)</f>
        <v>3</v>
      </c>
      <c r="M3398">
        <f>VLOOKUP(D3398,DROPDOWN!B:C,2,0)</f>
        <v>11</v>
      </c>
      <c r="N3398" t="str">
        <f t="shared" si="170"/>
        <v>BR50:CJ61</v>
      </c>
      <c r="O3398" s="4">
        <f t="shared" ca="1" si="171"/>
        <v>54311.4</v>
      </c>
    </row>
    <row r="3399" spans="1:15">
      <c r="A3399" s="2" t="s">
        <v>13</v>
      </c>
      <c r="B3399" t="s">
        <v>29</v>
      </c>
      <c r="C3399" t="s">
        <v>30</v>
      </c>
      <c r="D3399">
        <v>40</v>
      </c>
      <c r="E3399" t="s">
        <v>46</v>
      </c>
      <c r="F3399">
        <v>4</v>
      </c>
      <c r="G3399">
        <v>1</v>
      </c>
      <c r="H3399">
        <v>3</v>
      </c>
      <c r="I3399">
        <v>1</v>
      </c>
      <c r="J3399" s="4" t="s">
        <v>53</v>
      </c>
      <c r="K3399" t="str">
        <f t="shared" si="172"/>
        <v>1+3</v>
      </c>
      <c r="L3399">
        <f>VLOOKUP(A3399,'ZONE 1 PREMIUM'!$A$4:$N$16,14,0)</f>
        <v>4</v>
      </c>
      <c r="M3399">
        <f>VLOOKUP(D3399,DROPDOWN!B:C,2,0)</f>
        <v>11</v>
      </c>
      <c r="N3399" t="str">
        <f t="shared" si="170"/>
        <v>BR50:CJ61</v>
      </c>
      <c r="O3399" s="4">
        <f t="shared" ca="1" si="171"/>
        <v>63244.500000000007</v>
      </c>
    </row>
    <row r="3400" spans="1:15">
      <c r="A3400" s="2" t="s">
        <v>14</v>
      </c>
      <c r="B3400" t="s">
        <v>31</v>
      </c>
      <c r="C3400" t="s">
        <v>32</v>
      </c>
      <c r="D3400">
        <v>40</v>
      </c>
      <c r="E3400" t="s">
        <v>46</v>
      </c>
      <c r="F3400">
        <v>4</v>
      </c>
      <c r="G3400">
        <v>1</v>
      </c>
      <c r="H3400">
        <v>3</v>
      </c>
      <c r="I3400">
        <v>1</v>
      </c>
      <c r="J3400" s="4" t="s">
        <v>53</v>
      </c>
      <c r="K3400" t="str">
        <f t="shared" si="172"/>
        <v>1+3</v>
      </c>
      <c r="L3400">
        <f>VLOOKUP(A3400,'ZONE 1 PREMIUM'!$A$4:$N$16,14,0)</f>
        <v>5</v>
      </c>
      <c r="M3400">
        <f>VLOOKUP(D3400,DROPDOWN!B:C,2,0)</f>
        <v>11</v>
      </c>
      <c r="N3400" t="str">
        <f t="shared" si="170"/>
        <v>BR50:CJ61</v>
      </c>
      <c r="O3400" s="4">
        <f t="shared" ca="1" si="171"/>
        <v>70461.600000000006</v>
      </c>
    </row>
    <row r="3401" spans="1:15">
      <c r="A3401" s="2" t="s">
        <v>15</v>
      </c>
      <c r="B3401" t="s">
        <v>33</v>
      </c>
      <c r="C3401" t="s">
        <v>34</v>
      </c>
      <c r="D3401">
        <v>40</v>
      </c>
      <c r="E3401" t="s">
        <v>46</v>
      </c>
      <c r="F3401">
        <v>4</v>
      </c>
      <c r="G3401">
        <v>1</v>
      </c>
      <c r="H3401">
        <v>3</v>
      </c>
      <c r="I3401">
        <v>1</v>
      </c>
      <c r="J3401" s="4" t="s">
        <v>53</v>
      </c>
      <c r="K3401" t="str">
        <f t="shared" si="172"/>
        <v>1+3</v>
      </c>
      <c r="L3401">
        <f>VLOOKUP(A3401,'ZONE 1 PREMIUM'!$A$4:$N$16,14,0)</f>
        <v>6</v>
      </c>
      <c r="M3401">
        <f>VLOOKUP(D3401,DROPDOWN!B:C,2,0)</f>
        <v>11</v>
      </c>
      <c r="N3401" t="str">
        <f t="shared" si="170"/>
        <v>BR50:CJ61</v>
      </c>
      <c r="O3401" s="4">
        <f t="shared" ca="1" si="171"/>
        <v>86956.1</v>
      </c>
    </row>
    <row r="3402" spans="1:15">
      <c r="A3402" s="2" t="s">
        <v>16</v>
      </c>
      <c r="B3402" t="s">
        <v>35</v>
      </c>
      <c r="C3402" t="s">
        <v>36</v>
      </c>
      <c r="D3402">
        <v>40</v>
      </c>
      <c r="E3402" t="s">
        <v>46</v>
      </c>
      <c r="F3402">
        <v>4</v>
      </c>
      <c r="G3402">
        <v>1</v>
      </c>
      <c r="H3402">
        <v>3</v>
      </c>
      <c r="I3402">
        <v>1</v>
      </c>
      <c r="J3402" s="4" t="s">
        <v>53</v>
      </c>
      <c r="K3402" t="str">
        <f t="shared" si="172"/>
        <v>1+3</v>
      </c>
      <c r="L3402">
        <f>VLOOKUP(A3402,'ZONE 1 PREMIUM'!$A$4:$N$16,14,0)</f>
        <v>7</v>
      </c>
      <c r="M3402">
        <f>VLOOKUP(D3402,DROPDOWN!B:C,2,0)</f>
        <v>11</v>
      </c>
      <c r="N3402" t="str">
        <f t="shared" si="170"/>
        <v>BR50:CJ61</v>
      </c>
      <c r="O3402" s="4">
        <f t="shared" ca="1" si="171"/>
        <v>110253.00000000001</v>
      </c>
    </row>
    <row r="3403" spans="1:15">
      <c r="A3403" s="2" t="s">
        <v>17</v>
      </c>
      <c r="B3403" t="s">
        <v>37</v>
      </c>
      <c r="C3403" t="s">
        <v>38</v>
      </c>
      <c r="D3403">
        <v>40</v>
      </c>
      <c r="E3403" t="s">
        <v>46</v>
      </c>
      <c r="F3403">
        <v>4</v>
      </c>
      <c r="G3403">
        <v>1</v>
      </c>
      <c r="H3403">
        <v>3</v>
      </c>
      <c r="I3403">
        <v>1</v>
      </c>
      <c r="J3403" s="4" t="s">
        <v>53</v>
      </c>
      <c r="K3403" t="str">
        <f t="shared" si="172"/>
        <v>1+3</v>
      </c>
      <c r="L3403">
        <f>VLOOKUP(A3403,'ZONE 1 PREMIUM'!$A$4:$N$16,14,0)</f>
        <v>8</v>
      </c>
      <c r="M3403">
        <f>VLOOKUP(D3403,DROPDOWN!B:C,2,0)</f>
        <v>11</v>
      </c>
      <c r="N3403" t="str">
        <f t="shared" si="170"/>
        <v>BR50:CJ61</v>
      </c>
      <c r="O3403" s="4">
        <f t="shared" ca="1" si="171"/>
        <v>135696</v>
      </c>
    </row>
    <row r="3404" spans="1:15">
      <c r="A3404" s="2" t="s">
        <v>18</v>
      </c>
      <c r="B3404" t="s">
        <v>39</v>
      </c>
      <c r="C3404" t="s">
        <v>40</v>
      </c>
      <c r="D3404">
        <v>40</v>
      </c>
      <c r="E3404" t="s">
        <v>46</v>
      </c>
      <c r="F3404">
        <v>4</v>
      </c>
      <c r="G3404">
        <v>1</v>
      </c>
      <c r="H3404">
        <v>3</v>
      </c>
      <c r="I3404">
        <v>1</v>
      </c>
      <c r="J3404" s="4" t="s">
        <v>53</v>
      </c>
      <c r="K3404" t="str">
        <f t="shared" si="172"/>
        <v>1+3</v>
      </c>
      <c r="L3404">
        <f>VLOOKUP(A3404,'ZONE 1 PREMIUM'!$A$4:$N$16,14,0)</f>
        <v>9</v>
      </c>
      <c r="M3404">
        <f>VLOOKUP(D3404,DROPDOWN!B:C,2,0)</f>
        <v>11</v>
      </c>
      <c r="N3404" t="str">
        <f t="shared" si="170"/>
        <v>BR50:CJ61</v>
      </c>
      <c r="O3404" s="4">
        <f t="shared" ca="1" si="171"/>
        <v>173846.2</v>
      </c>
    </row>
    <row r="3405" spans="1:15">
      <c r="A3405" s="2" t="s">
        <v>19</v>
      </c>
      <c r="B3405" t="s">
        <v>41</v>
      </c>
      <c r="C3405" t="s">
        <v>42</v>
      </c>
      <c r="D3405">
        <v>40</v>
      </c>
      <c r="E3405" t="s">
        <v>46</v>
      </c>
      <c r="F3405">
        <v>4</v>
      </c>
      <c r="G3405">
        <v>1</v>
      </c>
      <c r="H3405">
        <v>3</v>
      </c>
      <c r="I3405">
        <v>1</v>
      </c>
      <c r="J3405" s="4" t="s">
        <v>53</v>
      </c>
      <c r="K3405" t="str">
        <f t="shared" si="172"/>
        <v>1+3</v>
      </c>
      <c r="L3405">
        <f>VLOOKUP(A3405,'ZONE 1 PREMIUM'!$A$4:$N$16,14,0)</f>
        <v>10</v>
      </c>
      <c r="M3405">
        <f>VLOOKUP(D3405,DROPDOWN!B:C,2,0)</f>
        <v>11</v>
      </c>
      <c r="N3405" t="str">
        <f t="shared" si="170"/>
        <v>BR50:CJ61</v>
      </c>
      <c r="O3405" s="4">
        <f t="shared" ca="1" si="171"/>
        <v>216187.40000000002</v>
      </c>
    </row>
    <row r="3406" spans="1:15">
      <c r="A3406" s="2" t="s">
        <v>20</v>
      </c>
      <c r="B3406" t="s">
        <v>43</v>
      </c>
      <c r="C3406" t="s">
        <v>44</v>
      </c>
      <c r="D3406">
        <v>40</v>
      </c>
      <c r="E3406" t="s">
        <v>46</v>
      </c>
      <c r="F3406">
        <v>4</v>
      </c>
      <c r="G3406">
        <v>1</v>
      </c>
      <c r="H3406">
        <v>3</v>
      </c>
      <c r="I3406">
        <v>1</v>
      </c>
      <c r="J3406" s="4" t="s">
        <v>53</v>
      </c>
      <c r="K3406" t="str">
        <f t="shared" si="172"/>
        <v>1+3</v>
      </c>
      <c r="L3406">
        <f>VLOOKUP(A3406,'ZONE 1 PREMIUM'!$A$4:$N$16,14,0)</f>
        <v>11</v>
      </c>
      <c r="M3406">
        <f>VLOOKUP(D3406,DROPDOWN!B:C,2,0)</f>
        <v>11</v>
      </c>
      <c r="N3406" t="str">
        <f t="shared" si="170"/>
        <v>BR50:CJ61</v>
      </c>
      <c r="O3406" s="4">
        <f t="shared" ca="1" si="171"/>
        <v>253300.30000000002</v>
      </c>
    </row>
    <row r="3407" spans="1:15">
      <c r="A3407" s="2" t="s">
        <v>21</v>
      </c>
      <c r="B3407" t="s">
        <v>22</v>
      </c>
      <c r="D3407">
        <v>40</v>
      </c>
      <c r="E3407" t="s">
        <v>46</v>
      </c>
      <c r="F3407">
        <v>4</v>
      </c>
      <c r="G3407">
        <v>1</v>
      </c>
      <c r="H3407">
        <v>3</v>
      </c>
      <c r="I3407">
        <v>1</v>
      </c>
      <c r="J3407" s="4" t="s">
        <v>53</v>
      </c>
      <c r="K3407" t="str">
        <f t="shared" si="172"/>
        <v>1+3</v>
      </c>
      <c r="L3407">
        <f>VLOOKUP(A3407,'ZONE 1 PREMIUM'!$A$4:$N$16,14,0)</f>
        <v>12</v>
      </c>
      <c r="M3407">
        <f>VLOOKUP(D3407,DROPDOWN!B:C,2,0)</f>
        <v>11</v>
      </c>
      <c r="N3407" t="str">
        <f t="shared" si="170"/>
        <v>BR50:CJ61</v>
      </c>
      <c r="O3407" s="4">
        <f t="shared" ca="1" si="171"/>
        <v>329078.2</v>
      </c>
    </row>
    <row r="3408" spans="1:15">
      <c r="A3408" s="2" t="s">
        <v>11</v>
      </c>
      <c r="B3408" t="s">
        <v>45</v>
      </c>
      <c r="C3408" t="s">
        <v>25</v>
      </c>
      <c r="D3408">
        <v>40</v>
      </c>
      <c r="E3408" t="s">
        <v>46</v>
      </c>
      <c r="F3408">
        <v>5</v>
      </c>
      <c r="G3408">
        <v>1</v>
      </c>
      <c r="H3408">
        <v>4</v>
      </c>
      <c r="I3408">
        <v>1</v>
      </c>
      <c r="J3408" s="4" t="s">
        <v>53</v>
      </c>
      <c r="K3408" t="str">
        <f t="shared" si="172"/>
        <v>1+4</v>
      </c>
      <c r="L3408">
        <f>VLOOKUP(A3408,'ZONE 1 PREMIUM'!$A$4:$N$16,14,0)</f>
        <v>2</v>
      </c>
      <c r="M3408">
        <f>VLOOKUP(D3408,DROPDOWN!B:C,2,0)</f>
        <v>11</v>
      </c>
      <c r="N3408" t="str">
        <f t="shared" si="170"/>
        <v>BR65:CJ76</v>
      </c>
      <c r="O3408" s="4">
        <f t="shared" ca="1" si="171"/>
        <v>61107.200000000004</v>
      </c>
    </row>
    <row r="3409" spans="1:15">
      <c r="A3409" s="2" t="s">
        <v>12</v>
      </c>
      <c r="B3409" t="s">
        <v>27</v>
      </c>
      <c r="C3409" t="s">
        <v>28</v>
      </c>
      <c r="D3409">
        <v>40</v>
      </c>
      <c r="E3409" t="s">
        <v>46</v>
      </c>
      <c r="F3409">
        <v>5</v>
      </c>
      <c r="G3409">
        <v>1</v>
      </c>
      <c r="H3409">
        <v>4</v>
      </c>
      <c r="I3409">
        <v>1</v>
      </c>
      <c r="J3409" s="4" t="s">
        <v>53</v>
      </c>
      <c r="K3409" t="str">
        <f t="shared" si="172"/>
        <v>1+4</v>
      </c>
      <c r="L3409">
        <f>VLOOKUP(A3409,'ZONE 1 PREMIUM'!$A$4:$N$16,14,0)</f>
        <v>3</v>
      </c>
      <c r="M3409">
        <f>VLOOKUP(D3409,DROPDOWN!B:C,2,0)</f>
        <v>11</v>
      </c>
      <c r="N3409" t="str">
        <f t="shared" si="170"/>
        <v>BR65:CJ76</v>
      </c>
      <c r="O3409" s="4">
        <f t="shared" ca="1" si="171"/>
        <v>63696.600000000006</v>
      </c>
    </row>
    <row r="3410" spans="1:15">
      <c r="A3410" s="2" t="s">
        <v>13</v>
      </c>
      <c r="B3410" t="s">
        <v>29</v>
      </c>
      <c r="C3410" t="s">
        <v>30</v>
      </c>
      <c r="D3410">
        <v>40</v>
      </c>
      <c r="E3410" t="s">
        <v>46</v>
      </c>
      <c r="F3410">
        <v>5</v>
      </c>
      <c r="G3410">
        <v>1</v>
      </c>
      <c r="H3410">
        <v>4</v>
      </c>
      <c r="I3410">
        <v>1</v>
      </c>
      <c r="J3410" s="4" t="s">
        <v>53</v>
      </c>
      <c r="K3410" t="str">
        <f t="shared" si="172"/>
        <v>1+4</v>
      </c>
      <c r="L3410">
        <f>VLOOKUP(A3410,'ZONE 1 PREMIUM'!$A$4:$N$16,14,0)</f>
        <v>4</v>
      </c>
      <c r="M3410">
        <f>VLOOKUP(D3410,DROPDOWN!B:C,2,0)</f>
        <v>11</v>
      </c>
      <c r="N3410" t="str">
        <f t="shared" si="170"/>
        <v>BR65:CJ76</v>
      </c>
      <c r="O3410" s="4">
        <f t="shared" ca="1" si="171"/>
        <v>74217</v>
      </c>
    </row>
    <row r="3411" spans="1:15">
      <c r="A3411" s="2" t="s">
        <v>14</v>
      </c>
      <c r="B3411" t="s">
        <v>31</v>
      </c>
      <c r="C3411" t="s">
        <v>32</v>
      </c>
      <c r="D3411">
        <v>40</v>
      </c>
      <c r="E3411" t="s">
        <v>46</v>
      </c>
      <c r="F3411">
        <v>5</v>
      </c>
      <c r="G3411">
        <v>1</v>
      </c>
      <c r="H3411">
        <v>4</v>
      </c>
      <c r="I3411">
        <v>1</v>
      </c>
      <c r="J3411" s="4" t="s">
        <v>53</v>
      </c>
      <c r="K3411" t="str">
        <f t="shared" si="172"/>
        <v>1+4</v>
      </c>
      <c r="L3411">
        <f>VLOOKUP(A3411,'ZONE 1 PREMIUM'!$A$4:$N$16,14,0)</f>
        <v>5</v>
      </c>
      <c r="M3411">
        <f>VLOOKUP(D3411,DROPDOWN!B:C,2,0)</f>
        <v>11</v>
      </c>
      <c r="N3411" t="str">
        <f t="shared" si="170"/>
        <v>BR65:CJ76</v>
      </c>
      <c r="O3411" s="4">
        <f t="shared" ca="1" si="171"/>
        <v>82206.3</v>
      </c>
    </row>
    <row r="3412" spans="1:15">
      <c r="A3412" s="2" t="s">
        <v>15</v>
      </c>
      <c r="B3412" t="s">
        <v>33</v>
      </c>
      <c r="C3412" t="s">
        <v>34</v>
      </c>
      <c r="D3412">
        <v>40</v>
      </c>
      <c r="E3412" t="s">
        <v>46</v>
      </c>
      <c r="F3412">
        <v>5</v>
      </c>
      <c r="G3412">
        <v>1</v>
      </c>
      <c r="H3412">
        <v>4</v>
      </c>
      <c r="I3412">
        <v>1</v>
      </c>
      <c r="J3412" s="4" t="s">
        <v>53</v>
      </c>
      <c r="K3412" t="str">
        <f t="shared" si="172"/>
        <v>1+4</v>
      </c>
      <c r="L3412">
        <f>VLOOKUP(A3412,'ZONE 1 PREMIUM'!$A$4:$N$16,14,0)</f>
        <v>6</v>
      </c>
      <c r="M3412">
        <f>VLOOKUP(D3412,DROPDOWN!B:C,2,0)</f>
        <v>11</v>
      </c>
      <c r="N3412" t="str">
        <f t="shared" si="170"/>
        <v>BR65:CJ76</v>
      </c>
      <c r="O3412" s="4">
        <f t="shared" ca="1" si="171"/>
        <v>100190.20000000001</v>
      </c>
    </row>
    <row r="3413" spans="1:15">
      <c r="A3413" s="2" t="s">
        <v>16</v>
      </c>
      <c r="B3413" t="s">
        <v>35</v>
      </c>
      <c r="C3413" t="s">
        <v>36</v>
      </c>
      <c r="D3413">
        <v>40</v>
      </c>
      <c r="E3413" t="s">
        <v>46</v>
      </c>
      <c r="F3413">
        <v>5</v>
      </c>
      <c r="G3413">
        <v>1</v>
      </c>
      <c r="H3413">
        <v>4</v>
      </c>
      <c r="I3413">
        <v>1</v>
      </c>
      <c r="J3413" s="4" t="s">
        <v>53</v>
      </c>
      <c r="K3413" t="str">
        <f t="shared" si="172"/>
        <v>1+4</v>
      </c>
      <c r="L3413">
        <f>VLOOKUP(A3413,'ZONE 1 PREMIUM'!$A$4:$N$16,14,0)</f>
        <v>7</v>
      </c>
      <c r="M3413">
        <f>VLOOKUP(D3413,DROPDOWN!B:C,2,0)</f>
        <v>11</v>
      </c>
      <c r="N3413" t="str">
        <f t="shared" si="170"/>
        <v>BR65:CJ76</v>
      </c>
      <c r="O3413" s="4">
        <f t="shared" ca="1" si="171"/>
        <v>122617.00000000001</v>
      </c>
    </row>
    <row r="3414" spans="1:15">
      <c r="A3414" s="2" t="s">
        <v>17</v>
      </c>
      <c r="B3414" t="s">
        <v>37</v>
      </c>
      <c r="C3414" t="s">
        <v>38</v>
      </c>
      <c r="D3414">
        <v>40</v>
      </c>
      <c r="E3414" t="s">
        <v>46</v>
      </c>
      <c r="F3414">
        <v>5</v>
      </c>
      <c r="G3414">
        <v>1</v>
      </c>
      <c r="H3414">
        <v>4</v>
      </c>
      <c r="I3414">
        <v>1</v>
      </c>
      <c r="J3414" s="4" t="s">
        <v>53</v>
      </c>
      <c r="K3414" t="str">
        <f t="shared" si="172"/>
        <v>1+4</v>
      </c>
      <c r="L3414">
        <f>VLOOKUP(A3414,'ZONE 1 PREMIUM'!$A$4:$N$16,14,0)</f>
        <v>8</v>
      </c>
      <c r="M3414">
        <f>VLOOKUP(D3414,DROPDOWN!B:C,2,0)</f>
        <v>11</v>
      </c>
      <c r="N3414" t="str">
        <f t="shared" si="170"/>
        <v>BR65:CJ76</v>
      </c>
      <c r="O3414" s="4">
        <f t="shared" ca="1" si="171"/>
        <v>147737.70000000001</v>
      </c>
    </row>
    <row r="3415" spans="1:15">
      <c r="A3415" s="2" t="s">
        <v>18</v>
      </c>
      <c r="B3415" t="s">
        <v>39</v>
      </c>
      <c r="C3415" t="s">
        <v>40</v>
      </c>
      <c r="D3415">
        <v>40</v>
      </c>
      <c r="E3415" t="s">
        <v>46</v>
      </c>
      <c r="F3415">
        <v>5</v>
      </c>
      <c r="G3415">
        <v>1</v>
      </c>
      <c r="H3415">
        <v>4</v>
      </c>
      <c r="I3415">
        <v>1</v>
      </c>
      <c r="J3415" s="4" t="s">
        <v>53</v>
      </c>
      <c r="K3415" t="str">
        <f t="shared" si="172"/>
        <v>1+4</v>
      </c>
      <c r="L3415">
        <f>VLOOKUP(A3415,'ZONE 1 PREMIUM'!$A$4:$N$16,14,0)</f>
        <v>9</v>
      </c>
      <c r="M3415">
        <f>VLOOKUP(D3415,DROPDOWN!B:C,2,0)</f>
        <v>11</v>
      </c>
      <c r="N3415" t="str">
        <f t="shared" si="170"/>
        <v>BR65:CJ76</v>
      </c>
      <c r="O3415" s="4">
        <f t="shared" ca="1" si="171"/>
        <v>186186.00000000003</v>
      </c>
    </row>
    <row r="3416" spans="1:15">
      <c r="A3416" s="2" t="s">
        <v>19</v>
      </c>
      <c r="B3416" t="s">
        <v>41</v>
      </c>
      <c r="C3416" t="s">
        <v>42</v>
      </c>
      <c r="D3416">
        <v>40</v>
      </c>
      <c r="E3416" t="s">
        <v>46</v>
      </c>
      <c r="F3416">
        <v>5</v>
      </c>
      <c r="G3416">
        <v>1</v>
      </c>
      <c r="H3416">
        <v>4</v>
      </c>
      <c r="I3416">
        <v>1</v>
      </c>
      <c r="J3416" s="4" t="s">
        <v>53</v>
      </c>
      <c r="K3416" t="str">
        <f t="shared" si="172"/>
        <v>1+4</v>
      </c>
      <c r="L3416">
        <f>VLOOKUP(A3416,'ZONE 1 PREMIUM'!$A$4:$N$16,14,0)</f>
        <v>10</v>
      </c>
      <c r="M3416">
        <f>VLOOKUP(D3416,DROPDOWN!B:C,2,0)</f>
        <v>11</v>
      </c>
      <c r="N3416" t="str">
        <f t="shared" si="170"/>
        <v>BR65:CJ76</v>
      </c>
      <c r="O3416" s="4">
        <f t="shared" ca="1" si="171"/>
        <v>228281.90000000002</v>
      </c>
    </row>
    <row r="3417" spans="1:15">
      <c r="A3417" s="2" t="s">
        <v>20</v>
      </c>
      <c r="B3417" t="s">
        <v>43</v>
      </c>
      <c r="C3417" t="s">
        <v>44</v>
      </c>
      <c r="D3417">
        <v>40</v>
      </c>
      <c r="E3417" t="s">
        <v>46</v>
      </c>
      <c r="F3417">
        <v>5</v>
      </c>
      <c r="G3417">
        <v>1</v>
      </c>
      <c r="H3417">
        <v>4</v>
      </c>
      <c r="I3417">
        <v>1</v>
      </c>
      <c r="J3417" s="4" t="s">
        <v>53</v>
      </c>
      <c r="K3417" t="str">
        <f t="shared" si="172"/>
        <v>1+4</v>
      </c>
      <c r="L3417">
        <f>VLOOKUP(A3417,'ZONE 1 PREMIUM'!$A$4:$N$16,14,0)</f>
        <v>11</v>
      </c>
      <c r="M3417">
        <f>VLOOKUP(D3417,DROPDOWN!B:C,2,0)</f>
        <v>11</v>
      </c>
      <c r="N3417" t="str">
        <f t="shared" si="170"/>
        <v>BR65:CJ76</v>
      </c>
      <c r="O3417" s="4">
        <f t="shared" ca="1" si="171"/>
        <v>265434.40000000002</v>
      </c>
    </row>
    <row r="3418" spans="1:15">
      <c r="A3418" s="2" t="s">
        <v>21</v>
      </c>
      <c r="B3418" t="s">
        <v>22</v>
      </c>
      <c r="D3418">
        <v>40</v>
      </c>
      <c r="E3418" t="s">
        <v>46</v>
      </c>
      <c r="F3418">
        <v>5</v>
      </c>
      <c r="G3418">
        <v>1</v>
      </c>
      <c r="H3418">
        <v>4</v>
      </c>
      <c r="I3418">
        <v>1</v>
      </c>
      <c r="J3418" s="4" t="s">
        <v>53</v>
      </c>
      <c r="K3418" t="str">
        <f t="shared" si="172"/>
        <v>1+4</v>
      </c>
      <c r="L3418">
        <f>VLOOKUP(A3418,'ZONE 1 PREMIUM'!$A$4:$N$16,14,0)</f>
        <v>12</v>
      </c>
      <c r="M3418">
        <f>VLOOKUP(D3418,DROPDOWN!B:C,2,0)</f>
        <v>11</v>
      </c>
      <c r="N3418" t="str">
        <f t="shared" si="170"/>
        <v>BR65:CJ76</v>
      </c>
      <c r="O3418" s="4">
        <f t="shared" ca="1" si="171"/>
        <v>341587.4</v>
      </c>
    </row>
    <row r="3419" spans="1:15">
      <c r="A3419" s="2" t="s">
        <v>11</v>
      </c>
      <c r="B3419" t="s">
        <v>45</v>
      </c>
      <c r="C3419" t="s">
        <v>25</v>
      </c>
      <c r="D3419">
        <v>40</v>
      </c>
      <c r="E3419" t="s">
        <v>46</v>
      </c>
      <c r="F3419">
        <v>2</v>
      </c>
      <c r="G3419">
        <v>2</v>
      </c>
      <c r="H3419">
        <v>0</v>
      </c>
      <c r="I3419">
        <v>1</v>
      </c>
      <c r="J3419" s="4" t="s">
        <v>53</v>
      </c>
      <c r="K3419" t="str">
        <f t="shared" si="172"/>
        <v>2+0</v>
      </c>
      <c r="L3419">
        <f>VLOOKUP(A3419,'ZONE 1 PREMIUM'!$A$4:$N$16,14,0)</f>
        <v>2</v>
      </c>
      <c r="M3419">
        <f>VLOOKUP(D3419,DROPDOWN!B:C,2,0)</f>
        <v>11</v>
      </c>
      <c r="N3419" t="str">
        <f t="shared" si="170"/>
        <v>BR81:CJ92</v>
      </c>
      <c r="O3419" s="4">
        <f t="shared" ca="1" si="171"/>
        <v>45478.400000000001</v>
      </c>
    </row>
    <row r="3420" spans="1:15">
      <c r="A3420" s="2" t="s">
        <v>12</v>
      </c>
      <c r="B3420" t="s">
        <v>27</v>
      </c>
      <c r="C3420" t="s">
        <v>28</v>
      </c>
      <c r="D3420">
        <v>40</v>
      </c>
      <c r="E3420" t="s">
        <v>46</v>
      </c>
      <c r="F3420">
        <v>2</v>
      </c>
      <c r="G3420">
        <v>2</v>
      </c>
      <c r="H3420">
        <v>0</v>
      </c>
      <c r="I3420">
        <v>1</v>
      </c>
      <c r="J3420" s="4" t="s">
        <v>53</v>
      </c>
      <c r="K3420" t="str">
        <f t="shared" si="172"/>
        <v>2+0</v>
      </c>
      <c r="L3420">
        <f>VLOOKUP(A3420,'ZONE 1 PREMIUM'!$A$4:$N$16,14,0)</f>
        <v>3</v>
      </c>
      <c r="M3420">
        <f>VLOOKUP(D3420,DROPDOWN!B:C,2,0)</f>
        <v>11</v>
      </c>
      <c r="N3420" t="str">
        <f t="shared" si="170"/>
        <v>BR81:CJ92</v>
      </c>
      <c r="O3420" s="4">
        <f t="shared" ca="1" si="171"/>
        <v>51515.200000000004</v>
      </c>
    </row>
    <row r="3421" spans="1:15">
      <c r="A3421" s="2" t="s">
        <v>13</v>
      </c>
      <c r="B3421" t="s">
        <v>29</v>
      </c>
      <c r="C3421" t="s">
        <v>30</v>
      </c>
      <c r="D3421">
        <v>40</v>
      </c>
      <c r="E3421" t="s">
        <v>46</v>
      </c>
      <c r="F3421">
        <v>2</v>
      </c>
      <c r="G3421">
        <v>2</v>
      </c>
      <c r="H3421">
        <v>0</v>
      </c>
      <c r="I3421">
        <v>1</v>
      </c>
      <c r="J3421" s="4" t="s">
        <v>53</v>
      </c>
      <c r="K3421" t="str">
        <f t="shared" si="172"/>
        <v>2+0</v>
      </c>
      <c r="L3421">
        <f>VLOOKUP(A3421,'ZONE 1 PREMIUM'!$A$4:$N$16,14,0)</f>
        <v>4</v>
      </c>
      <c r="M3421">
        <f>VLOOKUP(D3421,DROPDOWN!B:C,2,0)</f>
        <v>11</v>
      </c>
      <c r="N3421" t="str">
        <f t="shared" si="170"/>
        <v>BR81:CJ92</v>
      </c>
      <c r="O3421" s="4">
        <f t="shared" ca="1" si="171"/>
        <v>57339.700000000004</v>
      </c>
    </row>
    <row r="3422" spans="1:15">
      <c r="A3422" s="2" t="s">
        <v>14</v>
      </c>
      <c r="B3422" t="s">
        <v>31</v>
      </c>
      <c r="C3422" t="s">
        <v>32</v>
      </c>
      <c r="D3422">
        <v>40</v>
      </c>
      <c r="E3422" t="s">
        <v>46</v>
      </c>
      <c r="F3422">
        <v>2</v>
      </c>
      <c r="G3422">
        <v>2</v>
      </c>
      <c r="H3422">
        <v>0</v>
      </c>
      <c r="I3422">
        <v>1</v>
      </c>
      <c r="J3422" s="4" t="s">
        <v>53</v>
      </c>
      <c r="K3422" t="str">
        <f t="shared" si="172"/>
        <v>2+0</v>
      </c>
      <c r="L3422">
        <f>VLOOKUP(A3422,'ZONE 1 PREMIUM'!$A$4:$N$16,14,0)</f>
        <v>5</v>
      </c>
      <c r="M3422">
        <f>VLOOKUP(D3422,DROPDOWN!B:C,2,0)</f>
        <v>11</v>
      </c>
      <c r="N3422" t="str">
        <f t="shared" si="170"/>
        <v>BR81:CJ92</v>
      </c>
      <c r="O3422" s="4">
        <f t="shared" ca="1" si="171"/>
        <v>66515.900000000009</v>
      </c>
    </row>
    <row r="3423" spans="1:15">
      <c r="A3423" s="2" t="s">
        <v>15</v>
      </c>
      <c r="B3423" t="s">
        <v>33</v>
      </c>
      <c r="C3423" t="s">
        <v>34</v>
      </c>
      <c r="D3423">
        <v>40</v>
      </c>
      <c r="E3423" t="s">
        <v>46</v>
      </c>
      <c r="F3423">
        <v>2</v>
      </c>
      <c r="G3423">
        <v>2</v>
      </c>
      <c r="H3423">
        <v>0</v>
      </c>
      <c r="I3423">
        <v>1</v>
      </c>
      <c r="J3423" s="4" t="s">
        <v>53</v>
      </c>
      <c r="K3423" t="str">
        <f t="shared" si="172"/>
        <v>2+0</v>
      </c>
      <c r="L3423">
        <f>VLOOKUP(A3423,'ZONE 1 PREMIUM'!$A$4:$N$16,14,0)</f>
        <v>6</v>
      </c>
      <c r="M3423">
        <f>VLOOKUP(D3423,DROPDOWN!B:C,2,0)</f>
        <v>11</v>
      </c>
      <c r="N3423" t="str">
        <f t="shared" si="170"/>
        <v>BR81:CJ92</v>
      </c>
      <c r="O3423" s="4">
        <f t="shared" ca="1" si="171"/>
        <v>85471.1</v>
      </c>
    </row>
    <row r="3424" spans="1:15">
      <c r="A3424" s="2" t="s">
        <v>16</v>
      </c>
      <c r="B3424" t="s">
        <v>35</v>
      </c>
      <c r="C3424" t="s">
        <v>36</v>
      </c>
      <c r="D3424">
        <v>40</v>
      </c>
      <c r="E3424" t="s">
        <v>46</v>
      </c>
      <c r="F3424">
        <v>2</v>
      </c>
      <c r="G3424">
        <v>2</v>
      </c>
      <c r="H3424">
        <v>0</v>
      </c>
      <c r="I3424">
        <v>1</v>
      </c>
      <c r="J3424" s="4" t="s">
        <v>53</v>
      </c>
      <c r="K3424" t="str">
        <f t="shared" si="172"/>
        <v>2+0</v>
      </c>
      <c r="L3424">
        <f>VLOOKUP(A3424,'ZONE 1 PREMIUM'!$A$4:$N$16,14,0)</f>
        <v>7</v>
      </c>
      <c r="M3424">
        <f>VLOOKUP(D3424,DROPDOWN!B:C,2,0)</f>
        <v>11</v>
      </c>
      <c r="N3424" t="str">
        <f t="shared" si="170"/>
        <v>BR81:CJ92</v>
      </c>
      <c r="O3424" s="4">
        <f t="shared" ca="1" si="171"/>
        <v>113598.1</v>
      </c>
    </row>
    <row r="3425" spans="1:15">
      <c r="A3425" s="2" t="s">
        <v>17</v>
      </c>
      <c r="B3425" t="s">
        <v>37</v>
      </c>
      <c r="C3425" t="s">
        <v>38</v>
      </c>
      <c r="D3425">
        <v>40</v>
      </c>
      <c r="E3425" t="s">
        <v>46</v>
      </c>
      <c r="F3425">
        <v>2</v>
      </c>
      <c r="G3425">
        <v>2</v>
      </c>
      <c r="H3425">
        <v>0</v>
      </c>
      <c r="I3425">
        <v>1</v>
      </c>
      <c r="J3425" s="4" t="s">
        <v>53</v>
      </c>
      <c r="K3425" t="str">
        <f t="shared" si="172"/>
        <v>2+0</v>
      </c>
      <c r="L3425">
        <f>VLOOKUP(A3425,'ZONE 1 PREMIUM'!$A$4:$N$16,14,0)</f>
        <v>8</v>
      </c>
      <c r="M3425">
        <f>VLOOKUP(D3425,DROPDOWN!B:C,2,0)</f>
        <v>11</v>
      </c>
      <c r="N3425" t="str">
        <f t="shared" si="170"/>
        <v>BR81:CJ92</v>
      </c>
      <c r="O3425" s="4">
        <f t="shared" ca="1" si="171"/>
        <v>155963.5</v>
      </c>
    </row>
    <row r="3426" spans="1:15">
      <c r="A3426" s="2" t="s">
        <v>18</v>
      </c>
      <c r="B3426" t="s">
        <v>39</v>
      </c>
      <c r="C3426" t="s">
        <v>40</v>
      </c>
      <c r="D3426">
        <v>40</v>
      </c>
      <c r="E3426" t="s">
        <v>46</v>
      </c>
      <c r="F3426">
        <v>2</v>
      </c>
      <c r="G3426">
        <v>2</v>
      </c>
      <c r="H3426">
        <v>0</v>
      </c>
      <c r="I3426">
        <v>1</v>
      </c>
      <c r="J3426" s="4" t="s">
        <v>53</v>
      </c>
      <c r="K3426" t="str">
        <f t="shared" si="172"/>
        <v>2+0</v>
      </c>
      <c r="L3426">
        <f>VLOOKUP(A3426,'ZONE 1 PREMIUM'!$A$4:$N$16,14,0)</f>
        <v>9</v>
      </c>
      <c r="M3426">
        <f>VLOOKUP(D3426,DROPDOWN!B:C,2,0)</f>
        <v>11</v>
      </c>
      <c r="N3426" t="str">
        <f t="shared" ref="N3426:N3473" si="173">VLOOKUP(K3426,$CK$3:$CL$12,2,0)</f>
        <v>BR81:CJ92</v>
      </c>
      <c r="O3426" s="4">
        <f t="shared" ca="1" si="171"/>
        <v>220058.30000000002</v>
      </c>
    </row>
    <row r="3427" spans="1:15">
      <c r="A3427" s="2" t="s">
        <v>19</v>
      </c>
      <c r="B3427" t="s">
        <v>41</v>
      </c>
      <c r="C3427" t="s">
        <v>42</v>
      </c>
      <c r="D3427">
        <v>40</v>
      </c>
      <c r="E3427" t="s">
        <v>46</v>
      </c>
      <c r="F3427">
        <v>2</v>
      </c>
      <c r="G3427">
        <v>2</v>
      </c>
      <c r="H3427">
        <v>0</v>
      </c>
      <c r="I3427">
        <v>1</v>
      </c>
      <c r="J3427" s="4" t="s">
        <v>53</v>
      </c>
      <c r="K3427" t="str">
        <f t="shared" si="172"/>
        <v>2+0</v>
      </c>
      <c r="L3427">
        <f>VLOOKUP(A3427,'ZONE 1 PREMIUM'!$A$4:$N$16,14,0)</f>
        <v>10</v>
      </c>
      <c r="M3427">
        <f>VLOOKUP(D3427,DROPDOWN!B:C,2,0)</f>
        <v>11</v>
      </c>
      <c r="N3427" t="str">
        <f t="shared" si="173"/>
        <v>BR81:CJ92</v>
      </c>
      <c r="O3427" s="4">
        <f t="shared" ca="1" si="171"/>
        <v>310096.60000000003</v>
      </c>
    </row>
    <row r="3428" spans="1:15">
      <c r="A3428" s="2" t="s">
        <v>20</v>
      </c>
      <c r="B3428" t="s">
        <v>43</v>
      </c>
      <c r="C3428" t="s">
        <v>44</v>
      </c>
      <c r="D3428">
        <v>40</v>
      </c>
      <c r="E3428" t="s">
        <v>46</v>
      </c>
      <c r="F3428">
        <v>2</v>
      </c>
      <c r="G3428">
        <v>2</v>
      </c>
      <c r="H3428">
        <v>0</v>
      </c>
      <c r="I3428">
        <v>1</v>
      </c>
      <c r="J3428" s="4" t="s">
        <v>53</v>
      </c>
      <c r="K3428" t="str">
        <f t="shared" si="172"/>
        <v>2+0</v>
      </c>
      <c r="L3428">
        <f>VLOOKUP(A3428,'ZONE 1 PREMIUM'!$A$4:$N$16,14,0)</f>
        <v>11</v>
      </c>
      <c r="M3428">
        <f>VLOOKUP(D3428,DROPDOWN!B:C,2,0)</f>
        <v>11</v>
      </c>
      <c r="N3428" t="str">
        <f t="shared" si="173"/>
        <v>BR81:CJ92</v>
      </c>
      <c r="O3428" s="4">
        <f t="shared" ca="1" si="171"/>
        <v>386893.10000000003</v>
      </c>
    </row>
    <row r="3429" spans="1:15">
      <c r="A3429" s="2" t="s">
        <v>21</v>
      </c>
      <c r="B3429" t="s">
        <v>22</v>
      </c>
      <c r="D3429">
        <v>40</v>
      </c>
      <c r="E3429" t="s">
        <v>46</v>
      </c>
      <c r="F3429">
        <v>2</v>
      </c>
      <c r="G3429">
        <v>2</v>
      </c>
      <c r="H3429">
        <v>0</v>
      </c>
      <c r="I3429">
        <v>1</v>
      </c>
      <c r="J3429" s="4" t="s">
        <v>53</v>
      </c>
      <c r="K3429" t="str">
        <f t="shared" si="172"/>
        <v>2+0</v>
      </c>
      <c r="L3429">
        <f>VLOOKUP(A3429,'ZONE 1 PREMIUM'!$A$4:$N$16,14,0)</f>
        <v>12</v>
      </c>
      <c r="M3429">
        <f>VLOOKUP(D3429,DROPDOWN!B:C,2,0)</f>
        <v>11</v>
      </c>
      <c r="N3429" t="str">
        <f t="shared" si="173"/>
        <v>BR81:CJ92</v>
      </c>
      <c r="O3429" s="4">
        <f t="shared" ca="1" si="171"/>
        <v>497673.00000000006</v>
      </c>
    </row>
    <row r="3430" spans="1:15">
      <c r="A3430" s="2" t="s">
        <v>11</v>
      </c>
      <c r="B3430" t="s">
        <v>45</v>
      </c>
      <c r="C3430" t="s">
        <v>25</v>
      </c>
      <c r="D3430">
        <v>40</v>
      </c>
      <c r="E3430" t="s">
        <v>46</v>
      </c>
      <c r="F3430">
        <v>3</v>
      </c>
      <c r="G3430">
        <v>2</v>
      </c>
      <c r="H3430">
        <v>1</v>
      </c>
      <c r="I3430">
        <v>1</v>
      </c>
      <c r="J3430" s="4" t="s">
        <v>53</v>
      </c>
      <c r="K3430" t="str">
        <f t="shared" si="172"/>
        <v>2+1</v>
      </c>
      <c r="L3430">
        <f>VLOOKUP(A3430,'ZONE 1 PREMIUM'!$A$4:$N$16,14,0)</f>
        <v>2</v>
      </c>
      <c r="M3430">
        <f>VLOOKUP(D3430,DROPDOWN!B:C,2,0)</f>
        <v>11</v>
      </c>
      <c r="N3430" t="str">
        <f t="shared" si="173"/>
        <v>BR98:CJ109</v>
      </c>
      <c r="O3430" s="4">
        <f t="shared" ca="1" si="171"/>
        <v>55183.700000000004</v>
      </c>
    </row>
    <row r="3431" spans="1:15">
      <c r="A3431" s="2" t="s">
        <v>12</v>
      </c>
      <c r="B3431" t="s">
        <v>27</v>
      </c>
      <c r="C3431" t="s">
        <v>28</v>
      </c>
      <c r="D3431">
        <v>40</v>
      </c>
      <c r="E3431" t="s">
        <v>46</v>
      </c>
      <c r="F3431">
        <v>3</v>
      </c>
      <c r="G3431">
        <v>2</v>
      </c>
      <c r="H3431">
        <v>1</v>
      </c>
      <c r="I3431">
        <v>1</v>
      </c>
      <c r="J3431" s="4" t="s">
        <v>53</v>
      </c>
      <c r="K3431" t="str">
        <f t="shared" si="172"/>
        <v>2+1</v>
      </c>
      <c r="L3431">
        <f>VLOOKUP(A3431,'ZONE 1 PREMIUM'!$A$4:$N$16,14,0)</f>
        <v>3</v>
      </c>
      <c r="M3431">
        <f>VLOOKUP(D3431,DROPDOWN!B:C,2,0)</f>
        <v>11</v>
      </c>
      <c r="N3431" t="str">
        <f t="shared" si="173"/>
        <v>BR98:CJ109</v>
      </c>
      <c r="O3431" s="4">
        <f t="shared" ca="1" si="171"/>
        <v>61052.200000000004</v>
      </c>
    </row>
    <row r="3432" spans="1:15">
      <c r="A3432" s="2" t="s">
        <v>13</v>
      </c>
      <c r="B3432" t="s">
        <v>29</v>
      </c>
      <c r="C3432" t="s">
        <v>30</v>
      </c>
      <c r="D3432">
        <v>40</v>
      </c>
      <c r="E3432" t="s">
        <v>46</v>
      </c>
      <c r="F3432">
        <v>3</v>
      </c>
      <c r="G3432">
        <v>2</v>
      </c>
      <c r="H3432">
        <v>1</v>
      </c>
      <c r="I3432">
        <v>1</v>
      </c>
      <c r="J3432" s="4" t="s">
        <v>53</v>
      </c>
      <c r="K3432" t="str">
        <f t="shared" si="172"/>
        <v>2+1</v>
      </c>
      <c r="L3432">
        <f>VLOOKUP(A3432,'ZONE 1 PREMIUM'!$A$4:$N$16,14,0)</f>
        <v>4</v>
      </c>
      <c r="M3432">
        <f>VLOOKUP(D3432,DROPDOWN!B:C,2,0)</f>
        <v>11</v>
      </c>
      <c r="N3432" t="str">
        <f t="shared" si="173"/>
        <v>BR98:CJ109</v>
      </c>
      <c r="O3432" s="4">
        <f t="shared" ca="1" si="171"/>
        <v>68533.3</v>
      </c>
    </row>
    <row r="3433" spans="1:15">
      <c r="A3433" s="2" t="s">
        <v>14</v>
      </c>
      <c r="B3433" t="s">
        <v>31</v>
      </c>
      <c r="C3433" t="s">
        <v>32</v>
      </c>
      <c r="D3433">
        <v>40</v>
      </c>
      <c r="E3433" t="s">
        <v>46</v>
      </c>
      <c r="F3433">
        <v>3</v>
      </c>
      <c r="G3433">
        <v>2</v>
      </c>
      <c r="H3433">
        <v>1</v>
      </c>
      <c r="I3433">
        <v>1</v>
      </c>
      <c r="J3433" s="4" t="s">
        <v>53</v>
      </c>
      <c r="K3433" t="str">
        <f t="shared" si="172"/>
        <v>2+1</v>
      </c>
      <c r="L3433">
        <f>VLOOKUP(A3433,'ZONE 1 PREMIUM'!$A$4:$N$16,14,0)</f>
        <v>5</v>
      </c>
      <c r="M3433">
        <f>VLOOKUP(D3433,DROPDOWN!B:C,2,0)</f>
        <v>11</v>
      </c>
      <c r="N3433" t="str">
        <f t="shared" si="173"/>
        <v>BR98:CJ109</v>
      </c>
      <c r="O3433" s="4">
        <f t="shared" ca="1" si="171"/>
        <v>78531.200000000012</v>
      </c>
    </row>
    <row r="3434" spans="1:15">
      <c r="A3434" s="2" t="s">
        <v>15</v>
      </c>
      <c r="B3434" t="s">
        <v>33</v>
      </c>
      <c r="C3434" t="s">
        <v>34</v>
      </c>
      <c r="D3434">
        <v>40</v>
      </c>
      <c r="E3434" t="s">
        <v>46</v>
      </c>
      <c r="F3434">
        <v>3</v>
      </c>
      <c r="G3434">
        <v>2</v>
      </c>
      <c r="H3434">
        <v>1</v>
      </c>
      <c r="I3434">
        <v>1</v>
      </c>
      <c r="J3434" s="4" t="s">
        <v>53</v>
      </c>
      <c r="K3434" t="str">
        <f t="shared" si="172"/>
        <v>2+1</v>
      </c>
      <c r="L3434">
        <f>VLOOKUP(A3434,'ZONE 1 PREMIUM'!$A$4:$N$16,14,0)</f>
        <v>6</v>
      </c>
      <c r="M3434">
        <f>VLOOKUP(D3434,DROPDOWN!B:C,2,0)</f>
        <v>11</v>
      </c>
      <c r="N3434" t="str">
        <f t="shared" si="173"/>
        <v>BR98:CJ109</v>
      </c>
      <c r="O3434" s="4">
        <f t="shared" ca="1" si="171"/>
        <v>99035.200000000012</v>
      </c>
    </row>
    <row r="3435" spans="1:15">
      <c r="A3435" s="2" t="s">
        <v>16</v>
      </c>
      <c r="B3435" t="s">
        <v>35</v>
      </c>
      <c r="C3435" t="s">
        <v>36</v>
      </c>
      <c r="D3435">
        <v>40</v>
      </c>
      <c r="E3435" t="s">
        <v>46</v>
      </c>
      <c r="F3435">
        <v>3</v>
      </c>
      <c r="G3435">
        <v>2</v>
      </c>
      <c r="H3435">
        <v>1</v>
      </c>
      <c r="I3435">
        <v>1</v>
      </c>
      <c r="J3435" s="4" t="s">
        <v>53</v>
      </c>
      <c r="K3435" t="str">
        <f t="shared" si="172"/>
        <v>2+1</v>
      </c>
      <c r="L3435">
        <f>VLOOKUP(A3435,'ZONE 1 PREMIUM'!$A$4:$N$16,14,0)</f>
        <v>7</v>
      </c>
      <c r="M3435">
        <f>VLOOKUP(D3435,DROPDOWN!B:C,2,0)</f>
        <v>11</v>
      </c>
      <c r="N3435" t="str">
        <f t="shared" si="173"/>
        <v>BR98:CJ109</v>
      </c>
      <c r="O3435" s="4">
        <f t="shared" ca="1" si="171"/>
        <v>130489.70000000001</v>
      </c>
    </row>
    <row r="3436" spans="1:15">
      <c r="A3436" s="2" t="s">
        <v>17</v>
      </c>
      <c r="B3436" t="s">
        <v>37</v>
      </c>
      <c r="C3436" t="s">
        <v>38</v>
      </c>
      <c r="D3436">
        <v>40</v>
      </c>
      <c r="E3436" t="s">
        <v>46</v>
      </c>
      <c r="F3436">
        <v>3</v>
      </c>
      <c r="G3436">
        <v>2</v>
      </c>
      <c r="H3436">
        <v>1</v>
      </c>
      <c r="I3436">
        <v>1</v>
      </c>
      <c r="J3436" s="4" t="s">
        <v>53</v>
      </c>
      <c r="K3436" t="str">
        <f t="shared" si="172"/>
        <v>2+1</v>
      </c>
      <c r="L3436">
        <f>VLOOKUP(A3436,'ZONE 1 PREMIUM'!$A$4:$N$16,14,0)</f>
        <v>8</v>
      </c>
      <c r="M3436">
        <f>VLOOKUP(D3436,DROPDOWN!B:C,2,0)</f>
        <v>11</v>
      </c>
      <c r="N3436" t="str">
        <f t="shared" si="173"/>
        <v>BR98:CJ109</v>
      </c>
      <c r="O3436" s="4">
        <f t="shared" ca="1" si="171"/>
        <v>174185</v>
      </c>
    </row>
    <row r="3437" spans="1:15">
      <c r="A3437" s="2" t="s">
        <v>18</v>
      </c>
      <c r="B3437" t="s">
        <v>39</v>
      </c>
      <c r="C3437" t="s">
        <v>40</v>
      </c>
      <c r="D3437">
        <v>40</v>
      </c>
      <c r="E3437" t="s">
        <v>46</v>
      </c>
      <c r="F3437">
        <v>3</v>
      </c>
      <c r="G3437">
        <v>2</v>
      </c>
      <c r="H3437">
        <v>1</v>
      </c>
      <c r="I3437">
        <v>1</v>
      </c>
      <c r="J3437" s="4" t="s">
        <v>53</v>
      </c>
      <c r="K3437" t="str">
        <f t="shared" si="172"/>
        <v>2+1</v>
      </c>
      <c r="L3437">
        <f>VLOOKUP(A3437,'ZONE 1 PREMIUM'!$A$4:$N$16,14,0)</f>
        <v>9</v>
      </c>
      <c r="M3437">
        <f>VLOOKUP(D3437,DROPDOWN!B:C,2,0)</f>
        <v>11</v>
      </c>
      <c r="N3437" t="str">
        <f t="shared" si="173"/>
        <v>BR98:CJ109</v>
      </c>
      <c r="O3437" s="4">
        <f t="shared" ca="1" si="171"/>
        <v>238613.1</v>
      </c>
    </row>
    <row r="3438" spans="1:15">
      <c r="A3438" s="2" t="s">
        <v>19</v>
      </c>
      <c r="B3438" t="s">
        <v>41</v>
      </c>
      <c r="C3438" t="s">
        <v>42</v>
      </c>
      <c r="D3438">
        <v>40</v>
      </c>
      <c r="E3438" t="s">
        <v>46</v>
      </c>
      <c r="F3438">
        <v>3</v>
      </c>
      <c r="G3438">
        <v>2</v>
      </c>
      <c r="H3438">
        <v>1</v>
      </c>
      <c r="I3438">
        <v>1</v>
      </c>
      <c r="J3438" s="4" t="s">
        <v>53</v>
      </c>
      <c r="K3438" t="str">
        <f t="shared" si="172"/>
        <v>2+1</v>
      </c>
      <c r="L3438">
        <f>VLOOKUP(A3438,'ZONE 1 PREMIUM'!$A$4:$N$16,14,0)</f>
        <v>10</v>
      </c>
      <c r="M3438">
        <f>VLOOKUP(D3438,DROPDOWN!B:C,2,0)</f>
        <v>11</v>
      </c>
      <c r="N3438" t="str">
        <f t="shared" si="173"/>
        <v>BR98:CJ109</v>
      </c>
      <c r="O3438" s="4">
        <f t="shared" ca="1" si="171"/>
        <v>321733.5</v>
      </c>
    </row>
    <row r="3439" spans="1:15">
      <c r="A3439" s="2" t="s">
        <v>20</v>
      </c>
      <c r="B3439" t="s">
        <v>43</v>
      </c>
      <c r="C3439" t="s">
        <v>44</v>
      </c>
      <c r="D3439">
        <v>40</v>
      </c>
      <c r="E3439" t="s">
        <v>46</v>
      </c>
      <c r="F3439">
        <v>3</v>
      </c>
      <c r="G3439">
        <v>2</v>
      </c>
      <c r="H3439">
        <v>1</v>
      </c>
      <c r="I3439">
        <v>1</v>
      </c>
      <c r="J3439" s="4" t="s">
        <v>53</v>
      </c>
      <c r="K3439" t="str">
        <f t="shared" si="172"/>
        <v>2+1</v>
      </c>
      <c r="L3439">
        <f>VLOOKUP(A3439,'ZONE 1 PREMIUM'!$A$4:$N$16,14,0)</f>
        <v>11</v>
      </c>
      <c r="M3439">
        <f>VLOOKUP(D3439,DROPDOWN!B:C,2,0)</f>
        <v>11</v>
      </c>
      <c r="N3439" t="str">
        <f t="shared" si="173"/>
        <v>BR98:CJ109</v>
      </c>
      <c r="O3439" s="4">
        <f t="shared" ca="1" si="171"/>
        <v>395916.4</v>
      </c>
    </row>
    <row r="3440" spans="1:15">
      <c r="A3440" s="2" t="s">
        <v>21</v>
      </c>
      <c r="B3440" t="s">
        <v>22</v>
      </c>
      <c r="D3440">
        <v>40</v>
      </c>
      <c r="E3440" t="s">
        <v>46</v>
      </c>
      <c r="F3440">
        <v>3</v>
      </c>
      <c r="G3440">
        <v>2</v>
      </c>
      <c r="H3440">
        <v>1</v>
      </c>
      <c r="I3440">
        <v>1</v>
      </c>
      <c r="J3440" s="4" t="s">
        <v>53</v>
      </c>
      <c r="K3440" t="str">
        <f t="shared" si="172"/>
        <v>2+1</v>
      </c>
      <c r="L3440">
        <f>VLOOKUP(A3440,'ZONE 1 PREMIUM'!$A$4:$N$16,14,0)</f>
        <v>12</v>
      </c>
      <c r="M3440">
        <f>VLOOKUP(D3440,DROPDOWN!B:C,2,0)</f>
        <v>11</v>
      </c>
      <c r="N3440" t="str">
        <f t="shared" si="173"/>
        <v>BR98:CJ109</v>
      </c>
      <c r="O3440" s="4">
        <f t="shared" ca="1" si="171"/>
        <v>506238.70000000007</v>
      </c>
    </row>
    <row r="3441" spans="1:15">
      <c r="A3441" s="2" t="s">
        <v>11</v>
      </c>
      <c r="B3441" t="s">
        <v>45</v>
      </c>
      <c r="C3441" t="s">
        <v>25</v>
      </c>
      <c r="D3441">
        <v>40</v>
      </c>
      <c r="E3441" t="s">
        <v>46</v>
      </c>
      <c r="F3441">
        <v>4</v>
      </c>
      <c r="G3441">
        <v>2</v>
      </c>
      <c r="H3441">
        <v>2</v>
      </c>
      <c r="I3441">
        <v>1</v>
      </c>
      <c r="J3441" s="4" t="s">
        <v>53</v>
      </c>
      <c r="K3441" t="str">
        <f t="shared" si="172"/>
        <v>2+2</v>
      </c>
      <c r="L3441">
        <f>VLOOKUP(A3441,'ZONE 1 PREMIUM'!$A$4:$N$16,14,0)</f>
        <v>2</v>
      </c>
      <c r="M3441">
        <f>VLOOKUP(D3441,DROPDOWN!B:C,2,0)</f>
        <v>11</v>
      </c>
      <c r="N3441" t="str">
        <f t="shared" si="173"/>
        <v>BR113:CJ124</v>
      </c>
      <c r="O3441" s="4">
        <f t="shared" ca="1" si="171"/>
        <v>64738.3</v>
      </c>
    </row>
    <row r="3442" spans="1:15">
      <c r="A3442" s="2" t="s">
        <v>12</v>
      </c>
      <c r="B3442" t="s">
        <v>27</v>
      </c>
      <c r="C3442" t="s">
        <v>28</v>
      </c>
      <c r="D3442">
        <v>40</v>
      </c>
      <c r="E3442" t="s">
        <v>46</v>
      </c>
      <c r="F3442">
        <v>4</v>
      </c>
      <c r="G3442">
        <v>2</v>
      </c>
      <c r="H3442">
        <v>2</v>
      </c>
      <c r="I3442">
        <v>1</v>
      </c>
      <c r="J3442" s="4" t="s">
        <v>53</v>
      </c>
      <c r="K3442" t="str">
        <f t="shared" si="172"/>
        <v>2+2</v>
      </c>
      <c r="L3442">
        <f>VLOOKUP(A3442,'ZONE 1 PREMIUM'!$A$4:$N$16,14,0)</f>
        <v>3</v>
      </c>
      <c r="M3442">
        <f>VLOOKUP(D3442,DROPDOWN!B:C,2,0)</f>
        <v>11</v>
      </c>
      <c r="N3442" t="str">
        <f t="shared" si="173"/>
        <v>BR113:CJ124</v>
      </c>
      <c r="O3442" s="4">
        <f t="shared" ca="1" si="171"/>
        <v>70438.5</v>
      </c>
    </row>
    <row r="3443" spans="1:15">
      <c r="A3443" s="2" t="s">
        <v>13</v>
      </c>
      <c r="B3443" t="s">
        <v>29</v>
      </c>
      <c r="C3443" t="s">
        <v>30</v>
      </c>
      <c r="D3443">
        <v>40</v>
      </c>
      <c r="E3443" t="s">
        <v>46</v>
      </c>
      <c r="F3443">
        <v>4</v>
      </c>
      <c r="G3443">
        <v>2</v>
      </c>
      <c r="H3443">
        <v>2</v>
      </c>
      <c r="I3443">
        <v>1</v>
      </c>
      <c r="J3443" s="4" t="s">
        <v>53</v>
      </c>
      <c r="K3443" t="str">
        <f t="shared" si="172"/>
        <v>2+2</v>
      </c>
      <c r="L3443">
        <f>VLOOKUP(A3443,'ZONE 1 PREMIUM'!$A$4:$N$16,14,0)</f>
        <v>4</v>
      </c>
      <c r="M3443">
        <f>VLOOKUP(D3443,DROPDOWN!B:C,2,0)</f>
        <v>11</v>
      </c>
      <c r="N3443" t="str">
        <f t="shared" si="173"/>
        <v>BR113:CJ124</v>
      </c>
      <c r="O3443" s="4">
        <f t="shared" ca="1" si="171"/>
        <v>79505.8</v>
      </c>
    </row>
    <row r="3444" spans="1:15">
      <c r="A3444" s="2" t="s">
        <v>14</v>
      </c>
      <c r="B3444" t="s">
        <v>31</v>
      </c>
      <c r="C3444" t="s">
        <v>32</v>
      </c>
      <c r="D3444">
        <v>40</v>
      </c>
      <c r="E3444" t="s">
        <v>46</v>
      </c>
      <c r="F3444">
        <v>4</v>
      </c>
      <c r="G3444">
        <v>2</v>
      </c>
      <c r="H3444">
        <v>2</v>
      </c>
      <c r="I3444">
        <v>1</v>
      </c>
      <c r="J3444" s="4" t="s">
        <v>53</v>
      </c>
      <c r="K3444" t="str">
        <f t="shared" si="172"/>
        <v>2+2</v>
      </c>
      <c r="L3444">
        <f>VLOOKUP(A3444,'ZONE 1 PREMIUM'!$A$4:$N$16,14,0)</f>
        <v>5</v>
      </c>
      <c r="M3444">
        <f>VLOOKUP(D3444,DROPDOWN!B:C,2,0)</f>
        <v>11</v>
      </c>
      <c r="N3444" t="str">
        <f t="shared" si="173"/>
        <v>BR113:CJ124</v>
      </c>
      <c r="O3444" s="4">
        <f t="shared" ca="1" si="171"/>
        <v>90277.000000000015</v>
      </c>
    </row>
    <row r="3445" spans="1:15">
      <c r="A3445" s="2" t="s">
        <v>15</v>
      </c>
      <c r="B3445" t="s">
        <v>33</v>
      </c>
      <c r="C3445" t="s">
        <v>34</v>
      </c>
      <c r="D3445">
        <v>40</v>
      </c>
      <c r="E3445" t="s">
        <v>46</v>
      </c>
      <c r="F3445">
        <v>4</v>
      </c>
      <c r="G3445">
        <v>2</v>
      </c>
      <c r="H3445">
        <v>2</v>
      </c>
      <c r="I3445">
        <v>1</v>
      </c>
      <c r="J3445" s="4" t="s">
        <v>53</v>
      </c>
      <c r="K3445" t="str">
        <f t="shared" si="172"/>
        <v>2+2</v>
      </c>
      <c r="L3445">
        <f>VLOOKUP(A3445,'ZONE 1 PREMIUM'!$A$4:$N$16,14,0)</f>
        <v>6</v>
      </c>
      <c r="M3445">
        <f>VLOOKUP(D3445,DROPDOWN!B:C,2,0)</f>
        <v>11</v>
      </c>
      <c r="N3445" t="str">
        <f t="shared" si="173"/>
        <v>BR113:CJ124</v>
      </c>
      <c r="O3445" s="4">
        <f t="shared" ca="1" si="171"/>
        <v>112268.20000000001</v>
      </c>
    </row>
    <row r="3446" spans="1:15">
      <c r="A3446" s="2" t="s">
        <v>16</v>
      </c>
      <c r="B3446" t="s">
        <v>35</v>
      </c>
      <c r="C3446" t="s">
        <v>36</v>
      </c>
      <c r="D3446">
        <v>40</v>
      </c>
      <c r="E3446" t="s">
        <v>46</v>
      </c>
      <c r="F3446">
        <v>4</v>
      </c>
      <c r="G3446">
        <v>2</v>
      </c>
      <c r="H3446">
        <v>2</v>
      </c>
      <c r="I3446">
        <v>1</v>
      </c>
      <c r="J3446" s="4" t="s">
        <v>53</v>
      </c>
      <c r="K3446" t="str">
        <f t="shared" si="172"/>
        <v>2+2</v>
      </c>
      <c r="L3446">
        <f>VLOOKUP(A3446,'ZONE 1 PREMIUM'!$A$4:$N$16,14,0)</f>
        <v>7</v>
      </c>
      <c r="M3446">
        <f>VLOOKUP(D3446,DROPDOWN!B:C,2,0)</f>
        <v>11</v>
      </c>
      <c r="N3446" t="str">
        <f t="shared" si="173"/>
        <v>BR113:CJ124</v>
      </c>
      <c r="O3446" s="4">
        <f t="shared" ca="1" si="171"/>
        <v>146952.30000000002</v>
      </c>
    </row>
    <row r="3447" spans="1:15">
      <c r="A3447" s="2" t="s">
        <v>17</v>
      </c>
      <c r="B3447" t="s">
        <v>37</v>
      </c>
      <c r="C3447" t="s">
        <v>38</v>
      </c>
      <c r="D3447">
        <v>40</v>
      </c>
      <c r="E3447" t="s">
        <v>46</v>
      </c>
      <c r="F3447">
        <v>4</v>
      </c>
      <c r="G3447">
        <v>2</v>
      </c>
      <c r="H3447">
        <v>2</v>
      </c>
      <c r="I3447">
        <v>1</v>
      </c>
      <c r="J3447" s="4" t="s">
        <v>53</v>
      </c>
      <c r="K3447" t="str">
        <f t="shared" si="172"/>
        <v>2+2</v>
      </c>
      <c r="L3447">
        <f>VLOOKUP(A3447,'ZONE 1 PREMIUM'!$A$4:$N$16,14,0)</f>
        <v>8</v>
      </c>
      <c r="M3447">
        <f>VLOOKUP(D3447,DROPDOWN!B:C,2,0)</f>
        <v>11</v>
      </c>
      <c r="N3447" t="str">
        <f t="shared" si="173"/>
        <v>BR113:CJ124</v>
      </c>
      <c r="O3447" s="4">
        <f t="shared" ca="1" si="171"/>
        <v>189732.40000000002</v>
      </c>
    </row>
    <row r="3448" spans="1:15">
      <c r="A3448" s="2" t="s">
        <v>18</v>
      </c>
      <c r="B3448" t="s">
        <v>39</v>
      </c>
      <c r="C3448" t="s">
        <v>40</v>
      </c>
      <c r="D3448">
        <v>40</v>
      </c>
      <c r="E3448" t="s">
        <v>46</v>
      </c>
      <c r="F3448">
        <v>4</v>
      </c>
      <c r="G3448">
        <v>2</v>
      </c>
      <c r="H3448">
        <v>2</v>
      </c>
      <c r="I3448">
        <v>1</v>
      </c>
      <c r="J3448" s="4" t="s">
        <v>53</v>
      </c>
      <c r="K3448" t="str">
        <f t="shared" si="172"/>
        <v>2+2</v>
      </c>
      <c r="L3448">
        <f>VLOOKUP(A3448,'ZONE 1 PREMIUM'!$A$4:$N$16,14,0)</f>
        <v>9</v>
      </c>
      <c r="M3448">
        <f>VLOOKUP(D3448,DROPDOWN!B:C,2,0)</f>
        <v>11</v>
      </c>
      <c r="N3448" t="str">
        <f t="shared" si="173"/>
        <v>BR113:CJ124</v>
      </c>
      <c r="O3448" s="4">
        <f t="shared" ca="1" si="171"/>
        <v>251170.7</v>
      </c>
    </row>
    <row r="3449" spans="1:15">
      <c r="A3449" s="2" t="s">
        <v>19</v>
      </c>
      <c r="B3449" t="s">
        <v>41</v>
      </c>
      <c r="C3449" t="s">
        <v>42</v>
      </c>
      <c r="D3449">
        <v>40</v>
      </c>
      <c r="E3449" t="s">
        <v>46</v>
      </c>
      <c r="F3449">
        <v>4</v>
      </c>
      <c r="G3449">
        <v>2</v>
      </c>
      <c r="H3449">
        <v>2</v>
      </c>
      <c r="I3449">
        <v>1</v>
      </c>
      <c r="J3449" s="4" t="s">
        <v>53</v>
      </c>
      <c r="K3449" t="str">
        <f t="shared" si="172"/>
        <v>2+2</v>
      </c>
      <c r="L3449">
        <f>VLOOKUP(A3449,'ZONE 1 PREMIUM'!$A$4:$N$16,14,0)</f>
        <v>10</v>
      </c>
      <c r="M3449">
        <f>VLOOKUP(D3449,DROPDOWN!B:C,2,0)</f>
        <v>11</v>
      </c>
      <c r="N3449" t="str">
        <f t="shared" si="173"/>
        <v>BR113:CJ124</v>
      </c>
      <c r="O3449" s="4">
        <f t="shared" ca="1" si="171"/>
        <v>327516.2</v>
      </c>
    </row>
    <row r="3450" spans="1:15">
      <c r="A3450" s="2" t="s">
        <v>20</v>
      </c>
      <c r="B3450" t="s">
        <v>43</v>
      </c>
      <c r="C3450" t="s">
        <v>44</v>
      </c>
      <c r="D3450">
        <v>40</v>
      </c>
      <c r="E3450" t="s">
        <v>46</v>
      </c>
      <c r="F3450">
        <v>4</v>
      </c>
      <c r="G3450">
        <v>2</v>
      </c>
      <c r="H3450">
        <v>2</v>
      </c>
      <c r="I3450">
        <v>1</v>
      </c>
      <c r="J3450" s="4" t="s">
        <v>53</v>
      </c>
      <c r="K3450" t="str">
        <f t="shared" si="172"/>
        <v>2+2</v>
      </c>
      <c r="L3450">
        <f>VLOOKUP(A3450,'ZONE 1 PREMIUM'!$A$4:$N$16,14,0)</f>
        <v>11</v>
      </c>
      <c r="M3450">
        <f>VLOOKUP(D3450,DROPDOWN!B:C,2,0)</f>
        <v>11</v>
      </c>
      <c r="N3450" t="str">
        <f t="shared" si="173"/>
        <v>BR113:CJ124</v>
      </c>
      <c r="O3450" s="4">
        <f t="shared" ca="1" si="171"/>
        <v>402261.2</v>
      </c>
    </row>
    <row r="3451" spans="1:15">
      <c r="A3451" s="2" t="s">
        <v>21</v>
      </c>
      <c r="B3451" t="s">
        <v>22</v>
      </c>
      <c r="D3451">
        <v>40</v>
      </c>
      <c r="E3451" t="s">
        <v>46</v>
      </c>
      <c r="F3451">
        <v>4</v>
      </c>
      <c r="G3451">
        <v>2</v>
      </c>
      <c r="H3451">
        <v>2</v>
      </c>
      <c r="I3451">
        <v>1</v>
      </c>
      <c r="J3451" s="4" t="s">
        <v>53</v>
      </c>
      <c r="K3451" t="str">
        <f t="shared" si="172"/>
        <v>2+2</v>
      </c>
      <c r="L3451">
        <f>VLOOKUP(A3451,'ZONE 1 PREMIUM'!$A$4:$N$16,14,0)</f>
        <v>12</v>
      </c>
      <c r="M3451">
        <f>VLOOKUP(D3451,DROPDOWN!B:C,2,0)</f>
        <v>11</v>
      </c>
      <c r="N3451" t="str">
        <f t="shared" si="173"/>
        <v>BR113:CJ124</v>
      </c>
      <c r="O3451" s="4">
        <f t="shared" ca="1" si="171"/>
        <v>512854.10000000003</v>
      </c>
    </row>
    <row r="3452" spans="1:15">
      <c r="A3452" s="2" t="s">
        <v>11</v>
      </c>
      <c r="B3452" t="s">
        <v>45</v>
      </c>
      <c r="C3452" t="s">
        <v>25</v>
      </c>
      <c r="D3452">
        <v>40</v>
      </c>
      <c r="E3452" t="s">
        <v>46</v>
      </c>
      <c r="F3452">
        <v>5</v>
      </c>
      <c r="G3452">
        <v>2</v>
      </c>
      <c r="H3452">
        <v>3</v>
      </c>
      <c r="I3452">
        <v>1</v>
      </c>
      <c r="J3452" s="4" t="s">
        <v>53</v>
      </c>
      <c r="K3452" t="str">
        <f t="shared" si="172"/>
        <v>2+3</v>
      </c>
      <c r="L3452">
        <f>VLOOKUP(A3452,'ZONE 1 PREMIUM'!$A$4:$N$16,14,0)</f>
        <v>2</v>
      </c>
      <c r="M3452">
        <f>VLOOKUP(D3452,DROPDOWN!B:C,2,0)</f>
        <v>11</v>
      </c>
      <c r="N3452" t="str">
        <f t="shared" si="173"/>
        <v>BR128:CJ139</v>
      </c>
      <c r="O3452" s="4">
        <f t="shared" ca="1" si="171"/>
        <v>74291.8</v>
      </c>
    </row>
    <row r="3453" spans="1:15">
      <c r="A3453" s="2" t="s">
        <v>12</v>
      </c>
      <c r="B3453" t="s">
        <v>27</v>
      </c>
      <c r="C3453" t="s">
        <v>28</v>
      </c>
      <c r="D3453">
        <v>40</v>
      </c>
      <c r="E3453" t="s">
        <v>46</v>
      </c>
      <c r="F3453">
        <v>5</v>
      </c>
      <c r="G3453">
        <v>2</v>
      </c>
      <c r="H3453">
        <v>3</v>
      </c>
      <c r="I3453">
        <v>1</v>
      </c>
      <c r="J3453" s="4" t="s">
        <v>53</v>
      </c>
      <c r="K3453" t="str">
        <f t="shared" si="172"/>
        <v>2+3</v>
      </c>
      <c r="L3453">
        <f>VLOOKUP(A3453,'ZONE 1 PREMIUM'!$A$4:$N$16,14,0)</f>
        <v>3</v>
      </c>
      <c r="M3453">
        <f>VLOOKUP(D3453,DROPDOWN!B:C,2,0)</f>
        <v>11</v>
      </c>
      <c r="N3453" t="str">
        <f t="shared" si="173"/>
        <v>BR128:CJ139</v>
      </c>
      <c r="O3453" s="4">
        <f t="shared" ca="1" si="171"/>
        <v>79823.700000000012</v>
      </c>
    </row>
    <row r="3454" spans="1:15">
      <c r="A3454" s="2" t="s">
        <v>13</v>
      </c>
      <c r="B3454" t="s">
        <v>29</v>
      </c>
      <c r="C3454" t="s">
        <v>30</v>
      </c>
      <c r="D3454">
        <v>40</v>
      </c>
      <c r="E3454" t="s">
        <v>46</v>
      </c>
      <c r="F3454">
        <v>5</v>
      </c>
      <c r="G3454">
        <v>2</v>
      </c>
      <c r="H3454">
        <v>3</v>
      </c>
      <c r="I3454">
        <v>1</v>
      </c>
      <c r="J3454" s="4" t="s">
        <v>53</v>
      </c>
      <c r="K3454" t="str">
        <f t="shared" si="172"/>
        <v>2+3</v>
      </c>
      <c r="L3454">
        <f>VLOOKUP(A3454,'ZONE 1 PREMIUM'!$A$4:$N$16,14,0)</f>
        <v>4</v>
      </c>
      <c r="M3454">
        <f>VLOOKUP(D3454,DROPDOWN!B:C,2,0)</f>
        <v>11</v>
      </c>
      <c r="N3454" t="str">
        <f t="shared" si="173"/>
        <v>BR128:CJ139</v>
      </c>
      <c r="O3454" s="4">
        <f t="shared" ca="1" si="171"/>
        <v>90478.3</v>
      </c>
    </row>
    <row r="3455" spans="1:15">
      <c r="A3455" s="2" t="s">
        <v>14</v>
      </c>
      <c r="B3455" t="s">
        <v>31</v>
      </c>
      <c r="C3455" t="s">
        <v>32</v>
      </c>
      <c r="D3455">
        <v>40</v>
      </c>
      <c r="E3455" t="s">
        <v>46</v>
      </c>
      <c r="F3455">
        <v>5</v>
      </c>
      <c r="G3455">
        <v>2</v>
      </c>
      <c r="H3455">
        <v>3</v>
      </c>
      <c r="I3455">
        <v>1</v>
      </c>
      <c r="J3455" s="4" t="s">
        <v>53</v>
      </c>
      <c r="K3455" t="str">
        <f t="shared" si="172"/>
        <v>2+3</v>
      </c>
      <c r="L3455">
        <f>VLOOKUP(A3455,'ZONE 1 PREMIUM'!$A$4:$N$16,14,0)</f>
        <v>5</v>
      </c>
      <c r="M3455">
        <f>VLOOKUP(D3455,DROPDOWN!B:C,2,0)</f>
        <v>11</v>
      </c>
      <c r="N3455" t="str">
        <f t="shared" si="173"/>
        <v>BR128:CJ139</v>
      </c>
      <c r="O3455" s="4">
        <f t="shared" ca="1" si="171"/>
        <v>102021.70000000001</v>
      </c>
    </row>
    <row r="3456" spans="1:15">
      <c r="A3456" s="2" t="s">
        <v>15</v>
      </c>
      <c r="B3456" t="s">
        <v>33</v>
      </c>
      <c r="C3456" t="s">
        <v>34</v>
      </c>
      <c r="D3456">
        <v>40</v>
      </c>
      <c r="E3456" t="s">
        <v>46</v>
      </c>
      <c r="F3456">
        <v>5</v>
      </c>
      <c r="G3456">
        <v>2</v>
      </c>
      <c r="H3456">
        <v>3</v>
      </c>
      <c r="I3456">
        <v>1</v>
      </c>
      <c r="J3456" s="4" t="s">
        <v>53</v>
      </c>
      <c r="K3456" t="str">
        <f t="shared" si="172"/>
        <v>2+3</v>
      </c>
      <c r="L3456">
        <f>VLOOKUP(A3456,'ZONE 1 PREMIUM'!$A$4:$N$16,14,0)</f>
        <v>6</v>
      </c>
      <c r="M3456">
        <f>VLOOKUP(D3456,DROPDOWN!B:C,2,0)</f>
        <v>11</v>
      </c>
      <c r="N3456" t="str">
        <f t="shared" si="173"/>
        <v>BR128:CJ139</v>
      </c>
      <c r="O3456" s="4">
        <f t="shared" ca="1" si="171"/>
        <v>125502.3</v>
      </c>
    </row>
    <row r="3457" spans="1:15">
      <c r="A3457" s="2" t="s">
        <v>16</v>
      </c>
      <c r="B3457" t="s">
        <v>35</v>
      </c>
      <c r="C3457" t="s">
        <v>36</v>
      </c>
      <c r="D3457">
        <v>40</v>
      </c>
      <c r="E3457" t="s">
        <v>46</v>
      </c>
      <c r="F3457">
        <v>5</v>
      </c>
      <c r="G3457">
        <v>2</v>
      </c>
      <c r="H3457">
        <v>3</v>
      </c>
      <c r="I3457">
        <v>1</v>
      </c>
      <c r="J3457" s="4" t="s">
        <v>53</v>
      </c>
      <c r="K3457" t="str">
        <f t="shared" si="172"/>
        <v>2+3</v>
      </c>
      <c r="L3457">
        <f>VLOOKUP(A3457,'ZONE 1 PREMIUM'!$A$4:$N$16,14,0)</f>
        <v>7</v>
      </c>
      <c r="M3457">
        <f>VLOOKUP(D3457,DROPDOWN!B:C,2,0)</f>
        <v>11</v>
      </c>
      <c r="N3457" t="str">
        <f t="shared" si="173"/>
        <v>BR128:CJ139</v>
      </c>
      <c r="O3457" s="4">
        <f t="shared" ca="1" si="171"/>
        <v>160473.5</v>
      </c>
    </row>
    <row r="3458" spans="1:15">
      <c r="A3458" s="2" t="s">
        <v>17</v>
      </c>
      <c r="B3458" t="s">
        <v>37</v>
      </c>
      <c r="C3458" t="s">
        <v>38</v>
      </c>
      <c r="D3458">
        <v>40</v>
      </c>
      <c r="E3458" t="s">
        <v>46</v>
      </c>
      <c r="F3458">
        <v>5</v>
      </c>
      <c r="G3458">
        <v>2</v>
      </c>
      <c r="H3458">
        <v>3</v>
      </c>
      <c r="I3458">
        <v>1</v>
      </c>
      <c r="J3458" s="4" t="s">
        <v>53</v>
      </c>
      <c r="K3458" t="str">
        <f t="shared" si="172"/>
        <v>2+3</v>
      </c>
      <c r="L3458">
        <f>VLOOKUP(A3458,'ZONE 1 PREMIUM'!$A$4:$N$16,14,0)</f>
        <v>8</v>
      </c>
      <c r="M3458">
        <f>VLOOKUP(D3458,DROPDOWN!B:C,2,0)</f>
        <v>11</v>
      </c>
      <c r="N3458" t="str">
        <f t="shared" si="173"/>
        <v>BR128:CJ139</v>
      </c>
      <c r="O3458" s="4">
        <f t="shared" ref="O3458:O3521" ca="1" si="174">INDEX(INDIRECT(N3458),L3458,M3458)</f>
        <v>202143.7</v>
      </c>
    </row>
    <row r="3459" spans="1:15">
      <c r="A3459" s="2" t="s">
        <v>18</v>
      </c>
      <c r="B3459" t="s">
        <v>39</v>
      </c>
      <c r="C3459" t="s">
        <v>40</v>
      </c>
      <c r="D3459">
        <v>40</v>
      </c>
      <c r="E3459" t="s">
        <v>46</v>
      </c>
      <c r="F3459">
        <v>5</v>
      </c>
      <c r="G3459">
        <v>2</v>
      </c>
      <c r="H3459">
        <v>3</v>
      </c>
      <c r="I3459">
        <v>1</v>
      </c>
      <c r="J3459" s="4" t="s">
        <v>53</v>
      </c>
      <c r="K3459" t="str">
        <f t="shared" si="172"/>
        <v>2+3</v>
      </c>
      <c r="L3459">
        <f>VLOOKUP(A3459,'ZONE 1 PREMIUM'!$A$4:$N$16,14,0)</f>
        <v>9</v>
      </c>
      <c r="M3459">
        <f>VLOOKUP(D3459,DROPDOWN!B:C,2,0)</f>
        <v>11</v>
      </c>
      <c r="N3459" t="str">
        <f t="shared" si="173"/>
        <v>BR128:CJ139</v>
      </c>
      <c r="O3459" s="4">
        <f t="shared" ca="1" si="174"/>
        <v>263501.7</v>
      </c>
    </row>
    <row r="3460" spans="1:15">
      <c r="A3460" s="2" t="s">
        <v>19</v>
      </c>
      <c r="B3460" t="s">
        <v>41</v>
      </c>
      <c r="C3460" t="s">
        <v>42</v>
      </c>
      <c r="D3460">
        <v>40</v>
      </c>
      <c r="E3460" t="s">
        <v>46</v>
      </c>
      <c r="F3460">
        <v>5</v>
      </c>
      <c r="G3460">
        <v>2</v>
      </c>
      <c r="H3460">
        <v>3</v>
      </c>
      <c r="I3460">
        <v>1</v>
      </c>
      <c r="J3460" s="4" t="s">
        <v>53</v>
      </c>
      <c r="K3460" t="str">
        <f t="shared" ref="K3460:K3523" si="175">G3460&amp;"+"&amp;H3460</f>
        <v>2+3</v>
      </c>
      <c r="L3460">
        <f>VLOOKUP(A3460,'ZONE 1 PREMIUM'!$A$4:$N$16,14,0)</f>
        <v>10</v>
      </c>
      <c r="M3460">
        <f>VLOOKUP(D3460,DROPDOWN!B:C,2,0)</f>
        <v>11</v>
      </c>
      <c r="N3460" t="str">
        <f t="shared" si="173"/>
        <v>BR128:CJ139</v>
      </c>
      <c r="O3460" s="4">
        <f t="shared" ca="1" si="174"/>
        <v>339221.30000000005</v>
      </c>
    </row>
    <row r="3461" spans="1:15">
      <c r="A3461" s="2" t="s">
        <v>20</v>
      </c>
      <c r="B3461" t="s">
        <v>43</v>
      </c>
      <c r="C3461" t="s">
        <v>44</v>
      </c>
      <c r="D3461">
        <v>40</v>
      </c>
      <c r="E3461" t="s">
        <v>46</v>
      </c>
      <c r="F3461">
        <v>5</v>
      </c>
      <c r="G3461">
        <v>2</v>
      </c>
      <c r="H3461">
        <v>3</v>
      </c>
      <c r="I3461">
        <v>1</v>
      </c>
      <c r="J3461" s="4" t="s">
        <v>53</v>
      </c>
      <c r="K3461" t="str">
        <f t="shared" si="175"/>
        <v>2+3</v>
      </c>
      <c r="L3461">
        <f>VLOOKUP(A3461,'ZONE 1 PREMIUM'!$A$4:$N$16,14,0)</f>
        <v>11</v>
      </c>
      <c r="M3461">
        <f>VLOOKUP(D3461,DROPDOWN!B:C,2,0)</f>
        <v>11</v>
      </c>
      <c r="N3461" t="str">
        <f t="shared" si="173"/>
        <v>BR128:CJ139</v>
      </c>
      <c r="O3461" s="4">
        <f t="shared" ca="1" si="174"/>
        <v>415239.00000000006</v>
      </c>
    </row>
    <row r="3462" spans="1:15">
      <c r="A3462" s="2" t="s">
        <v>21</v>
      </c>
      <c r="B3462" t="s">
        <v>22</v>
      </c>
      <c r="D3462">
        <v>40</v>
      </c>
      <c r="E3462" t="s">
        <v>46</v>
      </c>
      <c r="F3462">
        <v>5</v>
      </c>
      <c r="G3462">
        <v>2</v>
      </c>
      <c r="H3462">
        <v>3</v>
      </c>
      <c r="I3462">
        <v>1</v>
      </c>
      <c r="J3462" s="4" t="s">
        <v>53</v>
      </c>
      <c r="K3462" t="str">
        <f t="shared" si="175"/>
        <v>2+3</v>
      </c>
      <c r="L3462">
        <f>VLOOKUP(A3462,'ZONE 1 PREMIUM'!$A$4:$N$16,14,0)</f>
        <v>12</v>
      </c>
      <c r="M3462">
        <f>VLOOKUP(D3462,DROPDOWN!B:C,2,0)</f>
        <v>11</v>
      </c>
      <c r="N3462" t="str">
        <f t="shared" si="173"/>
        <v>BR128:CJ139</v>
      </c>
      <c r="O3462" s="4">
        <f t="shared" ca="1" si="174"/>
        <v>526623.9</v>
      </c>
    </row>
    <row r="3463" spans="1:15">
      <c r="A3463" s="2" t="s">
        <v>11</v>
      </c>
      <c r="B3463" t="s">
        <v>45</v>
      </c>
      <c r="C3463" t="s">
        <v>25</v>
      </c>
      <c r="D3463">
        <v>40</v>
      </c>
      <c r="E3463" t="s">
        <v>46</v>
      </c>
      <c r="F3463">
        <v>6</v>
      </c>
      <c r="G3463">
        <v>2</v>
      </c>
      <c r="H3463">
        <v>4</v>
      </c>
      <c r="I3463">
        <v>1</v>
      </c>
      <c r="J3463" s="4" t="s">
        <v>53</v>
      </c>
      <c r="K3463" t="str">
        <f t="shared" si="175"/>
        <v>2+4</v>
      </c>
      <c r="L3463">
        <f>VLOOKUP(A3463,'ZONE 1 PREMIUM'!$A$4:$N$16,14,0)</f>
        <v>2</v>
      </c>
      <c r="M3463">
        <f>VLOOKUP(D3463,DROPDOWN!B:C,2,0)</f>
        <v>11</v>
      </c>
      <c r="N3463" t="str">
        <f t="shared" si="173"/>
        <v>BR143:CJ154</v>
      </c>
      <c r="O3463" s="4">
        <f t="shared" ca="1" si="174"/>
        <v>83846.400000000009</v>
      </c>
    </row>
    <row r="3464" spans="1:15">
      <c r="A3464" s="2" t="s">
        <v>12</v>
      </c>
      <c r="B3464" t="s">
        <v>27</v>
      </c>
      <c r="C3464" t="s">
        <v>28</v>
      </c>
      <c r="D3464">
        <v>40</v>
      </c>
      <c r="E3464" t="s">
        <v>46</v>
      </c>
      <c r="F3464">
        <v>6</v>
      </c>
      <c r="G3464">
        <v>2</v>
      </c>
      <c r="H3464">
        <v>4</v>
      </c>
      <c r="I3464">
        <v>1</v>
      </c>
      <c r="J3464" s="4" t="s">
        <v>53</v>
      </c>
      <c r="K3464" t="str">
        <f t="shared" si="175"/>
        <v>2+4</v>
      </c>
      <c r="L3464">
        <f>VLOOKUP(A3464,'ZONE 1 PREMIUM'!$A$4:$N$16,14,0)</f>
        <v>3</v>
      </c>
      <c r="M3464">
        <f>VLOOKUP(D3464,DROPDOWN!B:C,2,0)</f>
        <v>11</v>
      </c>
      <c r="N3464" t="str">
        <f t="shared" si="173"/>
        <v>BR143:CJ154</v>
      </c>
      <c r="O3464" s="4">
        <f t="shared" ca="1" si="174"/>
        <v>89210</v>
      </c>
    </row>
    <row r="3465" spans="1:15">
      <c r="A3465" s="2" t="s">
        <v>13</v>
      </c>
      <c r="B3465" t="s">
        <v>29</v>
      </c>
      <c r="C3465" t="s">
        <v>30</v>
      </c>
      <c r="D3465">
        <v>40</v>
      </c>
      <c r="E3465" t="s">
        <v>46</v>
      </c>
      <c r="F3465">
        <v>6</v>
      </c>
      <c r="G3465">
        <v>2</v>
      </c>
      <c r="H3465">
        <v>4</v>
      </c>
      <c r="I3465">
        <v>1</v>
      </c>
      <c r="J3465" s="4" t="s">
        <v>53</v>
      </c>
      <c r="K3465" t="str">
        <f t="shared" si="175"/>
        <v>2+4</v>
      </c>
      <c r="L3465">
        <f>VLOOKUP(A3465,'ZONE 1 PREMIUM'!$A$4:$N$16,14,0)</f>
        <v>4</v>
      </c>
      <c r="M3465">
        <f>VLOOKUP(D3465,DROPDOWN!B:C,2,0)</f>
        <v>11</v>
      </c>
      <c r="N3465" t="str">
        <f t="shared" si="173"/>
        <v>BR143:CJ154</v>
      </c>
      <c r="O3465" s="4">
        <f t="shared" ca="1" si="174"/>
        <v>101450.8</v>
      </c>
    </row>
    <row r="3466" spans="1:15">
      <c r="A3466" s="2" t="s">
        <v>14</v>
      </c>
      <c r="B3466" t="s">
        <v>31</v>
      </c>
      <c r="C3466" t="s">
        <v>32</v>
      </c>
      <c r="D3466">
        <v>40</v>
      </c>
      <c r="E3466" t="s">
        <v>46</v>
      </c>
      <c r="F3466">
        <v>6</v>
      </c>
      <c r="G3466">
        <v>2</v>
      </c>
      <c r="H3466">
        <v>4</v>
      </c>
      <c r="I3466">
        <v>1</v>
      </c>
      <c r="J3466" s="4" t="s">
        <v>53</v>
      </c>
      <c r="K3466" t="str">
        <f t="shared" si="175"/>
        <v>2+4</v>
      </c>
      <c r="L3466">
        <f>VLOOKUP(A3466,'ZONE 1 PREMIUM'!$A$4:$N$16,14,0)</f>
        <v>5</v>
      </c>
      <c r="M3466">
        <f>VLOOKUP(D3466,DROPDOWN!B:C,2,0)</f>
        <v>11</v>
      </c>
      <c r="N3466" t="str">
        <f t="shared" si="173"/>
        <v>BR143:CJ154</v>
      </c>
      <c r="O3466" s="4">
        <f t="shared" ca="1" si="174"/>
        <v>113767.50000000001</v>
      </c>
    </row>
    <row r="3467" spans="1:15">
      <c r="A3467" s="2" t="s">
        <v>15</v>
      </c>
      <c r="B3467" t="s">
        <v>33</v>
      </c>
      <c r="C3467" t="s">
        <v>34</v>
      </c>
      <c r="D3467">
        <v>40</v>
      </c>
      <c r="E3467" t="s">
        <v>46</v>
      </c>
      <c r="F3467">
        <v>6</v>
      </c>
      <c r="G3467">
        <v>2</v>
      </c>
      <c r="H3467">
        <v>4</v>
      </c>
      <c r="I3467">
        <v>1</v>
      </c>
      <c r="J3467" s="4" t="s">
        <v>53</v>
      </c>
      <c r="K3467" t="str">
        <f t="shared" si="175"/>
        <v>2+4</v>
      </c>
      <c r="L3467">
        <f>VLOOKUP(A3467,'ZONE 1 PREMIUM'!$A$4:$N$16,14,0)</f>
        <v>6</v>
      </c>
      <c r="M3467">
        <f>VLOOKUP(D3467,DROPDOWN!B:C,2,0)</f>
        <v>11</v>
      </c>
      <c r="N3467" t="str">
        <f t="shared" si="173"/>
        <v>BR143:CJ154</v>
      </c>
      <c r="O3467" s="4">
        <f t="shared" ca="1" si="174"/>
        <v>138735.30000000002</v>
      </c>
    </row>
    <row r="3468" spans="1:15">
      <c r="A3468" s="2" t="s">
        <v>16</v>
      </c>
      <c r="B3468" t="s">
        <v>35</v>
      </c>
      <c r="C3468" t="s">
        <v>36</v>
      </c>
      <c r="D3468">
        <v>40</v>
      </c>
      <c r="E3468" t="s">
        <v>46</v>
      </c>
      <c r="F3468">
        <v>6</v>
      </c>
      <c r="G3468">
        <v>2</v>
      </c>
      <c r="H3468">
        <v>4</v>
      </c>
      <c r="I3468">
        <v>1</v>
      </c>
      <c r="J3468" s="4" t="s">
        <v>53</v>
      </c>
      <c r="K3468" t="str">
        <f t="shared" si="175"/>
        <v>2+4</v>
      </c>
      <c r="L3468">
        <f>VLOOKUP(A3468,'ZONE 1 PREMIUM'!$A$4:$N$16,14,0)</f>
        <v>7</v>
      </c>
      <c r="M3468">
        <f>VLOOKUP(D3468,DROPDOWN!B:C,2,0)</f>
        <v>11</v>
      </c>
      <c r="N3468" t="str">
        <f t="shared" si="173"/>
        <v>BR143:CJ154</v>
      </c>
      <c r="O3468" s="4">
        <f t="shared" ca="1" si="174"/>
        <v>172681.30000000002</v>
      </c>
    </row>
    <row r="3469" spans="1:15">
      <c r="A3469" s="2" t="s">
        <v>17</v>
      </c>
      <c r="B3469" t="s">
        <v>37</v>
      </c>
      <c r="C3469" t="s">
        <v>38</v>
      </c>
      <c r="D3469">
        <v>40</v>
      </c>
      <c r="E3469" t="s">
        <v>46</v>
      </c>
      <c r="F3469">
        <v>6</v>
      </c>
      <c r="G3469">
        <v>2</v>
      </c>
      <c r="H3469">
        <v>4</v>
      </c>
      <c r="I3469">
        <v>1</v>
      </c>
      <c r="J3469" s="4" t="s">
        <v>53</v>
      </c>
      <c r="K3469" t="str">
        <f t="shared" si="175"/>
        <v>2+4</v>
      </c>
      <c r="L3469">
        <f>VLOOKUP(A3469,'ZONE 1 PREMIUM'!$A$4:$N$16,14,0)</f>
        <v>8</v>
      </c>
      <c r="M3469">
        <f>VLOOKUP(D3469,DROPDOWN!B:C,2,0)</f>
        <v>11</v>
      </c>
      <c r="N3469" t="str">
        <f t="shared" si="173"/>
        <v>BR143:CJ154</v>
      </c>
      <c r="O3469" s="4">
        <f t="shared" ca="1" si="174"/>
        <v>214369.1</v>
      </c>
    </row>
    <row r="3470" spans="1:15">
      <c r="A3470" s="2" t="s">
        <v>18</v>
      </c>
      <c r="B3470" t="s">
        <v>39</v>
      </c>
      <c r="C3470" t="s">
        <v>40</v>
      </c>
      <c r="D3470">
        <v>40</v>
      </c>
      <c r="E3470" t="s">
        <v>46</v>
      </c>
      <c r="F3470">
        <v>6</v>
      </c>
      <c r="G3470">
        <v>2</v>
      </c>
      <c r="H3470">
        <v>4</v>
      </c>
      <c r="I3470">
        <v>1</v>
      </c>
      <c r="J3470" s="4" t="s">
        <v>53</v>
      </c>
      <c r="K3470" t="str">
        <f t="shared" si="175"/>
        <v>2+4</v>
      </c>
      <c r="L3470">
        <f>VLOOKUP(A3470,'ZONE 1 PREMIUM'!$A$4:$N$16,14,0)</f>
        <v>9</v>
      </c>
      <c r="M3470">
        <f>VLOOKUP(D3470,DROPDOWN!B:C,2,0)</f>
        <v>11</v>
      </c>
      <c r="N3470" t="str">
        <f t="shared" si="173"/>
        <v>BR143:CJ154</v>
      </c>
      <c r="O3470" s="4">
        <f t="shared" ca="1" si="174"/>
        <v>275272.80000000005</v>
      </c>
    </row>
    <row r="3471" spans="1:15">
      <c r="A3471" s="2" t="s">
        <v>19</v>
      </c>
      <c r="B3471" t="s">
        <v>41</v>
      </c>
      <c r="C3471" t="s">
        <v>42</v>
      </c>
      <c r="D3471">
        <v>40</v>
      </c>
      <c r="E3471" t="s">
        <v>46</v>
      </c>
      <c r="F3471">
        <v>6</v>
      </c>
      <c r="G3471">
        <v>2</v>
      </c>
      <c r="H3471">
        <v>4</v>
      </c>
      <c r="I3471">
        <v>1</v>
      </c>
      <c r="J3471" s="4" t="s">
        <v>53</v>
      </c>
      <c r="K3471" t="str">
        <f t="shared" si="175"/>
        <v>2+4</v>
      </c>
      <c r="L3471">
        <f>VLOOKUP(A3471,'ZONE 1 PREMIUM'!$A$4:$N$16,14,0)</f>
        <v>10</v>
      </c>
      <c r="M3471">
        <f>VLOOKUP(D3471,DROPDOWN!B:C,2,0)</f>
        <v>11</v>
      </c>
      <c r="N3471" t="str">
        <f t="shared" si="173"/>
        <v>BR143:CJ154</v>
      </c>
      <c r="O3471" s="4">
        <f t="shared" ca="1" si="174"/>
        <v>352189.2</v>
      </c>
    </row>
    <row r="3472" spans="1:15">
      <c r="A3472" s="2" t="s">
        <v>20</v>
      </c>
      <c r="B3472" t="s">
        <v>43</v>
      </c>
      <c r="C3472" t="s">
        <v>44</v>
      </c>
      <c r="D3472">
        <v>40</v>
      </c>
      <c r="E3472" t="s">
        <v>46</v>
      </c>
      <c r="F3472">
        <v>6</v>
      </c>
      <c r="G3472">
        <v>2</v>
      </c>
      <c r="H3472">
        <v>4</v>
      </c>
      <c r="I3472">
        <v>1</v>
      </c>
      <c r="J3472" s="4" t="s">
        <v>53</v>
      </c>
      <c r="K3472" t="str">
        <f t="shared" si="175"/>
        <v>2+4</v>
      </c>
      <c r="L3472">
        <f>VLOOKUP(A3472,'ZONE 1 PREMIUM'!$A$4:$N$16,14,0)</f>
        <v>11</v>
      </c>
      <c r="M3472">
        <f>VLOOKUP(D3472,DROPDOWN!B:C,2,0)</f>
        <v>11</v>
      </c>
      <c r="N3472" t="str">
        <f t="shared" si="173"/>
        <v>BR143:CJ154</v>
      </c>
      <c r="O3472" s="4">
        <f t="shared" ca="1" si="174"/>
        <v>427258.7</v>
      </c>
    </row>
    <row r="3473" spans="1:15">
      <c r="A3473" s="2" t="s">
        <v>21</v>
      </c>
      <c r="B3473" t="s">
        <v>22</v>
      </c>
      <c r="D3473">
        <v>40</v>
      </c>
      <c r="E3473" t="s">
        <v>46</v>
      </c>
      <c r="F3473">
        <v>6</v>
      </c>
      <c r="G3473">
        <v>2</v>
      </c>
      <c r="H3473">
        <v>4</v>
      </c>
      <c r="I3473">
        <v>1</v>
      </c>
      <c r="J3473" s="4" t="s">
        <v>53</v>
      </c>
      <c r="K3473" t="str">
        <f t="shared" si="175"/>
        <v>2+4</v>
      </c>
      <c r="L3473">
        <f>VLOOKUP(A3473,'ZONE 1 PREMIUM'!$A$4:$N$16,14,0)</f>
        <v>12</v>
      </c>
      <c r="M3473">
        <f>VLOOKUP(D3473,DROPDOWN!B:C,2,0)</f>
        <v>11</v>
      </c>
      <c r="N3473" t="str">
        <f t="shared" si="173"/>
        <v>BR143:CJ154</v>
      </c>
      <c r="O3473" s="4">
        <f t="shared" ca="1" si="174"/>
        <v>536577.80000000005</v>
      </c>
    </row>
    <row r="3474" spans="1:15">
      <c r="A3474" s="2" t="s">
        <v>9</v>
      </c>
      <c r="B3474" t="s">
        <v>47</v>
      </c>
      <c r="C3474" t="s">
        <v>48</v>
      </c>
      <c r="D3474">
        <v>40</v>
      </c>
      <c r="E3474" t="s">
        <v>26</v>
      </c>
      <c r="F3474">
        <v>1</v>
      </c>
      <c r="H3474">
        <v>1</v>
      </c>
      <c r="I3474">
        <v>1</v>
      </c>
      <c r="J3474" s="4" t="s">
        <v>54</v>
      </c>
      <c r="K3474" t="str">
        <f t="shared" si="175"/>
        <v>+1</v>
      </c>
      <c r="N3474" t="e">
        <f t="shared" ref="N3474:N3537" si="176">VLOOKUP(K3474,$DH$4:$DI$13,2,0)</f>
        <v>#N/A</v>
      </c>
      <c r="O3474" s="13">
        <v>6074.850264964266</v>
      </c>
    </row>
    <row r="3475" spans="1:15">
      <c r="A3475" s="2" t="s">
        <v>10</v>
      </c>
      <c r="B3475" t="s">
        <v>49</v>
      </c>
      <c r="C3475" t="s">
        <v>50</v>
      </c>
      <c r="D3475">
        <v>40</v>
      </c>
      <c r="E3475" t="s">
        <v>26</v>
      </c>
      <c r="F3475">
        <v>1</v>
      </c>
      <c r="G3475">
        <v>1</v>
      </c>
      <c r="H3475">
        <v>0</v>
      </c>
      <c r="I3475">
        <v>1</v>
      </c>
      <c r="J3475" s="4" t="s">
        <v>54</v>
      </c>
      <c r="K3475" t="str">
        <f t="shared" si="175"/>
        <v>1+0</v>
      </c>
      <c r="L3475">
        <f>VLOOKUP(A3475,'ZONE 1 PREMIUM'!$A$3:$M$16,13,0)</f>
        <v>3</v>
      </c>
      <c r="M3475">
        <f>VLOOKUP(D3475,DROPDOWN!B:C,2,0)</f>
        <v>11</v>
      </c>
      <c r="N3475" t="str">
        <f t="shared" si="176"/>
        <v>CO3:DG16</v>
      </c>
      <c r="O3475" s="4">
        <f t="shared" ca="1" si="174"/>
        <v>9694.4600000000009</v>
      </c>
    </row>
    <row r="3476" spans="1:15">
      <c r="A3476" s="2" t="s">
        <v>11</v>
      </c>
      <c r="B3476" t="s">
        <v>45</v>
      </c>
      <c r="C3476" t="s">
        <v>25</v>
      </c>
      <c r="D3476">
        <v>40</v>
      </c>
      <c r="E3476" t="s">
        <v>26</v>
      </c>
      <c r="F3476">
        <v>1</v>
      </c>
      <c r="G3476">
        <v>1</v>
      </c>
      <c r="H3476">
        <v>0</v>
      </c>
      <c r="I3476">
        <v>1</v>
      </c>
      <c r="J3476" s="4" t="s">
        <v>54</v>
      </c>
      <c r="K3476" t="str">
        <f t="shared" si="175"/>
        <v>1+0</v>
      </c>
      <c r="L3476">
        <f>VLOOKUP(A3476,'ZONE 1 PREMIUM'!$A$3:$M$16,13,0)</f>
        <v>4</v>
      </c>
      <c r="M3476">
        <f>VLOOKUP(D3476,DROPDOWN!B:C,2,0)</f>
        <v>11</v>
      </c>
      <c r="N3476" t="str">
        <f t="shared" si="176"/>
        <v>CO3:DG16</v>
      </c>
      <c r="O3476" s="4">
        <f t="shared" ca="1" si="174"/>
        <v>26689.74</v>
      </c>
    </row>
    <row r="3477" spans="1:15">
      <c r="A3477" s="2" t="s">
        <v>12</v>
      </c>
      <c r="B3477" t="s">
        <v>27</v>
      </c>
      <c r="C3477" t="s">
        <v>28</v>
      </c>
      <c r="D3477">
        <v>40</v>
      </c>
      <c r="E3477" t="s">
        <v>26</v>
      </c>
      <c r="F3477">
        <v>1</v>
      </c>
      <c r="G3477">
        <v>1</v>
      </c>
      <c r="H3477">
        <v>0</v>
      </c>
      <c r="I3477">
        <v>1</v>
      </c>
      <c r="J3477" s="4" t="s">
        <v>54</v>
      </c>
      <c r="K3477" t="str">
        <f t="shared" si="175"/>
        <v>1+0</v>
      </c>
      <c r="L3477">
        <f>VLOOKUP(A3477,'ZONE 1 PREMIUM'!$A$3:$M$16,13,0)</f>
        <v>5</v>
      </c>
      <c r="M3477">
        <f>VLOOKUP(D3477,DROPDOWN!B:C,2,0)</f>
        <v>11</v>
      </c>
      <c r="N3477" t="str">
        <f t="shared" si="176"/>
        <v>CO3:DG16</v>
      </c>
      <c r="O3477" s="4">
        <f t="shared" ca="1" si="174"/>
        <v>30489.480000000003</v>
      </c>
    </row>
    <row r="3478" spans="1:15">
      <c r="A3478" s="2" t="s">
        <v>13</v>
      </c>
      <c r="B3478" t="s">
        <v>29</v>
      </c>
      <c r="C3478" t="s">
        <v>30</v>
      </c>
      <c r="D3478">
        <v>40</v>
      </c>
      <c r="E3478" t="s">
        <v>26</v>
      </c>
      <c r="F3478">
        <v>1</v>
      </c>
      <c r="G3478">
        <v>1</v>
      </c>
      <c r="H3478">
        <v>0</v>
      </c>
      <c r="I3478">
        <v>1</v>
      </c>
      <c r="J3478" s="4" t="s">
        <v>54</v>
      </c>
      <c r="K3478" t="str">
        <f t="shared" si="175"/>
        <v>1+0</v>
      </c>
      <c r="L3478">
        <f>VLOOKUP(A3478,'ZONE 1 PREMIUM'!$A$3:$M$16,13,0)</f>
        <v>6</v>
      </c>
      <c r="M3478">
        <f>VLOOKUP(D3478,DROPDOWN!B:C,2,0)</f>
        <v>11</v>
      </c>
      <c r="N3478" t="str">
        <f t="shared" si="176"/>
        <v>CO3:DG16</v>
      </c>
      <c r="O3478" s="4">
        <f t="shared" ca="1" si="174"/>
        <v>35327.990000000005</v>
      </c>
    </row>
    <row r="3479" spans="1:15">
      <c r="A3479" s="2" t="s">
        <v>14</v>
      </c>
      <c r="B3479" t="s">
        <v>31</v>
      </c>
      <c r="C3479" t="s">
        <v>32</v>
      </c>
      <c r="D3479">
        <v>40</v>
      </c>
      <c r="E3479" t="s">
        <v>26</v>
      </c>
      <c r="F3479">
        <v>1</v>
      </c>
      <c r="G3479">
        <v>1</v>
      </c>
      <c r="H3479">
        <v>0</v>
      </c>
      <c r="I3479">
        <v>1</v>
      </c>
      <c r="J3479" s="4" t="s">
        <v>54</v>
      </c>
      <c r="K3479" t="str">
        <f t="shared" si="175"/>
        <v>1+0</v>
      </c>
      <c r="L3479">
        <f>VLOOKUP(A3479,'ZONE 1 PREMIUM'!$A$3:$M$16,13,0)</f>
        <v>7</v>
      </c>
      <c r="M3479">
        <f>VLOOKUP(D3479,DROPDOWN!B:C,2,0)</f>
        <v>11</v>
      </c>
      <c r="N3479" t="str">
        <f t="shared" si="176"/>
        <v>CO3:DG16</v>
      </c>
      <c r="O3479" s="4">
        <f t="shared" ca="1" si="174"/>
        <v>41043.950000000004</v>
      </c>
    </row>
    <row r="3480" spans="1:15">
      <c r="A3480" s="2" t="s">
        <v>15</v>
      </c>
      <c r="B3480" t="s">
        <v>33</v>
      </c>
      <c r="C3480" t="s">
        <v>34</v>
      </c>
      <c r="D3480">
        <v>40</v>
      </c>
      <c r="E3480" t="s">
        <v>26</v>
      </c>
      <c r="F3480">
        <v>1</v>
      </c>
      <c r="G3480">
        <v>1</v>
      </c>
      <c r="H3480">
        <v>0</v>
      </c>
      <c r="I3480">
        <v>1</v>
      </c>
      <c r="J3480" s="4" t="s">
        <v>54</v>
      </c>
      <c r="K3480" t="str">
        <f t="shared" si="175"/>
        <v>1+0</v>
      </c>
      <c r="L3480">
        <f>VLOOKUP(A3480,'ZONE 1 PREMIUM'!$A$3:$M$16,13,0)</f>
        <v>8</v>
      </c>
      <c r="M3480">
        <f>VLOOKUP(D3480,DROPDOWN!B:C,2,0)</f>
        <v>11</v>
      </c>
      <c r="N3480" t="str">
        <f t="shared" si="176"/>
        <v>CO3:DG16</v>
      </c>
      <c r="O3480" s="4">
        <f t="shared" ca="1" si="174"/>
        <v>51240.9</v>
      </c>
    </row>
    <row r="3481" spans="1:15">
      <c r="A3481" s="2" t="s">
        <v>16</v>
      </c>
      <c r="B3481" t="s">
        <v>35</v>
      </c>
      <c r="C3481" t="s">
        <v>36</v>
      </c>
      <c r="D3481">
        <v>40</v>
      </c>
      <c r="E3481" t="s">
        <v>26</v>
      </c>
      <c r="F3481">
        <v>1</v>
      </c>
      <c r="G3481">
        <v>1</v>
      </c>
      <c r="H3481">
        <v>0</v>
      </c>
      <c r="I3481">
        <v>1</v>
      </c>
      <c r="J3481" s="4" t="s">
        <v>54</v>
      </c>
      <c r="K3481" t="str">
        <f t="shared" si="175"/>
        <v>1+0</v>
      </c>
      <c r="L3481">
        <f>VLOOKUP(A3481,'ZONE 1 PREMIUM'!$A$3:$M$16,13,0)</f>
        <v>9</v>
      </c>
      <c r="M3481">
        <f>VLOOKUP(D3481,DROPDOWN!B:C,2,0)</f>
        <v>11</v>
      </c>
      <c r="N3481" t="str">
        <f t="shared" si="176"/>
        <v>CO3:DG16</v>
      </c>
      <c r="O3481" s="4">
        <f t="shared" ca="1" si="174"/>
        <v>67868.850000000006</v>
      </c>
    </row>
    <row r="3482" spans="1:15">
      <c r="A3482" s="2" t="s">
        <v>17</v>
      </c>
      <c r="B3482" t="s">
        <v>37</v>
      </c>
      <c r="C3482" t="s">
        <v>38</v>
      </c>
      <c r="D3482">
        <v>40</v>
      </c>
      <c r="E3482" t="s">
        <v>26</v>
      </c>
      <c r="F3482">
        <v>1</v>
      </c>
      <c r="G3482">
        <v>1</v>
      </c>
      <c r="H3482">
        <v>0</v>
      </c>
      <c r="I3482">
        <v>1</v>
      </c>
      <c r="J3482" s="4" t="s">
        <v>54</v>
      </c>
      <c r="K3482" t="str">
        <f t="shared" si="175"/>
        <v>1+0</v>
      </c>
      <c r="L3482">
        <f>VLOOKUP(A3482,'ZONE 1 PREMIUM'!$A$3:$M$16,13,0)</f>
        <v>10</v>
      </c>
      <c r="M3482">
        <f>VLOOKUP(D3482,DROPDOWN!B:C,2,0)</f>
        <v>11</v>
      </c>
      <c r="N3482" t="str">
        <f t="shared" si="176"/>
        <v>CO3:DG16</v>
      </c>
      <c r="O3482" s="4">
        <f t="shared" ca="1" si="174"/>
        <v>91330.010000000009</v>
      </c>
    </row>
    <row r="3483" spans="1:15">
      <c r="A3483" s="2" t="s">
        <v>18</v>
      </c>
      <c r="B3483" t="s">
        <v>39</v>
      </c>
      <c r="C3483" t="s">
        <v>40</v>
      </c>
      <c r="D3483">
        <v>40</v>
      </c>
      <c r="E3483" t="s">
        <v>26</v>
      </c>
      <c r="F3483">
        <v>1</v>
      </c>
      <c r="G3483">
        <v>1</v>
      </c>
      <c r="H3483">
        <v>0</v>
      </c>
      <c r="I3483">
        <v>1</v>
      </c>
      <c r="J3483" s="4" t="s">
        <v>54</v>
      </c>
      <c r="K3483" t="str">
        <f t="shared" si="175"/>
        <v>1+0</v>
      </c>
      <c r="L3483">
        <f>VLOOKUP(A3483,'ZONE 1 PREMIUM'!$A$3:$M$16,13,0)</f>
        <v>11</v>
      </c>
      <c r="M3483">
        <f>VLOOKUP(D3483,DROPDOWN!B:C,2,0)</f>
        <v>11</v>
      </c>
      <c r="N3483" t="str">
        <f t="shared" si="176"/>
        <v>CO3:DG16</v>
      </c>
      <c r="O3483" s="4">
        <f t="shared" ca="1" si="174"/>
        <v>126666.72000000002</v>
      </c>
    </row>
    <row r="3484" spans="1:15">
      <c r="A3484" s="2" t="s">
        <v>19</v>
      </c>
      <c r="B3484" t="s">
        <v>41</v>
      </c>
      <c r="C3484" t="s">
        <v>42</v>
      </c>
      <c r="D3484">
        <v>40</v>
      </c>
      <c r="E3484" t="s">
        <v>26</v>
      </c>
      <c r="F3484">
        <v>1</v>
      </c>
      <c r="G3484">
        <v>1</v>
      </c>
      <c r="H3484">
        <v>0</v>
      </c>
      <c r="I3484">
        <v>1</v>
      </c>
      <c r="J3484" s="4" t="s">
        <v>54</v>
      </c>
      <c r="K3484" t="str">
        <f t="shared" si="175"/>
        <v>1+0</v>
      </c>
      <c r="L3484">
        <f>VLOOKUP(A3484,'ZONE 1 PREMIUM'!$A$3:$M$16,13,0)</f>
        <v>12</v>
      </c>
      <c r="M3484">
        <f>VLOOKUP(D3484,DROPDOWN!B:C,2,0)</f>
        <v>11</v>
      </c>
      <c r="N3484" t="str">
        <f t="shared" si="176"/>
        <v>CO3:DG16</v>
      </c>
      <c r="O3484" s="4">
        <f t="shared" ca="1" si="174"/>
        <v>165327.93000000002</v>
      </c>
    </row>
    <row r="3485" spans="1:15">
      <c r="A3485" s="2" t="s">
        <v>20</v>
      </c>
      <c r="B3485" t="s">
        <v>43</v>
      </c>
      <c r="C3485" t="s">
        <v>44</v>
      </c>
      <c r="D3485">
        <v>40</v>
      </c>
      <c r="E3485" t="s">
        <v>26</v>
      </c>
      <c r="F3485">
        <v>1</v>
      </c>
      <c r="G3485">
        <v>1</v>
      </c>
      <c r="H3485">
        <v>0</v>
      </c>
      <c r="I3485">
        <v>1</v>
      </c>
      <c r="J3485" s="4" t="s">
        <v>54</v>
      </c>
      <c r="K3485" t="str">
        <f t="shared" si="175"/>
        <v>1+0</v>
      </c>
      <c r="L3485">
        <f>VLOOKUP(A3485,'ZONE 1 PREMIUM'!$A$3:$M$16,13,0)</f>
        <v>13</v>
      </c>
      <c r="M3485">
        <f>VLOOKUP(D3485,DROPDOWN!B:C,2,0)</f>
        <v>11</v>
      </c>
      <c r="N3485" t="str">
        <f t="shared" si="176"/>
        <v>CO3:DG16</v>
      </c>
      <c r="O3485" s="4">
        <f t="shared" ca="1" si="174"/>
        <v>199664.02000000002</v>
      </c>
    </row>
    <row r="3486" spans="1:15">
      <c r="A3486" s="2" t="s">
        <v>21</v>
      </c>
      <c r="B3486" t="s">
        <v>22</v>
      </c>
      <c r="D3486">
        <v>40</v>
      </c>
      <c r="E3486" t="s">
        <v>26</v>
      </c>
      <c r="F3486">
        <v>1</v>
      </c>
      <c r="G3486">
        <v>1</v>
      </c>
      <c r="H3486">
        <v>0</v>
      </c>
      <c r="I3486">
        <v>1</v>
      </c>
      <c r="J3486" s="4" t="s">
        <v>54</v>
      </c>
      <c r="K3486" t="str">
        <f t="shared" si="175"/>
        <v>1+0</v>
      </c>
      <c r="L3486">
        <f>VLOOKUP(A3486,'ZONE 1 PREMIUM'!$A$3:$M$16,13,0)</f>
        <v>14</v>
      </c>
      <c r="M3486">
        <f>VLOOKUP(D3486,DROPDOWN!B:C,2,0)</f>
        <v>11</v>
      </c>
      <c r="N3486" t="str">
        <f t="shared" si="176"/>
        <v>CO3:DG16</v>
      </c>
      <c r="O3486" s="4">
        <f t="shared" ca="1" si="174"/>
        <v>269558.09000000003</v>
      </c>
    </row>
    <row r="3487" spans="1:15">
      <c r="A3487" s="2" t="s">
        <v>11</v>
      </c>
      <c r="B3487" t="s">
        <v>45</v>
      </c>
      <c r="C3487" t="s">
        <v>25</v>
      </c>
      <c r="D3487">
        <v>40</v>
      </c>
      <c r="E3487" t="s">
        <v>46</v>
      </c>
      <c r="F3487">
        <v>2</v>
      </c>
      <c r="G3487">
        <v>1</v>
      </c>
      <c r="H3487">
        <v>1</v>
      </c>
      <c r="I3487">
        <v>1</v>
      </c>
      <c r="J3487" s="4" t="s">
        <v>54</v>
      </c>
      <c r="K3487" t="str">
        <f t="shared" si="175"/>
        <v>1+1</v>
      </c>
      <c r="L3487">
        <f>VLOOKUP(A3487,'ZONE 1 PREMIUM'!$A$4:$N$16,14,0)</f>
        <v>2</v>
      </c>
      <c r="M3487">
        <f>VLOOKUP(D3487,DROPDOWN!B:C,2,0)</f>
        <v>11</v>
      </c>
      <c r="N3487" t="str">
        <f t="shared" si="176"/>
        <v>CO20:DG31</v>
      </c>
      <c r="O3487" s="4">
        <f t="shared" ca="1" si="174"/>
        <v>29866.000000000004</v>
      </c>
    </row>
    <row r="3488" spans="1:15">
      <c r="A3488" s="2" t="s">
        <v>12</v>
      </c>
      <c r="B3488" t="s">
        <v>27</v>
      </c>
      <c r="C3488" t="s">
        <v>28</v>
      </c>
      <c r="D3488">
        <v>40</v>
      </c>
      <c r="E3488" t="s">
        <v>46</v>
      </c>
      <c r="F3488">
        <v>2</v>
      </c>
      <c r="G3488">
        <v>1</v>
      </c>
      <c r="H3488">
        <v>1</v>
      </c>
      <c r="I3488">
        <v>1</v>
      </c>
      <c r="J3488" s="4" t="s">
        <v>54</v>
      </c>
      <c r="K3488" t="str">
        <f t="shared" si="175"/>
        <v>1+1</v>
      </c>
      <c r="L3488">
        <f>VLOOKUP(A3488,'ZONE 1 PREMIUM'!$A$4:$N$16,14,0)</f>
        <v>3</v>
      </c>
      <c r="M3488">
        <f>VLOOKUP(D3488,DROPDOWN!B:C,2,0)</f>
        <v>11</v>
      </c>
      <c r="N3488" t="str">
        <f t="shared" si="176"/>
        <v>CO20:DG31</v>
      </c>
      <c r="O3488" s="4">
        <f t="shared" ca="1" si="174"/>
        <v>32885.300000000003</v>
      </c>
    </row>
    <row r="3489" spans="1:15">
      <c r="A3489" s="2" t="s">
        <v>13</v>
      </c>
      <c r="B3489" t="s">
        <v>29</v>
      </c>
      <c r="C3489" t="s">
        <v>30</v>
      </c>
      <c r="D3489">
        <v>40</v>
      </c>
      <c r="E3489" t="s">
        <v>46</v>
      </c>
      <c r="F3489">
        <v>2</v>
      </c>
      <c r="G3489">
        <v>1</v>
      </c>
      <c r="H3489">
        <v>1</v>
      </c>
      <c r="I3489">
        <v>1</v>
      </c>
      <c r="J3489" s="4" t="s">
        <v>54</v>
      </c>
      <c r="K3489" t="str">
        <f t="shared" si="175"/>
        <v>1+1</v>
      </c>
      <c r="L3489">
        <f>VLOOKUP(A3489,'ZONE 1 PREMIUM'!$A$4:$N$16,14,0)</f>
        <v>4</v>
      </c>
      <c r="M3489">
        <f>VLOOKUP(D3489,DROPDOWN!B:C,2,0)</f>
        <v>11</v>
      </c>
      <c r="N3489" t="str">
        <f t="shared" si="176"/>
        <v>CO20:DG31</v>
      </c>
      <c r="O3489" s="4">
        <f t="shared" ca="1" si="174"/>
        <v>38212.130000000005</v>
      </c>
    </row>
    <row r="3490" spans="1:15">
      <c r="A3490" s="2" t="s">
        <v>14</v>
      </c>
      <c r="B3490" t="s">
        <v>31</v>
      </c>
      <c r="C3490" t="s">
        <v>32</v>
      </c>
      <c r="D3490">
        <v>40</v>
      </c>
      <c r="E3490" t="s">
        <v>46</v>
      </c>
      <c r="F3490">
        <v>2</v>
      </c>
      <c r="G3490">
        <v>1</v>
      </c>
      <c r="H3490">
        <v>1</v>
      </c>
      <c r="I3490">
        <v>1</v>
      </c>
      <c r="J3490" s="4" t="s">
        <v>54</v>
      </c>
      <c r="K3490" t="str">
        <f t="shared" si="175"/>
        <v>1+1</v>
      </c>
      <c r="L3490">
        <f>VLOOKUP(A3490,'ZONE 1 PREMIUM'!$A$4:$N$16,14,0)</f>
        <v>5</v>
      </c>
      <c r="M3490">
        <f>VLOOKUP(D3490,DROPDOWN!B:C,2,0)</f>
        <v>11</v>
      </c>
      <c r="N3490" t="str">
        <f t="shared" si="176"/>
        <v>CO20:DG31</v>
      </c>
      <c r="O3490" s="4">
        <f t="shared" ca="1" si="174"/>
        <v>44967.950000000004</v>
      </c>
    </row>
    <row r="3491" spans="1:15">
      <c r="A3491" s="2" t="s">
        <v>15</v>
      </c>
      <c r="B3491" t="s">
        <v>33</v>
      </c>
      <c r="C3491" t="s">
        <v>34</v>
      </c>
      <c r="D3491">
        <v>40</v>
      </c>
      <c r="E3491" t="s">
        <v>46</v>
      </c>
      <c r="F3491">
        <v>2</v>
      </c>
      <c r="G3491">
        <v>1</v>
      </c>
      <c r="H3491">
        <v>1</v>
      </c>
      <c r="I3491">
        <v>1</v>
      </c>
      <c r="J3491" s="4" t="s">
        <v>54</v>
      </c>
      <c r="K3491" t="str">
        <f t="shared" si="175"/>
        <v>1+1</v>
      </c>
      <c r="L3491">
        <f>VLOOKUP(A3491,'ZONE 1 PREMIUM'!$A$4:$N$16,14,0)</f>
        <v>6</v>
      </c>
      <c r="M3491">
        <f>VLOOKUP(D3491,DROPDOWN!B:C,2,0)</f>
        <v>11</v>
      </c>
      <c r="N3491" t="str">
        <f t="shared" si="176"/>
        <v>CO20:DG31</v>
      </c>
      <c r="O3491" s="4">
        <f t="shared" ca="1" si="174"/>
        <v>55681.560000000005</v>
      </c>
    </row>
    <row r="3492" spans="1:15">
      <c r="A3492" s="2" t="s">
        <v>16</v>
      </c>
      <c r="B3492" t="s">
        <v>35</v>
      </c>
      <c r="C3492" t="s">
        <v>36</v>
      </c>
      <c r="D3492">
        <v>40</v>
      </c>
      <c r="E3492" t="s">
        <v>46</v>
      </c>
      <c r="F3492">
        <v>2</v>
      </c>
      <c r="G3492">
        <v>1</v>
      </c>
      <c r="H3492">
        <v>1</v>
      </c>
      <c r="I3492">
        <v>1</v>
      </c>
      <c r="J3492" s="4" t="s">
        <v>54</v>
      </c>
      <c r="K3492" t="str">
        <f t="shared" si="175"/>
        <v>1+1</v>
      </c>
      <c r="L3492">
        <f>VLOOKUP(A3492,'ZONE 1 PREMIUM'!$A$4:$N$16,14,0)</f>
        <v>7</v>
      </c>
      <c r="M3492">
        <f>VLOOKUP(D3492,DROPDOWN!B:C,2,0)</f>
        <v>11</v>
      </c>
      <c r="N3492" t="str">
        <f t="shared" si="176"/>
        <v>CO20:DG31</v>
      </c>
      <c r="O3492" s="4">
        <f t="shared" ca="1" si="174"/>
        <v>72713.900000000009</v>
      </c>
    </row>
    <row r="3493" spans="1:15">
      <c r="A3493" s="2" t="s">
        <v>17</v>
      </c>
      <c r="B3493" t="s">
        <v>37</v>
      </c>
      <c r="C3493" t="s">
        <v>38</v>
      </c>
      <c r="D3493">
        <v>40</v>
      </c>
      <c r="E3493" t="s">
        <v>46</v>
      </c>
      <c r="F3493">
        <v>2</v>
      </c>
      <c r="G3493">
        <v>1</v>
      </c>
      <c r="H3493">
        <v>1</v>
      </c>
      <c r="I3493">
        <v>1</v>
      </c>
      <c r="J3493" s="4" t="s">
        <v>54</v>
      </c>
      <c r="K3493" t="str">
        <f t="shared" si="175"/>
        <v>1+1</v>
      </c>
      <c r="L3493">
        <f>VLOOKUP(A3493,'ZONE 1 PREMIUM'!$A$4:$N$16,14,0)</f>
        <v>8</v>
      </c>
      <c r="M3493">
        <f>VLOOKUP(D3493,DROPDOWN!B:C,2,0)</f>
        <v>11</v>
      </c>
      <c r="N3493" t="str">
        <f t="shared" si="176"/>
        <v>CO20:DG31</v>
      </c>
      <c r="O3493" s="4">
        <f t="shared" ca="1" si="174"/>
        <v>96399.6</v>
      </c>
    </row>
    <row r="3494" spans="1:15">
      <c r="A3494" s="2" t="s">
        <v>18</v>
      </c>
      <c r="B3494" t="s">
        <v>39</v>
      </c>
      <c r="C3494" t="s">
        <v>40</v>
      </c>
      <c r="D3494">
        <v>40</v>
      </c>
      <c r="E3494" t="s">
        <v>46</v>
      </c>
      <c r="F3494">
        <v>2</v>
      </c>
      <c r="G3494">
        <v>1</v>
      </c>
      <c r="H3494">
        <v>1</v>
      </c>
      <c r="I3494">
        <v>1</v>
      </c>
      <c r="J3494" s="4" t="s">
        <v>54</v>
      </c>
      <c r="K3494" t="str">
        <f t="shared" si="175"/>
        <v>1+1</v>
      </c>
      <c r="L3494">
        <f>VLOOKUP(A3494,'ZONE 1 PREMIUM'!$A$4:$N$16,14,0)</f>
        <v>9</v>
      </c>
      <c r="M3494">
        <f>VLOOKUP(D3494,DROPDOWN!B:C,2,0)</f>
        <v>11</v>
      </c>
      <c r="N3494" t="str">
        <f t="shared" si="176"/>
        <v>CO20:DG31</v>
      </c>
      <c r="O3494" s="4">
        <f t="shared" ca="1" si="174"/>
        <v>133205.63</v>
      </c>
    </row>
    <row r="3495" spans="1:15">
      <c r="A3495" s="2" t="s">
        <v>19</v>
      </c>
      <c r="B3495" t="s">
        <v>41</v>
      </c>
      <c r="C3495" t="s">
        <v>42</v>
      </c>
      <c r="D3495">
        <v>40</v>
      </c>
      <c r="E3495" t="s">
        <v>46</v>
      </c>
      <c r="F3495">
        <v>2</v>
      </c>
      <c r="G3495">
        <v>1</v>
      </c>
      <c r="H3495">
        <v>1</v>
      </c>
      <c r="I3495">
        <v>1</v>
      </c>
      <c r="J3495" s="4" t="s">
        <v>54</v>
      </c>
      <c r="K3495" t="str">
        <f t="shared" si="175"/>
        <v>1+1</v>
      </c>
      <c r="L3495">
        <f>VLOOKUP(A3495,'ZONE 1 PREMIUM'!$A$4:$N$16,14,0)</f>
        <v>10</v>
      </c>
      <c r="M3495">
        <f>VLOOKUP(D3495,DROPDOWN!B:C,2,0)</f>
        <v>11</v>
      </c>
      <c r="N3495" t="str">
        <f t="shared" si="176"/>
        <v>CO20:DG31</v>
      </c>
      <c r="O3495" s="4">
        <f t="shared" ca="1" si="174"/>
        <v>171765.47</v>
      </c>
    </row>
    <row r="3496" spans="1:15">
      <c r="A3496" s="2" t="s">
        <v>20</v>
      </c>
      <c r="B3496" t="s">
        <v>43</v>
      </c>
      <c r="C3496" t="s">
        <v>44</v>
      </c>
      <c r="D3496">
        <v>40</v>
      </c>
      <c r="E3496" t="s">
        <v>46</v>
      </c>
      <c r="F3496">
        <v>2</v>
      </c>
      <c r="G3496">
        <v>1</v>
      </c>
      <c r="H3496">
        <v>1</v>
      </c>
      <c r="I3496">
        <v>1</v>
      </c>
      <c r="J3496" s="4" t="s">
        <v>54</v>
      </c>
      <c r="K3496" t="str">
        <f t="shared" si="175"/>
        <v>1+1</v>
      </c>
      <c r="L3496">
        <f>VLOOKUP(A3496,'ZONE 1 PREMIUM'!$A$4:$N$16,14,0)</f>
        <v>11</v>
      </c>
      <c r="M3496">
        <f>VLOOKUP(D3496,DROPDOWN!B:C,2,0)</f>
        <v>11</v>
      </c>
      <c r="N3496" t="str">
        <f t="shared" si="176"/>
        <v>CO20:DG31</v>
      </c>
      <c r="O3496" s="4">
        <f t="shared" ca="1" si="174"/>
        <v>203511.72</v>
      </c>
    </row>
    <row r="3497" spans="1:15">
      <c r="A3497" s="2" t="s">
        <v>21</v>
      </c>
      <c r="B3497" t="s">
        <v>22</v>
      </c>
      <c r="D3497">
        <v>40</v>
      </c>
      <c r="E3497" t="s">
        <v>46</v>
      </c>
      <c r="F3497">
        <v>2</v>
      </c>
      <c r="G3497">
        <v>1</v>
      </c>
      <c r="H3497">
        <v>1</v>
      </c>
      <c r="I3497">
        <v>1</v>
      </c>
      <c r="J3497" s="4" t="s">
        <v>54</v>
      </c>
      <c r="K3497" t="str">
        <f t="shared" si="175"/>
        <v>1+1</v>
      </c>
      <c r="L3497">
        <f>VLOOKUP(A3497,'ZONE 1 PREMIUM'!$A$4:$N$16,14,0)</f>
        <v>12</v>
      </c>
      <c r="M3497">
        <f>VLOOKUP(D3497,DROPDOWN!B:C,2,0)</f>
        <v>11</v>
      </c>
      <c r="N3497" t="str">
        <f t="shared" si="176"/>
        <v>CO20:DG31</v>
      </c>
      <c r="O3497" s="4">
        <f t="shared" ca="1" si="174"/>
        <v>277445.33</v>
      </c>
    </row>
    <row r="3498" spans="1:15">
      <c r="A3498" s="2" t="s">
        <v>11</v>
      </c>
      <c r="B3498" t="s">
        <v>45</v>
      </c>
      <c r="C3498" t="s">
        <v>25</v>
      </c>
      <c r="D3498">
        <v>40</v>
      </c>
      <c r="E3498" t="s">
        <v>46</v>
      </c>
      <c r="F3498">
        <v>3</v>
      </c>
      <c r="G3498">
        <v>1</v>
      </c>
      <c r="H3498">
        <v>2</v>
      </c>
      <c r="I3498">
        <v>1</v>
      </c>
      <c r="J3498" s="4" t="s">
        <v>54</v>
      </c>
      <c r="K3498" t="str">
        <f t="shared" si="175"/>
        <v>1+2</v>
      </c>
      <c r="L3498">
        <f>VLOOKUP(A3498,'ZONE 1 PREMIUM'!$A$4:$N$16,14,0)</f>
        <v>2</v>
      </c>
      <c r="M3498">
        <f>VLOOKUP(D3498,DROPDOWN!B:C,2,0)</f>
        <v>11</v>
      </c>
      <c r="N3498" t="str">
        <f t="shared" si="176"/>
        <v>CO35:DG46</v>
      </c>
      <c r="O3498" s="4">
        <f t="shared" ca="1" si="174"/>
        <v>38651.4</v>
      </c>
    </row>
    <row r="3499" spans="1:15">
      <c r="A3499" s="2" t="s">
        <v>12</v>
      </c>
      <c r="B3499" t="s">
        <v>27</v>
      </c>
      <c r="C3499" t="s">
        <v>28</v>
      </c>
      <c r="D3499">
        <v>40</v>
      </c>
      <c r="E3499" t="s">
        <v>46</v>
      </c>
      <c r="F3499">
        <v>3</v>
      </c>
      <c r="G3499">
        <v>1</v>
      </c>
      <c r="H3499">
        <v>2</v>
      </c>
      <c r="I3499">
        <v>1</v>
      </c>
      <c r="J3499" s="4" t="s">
        <v>54</v>
      </c>
      <c r="K3499" t="str">
        <f t="shared" si="175"/>
        <v>1+2</v>
      </c>
      <c r="L3499">
        <f>VLOOKUP(A3499,'ZONE 1 PREMIUM'!$A$4:$N$16,14,0)</f>
        <v>3</v>
      </c>
      <c r="M3499">
        <f>VLOOKUP(D3499,DROPDOWN!B:C,2,0)</f>
        <v>11</v>
      </c>
      <c r="N3499" t="str">
        <f t="shared" si="176"/>
        <v>CO35:DG46</v>
      </c>
      <c r="O3499" s="4">
        <f t="shared" ca="1" si="174"/>
        <v>41352.420000000006</v>
      </c>
    </row>
    <row r="3500" spans="1:15">
      <c r="A3500" s="2" t="s">
        <v>13</v>
      </c>
      <c r="B3500" t="s">
        <v>29</v>
      </c>
      <c r="C3500" t="s">
        <v>30</v>
      </c>
      <c r="D3500">
        <v>40</v>
      </c>
      <c r="E3500" t="s">
        <v>46</v>
      </c>
      <c r="F3500">
        <v>3</v>
      </c>
      <c r="G3500">
        <v>1</v>
      </c>
      <c r="H3500">
        <v>2</v>
      </c>
      <c r="I3500">
        <v>1</v>
      </c>
      <c r="J3500" s="4" t="s">
        <v>54</v>
      </c>
      <c r="K3500" t="str">
        <f t="shared" si="175"/>
        <v>1+2</v>
      </c>
      <c r="L3500">
        <f>VLOOKUP(A3500,'ZONE 1 PREMIUM'!$A$4:$N$16,14,0)</f>
        <v>4</v>
      </c>
      <c r="M3500">
        <f>VLOOKUP(D3500,DROPDOWN!B:C,2,0)</f>
        <v>11</v>
      </c>
      <c r="N3500" t="str">
        <f t="shared" si="176"/>
        <v>CO35:DG46</v>
      </c>
      <c r="O3500" s="4">
        <f t="shared" ca="1" si="174"/>
        <v>48111.51</v>
      </c>
    </row>
    <row r="3501" spans="1:15">
      <c r="A3501" s="2" t="s">
        <v>14</v>
      </c>
      <c r="B3501" t="s">
        <v>31</v>
      </c>
      <c r="C3501" t="s">
        <v>32</v>
      </c>
      <c r="D3501">
        <v>40</v>
      </c>
      <c r="E3501" t="s">
        <v>46</v>
      </c>
      <c r="F3501">
        <v>3</v>
      </c>
      <c r="G3501">
        <v>1</v>
      </c>
      <c r="H3501">
        <v>2</v>
      </c>
      <c r="I3501">
        <v>1</v>
      </c>
      <c r="J3501" s="4" t="s">
        <v>54</v>
      </c>
      <c r="K3501" t="str">
        <f t="shared" si="175"/>
        <v>1+2</v>
      </c>
      <c r="L3501">
        <f>VLOOKUP(A3501,'ZONE 1 PREMIUM'!$A$4:$N$16,14,0)</f>
        <v>5</v>
      </c>
      <c r="M3501">
        <f>VLOOKUP(D3501,DROPDOWN!B:C,2,0)</f>
        <v>11</v>
      </c>
      <c r="N3501" t="str">
        <f t="shared" si="176"/>
        <v>CO35:DG46</v>
      </c>
      <c r="O3501" s="4">
        <f t="shared" ca="1" si="174"/>
        <v>54038.930000000008</v>
      </c>
    </row>
    <row r="3502" spans="1:15">
      <c r="A3502" s="2" t="s">
        <v>15</v>
      </c>
      <c r="B3502" t="s">
        <v>33</v>
      </c>
      <c r="C3502" t="s">
        <v>34</v>
      </c>
      <c r="D3502">
        <v>40</v>
      </c>
      <c r="E3502" t="s">
        <v>46</v>
      </c>
      <c r="F3502">
        <v>3</v>
      </c>
      <c r="G3502">
        <v>1</v>
      </c>
      <c r="H3502">
        <v>2</v>
      </c>
      <c r="I3502">
        <v>1</v>
      </c>
      <c r="J3502" s="4" t="s">
        <v>54</v>
      </c>
      <c r="K3502" t="str">
        <f t="shared" si="175"/>
        <v>1+2</v>
      </c>
      <c r="L3502">
        <f>VLOOKUP(A3502,'ZONE 1 PREMIUM'!$A$4:$N$16,14,0)</f>
        <v>6</v>
      </c>
      <c r="M3502">
        <f>VLOOKUP(D3502,DROPDOWN!B:C,2,0)</f>
        <v>11</v>
      </c>
      <c r="N3502" t="str">
        <f t="shared" si="176"/>
        <v>CO35:DG46</v>
      </c>
      <c r="O3502" s="4">
        <f t="shared" ca="1" si="174"/>
        <v>67850.320000000007</v>
      </c>
    </row>
    <row r="3503" spans="1:15">
      <c r="A3503" s="2" t="s">
        <v>16</v>
      </c>
      <c r="B3503" t="s">
        <v>35</v>
      </c>
      <c r="C3503" t="s">
        <v>36</v>
      </c>
      <c r="D3503">
        <v>40</v>
      </c>
      <c r="E3503" t="s">
        <v>46</v>
      </c>
      <c r="F3503">
        <v>3</v>
      </c>
      <c r="G3503">
        <v>1</v>
      </c>
      <c r="H3503">
        <v>2</v>
      </c>
      <c r="I3503">
        <v>1</v>
      </c>
      <c r="J3503" s="4" t="s">
        <v>54</v>
      </c>
      <c r="K3503" t="str">
        <f t="shared" si="175"/>
        <v>1+2</v>
      </c>
      <c r="L3503">
        <f>VLOOKUP(A3503,'ZONE 1 PREMIUM'!$A$4:$N$16,14,0)</f>
        <v>7</v>
      </c>
      <c r="M3503">
        <f>VLOOKUP(D3503,DROPDOWN!B:C,2,0)</f>
        <v>11</v>
      </c>
      <c r="N3503" t="str">
        <f t="shared" si="176"/>
        <v>CO35:DG46</v>
      </c>
      <c r="O3503" s="4">
        <f t="shared" ca="1" si="174"/>
        <v>87851.82</v>
      </c>
    </row>
    <row r="3504" spans="1:15">
      <c r="A3504" s="2" t="s">
        <v>17</v>
      </c>
      <c r="B3504" t="s">
        <v>37</v>
      </c>
      <c r="C3504" t="s">
        <v>38</v>
      </c>
      <c r="D3504">
        <v>40</v>
      </c>
      <c r="E3504" t="s">
        <v>46</v>
      </c>
      <c r="F3504">
        <v>3</v>
      </c>
      <c r="G3504">
        <v>1</v>
      </c>
      <c r="H3504">
        <v>2</v>
      </c>
      <c r="I3504">
        <v>1</v>
      </c>
      <c r="J3504" s="4" t="s">
        <v>54</v>
      </c>
      <c r="K3504" t="str">
        <f t="shared" si="175"/>
        <v>1+2</v>
      </c>
      <c r="L3504">
        <f>VLOOKUP(A3504,'ZONE 1 PREMIUM'!$A$4:$N$16,14,0)</f>
        <v>8</v>
      </c>
      <c r="M3504">
        <f>VLOOKUP(D3504,DROPDOWN!B:C,2,0)</f>
        <v>11</v>
      </c>
      <c r="N3504" t="str">
        <f t="shared" si="176"/>
        <v>CO35:DG46</v>
      </c>
      <c r="O3504" s="4">
        <f t="shared" ca="1" si="174"/>
        <v>112724.53000000001</v>
      </c>
    </row>
    <row r="3505" spans="1:15">
      <c r="A3505" s="2" t="s">
        <v>18</v>
      </c>
      <c r="B3505" t="s">
        <v>39</v>
      </c>
      <c r="C3505" t="s">
        <v>40</v>
      </c>
      <c r="D3505">
        <v>40</v>
      </c>
      <c r="E3505" t="s">
        <v>46</v>
      </c>
      <c r="F3505">
        <v>3</v>
      </c>
      <c r="G3505">
        <v>1</v>
      </c>
      <c r="H3505">
        <v>2</v>
      </c>
      <c r="I3505">
        <v>1</v>
      </c>
      <c r="J3505" s="4" t="s">
        <v>54</v>
      </c>
      <c r="K3505" t="str">
        <f t="shared" si="175"/>
        <v>1+2</v>
      </c>
      <c r="L3505">
        <f>VLOOKUP(A3505,'ZONE 1 PREMIUM'!$A$4:$N$16,14,0)</f>
        <v>9</v>
      </c>
      <c r="M3505">
        <f>VLOOKUP(D3505,DROPDOWN!B:C,2,0)</f>
        <v>11</v>
      </c>
      <c r="N3505" t="str">
        <f t="shared" si="176"/>
        <v>CO35:DG46</v>
      </c>
      <c r="O3505" s="4">
        <f t="shared" ca="1" si="174"/>
        <v>146578.84</v>
      </c>
    </row>
    <row r="3506" spans="1:15">
      <c r="A3506" s="2" t="s">
        <v>19</v>
      </c>
      <c r="B3506" t="s">
        <v>41</v>
      </c>
      <c r="C3506" t="s">
        <v>42</v>
      </c>
      <c r="D3506">
        <v>40</v>
      </c>
      <c r="E3506" t="s">
        <v>46</v>
      </c>
      <c r="F3506">
        <v>3</v>
      </c>
      <c r="G3506">
        <v>1</v>
      </c>
      <c r="H3506">
        <v>2</v>
      </c>
      <c r="I3506">
        <v>1</v>
      </c>
      <c r="J3506" s="4" t="s">
        <v>54</v>
      </c>
      <c r="K3506" t="str">
        <f t="shared" si="175"/>
        <v>1+2</v>
      </c>
      <c r="L3506">
        <f>VLOOKUP(A3506,'ZONE 1 PREMIUM'!$A$4:$N$16,14,0)</f>
        <v>10</v>
      </c>
      <c r="M3506">
        <f>VLOOKUP(D3506,DROPDOWN!B:C,2,0)</f>
        <v>11</v>
      </c>
      <c r="N3506" t="str">
        <f t="shared" si="176"/>
        <v>CO35:DG46</v>
      </c>
      <c r="O3506" s="4">
        <f t="shared" ca="1" si="174"/>
        <v>188066.42</v>
      </c>
    </row>
    <row r="3507" spans="1:15">
      <c r="A3507" s="2" t="s">
        <v>20</v>
      </c>
      <c r="B3507" t="s">
        <v>43</v>
      </c>
      <c r="C3507" t="s">
        <v>44</v>
      </c>
      <c r="D3507">
        <v>40</v>
      </c>
      <c r="E3507" t="s">
        <v>46</v>
      </c>
      <c r="F3507">
        <v>3</v>
      </c>
      <c r="G3507">
        <v>1</v>
      </c>
      <c r="H3507">
        <v>2</v>
      </c>
      <c r="I3507">
        <v>1</v>
      </c>
      <c r="J3507" s="4" t="s">
        <v>54</v>
      </c>
      <c r="K3507" t="str">
        <f t="shared" si="175"/>
        <v>1+2</v>
      </c>
      <c r="L3507">
        <f>VLOOKUP(A3507,'ZONE 1 PREMIUM'!$A$4:$N$16,14,0)</f>
        <v>11</v>
      </c>
      <c r="M3507">
        <f>VLOOKUP(D3507,DROPDOWN!B:C,2,0)</f>
        <v>11</v>
      </c>
      <c r="N3507" t="str">
        <f t="shared" si="176"/>
        <v>CO35:DG46</v>
      </c>
      <c r="O3507" s="4">
        <f t="shared" ca="1" si="174"/>
        <v>222742.59000000003</v>
      </c>
    </row>
    <row r="3508" spans="1:15">
      <c r="A3508" s="2" t="s">
        <v>21</v>
      </c>
      <c r="B3508" t="s">
        <v>22</v>
      </c>
      <c r="D3508">
        <v>40</v>
      </c>
      <c r="E3508" t="s">
        <v>46</v>
      </c>
      <c r="F3508">
        <v>3</v>
      </c>
      <c r="G3508">
        <v>1</v>
      </c>
      <c r="H3508">
        <v>2</v>
      </c>
      <c r="I3508">
        <v>1</v>
      </c>
      <c r="J3508" s="4" t="s">
        <v>54</v>
      </c>
      <c r="K3508" t="str">
        <f t="shared" si="175"/>
        <v>1+2</v>
      </c>
      <c r="L3508">
        <f>VLOOKUP(A3508,'ZONE 1 PREMIUM'!$A$4:$N$16,14,0)</f>
        <v>12</v>
      </c>
      <c r="M3508">
        <f>VLOOKUP(D3508,DROPDOWN!B:C,2,0)</f>
        <v>11</v>
      </c>
      <c r="N3508" t="str">
        <f t="shared" si="176"/>
        <v>CO35:DG46</v>
      </c>
      <c r="O3508" s="4">
        <f t="shared" ca="1" si="174"/>
        <v>291857.31</v>
      </c>
    </row>
    <row r="3509" spans="1:15">
      <c r="A3509" s="2" t="s">
        <v>11</v>
      </c>
      <c r="B3509" t="s">
        <v>45</v>
      </c>
      <c r="C3509" t="s">
        <v>25</v>
      </c>
      <c r="D3509">
        <v>40</v>
      </c>
      <c r="E3509" t="s">
        <v>46</v>
      </c>
      <c r="F3509">
        <v>4</v>
      </c>
      <c r="G3509">
        <v>1</v>
      </c>
      <c r="H3509">
        <v>3</v>
      </c>
      <c r="I3509">
        <v>1</v>
      </c>
      <c r="J3509" s="4" t="s">
        <v>54</v>
      </c>
      <c r="K3509" t="str">
        <f t="shared" si="175"/>
        <v>1+3</v>
      </c>
      <c r="L3509">
        <f>VLOOKUP(A3509,'ZONE 1 PREMIUM'!$A$4:$N$16,14,0)</f>
        <v>2</v>
      </c>
      <c r="M3509">
        <f>VLOOKUP(D3509,DROPDOWN!B:C,2,0)</f>
        <v>11</v>
      </c>
      <c r="N3509" t="str">
        <f t="shared" si="176"/>
        <v>CO50:DG61</v>
      </c>
      <c r="O3509" s="4">
        <f t="shared" ca="1" si="174"/>
        <v>47436.800000000003</v>
      </c>
    </row>
    <row r="3510" spans="1:15">
      <c r="A3510" s="2" t="s">
        <v>12</v>
      </c>
      <c r="B3510" t="s">
        <v>27</v>
      </c>
      <c r="C3510" t="s">
        <v>28</v>
      </c>
      <c r="D3510">
        <v>40</v>
      </c>
      <c r="E3510" t="s">
        <v>46</v>
      </c>
      <c r="F3510">
        <v>4</v>
      </c>
      <c r="G3510">
        <v>1</v>
      </c>
      <c r="H3510">
        <v>3</v>
      </c>
      <c r="I3510">
        <v>1</v>
      </c>
      <c r="J3510" s="4" t="s">
        <v>54</v>
      </c>
      <c r="K3510" t="str">
        <f t="shared" si="175"/>
        <v>1+3</v>
      </c>
      <c r="L3510">
        <f>VLOOKUP(A3510,'ZONE 1 PREMIUM'!$A$4:$N$16,14,0)</f>
        <v>3</v>
      </c>
      <c r="M3510">
        <f>VLOOKUP(D3510,DROPDOWN!B:C,2,0)</f>
        <v>11</v>
      </c>
      <c r="N3510" t="str">
        <f t="shared" si="176"/>
        <v>CO50:DG61</v>
      </c>
      <c r="O3510" s="4">
        <f t="shared" ca="1" si="174"/>
        <v>49983.040000000001</v>
      </c>
    </row>
    <row r="3511" spans="1:15">
      <c r="A3511" s="2" t="s">
        <v>13</v>
      </c>
      <c r="B3511" t="s">
        <v>29</v>
      </c>
      <c r="C3511" t="s">
        <v>30</v>
      </c>
      <c r="D3511">
        <v>40</v>
      </c>
      <c r="E3511" t="s">
        <v>46</v>
      </c>
      <c r="F3511">
        <v>4</v>
      </c>
      <c r="G3511">
        <v>1</v>
      </c>
      <c r="H3511">
        <v>3</v>
      </c>
      <c r="I3511">
        <v>1</v>
      </c>
      <c r="J3511" s="4" t="s">
        <v>54</v>
      </c>
      <c r="K3511" t="str">
        <f t="shared" si="175"/>
        <v>1+3</v>
      </c>
      <c r="L3511">
        <f>VLOOKUP(A3511,'ZONE 1 PREMIUM'!$A$4:$N$16,14,0)</f>
        <v>4</v>
      </c>
      <c r="M3511">
        <f>VLOOKUP(D3511,DROPDOWN!B:C,2,0)</f>
        <v>11</v>
      </c>
      <c r="N3511" t="str">
        <f t="shared" si="176"/>
        <v>CO50:DG61</v>
      </c>
      <c r="O3511" s="4">
        <f t="shared" ca="1" si="174"/>
        <v>58200.55</v>
      </c>
    </row>
    <row r="3512" spans="1:15">
      <c r="A3512" s="2" t="s">
        <v>14</v>
      </c>
      <c r="B3512" t="s">
        <v>31</v>
      </c>
      <c r="C3512" t="s">
        <v>32</v>
      </c>
      <c r="D3512">
        <v>40</v>
      </c>
      <c r="E3512" t="s">
        <v>46</v>
      </c>
      <c r="F3512">
        <v>4</v>
      </c>
      <c r="G3512">
        <v>1</v>
      </c>
      <c r="H3512">
        <v>3</v>
      </c>
      <c r="I3512">
        <v>1</v>
      </c>
      <c r="J3512" s="4" t="s">
        <v>54</v>
      </c>
      <c r="K3512" t="str">
        <f t="shared" si="175"/>
        <v>1+3</v>
      </c>
      <c r="L3512">
        <f>VLOOKUP(A3512,'ZONE 1 PREMIUM'!$A$4:$N$16,14,0)</f>
        <v>5</v>
      </c>
      <c r="M3512">
        <f>VLOOKUP(D3512,DROPDOWN!B:C,2,0)</f>
        <v>11</v>
      </c>
      <c r="N3512" t="str">
        <f t="shared" si="176"/>
        <v>CO50:DG61</v>
      </c>
      <c r="O3512" s="4">
        <f t="shared" ca="1" si="174"/>
        <v>64838.65</v>
      </c>
    </row>
    <row r="3513" spans="1:15">
      <c r="A3513" s="2" t="s">
        <v>15</v>
      </c>
      <c r="B3513" t="s">
        <v>33</v>
      </c>
      <c r="C3513" t="s">
        <v>34</v>
      </c>
      <c r="D3513">
        <v>40</v>
      </c>
      <c r="E3513" t="s">
        <v>46</v>
      </c>
      <c r="F3513">
        <v>4</v>
      </c>
      <c r="G3513">
        <v>1</v>
      </c>
      <c r="H3513">
        <v>3</v>
      </c>
      <c r="I3513">
        <v>1</v>
      </c>
      <c r="J3513" s="4" t="s">
        <v>54</v>
      </c>
      <c r="K3513" t="str">
        <f t="shared" si="175"/>
        <v>1+3</v>
      </c>
      <c r="L3513">
        <f>VLOOKUP(A3513,'ZONE 1 PREMIUM'!$A$4:$N$16,14,0)</f>
        <v>6</v>
      </c>
      <c r="M3513">
        <f>VLOOKUP(D3513,DROPDOWN!B:C,2,0)</f>
        <v>11</v>
      </c>
      <c r="N3513" t="str">
        <f t="shared" si="176"/>
        <v>CO50:DG61</v>
      </c>
      <c r="O3513" s="4">
        <f t="shared" ca="1" si="174"/>
        <v>80019.08</v>
      </c>
    </row>
    <row r="3514" spans="1:15">
      <c r="A3514" s="2" t="s">
        <v>16</v>
      </c>
      <c r="B3514" t="s">
        <v>35</v>
      </c>
      <c r="C3514" t="s">
        <v>36</v>
      </c>
      <c r="D3514">
        <v>40</v>
      </c>
      <c r="E3514" t="s">
        <v>46</v>
      </c>
      <c r="F3514">
        <v>4</v>
      </c>
      <c r="G3514">
        <v>1</v>
      </c>
      <c r="H3514">
        <v>3</v>
      </c>
      <c r="I3514">
        <v>1</v>
      </c>
      <c r="J3514" s="4" t="s">
        <v>54</v>
      </c>
      <c r="K3514" t="str">
        <f t="shared" si="175"/>
        <v>1+3</v>
      </c>
      <c r="L3514">
        <f>VLOOKUP(A3514,'ZONE 1 PREMIUM'!$A$4:$N$16,14,0)</f>
        <v>7</v>
      </c>
      <c r="M3514">
        <f>VLOOKUP(D3514,DROPDOWN!B:C,2,0)</f>
        <v>11</v>
      </c>
      <c r="N3514" t="str">
        <f t="shared" si="176"/>
        <v>CO50:DG61</v>
      </c>
      <c r="O3514" s="4">
        <f t="shared" ca="1" si="174"/>
        <v>101444.12000000001</v>
      </c>
    </row>
    <row r="3515" spans="1:15">
      <c r="A3515" s="2" t="s">
        <v>17</v>
      </c>
      <c r="B3515" t="s">
        <v>37</v>
      </c>
      <c r="C3515" t="s">
        <v>38</v>
      </c>
      <c r="D3515">
        <v>40</v>
      </c>
      <c r="E3515" t="s">
        <v>46</v>
      </c>
      <c r="F3515">
        <v>4</v>
      </c>
      <c r="G3515">
        <v>1</v>
      </c>
      <c r="H3515">
        <v>3</v>
      </c>
      <c r="I3515">
        <v>1</v>
      </c>
      <c r="J3515" s="4" t="s">
        <v>54</v>
      </c>
      <c r="K3515" t="str">
        <f t="shared" si="175"/>
        <v>1+3</v>
      </c>
      <c r="L3515">
        <f>VLOOKUP(A3515,'ZONE 1 PREMIUM'!$A$4:$N$16,14,0)</f>
        <v>8</v>
      </c>
      <c r="M3515">
        <f>VLOOKUP(D3515,DROPDOWN!B:C,2,0)</f>
        <v>11</v>
      </c>
      <c r="N3515" t="str">
        <f t="shared" si="176"/>
        <v>CO50:DG61</v>
      </c>
      <c r="O3515" s="4">
        <f t="shared" ca="1" si="174"/>
        <v>124855.14000000001</v>
      </c>
    </row>
    <row r="3516" spans="1:15">
      <c r="A3516" s="2" t="s">
        <v>18</v>
      </c>
      <c r="B3516" t="s">
        <v>39</v>
      </c>
      <c r="C3516" t="s">
        <v>40</v>
      </c>
      <c r="D3516">
        <v>40</v>
      </c>
      <c r="E3516" t="s">
        <v>46</v>
      </c>
      <c r="F3516">
        <v>4</v>
      </c>
      <c r="G3516">
        <v>1</v>
      </c>
      <c r="H3516">
        <v>3</v>
      </c>
      <c r="I3516">
        <v>1</v>
      </c>
      <c r="J3516" s="4" t="s">
        <v>54</v>
      </c>
      <c r="K3516" t="str">
        <f t="shared" si="175"/>
        <v>1+3</v>
      </c>
      <c r="L3516">
        <f>VLOOKUP(A3516,'ZONE 1 PREMIUM'!$A$4:$N$16,14,0)</f>
        <v>9</v>
      </c>
      <c r="M3516">
        <f>VLOOKUP(D3516,DROPDOWN!B:C,2,0)</f>
        <v>11</v>
      </c>
      <c r="N3516" t="str">
        <f t="shared" si="176"/>
        <v>CO50:DG61</v>
      </c>
      <c r="O3516" s="4">
        <f t="shared" ca="1" si="174"/>
        <v>159936.79</v>
      </c>
    </row>
    <row r="3517" spans="1:15">
      <c r="A3517" s="2" t="s">
        <v>19</v>
      </c>
      <c r="B3517" t="s">
        <v>41</v>
      </c>
      <c r="C3517" t="s">
        <v>42</v>
      </c>
      <c r="D3517">
        <v>40</v>
      </c>
      <c r="E3517" t="s">
        <v>46</v>
      </c>
      <c r="F3517">
        <v>4</v>
      </c>
      <c r="G3517">
        <v>1</v>
      </c>
      <c r="H3517">
        <v>3</v>
      </c>
      <c r="I3517">
        <v>1</v>
      </c>
      <c r="J3517" s="4" t="s">
        <v>54</v>
      </c>
      <c r="K3517" t="str">
        <f t="shared" si="175"/>
        <v>1+3</v>
      </c>
      <c r="L3517">
        <f>VLOOKUP(A3517,'ZONE 1 PREMIUM'!$A$4:$N$16,14,0)</f>
        <v>10</v>
      </c>
      <c r="M3517">
        <f>VLOOKUP(D3517,DROPDOWN!B:C,2,0)</f>
        <v>11</v>
      </c>
      <c r="N3517" t="str">
        <f t="shared" si="176"/>
        <v>CO50:DG61</v>
      </c>
      <c r="O3517" s="4">
        <f t="shared" ca="1" si="174"/>
        <v>198871.59000000003</v>
      </c>
    </row>
    <row r="3518" spans="1:15">
      <c r="A3518" s="2" t="s">
        <v>20</v>
      </c>
      <c r="B3518" t="s">
        <v>43</v>
      </c>
      <c r="C3518" t="s">
        <v>44</v>
      </c>
      <c r="D3518">
        <v>40</v>
      </c>
      <c r="E3518" t="s">
        <v>46</v>
      </c>
      <c r="F3518">
        <v>4</v>
      </c>
      <c r="G3518">
        <v>1</v>
      </c>
      <c r="H3518">
        <v>3</v>
      </c>
      <c r="I3518">
        <v>1</v>
      </c>
      <c r="J3518" s="4" t="s">
        <v>54</v>
      </c>
      <c r="K3518" t="str">
        <f t="shared" si="175"/>
        <v>1+3</v>
      </c>
      <c r="L3518">
        <f>VLOOKUP(A3518,'ZONE 1 PREMIUM'!$A$4:$N$16,14,0)</f>
        <v>11</v>
      </c>
      <c r="M3518">
        <f>VLOOKUP(D3518,DROPDOWN!B:C,2,0)</f>
        <v>11</v>
      </c>
      <c r="N3518" t="str">
        <f t="shared" si="176"/>
        <v>CO50:DG61</v>
      </c>
      <c r="O3518" s="4">
        <f t="shared" ca="1" si="174"/>
        <v>232999.49000000002</v>
      </c>
    </row>
    <row r="3519" spans="1:15">
      <c r="A3519" s="2" t="s">
        <v>21</v>
      </c>
      <c r="B3519" t="s">
        <v>22</v>
      </c>
      <c r="D3519">
        <v>40</v>
      </c>
      <c r="E3519" t="s">
        <v>46</v>
      </c>
      <c r="F3519">
        <v>4</v>
      </c>
      <c r="G3519">
        <v>1</v>
      </c>
      <c r="H3519">
        <v>3</v>
      </c>
      <c r="I3519">
        <v>1</v>
      </c>
      <c r="J3519" s="4" t="s">
        <v>54</v>
      </c>
      <c r="K3519" t="str">
        <f t="shared" si="175"/>
        <v>1+3</v>
      </c>
      <c r="L3519">
        <f>VLOOKUP(A3519,'ZONE 1 PREMIUM'!$A$4:$N$16,14,0)</f>
        <v>12</v>
      </c>
      <c r="M3519">
        <f>VLOOKUP(D3519,DROPDOWN!B:C,2,0)</f>
        <v>11</v>
      </c>
      <c r="N3519" t="str">
        <f t="shared" si="176"/>
        <v>CO50:DG61</v>
      </c>
      <c r="O3519" s="4">
        <f t="shared" ca="1" si="174"/>
        <v>302681.01</v>
      </c>
    </row>
    <row r="3520" spans="1:15">
      <c r="A3520" s="2" t="s">
        <v>11</v>
      </c>
      <c r="B3520" t="s">
        <v>45</v>
      </c>
      <c r="C3520" t="s">
        <v>25</v>
      </c>
      <c r="D3520">
        <v>40</v>
      </c>
      <c r="E3520" t="s">
        <v>46</v>
      </c>
      <c r="F3520">
        <v>5</v>
      </c>
      <c r="G3520">
        <v>1</v>
      </c>
      <c r="H3520">
        <v>4</v>
      </c>
      <c r="I3520">
        <v>1</v>
      </c>
      <c r="J3520" s="4" t="s">
        <v>54</v>
      </c>
      <c r="K3520" t="str">
        <f t="shared" si="175"/>
        <v>1+4</v>
      </c>
      <c r="L3520">
        <f>VLOOKUP(A3520,'ZONE 1 PREMIUM'!$A$4:$N$16,14,0)</f>
        <v>2</v>
      </c>
      <c r="M3520">
        <f>VLOOKUP(D3520,DROPDOWN!B:C,2,0)</f>
        <v>11</v>
      </c>
      <c r="N3520" t="str">
        <f t="shared" si="176"/>
        <v>CO65:DG76</v>
      </c>
      <c r="O3520" s="4">
        <f t="shared" ca="1" si="174"/>
        <v>56222.200000000004</v>
      </c>
    </row>
    <row r="3521" spans="1:15">
      <c r="A3521" s="2" t="s">
        <v>12</v>
      </c>
      <c r="B3521" t="s">
        <v>27</v>
      </c>
      <c r="C3521" t="s">
        <v>28</v>
      </c>
      <c r="D3521">
        <v>40</v>
      </c>
      <c r="E3521" t="s">
        <v>46</v>
      </c>
      <c r="F3521">
        <v>5</v>
      </c>
      <c r="G3521">
        <v>1</v>
      </c>
      <c r="H3521">
        <v>4</v>
      </c>
      <c r="I3521">
        <v>1</v>
      </c>
      <c r="J3521" s="4" t="s">
        <v>54</v>
      </c>
      <c r="K3521" t="str">
        <f t="shared" si="175"/>
        <v>1+4</v>
      </c>
      <c r="L3521">
        <f>VLOOKUP(A3521,'ZONE 1 PREMIUM'!$A$4:$N$16,14,0)</f>
        <v>3</v>
      </c>
      <c r="M3521">
        <f>VLOOKUP(D3521,DROPDOWN!B:C,2,0)</f>
        <v>11</v>
      </c>
      <c r="N3521" t="str">
        <f t="shared" si="176"/>
        <v>CO65:DG76</v>
      </c>
      <c r="O3521" s="4">
        <f t="shared" ca="1" si="174"/>
        <v>58613.66</v>
      </c>
    </row>
    <row r="3522" spans="1:15">
      <c r="A3522" s="2" t="s">
        <v>13</v>
      </c>
      <c r="B3522" t="s">
        <v>29</v>
      </c>
      <c r="C3522" t="s">
        <v>30</v>
      </c>
      <c r="D3522">
        <v>40</v>
      </c>
      <c r="E3522" t="s">
        <v>46</v>
      </c>
      <c r="F3522">
        <v>5</v>
      </c>
      <c r="G3522">
        <v>1</v>
      </c>
      <c r="H3522">
        <v>4</v>
      </c>
      <c r="I3522">
        <v>1</v>
      </c>
      <c r="J3522" s="4" t="s">
        <v>54</v>
      </c>
      <c r="K3522" t="str">
        <f t="shared" si="175"/>
        <v>1+4</v>
      </c>
      <c r="L3522">
        <f>VLOOKUP(A3522,'ZONE 1 PREMIUM'!$A$4:$N$16,14,0)</f>
        <v>4</v>
      </c>
      <c r="M3522">
        <f>VLOOKUP(D3522,DROPDOWN!B:C,2,0)</f>
        <v>11</v>
      </c>
      <c r="N3522" t="str">
        <f t="shared" si="176"/>
        <v>CO65:DG76</v>
      </c>
      <c r="O3522" s="4">
        <f t="shared" ref="O3522:O3585" ca="1" si="177">INDEX(INDIRECT(N3522),L3522,M3522)</f>
        <v>68289.590000000011</v>
      </c>
    </row>
    <row r="3523" spans="1:15">
      <c r="A3523" s="2" t="s">
        <v>14</v>
      </c>
      <c r="B3523" t="s">
        <v>31</v>
      </c>
      <c r="C3523" t="s">
        <v>32</v>
      </c>
      <c r="D3523">
        <v>40</v>
      </c>
      <c r="E3523" t="s">
        <v>46</v>
      </c>
      <c r="F3523">
        <v>5</v>
      </c>
      <c r="G3523">
        <v>1</v>
      </c>
      <c r="H3523">
        <v>4</v>
      </c>
      <c r="I3523">
        <v>1</v>
      </c>
      <c r="J3523" s="4" t="s">
        <v>54</v>
      </c>
      <c r="K3523" t="str">
        <f t="shared" si="175"/>
        <v>1+4</v>
      </c>
      <c r="L3523">
        <f>VLOOKUP(A3523,'ZONE 1 PREMIUM'!$A$4:$N$16,14,0)</f>
        <v>5</v>
      </c>
      <c r="M3523">
        <f>VLOOKUP(D3523,DROPDOWN!B:C,2,0)</f>
        <v>11</v>
      </c>
      <c r="N3523" t="str">
        <f t="shared" si="176"/>
        <v>CO65:DG76</v>
      </c>
      <c r="O3523" s="4">
        <f t="shared" ca="1" si="177"/>
        <v>75638.37000000001</v>
      </c>
    </row>
    <row r="3524" spans="1:15">
      <c r="A3524" s="2" t="s">
        <v>15</v>
      </c>
      <c r="B3524" t="s">
        <v>33</v>
      </c>
      <c r="C3524" t="s">
        <v>34</v>
      </c>
      <c r="D3524">
        <v>40</v>
      </c>
      <c r="E3524" t="s">
        <v>46</v>
      </c>
      <c r="F3524">
        <v>5</v>
      </c>
      <c r="G3524">
        <v>1</v>
      </c>
      <c r="H3524">
        <v>4</v>
      </c>
      <c r="I3524">
        <v>1</v>
      </c>
      <c r="J3524" s="4" t="s">
        <v>54</v>
      </c>
      <c r="K3524" t="str">
        <f t="shared" ref="K3524:K3587" si="178">G3524&amp;"+"&amp;H3524</f>
        <v>1+4</v>
      </c>
      <c r="L3524">
        <f>VLOOKUP(A3524,'ZONE 1 PREMIUM'!$A$4:$N$16,14,0)</f>
        <v>6</v>
      </c>
      <c r="M3524">
        <f>VLOOKUP(D3524,DROPDOWN!B:C,2,0)</f>
        <v>11</v>
      </c>
      <c r="N3524" t="str">
        <f t="shared" si="176"/>
        <v>CO65:DG76</v>
      </c>
      <c r="O3524" s="4">
        <f t="shared" ca="1" si="177"/>
        <v>92187.840000000011</v>
      </c>
    </row>
    <row r="3525" spans="1:15">
      <c r="A3525" s="2" t="s">
        <v>16</v>
      </c>
      <c r="B3525" t="s">
        <v>35</v>
      </c>
      <c r="C3525" t="s">
        <v>36</v>
      </c>
      <c r="D3525">
        <v>40</v>
      </c>
      <c r="E3525" t="s">
        <v>46</v>
      </c>
      <c r="F3525">
        <v>5</v>
      </c>
      <c r="G3525">
        <v>1</v>
      </c>
      <c r="H3525">
        <v>4</v>
      </c>
      <c r="I3525">
        <v>1</v>
      </c>
      <c r="J3525" s="4" t="s">
        <v>54</v>
      </c>
      <c r="K3525" t="str">
        <f t="shared" si="178"/>
        <v>1+4</v>
      </c>
      <c r="L3525">
        <f>VLOOKUP(A3525,'ZONE 1 PREMIUM'!$A$4:$N$16,14,0)</f>
        <v>7</v>
      </c>
      <c r="M3525">
        <f>VLOOKUP(D3525,DROPDOWN!B:C,2,0)</f>
        <v>11</v>
      </c>
      <c r="N3525" t="str">
        <f t="shared" si="176"/>
        <v>CO65:DG76</v>
      </c>
      <c r="O3525" s="4">
        <f t="shared" ca="1" si="177"/>
        <v>112810.64000000001</v>
      </c>
    </row>
    <row r="3526" spans="1:15">
      <c r="A3526" s="2" t="s">
        <v>17</v>
      </c>
      <c r="B3526" t="s">
        <v>37</v>
      </c>
      <c r="C3526" t="s">
        <v>38</v>
      </c>
      <c r="D3526">
        <v>40</v>
      </c>
      <c r="E3526" t="s">
        <v>46</v>
      </c>
      <c r="F3526">
        <v>5</v>
      </c>
      <c r="G3526">
        <v>1</v>
      </c>
      <c r="H3526">
        <v>4</v>
      </c>
      <c r="I3526">
        <v>1</v>
      </c>
      <c r="J3526" s="4" t="s">
        <v>54</v>
      </c>
      <c r="K3526" t="str">
        <f t="shared" si="178"/>
        <v>1+4</v>
      </c>
      <c r="L3526">
        <f>VLOOKUP(A3526,'ZONE 1 PREMIUM'!$A$4:$N$16,14,0)</f>
        <v>8</v>
      </c>
      <c r="M3526">
        <f>VLOOKUP(D3526,DROPDOWN!B:C,2,0)</f>
        <v>11</v>
      </c>
      <c r="N3526" t="str">
        <f t="shared" si="176"/>
        <v>CO65:DG76</v>
      </c>
      <c r="O3526" s="4">
        <f t="shared" ca="1" si="177"/>
        <v>135925.18000000002</v>
      </c>
    </row>
    <row r="3527" spans="1:15">
      <c r="A3527" s="2" t="s">
        <v>18</v>
      </c>
      <c r="B3527" t="s">
        <v>39</v>
      </c>
      <c r="C3527" t="s">
        <v>40</v>
      </c>
      <c r="D3527">
        <v>40</v>
      </c>
      <c r="E3527" t="s">
        <v>46</v>
      </c>
      <c r="F3527">
        <v>5</v>
      </c>
      <c r="G3527">
        <v>1</v>
      </c>
      <c r="H3527">
        <v>4</v>
      </c>
      <c r="I3527">
        <v>1</v>
      </c>
      <c r="J3527" s="4" t="s">
        <v>54</v>
      </c>
      <c r="K3527" t="str">
        <f t="shared" si="178"/>
        <v>1+4</v>
      </c>
      <c r="L3527">
        <f>VLOOKUP(A3527,'ZONE 1 PREMIUM'!$A$4:$N$16,14,0)</f>
        <v>9</v>
      </c>
      <c r="M3527">
        <f>VLOOKUP(D3527,DROPDOWN!B:C,2,0)</f>
        <v>11</v>
      </c>
      <c r="N3527" t="str">
        <f t="shared" si="176"/>
        <v>CO65:DG76</v>
      </c>
      <c r="O3527" s="4">
        <f t="shared" ca="1" si="177"/>
        <v>171280.42</v>
      </c>
    </row>
    <row r="3528" spans="1:15">
      <c r="A3528" s="2" t="s">
        <v>19</v>
      </c>
      <c r="B3528" t="s">
        <v>41</v>
      </c>
      <c r="C3528" t="s">
        <v>42</v>
      </c>
      <c r="D3528">
        <v>40</v>
      </c>
      <c r="E3528" t="s">
        <v>46</v>
      </c>
      <c r="F3528">
        <v>5</v>
      </c>
      <c r="G3528">
        <v>1</v>
      </c>
      <c r="H3528">
        <v>4</v>
      </c>
      <c r="I3528">
        <v>1</v>
      </c>
      <c r="J3528" s="4" t="s">
        <v>54</v>
      </c>
      <c r="K3528" t="str">
        <f t="shared" si="178"/>
        <v>1+4</v>
      </c>
      <c r="L3528">
        <f>VLOOKUP(A3528,'ZONE 1 PREMIUM'!$A$4:$N$16,14,0)</f>
        <v>10</v>
      </c>
      <c r="M3528">
        <f>VLOOKUP(D3528,DROPDOWN!B:C,2,0)</f>
        <v>11</v>
      </c>
      <c r="N3528" t="str">
        <f t="shared" si="176"/>
        <v>CO65:DG76</v>
      </c>
      <c r="O3528" s="4">
        <f t="shared" ca="1" si="177"/>
        <v>209990.68000000002</v>
      </c>
    </row>
    <row r="3529" spans="1:15">
      <c r="A3529" s="2" t="s">
        <v>20</v>
      </c>
      <c r="B3529" t="s">
        <v>43</v>
      </c>
      <c r="C3529" t="s">
        <v>44</v>
      </c>
      <c r="D3529">
        <v>40</v>
      </c>
      <c r="E3529" t="s">
        <v>46</v>
      </c>
      <c r="F3529">
        <v>5</v>
      </c>
      <c r="G3529">
        <v>1</v>
      </c>
      <c r="H3529">
        <v>4</v>
      </c>
      <c r="I3529">
        <v>1</v>
      </c>
      <c r="J3529" s="4" t="s">
        <v>54</v>
      </c>
      <c r="K3529" t="str">
        <f t="shared" si="178"/>
        <v>1+4</v>
      </c>
      <c r="L3529">
        <f>VLOOKUP(A3529,'ZONE 1 PREMIUM'!$A$4:$N$16,14,0)</f>
        <v>11</v>
      </c>
      <c r="M3529">
        <f>VLOOKUP(D3529,DROPDOWN!B:C,2,0)</f>
        <v>11</v>
      </c>
      <c r="N3529" t="str">
        <f t="shared" si="176"/>
        <v>CO65:DG76</v>
      </c>
      <c r="O3529" s="4">
        <f t="shared" ca="1" si="177"/>
        <v>244154.55000000002</v>
      </c>
    </row>
    <row r="3530" spans="1:15">
      <c r="A3530" s="2" t="s">
        <v>21</v>
      </c>
      <c r="B3530" t="s">
        <v>22</v>
      </c>
      <c r="D3530">
        <v>40</v>
      </c>
      <c r="E3530" t="s">
        <v>46</v>
      </c>
      <c r="F3530">
        <v>5</v>
      </c>
      <c r="G3530">
        <v>1</v>
      </c>
      <c r="H3530">
        <v>4</v>
      </c>
      <c r="I3530">
        <v>1</v>
      </c>
      <c r="J3530" s="4" t="s">
        <v>54</v>
      </c>
      <c r="K3530" t="str">
        <f t="shared" si="178"/>
        <v>1+4</v>
      </c>
      <c r="L3530">
        <f>VLOOKUP(A3530,'ZONE 1 PREMIUM'!$A$4:$N$16,14,0)</f>
        <v>12</v>
      </c>
      <c r="M3530">
        <f>VLOOKUP(D3530,DROPDOWN!B:C,2,0)</f>
        <v>11</v>
      </c>
      <c r="N3530" t="str">
        <f t="shared" si="176"/>
        <v>CO65:DG76</v>
      </c>
      <c r="O3530" s="4">
        <f t="shared" ca="1" si="177"/>
        <v>314181.60000000003</v>
      </c>
    </row>
    <row r="3531" spans="1:15">
      <c r="A3531" s="2" t="s">
        <v>11</v>
      </c>
      <c r="B3531" t="s">
        <v>45</v>
      </c>
      <c r="C3531" t="s">
        <v>25</v>
      </c>
      <c r="D3531">
        <v>40</v>
      </c>
      <c r="E3531" t="s">
        <v>46</v>
      </c>
      <c r="F3531">
        <v>2</v>
      </c>
      <c r="G3531">
        <v>2</v>
      </c>
      <c r="H3531">
        <v>0</v>
      </c>
      <c r="I3531">
        <v>1</v>
      </c>
      <c r="J3531" s="4" t="s">
        <v>54</v>
      </c>
      <c r="K3531" t="str">
        <f t="shared" si="178"/>
        <v>2+0</v>
      </c>
      <c r="L3531">
        <f>VLOOKUP(A3531,'ZONE 1 PREMIUM'!$A$4:$N$16,14,0)</f>
        <v>2</v>
      </c>
      <c r="M3531">
        <f>VLOOKUP(D3531,DROPDOWN!B:C,2,0)</f>
        <v>11</v>
      </c>
      <c r="N3531" t="str">
        <f t="shared" si="176"/>
        <v>CO81:DG92</v>
      </c>
      <c r="O3531" s="4">
        <f t="shared" ca="1" si="177"/>
        <v>41869.08</v>
      </c>
    </row>
    <row r="3532" spans="1:15">
      <c r="A3532" s="2" t="s">
        <v>12</v>
      </c>
      <c r="B3532" t="s">
        <v>27</v>
      </c>
      <c r="C3532" t="s">
        <v>28</v>
      </c>
      <c r="D3532">
        <v>40</v>
      </c>
      <c r="E3532" t="s">
        <v>46</v>
      </c>
      <c r="F3532">
        <v>2</v>
      </c>
      <c r="G3532">
        <v>2</v>
      </c>
      <c r="H3532">
        <v>0</v>
      </c>
      <c r="I3532">
        <v>1</v>
      </c>
      <c r="J3532" s="4" t="s">
        <v>54</v>
      </c>
      <c r="K3532" t="str">
        <f t="shared" si="178"/>
        <v>2+0</v>
      </c>
      <c r="L3532">
        <f>VLOOKUP(A3532,'ZONE 1 PREMIUM'!$A$4:$N$16,14,0)</f>
        <v>3</v>
      </c>
      <c r="M3532">
        <f>VLOOKUP(D3532,DROPDOWN!B:C,2,0)</f>
        <v>11</v>
      </c>
      <c r="N3532" t="str">
        <f t="shared" si="176"/>
        <v>CO81:DG92</v>
      </c>
      <c r="O3532" s="4">
        <f t="shared" ca="1" si="177"/>
        <v>47437.890000000007</v>
      </c>
    </row>
    <row r="3533" spans="1:15">
      <c r="A3533" s="2" t="s">
        <v>13</v>
      </c>
      <c r="B3533" t="s">
        <v>29</v>
      </c>
      <c r="C3533" t="s">
        <v>30</v>
      </c>
      <c r="D3533">
        <v>40</v>
      </c>
      <c r="E3533" t="s">
        <v>46</v>
      </c>
      <c r="F3533">
        <v>2</v>
      </c>
      <c r="G3533">
        <v>2</v>
      </c>
      <c r="H3533">
        <v>0</v>
      </c>
      <c r="I3533">
        <v>1</v>
      </c>
      <c r="J3533" s="4" t="s">
        <v>54</v>
      </c>
      <c r="K3533" t="str">
        <f t="shared" si="178"/>
        <v>2+0</v>
      </c>
      <c r="L3533">
        <f>VLOOKUP(A3533,'ZONE 1 PREMIUM'!$A$4:$N$16,14,0)</f>
        <v>4</v>
      </c>
      <c r="M3533">
        <f>VLOOKUP(D3533,DROPDOWN!B:C,2,0)</f>
        <v>11</v>
      </c>
      <c r="N3533" t="str">
        <f t="shared" si="176"/>
        <v>CO81:DG92</v>
      </c>
      <c r="O3533" s="4">
        <f t="shared" ca="1" si="177"/>
        <v>52795.240000000005</v>
      </c>
    </row>
    <row r="3534" spans="1:15">
      <c r="A3534" s="2" t="s">
        <v>14</v>
      </c>
      <c r="B3534" t="s">
        <v>31</v>
      </c>
      <c r="C3534" t="s">
        <v>32</v>
      </c>
      <c r="D3534">
        <v>40</v>
      </c>
      <c r="E3534" t="s">
        <v>46</v>
      </c>
      <c r="F3534">
        <v>2</v>
      </c>
      <c r="G3534">
        <v>2</v>
      </c>
      <c r="H3534">
        <v>0</v>
      </c>
      <c r="I3534">
        <v>1</v>
      </c>
      <c r="J3534" s="4" t="s">
        <v>54</v>
      </c>
      <c r="K3534" t="str">
        <f t="shared" si="178"/>
        <v>2+0</v>
      </c>
      <c r="L3534">
        <f>VLOOKUP(A3534,'ZONE 1 PREMIUM'!$A$4:$N$16,14,0)</f>
        <v>5</v>
      </c>
      <c r="M3534">
        <f>VLOOKUP(D3534,DROPDOWN!B:C,2,0)</f>
        <v>11</v>
      </c>
      <c r="N3534" t="str">
        <f t="shared" si="176"/>
        <v>CO81:DG92</v>
      </c>
      <c r="O3534" s="4">
        <f t="shared" ca="1" si="177"/>
        <v>61232.930000000008</v>
      </c>
    </row>
    <row r="3535" spans="1:15">
      <c r="A3535" s="2" t="s">
        <v>15</v>
      </c>
      <c r="B3535" t="s">
        <v>33</v>
      </c>
      <c r="C3535" t="s">
        <v>34</v>
      </c>
      <c r="D3535">
        <v>40</v>
      </c>
      <c r="E3535" t="s">
        <v>46</v>
      </c>
      <c r="F3535">
        <v>2</v>
      </c>
      <c r="G3535">
        <v>2</v>
      </c>
      <c r="H3535">
        <v>0</v>
      </c>
      <c r="I3535">
        <v>1</v>
      </c>
      <c r="J3535" s="4" t="s">
        <v>54</v>
      </c>
      <c r="K3535" t="str">
        <f t="shared" si="178"/>
        <v>2+0</v>
      </c>
      <c r="L3535">
        <f>VLOOKUP(A3535,'ZONE 1 PREMIUM'!$A$4:$N$16,14,0)</f>
        <v>6</v>
      </c>
      <c r="M3535">
        <f>VLOOKUP(D3535,DROPDOWN!B:C,2,0)</f>
        <v>11</v>
      </c>
      <c r="N3535" t="str">
        <f t="shared" si="176"/>
        <v>CO81:DG92</v>
      </c>
      <c r="O3535" s="4">
        <f t="shared" ca="1" si="177"/>
        <v>78676.200000000012</v>
      </c>
    </row>
    <row r="3536" spans="1:15">
      <c r="A3536" s="2" t="s">
        <v>16</v>
      </c>
      <c r="B3536" t="s">
        <v>35</v>
      </c>
      <c r="C3536" t="s">
        <v>36</v>
      </c>
      <c r="D3536">
        <v>40</v>
      </c>
      <c r="E3536" t="s">
        <v>46</v>
      </c>
      <c r="F3536">
        <v>2</v>
      </c>
      <c r="G3536">
        <v>2</v>
      </c>
      <c r="H3536">
        <v>0</v>
      </c>
      <c r="I3536">
        <v>1</v>
      </c>
      <c r="J3536" s="4" t="s">
        <v>54</v>
      </c>
      <c r="K3536" t="str">
        <f t="shared" si="178"/>
        <v>2+0</v>
      </c>
      <c r="L3536">
        <f>VLOOKUP(A3536,'ZONE 1 PREMIUM'!$A$4:$N$16,14,0)</f>
        <v>7</v>
      </c>
      <c r="M3536">
        <f>VLOOKUP(D3536,DROPDOWN!B:C,2,0)</f>
        <v>11</v>
      </c>
      <c r="N3536" t="str">
        <f t="shared" si="176"/>
        <v>CO81:DG92</v>
      </c>
      <c r="O3536" s="4">
        <f t="shared" ca="1" si="177"/>
        <v>104547.35</v>
      </c>
    </row>
    <row r="3537" spans="1:15">
      <c r="A3537" s="2" t="s">
        <v>17</v>
      </c>
      <c r="B3537" t="s">
        <v>37</v>
      </c>
      <c r="C3537" t="s">
        <v>38</v>
      </c>
      <c r="D3537">
        <v>40</v>
      </c>
      <c r="E3537" t="s">
        <v>46</v>
      </c>
      <c r="F3537">
        <v>2</v>
      </c>
      <c r="G3537">
        <v>2</v>
      </c>
      <c r="H3537">
        <v>0</v>
      </c>
      <c r="I3537">
        <v>1</v>
      </c>
      <c r="J3537" s="4" t="s">
        <v>54</v>
      </c>
      <c r="K3537" t="str">
        <f t="shared" si="178"/>
        <v>2+0</v>
      </c>
      <c r="L3537">
        <f>VLOOKUP(A3537,'ZONE 1 PREMIUM'!$A$4:$N$16,14,0)</f>
        <v>8</v>
      </c>
      <c r="M3537">
        <f>VLOOKUP(D3537,DROPDOWN!B:C,2,0)</f>
        <v>11</v>
      </c>
      <c r="N3537" t="str">
        <f t="shared" si="176"/>
        <v>CO81:DG92</v>
      </c>
      <c r="O3537" s="4">
        <f t="shared" ca="1" si="177"/>
        <v>143522.48000000001</v>
      </c>
    </row>
    <row r="3538" spans="1:15">
      <c r="A3538" s="2" t="s">
        <v>18</v>
      </c>
      <c r="B3538" t="s">
        <v>39</v>
      </c>
      <c r="C3538" t="s">
        <v>40</v>
      </c>
      <c r="D3538">
        <v>40</v>
      </c>
      <c r="E3538" t="s">
        <v>46</v>
      </c>
      <c r="F3538">
        <v>2</v>
      </c>
      <c r="G3538">
        <v>2</v>
      </c>
      <c r="H3538">
        <v>0</v>
      </c>
      <c r="I3538">
        <v>1</v>
      </c>
      <c r="J3538" s="4" t="s">
        <v>54</v>
      </c>
      <c r="K3538" t="str">
        <f t="shared" si="178"/>
        <v>2+0</v>
      </c>
      <c r="L3538">
        <f>VLOOKUP(A3538,'ZONE 1 PREMIUM'!$A$4:$N$16,14,0)</f>
        <v>9</v>
      </c>
      <c r="M3538">
        <f>VLOOKUP(D3538,DROPDOWN!B:C,2,0)</f>
        <v>11</v>
      </c>
      <c r="N3538" t="str">
        <f t="shared" ref="N3538:N3585" si="179">VLOOKUP(K3538,$DH$4:$DI$13,2,0)</f>
        <v>CO81:DG92</v>
      </c>
      <c r="O3538" s="4">
        <f t="shared" ca="1" si="177"/>
        <v>202469.68000000002</v>
      </c>
    </row>
    <row r="3539" spans="1:15">
      <c r="A3539" s="2" t="s">
        <v>19</v>
      </c>
      <c r="B3539" t="s">
        <v>41</v>
      </c>
      <c r="C3539" t="s">
        <v>42</v>
      </c>
      <c r="D3539">
        <v>40</v>
      </c>
      <c r="E3539" t="s">
        <v>46</v>
      </c>
      <c r="F3539">
        <v>2</v>
      </c>
      <c r="G3539">
        <v>2</v>
      </c>
      <c r="H3539">
        <v>0</v>
      </c>
      <c r="I3539">
        <v>1</v>
      </c>
      <c r="J3539" s="4" t="s">
        <v>54</v>
      </c>
      <c r="K3539" t="str">
        <f t="shared" si="178"/>
        <v>2+0</v>
      </c>
      <c r="L3539">
        <f>VLOOKUP(A3539,'ZONE 1 PREMIUM'!$A$4:$N$16,14,0)</f>
        <v>10</v>
      </c>
      <c r="M3539">
        <f>VLOOKUP(D3539,DROPDOWN!B:C,2,0)</f>
        <v>11</v>
      </c>
      <c r="N3539" t="str">
        <f t="shared" si="179"/>
        <v>CO81:DG92</v>
      </c>
      <c r="O3539" s="4">
        <f t="shared" ca="1" si="177"/>
        <v>285266.08</v>
      </c>
    </row>
    <row r="3540" spans="1:15">
      <c r="A3540" s="2" t="s">
        <v>20</v>
      </c>
      <c r="B3540" t="s">
        <v>43</v>
      </c>
      <c r="C3540" t="s">
        <v>44</v>
      </c>
      <c r="D3540">
        <v>40</v>
      </c>
      <c r="E3540" t="s">
        <v>46</v>
      </c>
      <c r="F3540">
        <v>2</v>
      </c>
      <c r="G3540">
        <v>2</v>
      </c>
      <c r="H3540">
        <v>0</v>
      </c>
      <c r="I3540">
        <v>1</v>
      </c>
      <c r="J3540" s="4" t="s">
        <v>54</v>
      </c>
      <c r="K3540" t="str">
        <f t="shared" si="178"/>
        <v>2+0</v>
      </c>
      <c r="L3540">
        <f>VLOOKUP(A3540,'ZONE 1 PREMIUM'!$A$4:$N$16,14,0)</f>
        <v>11</v>
      </c>
      <c r="M3540">
        <f>VLOOKUP(D3540,DROPDOWN!B:C,2,0)</f>
        <v>11</v>
      </c>
      <c r="N3540" t="str">
        <f t="shared" si="179"/>
        <v>CO81:DG92</v>
      </c>
      <c r="O3540" s="4">
        <f t="shared" ca="1" si="177"/>
        <v>355883.91000000003</v>
      </c>
    </row>
    <row r="3541" spans="1:15">
      <c r="A3541" s="2" t="s">
        <v>21</v>
      </c>
      <c r="B3541" t="s">
        <v>22</v>
      </c>
      <c r="D3541">
        <v>40</v>
      </c>
      <c r="E3541" t="s">
        <v>46</v>
      </c>
      <c r="F3541">
        <v>2</v>
      </c>
      <c r="G3541">
        <v>2</v>
      </c>
      <c r="H3541">
        <v>0</v>
      </c>
      <c r="I3541">
        <v>1</v>
      </c>
      <c r="J3541" s="4" t="s">
        <v>54</v>
      </c>
      <c r="K3541" t="str">
        <f t="shared" si="178"/>
        <v>2+0</v>
      </c>
      <c r="L3541">
        <f>VLOOKUP(A3541,'ZONE 1 PREMIUM'!$A$4:$N$16,14,0)</f>
        <v>12</v>
      </c>
      <c r="M3541">
        <f>VLOOKUP(D3541,DROPDOWN!B:C,2,0)</f>
        <v>11</v>
      </c>
      <c r="N3541" t="str">
        <f t="shared" si="179"/>
        <v>CO81:DG92</v>
      </c>
      <c r="O3541" s="4">
        <f t="shared" ca="1" si="177"/>
        <v>457746.59</v>
      </c>
    </row>
    <row r="3542" spans="1:15">
      <c r="A3542" s="2" t="s">
        <v>11</v>
      </c>
      <c r="B3542" t="s">
        <v>45</v>
      </c>
      <c r="C3542" t="s">
        <v>25</v>
      </c>
      <c r="D3542">
        <v>40</v>
      </c>
      <c r="E3542" t="s">
        <v>46</v>
      </c>
      <c r="F3542">
        <v>3</v>
      </c>
      <c r="G3542">
        <v>2</v>
      </c>
      <c r="H3542">
        <v>1</v>
      </c>
      <c r="I3542">
        <v>1</v>
      </c>
      <c r="J3542" s="4" t="s">
        <v>54</v>
      </c>
      <c r="K3542" t="str">
        <f t="shared" si="178"/>
        <v>2+1</v>
      </c>
      <c r="L3542">
        <f>VLOOKUP(A3542,'ZONE 1 PREMIUM'!$A$4:$N$16,14,0)</f>
        <v>2</v>
      </c>
      <c r="M3542">
        <f>VLOOKUP(D3542,DROPDOWN!B:C,2,0)</f>
        <v>11</v>
      </c>
      <c r="N3542" t="str">
        <f t="shared" si="179"/>
        <v>CO98:DG109</v>
      </c>
      <c r="O3542" s="4">
        <f t="shared" ca="1" si="177"/>
        <v>50800.54</v>
      </c>
    </row>
    <row r="3543" spans="1:15">
      <c r="A3543" s="2" t="s">
        <v>12</v>
      </c>
      <c r="B3543" t="s">
        <v>27</v>
      </c>
      <c r="C3543" t="s">
        <v>28</v>
      </c>
      <c r="D3543">
        <v>40</v>
      </c>
      <c r="E3543" t="s">
        <v>46</v>
      </c>
      <c r="F3543">
        <v>3</v>
      </c>
      <c r="G3543">
        <v>2</v>
      </c>
      <c r="H3543">
        <v>1</v>
      </c>
      <c r="I3543">
        <v>1</v>
      </c>
      <c r="J3543" s="4" t="s">
        <v>54</v>
      </c>
      <c r="K3543" t="str">
        <f t="shared" si="178"/>
        <v>2+1</v>
      </c>
      <c r="L3543">
        <f>VLOOKUP(A3543,'ZONE 1 PREMIUM'!$A$4:$N$16,14,0)</f>
        <v>3</v>
      </c>
      <c r="M3543">
        <f>VLOOKUP(D3543,DROPDOWN!B:C,2,0)</f>
        <v>11</v>
      </c>
      <c r="N3543" t="str">
        <f t="shared" si="179"/>
        <v>CO98:DG109</v>
      </c>
      <c r="O3543" s="4">
        <f t="shared" ca="1" si="177"/>
        <v>56215.66</v>
      </c>
    </row>
    <row r="3544" spans="1:15">
      <c r="A3544" s="2" t="s">
        <v>13</v>
      </c>
      <c r="B3544" t="s">
        <v>29</v>
      </c>
      <c r="C3544" t="s">
        <v>30</v>
      </c>
      <c r="D3544">
        <v>40</v>
      </c>
      <c r="E3544" t="s">
        <v>46</v>
      </c>
      <c r="F3544">
        <v>3</v>
      </c>
      <c r="G3544">
        <v>2</v>
      </c>
      <c r="H3544">
        <v>1</v>
      </c>
      <c r="I3544">
        <v>1</v>
      </c>
      <c r="J3544" s="4" t="s">
        <v>54</v>
      </c>
      <c r="K3544" t="str">
        <f t="shared" si="178"/>
        <v>2+1</v>
      </c>
      <c r="L3544">
        <f>VLOOKUP(A3544,'ZONE 1 PREMIUM'!$A$4:$N$16,14,0)</f>
        <v>4</v>
      </c>
      <c r="M3544">
        <f>VLOOKUP(D3544,DROPDOWN!B:C,2,0)</f>
        <v>11</v>
      </c>
      <c r="N3544" t="str">
        <f t="shared" si="179"/>
        <v>CO98:DG109</v>
      </c>
      <c r="O3544" s="4">
        <f t="shared" ca="1" si="177"/>
        <v>63099.01</v>
      </c>
    </row>
    <row r="3545" spans="1:15">
      <c r="A3545" s="2" t="s">
        <v>14</v>
      </c>
      <c r="B3545" t="s">
        <v>31</v>
      </c>
      <c r="C3545" t="s">
        <v>32</v>
      </c>
      <c r="D3545">
        <v>40</v>
      </c>
      <c r="E3545" t="s">
        <v>46</v>
      </c>
      <c r="F3545">
        <v>3</v>
      </c>
      <c r="G3545">
        <v>2</v>
      </c>
      <c r="H3545">
        <v>1</v>
      </c>
      <c r="I3545">
        <v>1</v>
      </c>
      <c r="J3545" s="4" t="s">
        <v>54</v>
      </c>
      <c r="K3545" t="str">
        <f t="shared" si="178"/>
        <v>2+1</v>
      </c>
      <c r="L3545">
        <f>VLOOKUP(A3545,'ZONE 1 PREMIUM'!$A$4:$N$16,14,0)</f>
        <v>5</v>
      </c>
      <c r="M3545">
        <f>VLOOKUP(D3545,DROPDOWN!B:C,2,0)</f>
        <v>11</v>
      </c>
      <c r="N3545" t="str">
        <f t="shared" si="179"/>
        <v>CO98:DG109</v>
      </c>
      <c r="O3545" s="4">
        <f t="shared" ca="1" si="177"/>
        <v>72294.25</v>
      </c>
    </row>
    <row r="3546" spans="1:15">
      <c r="A3546" s="2" t="s">
        <v>15</v>
      </c>
      <c r="B3546" t="s">
        <v>33</v>
      </c>
      <c r="C3546" t="s">
        <v>34</v>
      </c>
      <c r="D3546">
        <v>40</v>
      </c>
      <c r="E3546" t="s">
        <v>46</v>
      </c>
      <c r="F3546">
        <v>3</v>
      </c>
      <c r="G3546">
        <v>2</v>
      </c>
      <c r="H3546">
        <v>1</v>
      </c>
      <c r="I3546">
        <v>1</v>
      </c>
      <c r="J3546" s="4" t="s">
        <v>54</v>
      </c>
      <c r="K3546" t="str">
        <f t="shared" si="178"/>
        <v>2+1</v>
      </c>
      <c r="L3546">
        <f>VLOOKUP(A3546,'ZONE 1 PREMIUM'!$A$4:$N$16,14,0)</f>
        <v>6</v>
      </c>
      <c r="M3546">
        <f>VLOOKUP(D3546,DROPDOWN!B:C,2,0)</f>
        <v>11</v>
      </c>
      <c r="N3546" t="str">
        <f t="shared" si="179"/>
        <v>CO98:DG109</v>
      </c>
      <c r="O3546" s="4">
        <f t="shared" ca="1" si="177"/>
        <v>91164.33</v>
      </c>
    </row>
    <row r="3547" spans="1:15">
      <c r="A3547" s="2" t="s">
        <v>16</v>
      </c>
      <c r="B3547" t="s">
        <v>35</v>
      </c>
      <c r="C3547" t="s">
        <v>36</v>
      </c>
      <c r="D3547">
        <v>40</v>
      </c>
      <c r="E3547" t="s">
        <v>46</v>
      </c>
      <c r="F3547">
        <v>3</v>
      </c>
      <c r="G3547">
        <v>2</v>
      </c>
      <c r="H3547">
        <v>1</v>
      </c>
      <c r="I3547">
        <v>1</v>
      </c>
      <c r="J3547" s="4" t="s">
        <v>54</v>
      </c>
      <c r="K3547" t="str">
        <f t="shared" si="178"/>
        <v>2+1</v>
      </c>
      <c r="L3547">
        <f>VLOOKUP(A3547,'ZONE 1 PREMIUM'!$A$4:$N$16,14,0)</f>
        <v>7</v>
      </c>
      <c r="M3547">
        <f>VLOOKUP(D3547,DROPDOWN!B:C,2,0)</f>
        <v>11</v>
      </c>
      <c r="N3547" t="str">
        <f t="shared" si="179"/>
        <v>CO98:DG109</v>
      </c>
      <c r="O3547" s="4">
        <f t="shared" ca="1" si="177"/>
        <v>120099.47000000002</v>
      </c>
    </row>
    <row r="3548" spans="1:15">
      <c r="A3548" s="2" t="s">
        <v>17</v>
      </c>
      <c r="B3548" t="s">
        <v>37</v>
      </c>
      <c r="C3548" t="s">
        <v>38</v>
      </c>
      <c r="D3548">
        <v>40</v>
      </c>
      <c r="E3548" t="s">
        <v>46</v>
      </c>
      <c r="F3548">
        <v>3</v>
      </c>
      <c r="G3548">
        <v>2</v>
      </c>
      <c r="H3548">
        <v>1</v>
      </c>
      <c r="I3548">
        <v>1</v>
      </c>
      <c r="J3548" s="4" t="s">
        <v>54</v>
      </c>
      <c r="K3548" t="str">
        <f t="shared" si="178"/>
        <v>2+1</v>
      </c>
      <c r="L3548">
        <f>VLOOKUP(A3548,'ZONE 1 PREMIUM'!$A$4:$N$16,14,0)</f>
        <v>8</v>
      </c>
      <c r="M3548">
        <f>VLOOKUP(D3548,DROPDOWN!B:C,2,0)</f>
        <v>11</v>
      </c>
      <c r="N3548" t="str">
        <f t="shared" si="179"/>
        <v>CO98:DG109</v>
      </c>
      <c r="O3548" s="4">
        <f t="shared" ca="1" si="177"/>
        <v>160299.76</v>
      </c>
    </row>
    <row r="3549" spans="1:15">
      <c r="A3549" s="2" t="s">
        <v>18</v>
      </c>
      <c r="B3549" t="s">
        <v>39</v>
      </c>
      <c r="C3549" t="s">
        <v>40</v>
      </c>
      <c r="D3549">
        <v>40</v>
      </c>
      <c r="E3549" t="s">
        <v>46</v>
      </c>
      <c r="F3549">
        <v>3</v>
      </c>
      <c r="G3549">
        <v>2</v>
      </c>
      <c r="H3549">
        <v>1</v>
      </c>
      <c r="I3549">
        <v>1</v>
      </c>
      <c r="J3549" s="4" t="s">
        <v>54</v>
      </c>
      <c r="K3549" t="str">
        <f t="shared" si="178"/>
        <v>2+1</v>
      </c>
      <c r="L3549">
        <f>VLOOKUP(A3549,'ZONE 1 PREMIUM'!$A$4:$N$16,14,0)</f>
        <v>9</v>
      </c>
      <c r="M3549">
        <f>VLOOKUP(D3549,DROPDOWN!B:C,2,0)</f>
        <v>11</v>
      </c>
      <c r="N3549" t="str">
        <f t="shared" si="179"/>
        <v>CO98:DG109</v>
      </c>
      <c r="O3549" s="4">
        <f t="shared" ca="1" si="177"/>
        <v>219553.25000000003</v>
      </c>
    </row>
    <row r="3550" spans="1:15">
      <c r="A3550" s="2" t="s">
        <v>19</v>
      </c>
      <c r="B3550" t="s">
        <v>41</v>
      </c>
      <c r="C3550" t="s">
        <v>42</v>
      </c>
      <c r="D3550">
        <v>40</v>
      </c>
      <c r="E3550" t="s">
        <v>46</v>
      </c>
      <c r="F3550">
        <v>3</v>
      </c>
      <c r="G3550">
        <v>2</v>
      </c>
      <c r="H3550">
        <v>1</v>
      </c>
      <c r="I3550">
        <v>1</v>
      </c>
      <c r="J3550" s="4" t="s">
        <v>54</v>
      </c>
      <c r="K3550" t="str">
        <f t="shared" si="178"/>
        <v>2+1</v>
      </c>
      <c r="L3550">
        <f>VLOOKUP(A3550,'ZONE 1 PREMIUM'!$A$4:$N$16,14,0)</f>
        <v>10</v>
      </c>
      <c r="M3550">
        <f>VLOOKUP(D3550,DROPDOWN!B:C,2,0)</f>
        <v>11</v>
      </c>
      <c r="N3550" t="str">
        <f t="shared" si="179"/>
        <v>CO98:DG109</v>
      </c>
      <c r="O3550" s="4">
        <f t="shared" ca="1" si="177"/>
        <v>295987.32</v>
      </c>
    </row>
    <row r="3551" spans="1:15">
      <c r="A3551" s="2" t="s">
        <v>20</v>
      </c>
      <c r="B3551" t="s">
        <v>43</v>
      </c>
      <c r="C3551" t="s">
        <v>44</v>
      </c>
      <c r="D3551">
        <v>40</v>
      </c>
      <c r="E3551" t="s">
        <v>46</v>
      </c>
      <c r="F3551">
        <v>3</v>
      </c>
      <c r="G3551">
        <v>2</v>
      </c>
      <c r="H3551">
        <v>1</v>
      </c>
      <c r="I3551">
        <v>1</v>
      </c>
      <c r="J3551" s="4" t="s">
        <v>54</v>
      </c>
      <c r="K3551" t="str">
        <f t="shared" si="178"/>
        <v>2+1</v>
      </c>
      <c r="L3551">
        <f>VLOOKUP(A3551,'ZONE 1 PREMIUM'!$A$4:$N$16,14,0)</f>
        <v>11</v>
      </c>
      <c r="M3551">
        <f>VLOOKUP(D3551,DROPDOWN!B:C,2,0)</f>
        <v>11</v>
      </c>
      <c r="N3551" t="str">
        <f t="shared" si="179"/>
        <v>CO98:DG109</v>
      </c>
      <c r="O3551" s="4">
        <f t="shared" ca="1" si="177"/>
        <v>364200.61000000004</v>
      </c>
    </row>
    <row r="3552" spans="1:15">
      <c r="A3552" s="2" t="s">
        <v>21</v>
      </c>
      <c r="B3552" t="s">
        <v>22</v>
      </c>
      <c r="D3552">
        <v>40</v>
      </c>
      <c r="E3552" t="s">
        <v>46</v>
      </c>
      <c r="F3552">
        <v>3</v>
      </c>
      <c r="G3552">
        <v>2</v>
      </c>
      <c r="H3552">
        <v>1</v>
      </c>
      <c r="I3552">
        <v>1</v>
      </c>
      <c r="J3552" s="4" t="s">
        <v>54</v>
      </c>
      <c r="K3552" t="str">
        <f t="shared" si="178"/>
        <v>2+1</v>
      </c>
      <c r="L3552">
        <f>VLOOKUP(A3552,'ZONE 1 PREMIUM'!$A$4:$N$16,14,0)</f>
        <v>12</v>
      </c>
      <c r="M3552">
        <f>VLOOKUP(D3552,DROPDOWN!B:C,2,0)</f>
        <v>11</v>
      </c>
      <c r="N3552" t="str">
        <f t="shared" si="179"/>
        <v>CO98:DG109</v>
      </c>
      <c r="O3552" s="4">
        <f t="shared" ca="1" si="177"/>
        <v>465644.73000000004</v>
      </c>
    </row>
    <row r="3553" spans="1:15">
      <c r="A3553" s="2" t="s">
        <v>11</v>
      </c>
      <c r="B3553" t="s">
        <v>45</v>
      </c>
      <c r="C3553" t="s">
        <v>25</v>
      </c>
      <c r="D3553">
        <v>40</v>
      </c>
      <c r="E3553" t="s">
        <v>46</v>
      </c>
      <c r="F3553">
        <v>4</v>
      </c>
      <c r="G3553">
        <v>2</v>
      </c>
      <c r="H3553">
        <v>2</v>
      </c>
      <c r="I3553">
        <v>1</v>
      </c>
      <c r="J3553" s="4" t="s">
        <v>54</v>
      </c>
      <c r="K3553" t="str">
        <f t="shared" si="178"/>
        <v>2+2</v>
      </c>
      <c r="L3553">
        <f>VLOOKUP(A3553,'ZONE 1 PREMIUM'!$A$4:$N$16,14,0)</f>
        <v>2</v>
      </c>
      <c r="M3553">
        <f>VLOOKUP(D3553,DROPDOWN!B:C,2,0)</f>
        <v>11</v>
      </c>
      <c r="N3553" t="str">
        <f t="shared" si="179"/>
        <v>CO113:DG124</v>
      </c>
      <c r="O3553" s="4">
        <f t="shared" ca="1" si="177"/>
        <v>59585.94</v>
      </c>
    </row>
    <row r="3554" spans="1:15">
      <c r="A3554" s="2" t="s">
        <v>12</v>
      </c>
      <c r="B3554" t="s">
        <v>27</v>
      </c>
      <c r="C3554" t="s">
        <v>28</v>
      </c>
      <c r="D3554">
        <v>40</v>
      </c>
      <c r="E3554" t="s">
        <v>46</v>
      </c>
      <c r="F3554">
        <v>4</v>
      </c>
      <c r="G3554">
        <v>2</v>
      </c>
      <c r="H3554">
        <v>2</v>
      </c>
      <c r="I3554">
        <v>1</v>
      </c>
      <c r="J3554" s="4" t="s">
        <v>54</v>
      </c>
      <c r="K3554" t="str">
        <f t="shared" si="178"/>
        <v>2+2</v>
      </c>
      <c r="L3554">
        <f>VLOOKUP(A3554,'ZONE 1 PREMIUM'!$A$4:$N$16,14,0)</f>
        <v>3</v>
      </c>
      <c r="M3554">
        <f>VLOOKUP(D3554,DROPDOWN!B:C,2,0)</f>
        <v>11</v>
      </c>
      <c r="N3554" t="str">
        <f t="shared" si="179"/>
        <v>CO113:DG124</v>
      </c>
      <c r="O3554" s="4">
        <f t="shared" ca="1" si="177"/>
        <v>64845.19</v>
      </c>
    </row>
    <row r="3555" spans="1:15">
      <c r="A3555" s="2" t="s">
        <v>13</v>
      </c>
      <c r="B3555" t="s">
        <v>29</v>
      </c>
      <c r="C3555" t="s">
        <v>30</v>
      </c>
      <c r="D3555">
        <v>40</v>
      </c>
      <c r="E3555" t="s">
        <v>46</v>
      </c>
      <c r="F3555">
        <v>4</v>
      </c>
      <c r="G3555">
        <v>2</v>
      </c>
      <c r="H3555">
        <v>2</v>
      </c>
      <c r="I3555">
        <v>1</v>
      </c>
      <c r="J3555" s="4" t="s">
        <v>54</v>
      </c>
      <c r="K3555" t="str">
        <f t="shared" si="178"/>
        <v>2+2</v>
      </c>
      <c r="L3555">
        <f>VLOOKUP(A3555,'ZONE 1 PREMIUM'!$A$4:$N$16,14,0)</f>
        <v>4</v>
      </c>
      <c r="M3555">
        <f>VLOOKUP(D3555,DROPDOWN!B:C,2,0)</f>
        <v>11</v>
      </c>
      <c r="N3555" t="str">
        <f t="shared" si="179"/>
        <v>CO113:DG124</v>
      </c>
      <c r="O3555" s="4">
        <f t="shared" ca="1" si="177"/>
        <v>73188.05</v>
      </c>
    </row>
    <row r="3556" spans="1:15">
      <c r="A3556" s="2" t="s">
        <v>14</v>
      </c>
      <c r="B3556" t="s">
        <v>31</v>
      </c>
      <c r="C3556" t="s">
        <v>32</v>
      </c>
      <c r="D3556">
        <v>40</v>
      </c>
      <c r="E3556" t="s">
        <v>46</v>
      </c>
      <c r="F3556">
        <v>4</v>
      </c>
      <c r="G3556">
        <v>2</v>
      </c>
      <c r="H3556">
        <v>2</v>
      </c>
      <c r="I3556">
        <v>1</v>
      </c>
      <c r="J3556" s="4" t="s">
        <v>54</v>
      </c>
      <c r="K3556" t="str">
        <f t="shared" si="178"/>
        <v>2+2</v>
      </c>
      <c r="L3556">
        <f>VLOOKUP(A3556,'ZONE 1 PREMIUM'!$A$4:$N$16,14,0)</f>
        <v>5</v>
      </c>
      <c r="M3556">
        <f>VLOOKUP(D3556,DROPDOWN!B:C,2,0)</f>
        <v>11</v>
      </c>
      <c r="N3556" t="str">
        <f t="shared" si="179"/>
        <v>CO113:DG124</v>
      </c>
      <c r="O3556" s="4">
        <f t="shared" ca="1" si="177"/>
        <v>83095.060000000012</v>
      </c>
    </row>
    <row r="3557" spans="1:15">
      <c r="A3557" s="2" t="s">
        <v>15</v>
      </c>
      <c r="B3557" t="s">
        <v>33</v>
      </c>
      <c r="C3557" t="s">
        <v>34</v>
      </c>
      <c r="D3557">
        <v>40</v>
      </c>
      <c r="E3557" t="s">
        <v>46</v>
      </c>
      <c r="F3557">
        <v>4</v>
      </c>
      <c r="G3557">
        <v>2</v>
      </c>
      <c r="H3557">
        <v>2</v>
      </c>
      <c r="I3557">
        <v>1</v>
      </c>
      <c r="J3557" s="4" t="s">
        <v>54</v>
      </c>
      <c r="K3557" t="str">
        <f t="shared" si="178"/>
        <v>2+2</v>
      </c>
      <c r="L3557">
        <f>VLOOKUP(A3557,'ZONE 1 PREMIUM'!$A$4:$N$16,14,0)</f>
        <v>6</v>
      </c>
      <c r="M3557">
        <f>VLOOKUP(D3557,DROPDOWN!B:C,2,0)</f>
        <v>11</v>
      </c>
      <c r="N3557" t="str">
        <f t="shared" si="179"/>
        <v>CO113:DG124</v>
      </c>
      <c r="O3557" s="4">
        <f t="shared" ca="1" si="177"/>
        <v>103332.00000000001</v>
      </c>
    </row>
    <row r="3558" spans="1:15">
      <c r="A3558" s="2" t="s">
        <v>16</v>
      </c>
      <c r="B3558" t="s">
        <v>35</v>
      </c>
      <c r="C3558" t="s">
        <v>36</v>
      </c>
      <c r="D3558">
        <v>40</v>
      </c>
      <c r="E3558" t="s">
        <v>46</v>
      </c>
      <c r="F3558">
        <v>4</v>
      </c>
      <c r="G3558">
        <v>2</v>
      </c>
      <c r="H3558">
        <v>2</v>
      </c>
      <c r="I3558">
        <v>1</v>
      </c>
      <c r="J3558" s="4" t="s">
        <v>54</v>
      </c>
      <c r="K3558" t="str">
        <f t="shared" si="178"/>
        <v>2+2</v>
      </c>
      <c r="L3558">
        <f>VLOOKUP(A3558,'ZONE 1 PREMIUM'!$A$4:$N$16,14,0)</f>
        <v>7</v>
      </c>
      <c r="M3558">
        <f>VLOOKUP(D3558,DROPDOWN!B:C,2,0)</f>
        <v>11</v>
      </c>
      <c r="N3558" t="str">
        <f t="shared" si="179"/>
        <v>CO113:DG124</v>
      </c>
      <c r="O3558" s="4">
        <f t="shared" ca="1" si="177"/>
        <v>135236.30000000002</v>
      </c>
    </row>
    <row r="3559" spans="1:15">
      <c r="A3559" s="2" t="s">
        <v>17</v>
      </c>
      <c r="B3559" t="s">
        <v>37</v>
      </c>
      <c r="C3559" t="s">
        <v>38</v>
      </c>
      <c r="D3559">
        <v>40</v>
      </c>
      <c r="E3559" t="s">
        <v>46</v>
      </c>
      <c r="F3559">
        <v>4</v>
      </c>
      <c r="G3559">
        <v>2</v>
      </c>
      <c r="H3559">
        <v>2</v>
      </c>
      <c r="I3559">
        <v>1</v>
      </c>
      <c r="J3559" s="4" t="s">
        <v>54</v>
      </c>
      <c r="K3559" t="str">
        <f t="shared" si="178"/>
        <v>2+2</v>
      </c>
      <c r="L3559">
        <f>VLOOKUP(A3559,'ZONE 1 PREMIUM'!$A$4:$N$16,14,0)</f>
        <v>8</v>
      </c>
      <c r="M3559">
        <f>VLOOKUP(D3559,DROPDOWN!B:C,2,0)</f>
        <v>11</v>
      </c>
      <c r="N3559" t="str">
        <f t="shared" si="179"/>
        <v>CO113:DG124</v>
      </c>
      <c r="O3559" s="4">
        <f t="shared" ca="1" si="177"/>
        <v>174594.02000000002</v>
      </c>
    </row>
    <row r="3560" spans="1:15">
      <c r="A3560" s="2" t="s">
        <v>18</v>
      </c>
      <c r="B3560" t="s">
        <v>39</v>
      </c>
      <c r="C3560" t="s">
        <v>40</v>
      </c>
      <c r="D3560">
        <v>40</v>
      </c>
      <c r="E3560" t="s">
        <v>46</v>
      </c>
      <c r="F3560">
        <v>4</v>
      </c>
      <c r="G3560">
        <v>2</v>
      </c>
      <c r="H3560">
        <v>2</v>
      </c>
      <c r="I3560">
        <v>1</v>
      </c>
      <c r="J3560" s="4" t="s">
        <v>54</v>
      </c>
      <c r="K3560" t="str">
        <f t="shared" si="178"/>
        <v>2+2</v>
      </c>
      <c r="L3560">
        <f>VLOOKUP(A3560,'ZONE 1 PREMIUM'!$A$4:$N$16,14,0)</f>
        <v>9</v>
      </c>
      <c r="M3560">
        <f>VLOOKUP(D3560,DROPDOWN!B:C,2,0)</f>
        <v>11</v>
      </c>
      <c r="N3560" t="str">
        <f t="shared" si="179"/>
        <v>CO113:DG124</v>
      </c>
      <c r="O3560" s="4">
        <f t="shared" ca="1" si="177"/>
        <v>231097.44000000003</v>
      </c>
    </row>
    <row r="3561" spans="1:15">
      <c r="A3561" s="2" t="s">
        <v>19</v>
      </c>
      <c r="B3561" t="s">
        <v>41</v>
      </c>
      <c r="C3561" t="s">
        <v>42</v>
      </c>
      <c r="D3561">
        <v>40</v>
      </c>
      <c r="E3561" t="s">
        <v>46</v>
      </c>
      <c r="F3561">
        <v>4</v>
      </c>
      <c r="G3561">
        <v>2</v>
      </c>
      <c r="H3561">
        <v>2</v>
      </c>
      <c r="I3561">
        <v>1</v>
      </c>
      <c r="J3561" s="4" t="s">
        <v>54</v>
      </c>
      <c r="K3561" t="str">
        <f t="shared" si="178"/>
        <v>2+2</v>
      </c>
      <c r="L3561">
        <f>VLOOKUP(A3561,'ZONE 1 PREMIUM'!$A$4:$N$16,14,0)</f>
        <v>10</v>
      </c>
      <c r="M3561">
        <f>VLOOKUP(D3561,DROPDOWN!B:C,2,0)</f>
        <v>11</v>
      </c>
      <c r="N3561" t="str">
        <f t="shared" si="179"/>
        <v>CO113:DG124</v>
      </c>
      <c r="O3561" s="4">
        <f t="shared" ca="1" si="177"/>
        <v>301298.89</v>
      </c>
    </row>
    <row r="3562" spans="1:15">
      <c r="A3562" s="2" t="s">
        <v>20</v>
      </c>
      <c r="B3562" t="s">
        <v>43</v>
      </c>
      <c r="C3562" t="s">
        <v>44</v>
      </c>
      <c r="D3562">
        <v>40</v>
      </c>
      <c r="E3562" t="s">
        <v>46</v>
      </c>
      <c r="F3562">
        <v>4</v>
      </c>
      <c r="G3562">
        <v>2</v>
      </c>
      <c r="H3562">
        <v>2</v>
      </c>
      <c r="I3562">
        <v>1</v>
      </c>
      <c r="J3562" s="4" t="s">
        <v>54</v>
      </c>
      <c r="K3562" t="str">
        <f t="shared" si="178"/>
        <v>2+2</v>
      </c>
      <c r="L3562">
        <f>VLOOKUP(A3562,'ZONE 1 PREMIUM'!$A$4:$N$16,14,0)</f>
        <v>11</v>
      </c>
      <c r="M3562">
        <f>VLOOKUP(D3562,DROPDOWN!B:C,2,0)</f>
        <v>11</v>
      </c>
      <c r="N3562" t="str">
        <f t="shared" si="179"/>
        <v>CO113:DG124</v>
      </c>
      <c r="O3562" s="4">
        <f t="shared" ca="1" si="177"/>
        <v>370031.02</v>
      </c>
    </row>
    <row r="3563" spans="1:15">
      <c r="A3563" s="2" t="s">
        <v>21</v>
      </c>
      <c r="B3563" t="s">
        <v>22</v>
      </c>
      <c r="D3563">
        <v>40</v>
      </c>
      <c r="E3563" t="s">
        <v>46</v>
      </c>
      <c r="F3563">
        <v>4</v>
      </c>
      <c r="G3563">
        <v>2</v>
      </c>
      <c r="H3563">
        <v>2</v>
      </c>
      <c r="I3563">
        <v>1</v>
      </c>
      <c r="J3563" s="4" t="s">
        <v>54</v>
      </c>
      <c r="K3563" t="str">
        <f t="shared" si="178"/>
        <v>2+2</v>
      </c>
      <c r="L3563">
        <f>VLOOKUP(A3563,'ZONE 1 PREMIUM'!$A$4:$N$16,14,0)</f>
        <v>12</v>
      </c>
      <c r="M3563">
        <f>VLOOKUP(D3563,DROPDOWN!B:C,2,0)</f>
        <v>11</v>
      </c>
      <c r="N3563" t="str">
        <f t="shared" si="179"/>
        <v>CO113:DG124</v>
      </c>
      <c r="O3563" s="4">
        <f t="shared" ca="1" si="177"/>
        <v>471723.66000000003</v>
      </c>
    </row>
    <row r="3564" spans="1:15">
      <c r="A3564" s="2" t="s">
        <v>11</v>
      </c>
      <c r="B3564" t="s">
        <v>45</v>
      </c>
      <c r="C3564" t="s">
        <v>25</v>
      </c>
      <c r="D3564">
        <v>40</v>
      </c>
      <c r="E3564" t="s">
        <v>46</v>
      </c>
      <c r="F3564">
        <v>5</v>
      </c>
      <c r="G3564">
        <v>2</v>
      </c>
      <c r="H3564">
        <v>3</v>
      </c>
      <c r="I3564">
        <v>1</v>
      </c>
      <c r="J3564" s="4" t="s">
        <v>54</v>
      </c>
      <c r="K3564" t="str">
        <f t="shared" si="178"/>
        <v>2+3</v>
      </c>
      <c r="L3564">
        <f>VLOOKUP(A3564,'ZONE 1 PREMIUM'!$A$4:$N$16,14,0)</f>
        <v>2</v>
      </c>
      <c r="M3564">
        <f>VLOOKUP(D3564,DROPDOWN!B:C,2,0)</f>
        <v>11</v>
      </c>
      <c r="N3564" t="str">
        <f t="shared" si="179"/>
        <v>CO128:DG139</v>
      </c>
      <c r="O3564" s="4">
        <f t="shared" ca="1" si="177"/>
        <v>68370.25</v>
      </c>
    </row>
    <row r="3565" spans="1:15">
      <c r="A3565" s="2" t="s">
        <v>12</v>
      </c>
      <c r="B3565" t="s">
        <v>27</v>
      </c>
      <c r="C3565" t="s">
        <v>28</v>
      </c>
      <c r="D3565">
        <v>40</v>
      </c>
      <c r="E3565" t="s">
        <v>46</v>
      </c>
      <c r="F3565">
        <v>5</v>
      </c>
      <c r="G3565">
        <v>2</v>
      </c>
      <c r="H3565">
        <v>3</v>
      </c>
      <c r="I3565">
        <v>1</v>
      </c>
      <c r="J3565" s="4" t="s">
        <v>54</v>
      </c>
      <c r="K3565" t="str">
        <f t="shared" si="178"/>
        <v>2+3</v>
      </c>
      <c r="L3565">
        <f>VLOOKUP(A3565,'ZONE 1 PREMIUM'!$A$4:$N$16,14,0)</f>
        <v>3</v>
      </c>
      <c r="M3565">
        <f>VLOOKUP(D3565,DROPDOWN!B:C,2,0)</f>
        <v>11</v>
      </c>
      <c r="N3565" t="str">
        <f t="shared" si="179"/>
        <v>CO128:DG139</v>
      </c>
      <c r="O3565" s="4">
        <f t="shared" ca="1" si="177"/>
        <v>73475.810000000012</v>
      </c>
    </row>
    <row r="3566" spans="1:15">
      <c r="A3566" s="2" t="s">
        <v>13</v>
      </c>
      <c r="B3566" t="s">
        <v>29</v>
      </c>
      <c r="C3566" t="s">
        <v>30</v>
      </c>
      <c r="D3566">
        <v>40</v>
      </c>
      <c r="E3566" t="s">
        <v>46</v>
      </c>
      <c r="F3566">
        <v>5</v>
      </c>
      <c r="G3566">
        <v>2</v>
      </c>
      <c r="H3566">
        <v>3</v>
      </c>
      <c r="I3566">
        <v>1</v>
      </c>
      <c r="J3566" s="4" t="s">
        <v>54</v>
      </c>
      <c r="K3566" t="str">
        <f t="shared" si="178"/>
        <v>2+3</v>
      </c>
      <c r="L3566">
        <f>VLOOKUP(A3566,'ZONE 1 PREMIUM'!$A$4:$N$16,14,0)</f>
        <v>4</v>
      </c>
      <c r="M3566">
        <f>VLOOKUP(D3566,DROPDOWN!B:C,2,0)</f>
        <v>11</v>
      </c>
      <c r="N3566" t="str">
        <f t="shared" si="179"/>
        <v>CO128:DG139</v>
      </c>
      <c r="O3566" s="4">
        <f t="shared" ca="1" si="177"/>
        <v>83277.090000000011</v>
      </c>
    </row>
    <row r="3567" spans="1:15">
      <c r="A3567" s="2" t="s">
        <v>14</v>
      </c>
      <c r="B3567" t="s">
        <v>31</v>
      </c>
      <c r="C3567" t="s">
        <v>32</v>
      </c>
      <c r="D3567">
        <v>40</v>
      </c>
      <c r="E3567" t="s">
        <v>46</v>
      </c>
      <c r="F3567">
        <v>5</v>
      </c>
      <c r="G3567">
        <v>2</v>
      </c>
      <c r="H3567">
        <v>3</v>
      </c>
      <c r="I3567">
        <v>1</v>
      </c>
      <c r="J3567" s="4" t="s">
        <v>54</v>
      </c>
      <c r="K3567" t="str">
        <f t="shared" si="178"/>
        <v>2+3</v>
      </c>
      <c r="L3567">
        <f>VLOOKUP(A3567,'ZONE 1 PREMIUM'!$A$4:$N$16,14,0)</f>
        <v>5</v>
      </c>
      <c r="M3567">
        <f>VLOOKUP(D3567,DROPDOWN!B:C,2,0)</f>
        <v>11</v>
      </c>
      <c r="N3567" t="str">
        <f t="shared" si="179"/>
        <v>CO128:DG139</v>
      </c>
      <c r="O3567" s="4">
        <f t="shared" ca="1" si="177"/>
        <v>93894.780000000013</v>
      </c>
    </row>
    <row r="3568" spans="1:15">
      <c r="A3568" s="2" t="s">
        <v>15</v>
      </c>
      <c r="B3568" t="s">
        <v>33</v>
      </c>
      <c r="C3568" t="s">
        <v>34</v>
      </c>
      <c r="D3568">
        <v>40</v>
      </c>
      <c r="E3568" t="s">
        <v>46</v>
      </c>
      <c r="F3568">
        <v>5</v>
      </c>
      <c r="G3568">
        <v>2</v>
      </c>
      <c r="H3568">
        <v>3</v>
      </c>
      <c r="I3568">
        <v>1</v>
      </c>
      <c r="J3568" s="4" t="s">
        <v>54</v>
      </c>
      <c r="K3568" t="str">
        <f t="shared" si="178"/>
        <v>2+3</v>
      </c>
      <c r="L3568">
        <f>VLOOKUP(A3568,'ZONE 1 PREMIUM'!$A$4:$N$16,14,0)</f>
        <v>6</v>
      </c>
      <c r="M3568">
        <f>VLOOKUP(D3568,DROPDOWN!B:C,2,0)</f>
        <v>11</v>
      </c>
      <c r="N3568" t="str">
        <f t="shared" si="179"/>
        <v>CO128:DG139</v>
      </c>
      <c r="O3568" s="4">
        <f t="shared" ca="1" si="177"/>
        <v>115500.76000000001</v>
      </c>
    </row>
    <row r="3569" spans="1:15">
      <c r="A3569" s="2" t="s">
        <v>16</v>
      </c>
      <c r="B3569" t="s">
        <v>35</v>
      </c>
      <c r="C3569" t="s">
        <v>36</v>
      </c>
      <c r="D3569">
        <v>40</v>
      </c>
      <c r="E3569" t="s">
        <v>46</v>
      </c>
      <c r="F3569">
        <v>5</v>
      </c>
      <c r="G3569">
        <v>2</v>
      </c>
      <c r="H3569">
        <v>3</v>
      </c>
      <c r="I3569">
        <v>1</v>
      </c>
      <c r="J3569" s="4" t="s">
        <v>54</v>
      </c>
      <c r="K3569" t="str">
        <f t="shared" si="178"/>
        <v>2+3</v>
      </c>
      <c r="L3569">
        <f>VLOOKUP(A3569,'ZONE 1 PREMIUM'!$A$4:$N$16,14,0)</f>
        <v>7</v>
      </c>
      <c r="M3569">
        <f>VLOOKUP(D3569,DROPDOWN!B:C,2,0)</f>
        <v>11</v>
      </c>
      <c r="N3569" t="str">
        <f t="shared" si="179"/>
        <v>CO128:DG139</v>
      </c>
      <c r="O3569" s="4">
        <f t="shared" ca="1" si="177"/>
        <v>147667.75</v>
      </c>
    </row>
    <row r="3570" spans="1:15">
      <c r="A3570" s="2" t="s">
        <v>17</v>
      </c>
      <c r="B3570" t="s">
        <v>37</v>
      </c>
      <c r="C3570" t="s">
        <v>38</v>
      </c>
      <c r="D3570">
        <v>40</v>
      </c>
      <c r="E3570" t="s">
        <v>46</v>
      </c>
      <c r="F3570">
        <v>5</v>
      </c>
      <c r="G3570">
        <v>2</v>
      </c>
      <c r="H3570">
        <v>3</v>
      </c>
      <c r="I3570">
        <v>1</v>
      </c>
      <c r="J3570" s="4" t="s">
        <v>54</v>
      </c>
      <c r="K3570" t="str">
        <f t="shared" si="178"/>
        <v>2+3</v>
      </c>
      <c r="L3570">
        <f>VLOOKUP(A3570,'ZONE 1 PREMIUM'!$A$4:$N$16,14,0)</f>
        <v>8</v>
      </c>
      <c r="M3570">
        <f>VLOOKUP(D3570,DROPDOWN!B:C,2,0)</f>
        <v>11</v>
      </c>
      <c r="N3570" t="str">
        <f t="shared" si="179"/>
        <v>CO128:DG139</v>
      </c>
      <c r="O3570" s="4">
        <f t="shared" ca="1" si="177"/>
        <v>186004.14</v>
      </c>
    </row>
    <row r="3571" spans="1:15">
      <c r="A3571" s="2" t="s">
        <v>18</v>
      </c>
      <c r="B3571" t="s">
        <v>39</v>
      </c>
      <c r="C3571" t="s">
        <v>40</v>
      </c>
      <c r="D3571">
        <v>40</v>
      </c>
      <c r="E3571" t="s">
        <v>46</v>
      </c>
      <c r="F3571">
        <v>5</v>
      </c>
      <c r="G3571">
        <v>2</v>
      </c>
      <c r="H3571">
        <v>3</v>
      </c>
      <c r="I3571">
        <v>1</v>
      </c>
      <c r="J3571" s="4" t="s">
        <v>54</v>
      </c>
      <c r="K3571" t="str">
        <f t="shared" si="178"/>
        <v>2+3</v>
      </c>
      <c r="L3571">
        <f>VLOOKUP(A3571,'ZONE 1 PREMIUM'!$A$4:$N$16,14,0)</f>
        <v>9</v>
      </c>
      <c r="M3571">
        <f>VLOOKUP(D3571,DROPDOWN!B:C,2,0)</f>
        <v>11</v>
      </c>
      <c r="N3571" t="str">
        <f t="shared" si="179"/>
        <v>CO128:DG139</v>
      </c>
      <c r="O3571" s="4">
        <f t="shared" ca="1" si="177"/>
        <v>242433.44000000003</v>
      </c>
    </row>
    <row r="3572" spans="1:15">
      <c r="A3572" s="2" t="s">
        <v>19</v>
      </c>
      <c r="B3572" t="s">
        <v>41</v>
      </c>
      <c r="C3572" t="s">
        <v>42</v>
      </c>
      <c r="D3572">
        <v>40</v>
      </c>
      <c r="E3572" t="s">
        <v>46</v>
      </c>
      <c r="F3572">
        <v>5</v>
      </c>
      <c r="G3572">
        <v>2</v>
      </c>
      <c r="H3572">
        <v>3</v>
      </c>
      <c r="I3572">
        <v>1</v>
      </c>
      <c r="J3572" s="4" t="s">
        <v>54</v>
      </c>
      <c r="K3572" t="str">
        <f t="shared" si="178"/>
        <v>2+3</v>
      </c>
      <c r="L3572">
        <f>VLOOKUP(A3572,'ZONE 1 PREMIUM'!$A$4:$N$16,14,0)</f>
        <v>10</v>
      </c>
      <c r="M3572">
        <f>VLOOKUP(D3572,DROPDOWN!B:C,2,0)</f>
        <v>11</v>
      </c>
      <c r="N3572" t="str">
        <f t="shared" si="179"/>
        <v>CO128:DG139</v>
      </c>
      <c r="O3572" s="4">
        <f t="shared" ca="1" si="177"/>
        <v>312059.37</v>
      </c>
    </row>
    <row r="3573" spans="1:15">
      <c r="A3573" s="2" t="s">
        <v>20</v>
      </c>
      <c r="B3573" t="s">
        <v>43</v>
      </c>
      <c r="C3573" t="s">
        <v>44</v>
      </c>
      <c r="D3573">
        <v>40</v>
      </c>
      <c r="E3573" t="s">
        <v>46</v>
      </c>
      <c r="F3573">
        <v>5</v>
      </c>
      <c r="G3573">
        <v>2</v>
      </c>
      <c r="H3573">
        <v>3</v>
      </c>
      <c r="I3573">
        <v>1</v>
      </c>
      <c r="J3573" s="4" t="s">
        <v>54</v>
      </c>
      <c r="K3573" t="str">
        <f t="shared" si="178"/>
        <v>2+3</v>
      </c>
      <c r="L3573">
        <f>VLOOKUP(A3573,'ZONE 1 PREMIUM'!$A$4:$N$16,14,0)</f>
        <v>11</v>
      </c>
      <c r="M3573">
        <f>VLOOKUP(D3573,DROPDOWN!B:C,2,0)</f>
        <v>11</v>
      </c>
      <c r="N3573" t="str">
        <f t="shared" si="179"/>
        <v>CO128:DG139</v>
      </c>
      <c r="O3573" s="4">
        <f t="shared" ca="1" si="177"/>
        <v>381962.16000000003</v>
      </c>
    </row>
    <row r="3574" spans="1:15">
      <c r="A3574" s="2" t="s">
        <v>21</v>
      </c>
      <c r="B3574" t="s">
        <v>22</v>
      </c>
      <c r="D3574">
        <v>40</v>
      </c>
      <c r="E3574" t="s">
        <v>46</v>
      </c>
      <c r="F3574">
        <v>5</v>
      </c>
      <c r="G3574">
        <v>2</v>
      </c>
      <c r="H3574">
        <v>3</v>
      </c>
      <c r="I3574">
        <v>1</v>
      </c>
      <c r="J3574" s="4" t="s">
        <v>54</v>
      </c>
      <c r="K3574" t="str">
        <f t="shared" si="178"/>
        <v>2+3</v>
      </c>
      <c r="L3574">
        <f>VLOOKUP(A3574,'ZONE 1 PREMIUM'!$A$4:$N$16,14,0)</f>
        <v>12</v>
      </c>
      <c r="M3574">
        <f>VLOOKUP(D3574,DROPDOWN!B:C,2,0)</f>
        <v>11</v>
      </c>
      <c r="N3574" t="str">
        <f t="shared" si="179"/>
        <v>CO128:DG139</v>
      </c>
      <c r="O3574" s="4">
        <f t="shared" ca="1" si="177"/>
        <v>484384.01</v>
      </c>
    </row>
    <row r="3575" spans="1:15">
      <c r="A3575" s="2" t="s">
        <v>11</v>
      </c>
      <c r="B3575" t="s">
        <v>45</v>
      </c>
      <c r="C3575" t="s">
        <v>25</v>
      </c>
      <c r="D3575">
        <v>40</v>
      </c>
      <c r="E3575" t="s">
        <v>46</v>
      </c>
      <c r="F3575">
        <v>6</v>
      </c>
      <c r="G3575">
        <v>2</v>
      </c>
      <c r="H3575">
        <v>4</v>
      </c>
      <c r="I3575">
        <v>1</v>
      </c>
      <c r="J3575" s="4" t="s">
        <v>54</v>
      </c>
      <c r="K3575" t="str">
        <f t="shared" si="178"/>
        <v>2+4</v>
      </c>
      <c r="L3575">
        <f>VLOOKUP(A3575,'ZONE 1 PREMIUM'!$A$4:$N$16,14,0)</f>
        <v>2</v>
      </c>
      <c r="M3575">
        <f>VLOOKUP(D3575,DROPDOWN!B:C,2,0)</f>
        <v>11</v>
      </c>
      <c r="N3575" t="str">
        <f t="shared" si="179"/>
        <v>CO143:DG154</v>
      </c>
      <c r="O3575" s="4">
        <f t="shared" ca="1" si="177"/>
        <v>77155.650000000009</v>
      </c>
    </row>
    <row r="3576" spans="1:15">
      <c r="A3576" s="2" t="s">
        <v>12</v>
      </c>
      <c r="B3576" t="s">
        <v>27</v>
      </c>
      <c r="C3576" t="s">
        <v>28</v>
      </c>
      <c r="D3576">
        <v>40</v>
      </c>
      <c r="E3576" t="s">
        <v>46</v>
      </c>
      <c r="F3576">
        <v>6</v>
      </c>
      <c r="G3576">
        <v>2</v>
      </c>
      <c r="H3576">
        <v>4</v>
      </c>
      <c r="I3576">
        <v>1</v>
      </c>
      <c r="J3576" s="4" t="s">
        <v>54</v>
      </c>
      <c r="K3576" t="str">
        <f t="shared" si="178"/>
        <v>2+4</v>
      </c>
      <c r="L3576">
        <f>VLOOKUP(A3576,'ZONE 1 PREMIUM'!$A$4:$N$16,14,0)</f>
        <v>3</v>
      </c>
      <c r="M3576">
        <f>VLOOKUP(D3576,DROPDOWN!B:C,2,0)</f>
        <v>11</v>
      </c>
      <c r="N3576" t="str">
        <f t="shared" si="179"/>
        <v>CO143:DG154</v>
      </c>
      <c r="O3576" s="4">
        <f t="shared" ca="1" si="177"/>
        <v>82106.430000000008</v>
      </c>
    </row>
    <row r="3577" spans="1:15">
      <c r="A3577" s="2" t="s">
        <v>13</v>
      </c>
      <c r="B3577" t="s">
        <v>29</v>
      </c>
      <c r="C3577" t="s">
        <v>30</v>
      </c>
      <c r="D3577">
        <v>40</v>
      </c>
      <c r="E3577" t="s">
        <v>46</v>
      </c>
      <c r="F3577">
        <v>6</v>
      </c>
      <c r="G3577">
        <v>2</v>
      </c>
      <c r="H3577">
        <v>4</v>
      </c>
      <c r="I3577">
        <v>1</v>
      </c>
      <c r="J3577" s="4" t="s">
        <v>54</v>
      </c>
      <c r="K3577" t="str">
        <f t="shared" si="178"/>
        <v>2+4</v>
      </c>
      <c r="L3577">
        <f>VLOOKUP(A3577,'ZONE 1 PREMIUM'!$A$4:$N$16,14,0)</f>
        <v>4</v>
      </c>
      <c r="M3577">
        <f>VLOOKUP(D3577,DROPDOWN!B:C,2,0)</f>
        <v>11</v>
      </c>
      <c r="N3577" t="str">
        <f t="shared" si="179"/>
        <v>CO143:DG154</v>
      </c>
      <c r="O3577" s="4">
        <f t="shared" ca="1" si="177"/>
        <v>93367.22</v>
      </c>
    </row>
    <row r="3578" spans="1:15">
      <c r="A3578" s="2" t="s">
        <v>14</v>
      </c>
      <c r="B3578" t="s">
        <v>31</v>
      </c>
      <c r="C3578" t="s">
        <v>32</v>
      </c>
      <c r="D3578">
        <v>40</v>
      </c>
      <c r="E3578" t="s">
        <v>46</v>
      </c>
      <c r="F3578">
        <v>6</v>
      </c>
      <c r="G3578">
        <v>2</v>
      </c>
      <c r="H3578">
        <v>4</v>
      </c>
      <c r="I3578">
        <v>1</v>
      </c>
      <c r="J3578" s="4" t="s">
        <v>54</v>
      </c>
      <c r="K3578" t="str">
        <f t="shared" si="178"/>
        <v>2+4</v>
      </c>
      <c r="L3578">
        <f>VLOOKUP(A3578,'ZONE 1 PREMIUM'!$A$4:$N$16,14,0)</f>
        <v>5</v>
      </c>
      <c r="M3578">
        <f>VLOOKUP(D3578,DROPDOWN!B:C,2,0)</f>
        <v>11</v>
      </c>
      <c r="N3578" t="str">
        <f t="shared" si="179"/>
        <v>CO143:DG154</v>
      </c>
      <c r="O3578" s="4">
        <f t="shared" ca="1" si="177"/>
        <v>104694.50000000001</v>
      </c>
    </row>
    <row r="3579" spans="1:15">
      <c r="A3579" s="2" t="s">
        <v>15</v>
      </c>
      <c r="B3579" t="s">
        <v>33</v>
      </c>
      <c r="C3579" t="s">
        <v>34</v>
      </c>
      <c r="D3579">
        <v>40</v>
      </c>
      <c r="E3579" t="s">
        <v>46</v>
      </c>
      <c r="F3579">
        <v>6</v>
      </c>
      <c r="G3579">
        <v>2</v>
      </c>
      <c r="H3579">
        <v>4</v>
      </c>
      <c r="I3579">
        <v>1</v>
      </c>
      <c r="J3579" s="4" t="s">
        <v>54</v>
      </c>
      <c r="K3579" t="str">
        <f t="shared" si="178"/>
        <v>2+4</v>
      </c>
      <c r="L3579">
        <f>VLOOKUP(A3579,'ZONE 1 PREMIUM'!$A$4:$N$16,14,0)</f>
        <v>6</v>
      </c>
      <c r="M3579">
        <f>VLOOKUP(D3579,DROPDOWN!B:C,2,0)</f>
        <v>11</v>
      </c>
      <c r="N3579" t="str">
        <f t="shared" si="179"/>
        <v>CO143:DG154</v>
      </c>
      <c r="O3579" s="4">
        <f t="shared" ca="1" si="177"/>
        <v>127669.52</v>
      </c>
    </row>
    <row r="3580" spans="1:15">
      <c r="A3580" s="2" t="s">
        <v>16</v>
      </c>
      <c r="B3580" t="s">
        <v>35</v>
      </c>
      <c r="C3580" t="s">
        <v>36</v>
      </c>
      <c r="D3580">
        <v>40</v>
      </c>
      <c r="E3580" t="s">
        <v>46</v>
      </c>
      <c r="F3580">
        <v>6</v>
      </c>
      <c r="G3580">
        <v>2</v>
      </c>
      <c r="H3580">
        <v>4</v>
      </c>
      <c r="I3580">
        <v>1</v>
      </c>
      <c r="J3580" s="4" t="s">
        <v>54</v>
      </c>
      <c r="K3580" t="str">
        <f t="shared" si="178"/>
        <v>2+4</v>
      </c>
      <c r="L3580">
        <f>VLOOKUP(A3580,'ZONE 1 PREMIUM'!$A$4:$N$16,14,0)</f>
        <v>7</v>
      </c>
      <c r="M3580">
        <f>VLOOKUP(D3580,DROPDOWN!B:C,2,0)</f>
        <v>11</v>
      </c>
      <c r="N3580" t="str">
        <f t="shared" si="179"/>
        <v>CO143:DG154</v>
      </c>
      <c r="O3580" s="4">
        <f t="shared" ca="1" si="177"/>
        <v>158891.48000000001</v>
      </c>
    </row>
    <row r="3581" spans="1:15">
      <c r="A3581" s="2" t="s">
        <v>17</v>
      </c>
      <c r="B3581" t="s">
        <v>37</v>
      </c>
      <c r="C3581" t="s">
        <v>38</v>
      </c>
      <c r="D3581">
        <v>40</v>
      </c>
      <c r="E3581" t="s">
        <v>46</v>
      </c>
      <c r="F3581">
        <v>6</v>
      </c>
      <c r="G3581">
        <v>2</v>
      </c>
      <c r="H3581">
        <v>4</v>
      </c>
      <c r="I3581">
        <v>1</v>
      </c>
      <c r="J3581" s="4" t="s">
        <v>54</v>
      </c>
      <c r="K3581" t="str">
        <f t="shared" si="178"/>
        <v>2+4</v>
      </c>
      <c r="L3581">
        <f>VLOOKUP(A3581,'ZONE 1 PREMIUM'!$A$4:$N$16,14,0)</f>
        <v>8</v>
      </c>
      <c r="M3581">
        <f>VLOOKUP(D3581,DROPDOWN!B:C,2,0)</f>
        <v>11</v>
      </c>
      <c r="N3581" t="str">
        <f t="shared" si="179"/>
        <v>CO143:DG154</v>
      </c>
      <c r="O3581" s="4">
        <f t="shared" ca="1" si="177"/>
        <v>197242.04</v>
      </c>
    </row>
    <row r="3582" spans="1:15">
      <c r="A3582" s="2" t="s">
        <v>18</v>
      </c>
      <c r="B3582" t="s">
        <v>39</v>
      </c>
      <c r="C3582" t="s">
        <v>40</v>
      </c>
      <c r="D3582">
        <v>40</v>
      </c>
      <c r="E3582" t="s">
        <v>46</v>
      </c>
      <c r="F3582">
        <v>6</v>
      </c>
      <c r="G3582">
        <v>2</v>
      </c>
      <c r="H3582">
        <v>4</v>
      </c>
      <c r="I3582">
        <v>1</v>
      </c>
      <c r="J3582" s="4" t="s">
        <v>54</v>
      </c>
      <c r="K3582" t="str">
        <f t="shared" si="178"/>
        <v>2+4</v>
      </c>
      <c r="L3582">
        <f>VLOOKUP(A3582,'ZONE 1 PREMIUM'!$A$4:$N$16,14,0)</f>
        <v>9</v>
      </c>
      <c r="M3582">
        <f>VLOOKUP(D3582,DROPDOWN!B:C,2,0)</f>
        <v>11</v>
      </c>
      <c r="N3582" t="str">
        <f t="shared" si="179"/>
        <v>CO143:DG154</v>
      </c>
      <c r="O3582" s="4">
        <f t="shared" ca="1" si="177"/>
        <v>253253.87000000002</v>
      </c>
    </row>
    <row r="3583" spans="1:15">
      <c r="A3583" s="2" t="s">
        <v>19</v>
      </c>
      <c r="B3583" t="s">
        <v>41</v>
      </c>
      <c r="C3583" t="s">
        <v>42</v>
      </c>
      <c r="D3583">
        <v>40</v>
      </c>
      <c r="E3583" t="s">
        <v>46</v>
      </c>
      <c r="F3583">
        <v>6</v>
      </c>
      <c r="G3583">
        <v>2</v>
      </c>
      <c r="H3583">
        <v>4</v>
      </c>
      <c r="I3583">
        <v>1</v>
      </c>
      <c r="J3583" s="4" t="s">
        <v>54</v>
      </c>
      <c r="K3583" t="str">
        <f t="shared" si="178"/>
        <v>2+4</v>
      </c>
      <c r="L3583">
        <f>VLOOKUP(A3583,'ZONE 1 PREMIUM'!$A$4:$N$16,14,0)</f>
        <v>10</v>
      </c>
      <c r="M3583">
        <f>VLOOKUP(D3583,DROPDOWN!B:C,2,0)</f>
        <v>11</v>
      </c>
      <c r="N3583" t="str">
        <f t="shared" si="179"/>
        <v>CO143:DG154</v>
      </c>
      <c r="O3583" s="4">
        <f t="shared" ca="1" si="177"/>
        <v>323981.79000000004</v>
      </c>
    </row>
    <row r="3584" spans="1:15">
      <c r="A3584" s="2" t="s">
        <v>20</v>
      </c>
      <c r="B3584" t="s">
        <v>43</v>
      </c>
      <c r="C3584" t="s">
        <v>44</v>
      </c>
      <c r="D3584">
        <v>40</v>
      </c>
      <c r="E3584" t="s">
        <v>46</v>
      </c>
      <c r="F3584">
        <v>6</v>
      </c>
      <c r="G3584">
        <v>2</v>
      </c>
      <c r="H3584">
        <v>4</v>
      </c>
      <c r="I3584">
        <v>1</v>
      </c>
      <c r="J3584" s="4" t="s">
        <v>54</v>
      </c>
      <c r="K3584" t="str">
        <f t="shared" si="178"/>
        <v>2+4</v>
      </c>
      <c r="L3584">
        <f>VLOOKUP(A3584,'ZONE 1 PREMIUM'!$A$4:$N$16,14,0)</f>
        <v>11</v>
      </c>
      <c r="M3584">
        <f>VLOOKUP(D3584,DROPDOWN!B:C,2,0)</f>
        <v>11</v>
      </c>
      <c r="N3584" t="str">
        <f t="shared" si="179"/>
        <v>CO143:DG154</v>
      </c>
      <c r="O3584" s="4">
        <f t="shared" ca="1" si="177"/>
        <v>393012.58</v>
      </c>
    </row>
    <row r="3585" spans="1:15">
      <c r="A3585" s="2" t="s">
        <v>21</v>
      </c>
      <c r="B3585" t="s">
        <v>22</v>
      </c>
      <c r="D3585">
        <v>40</v>
      </c>
      <c r="E3585" t="s">
        <v>46</v>
      </c>
      <c r="F3585">
        <v>6</v>
      </c>
      <c r="G3585">
        <v>2</v>
      </c>
      <c r="H3585">
        <v>4</v>
      </c>
      <c r="I3585">
        <v>1</v>
      </c>
      <c r="J3585" s="4" t="s">
        <v>54</v>
      </c>
      <c r="K3585" t="str">
        <f t="shared" si="178"/>
        <v>2+4</v>
      </c>
      <c r="L3585">
        <f>VLOOKUP(A3585,'ZONE 1 PREMIUM'!$A$4:$N$16,14,0)</f>
        <v>12</v>
      </c>
      <c r="M3585">
        <f>VLOOKUP(D3585,DROPDOWN!B:C,2,0)</f>
        <v>11</v>
      </c>
      <c r="N3585" t="str">
        <f t="shared" si="179"/>
        <v>CO143:DG154</v>
      </c>
      <c r="O3585" s="4">
        <f t="shared" ca="1" si="177"/>
        <v>493534.56000000006</v>
      </c>
    </row>
    <row r="3586" spans="1:15">
      <c r="A3586" s="2" t="s">
        <v>9</v>
      </c>
      <c r="B3586" t="s">
        <v>47</v>
      </c>
      <c r="C3586" t="s">
        <v>48</v>
      </c>
      <c r="D3586">
        <v>50</v>
      </c>
      <c r="E3586" t="s">
        <v>26</v>
      </c>
      <c r="F3586">
        <v>1</v>
      </c>
      <c r="H3586">
        <v>1</v>
      </c>
      <c r="I3586">
        <v>1</v>
      </c>
      <c r="J3586" s="4" t="s">
        <v>52</v>
      </c>
      <c r="K3586" t="str">
        <f t="shared" si="178"/>
        <v>+1</v>
      </c>
      <c r="L3586">
        <f>VLOOKUP(A3586,'ZONE 1 PREMIUM'!$A$3:$M$16,13,0)</f>
        <v>2</v>
      </c>
      <c r="M3586">
        <f>VLOOKUP(D3586,DROPDOWN!B:C,2,0)</f>
        <v>12</v>
      </c>
      <c r="N3586" t="e">
        <f t="shared" ref="N3586:N3649" si="180">VLOOKUP(K3586,$AQ$3:$AR$12,2,0)</f>
        <v>#N/A</v>
      </c>
      <c r="O3586" s="13">
        <v>11187.446366205199</v>
      </c>
    </row>
    <row r="3587" spans="1:15">
      <c r="A3587" s="2" t="s">
        <v>10</v>
      </c>
      <c r="B3587" t="s">
        <v>49</v>
      </c>
      <c r="C3587" t="s">
        <v>50</v>
      </c>
      <c r="D3587">
        <v>50</v>
      </c>
      <c r="E3587" t="s">
        <v>26</v>
      </c>
      <c r="F3587">
        <v>1</v>
      </c>
      <c r="G3587">
        <v>1</v>
      </c>
      <c r="H3587">
        <v>0</v>
      </c>
      <c r="I3587">
        <v>1</v>
      </c>
      <c r="J3587" s="4" t="s">
        <v>52</v>
      </c>
      <c r="K3587" t="str">
        <f t="shared" si="178"/>
        <v>1+0</v>
      </c>
      <c r="L3587">
        <f>VLOOKUP(A3587,'ZONE 1 PREMIUM'!$A$3:$M$16,13,0)</f>
        <v>3</v>
      </c>
      <c r="M3587">
        <f>VLOOKUP(D3587,DROPDOWN!B:C,2,0)</f>
        <v>12</v>
      </c>
      <c r="N3587" t="str">
        <f t="shared" si="180"/>
        <v>X3:AP16</v>
      </c>
      <c r="O3587" s="4">
        <f t="shared" ref="O3587:O3649" ca="1" si="181">INDEX(INDIRECT(N3587),L3587,M3587)</f>
        <v>21072.6</v>
      </c>
    </row>
    <row r="3588" spans="1:15">
      <c r="A3588" s="2" t="s">
        <v>11</v>
      </c>
      <c r="B3588" t="s">
        <v>45</v>
      </c>
      <c r="C3588" t="s">
        <v>25</v>
      </c>
      <c r="D3588">
        <v>50</v>
      </c>
      <c r="E3588" t="s">
        <v>26</v>
      </c>
      <c r="F3588">
        <v>1</v>
      </c>
      <c r="G3588">
        <v>1</v>
      </c>
      <c r="H3588">
        <v>0</v>
      </c>
      <c r="I3588">
        <v>1</v>
      </c>
      <c r="J3588" s="4" t="s">
        <v>52</v>
      </c>
      <c r="K3588" t="str">
        <f t="shared" ref="K3588:K3651" si="182">G3588&amp;"+"&amp;H3588</f>
        <v>1+0</v>
      </c>
      <c r="L3588">
        <f>VLOOKUP(A3588,'ZONE 1 PREMIUM'!$A$3:$M$16,13,0)</f>
        <v>4</v>
      </c>
      <c r="M3588">
        <f>VLOOKUP(D3588,DROPDOWN!B:C,2,0)</f>
        <v>12</v>
      </c>
      <c r="N3588" t="str">
        <f t="shared" si="180"/>
        <v>X3:AP16</v>
      </c>
      <c r="O3588" s="4">
        <f t="shared" ca="1" si="181"/>
        <v>74110.599999999991</v>
      </c>
    </row>
    <row r="3589" spans="1:15">
      <c r="A3589" s="2" t="s">
        <v>12</v>
      </c>
      <c r="B3589" t="s">
        <v>27</v>
      </c>
      <c r="C3589" t="s">
        <v>28</v>
      </c>
      <c r="D3589">
        <v>50</v>
      </c>
      <c r="E3589" t="s">
        <v>26</v>
      </c>
      <c r="F3589">
        <v>1</v>
      </c>
      <c r="G3589">
        <v>1</v>
      </c>
      <c r="H3589">
        <v>0</v>
      </c>
      <c r="I3589">
        <v>1</v>
      </c>
      <c r="J3589" s="4" t="s">
        <v>52</v>
      </c>
      <c r="K3589" t="str">
        <f t="shared" si="182"/>
        <v>1+0</v>
      </c>
      <c r="L3589">
        <f>VLOOKUP(A3589,'ZONE 1 PREMIUM'!$A$3:$M$16,13,0)</f>
        <v>5</v>
      </c>
      <c r="M3589">
        <f>VLOOKUP(D3589,DROPDOWN!B:C,2,0)</f>
        <v>12</v>
      </c>
      <c r="N3589" t="str">
        <f t="shared" si="180"/>
        <v>X3:AP16</v>
      </c>
      <c r="O3589" s="4">
        <f t="shared" ca="1" si="181"/>
        <v>83744.149999999994</v>
      </c>
    </row>
    <row r="3590" spans="1:15">
      <c r="A3590" s="2" t="s">
        <v>13</v>
      </c>
      <c r="B3590" t="s">
        <v>29</v>
      </c>
      <c r="C3590" t="s">
        <v>30</v>
      </c>
      <c r="D3590">
        <v>50</v>
      </c>
      <c r="E3590" t="s">
        <v>26</v>
      </c>
      <c r="F3590">
        <v>1</v>
      </c>
      <c r="G3590">
        <v>1</v>
      </c>
      <c r="H3590">
        <v>0</v>
      </c>
      <c r="I3590">
        <v>1</v>
      </c>
      <c r="J3590" s="4" t="s">
        <v>52</v>
      </c>
      <c r="K3590" t="str">
        <f t="shared" si="182"/>
        <v>1+0</v>
      </c>
      <c r="L3590">
        <f>VLOOKUP(A3590,'ZONE 1 PREMIUM'!$A$3:$M$16,13,0)</f>
        <v>6</v>
      </c>
      <c r="M3590">
        <f>VLOOKUP(D3590,DROPDOWN!B:C,2,0)</f>
        <v>12</v>
      </c>
      <c r="N3590" t="str">
        <f t="shared" si="180"/>
        <v>X3:AP16</v>
      </c>
      <c r="O3590" s="4">
        <f t="shared" ca="1" si="181"/>
        <v>87420.7</v>
      </c>
    </row>
    <row r="3591" spans="1:15">
      <c r="A3591" s="2" t="s">
        <v>14</v>
      </c>
      <c r="B3591" t="s">
        <v>31</v>
      </c>
      <c r="C3591" t="s">
        <v>32</v>
      </c>
      <c r="D3591">
        <v>50</v>
      </c>
      <c r="E3591" t="s">
        <v>26</v>
      </c>
      <c r="F3591">
        <v>1</v>
      </c>
      <c r="G3591">
        <v>1</v>
      </c>
      <c r="H3591">
        <v>0</v>
      </c>
      <c r="I3591">
        <v>1</v>
      </c>
      <c r="J3591" s="4" t="s">
        <v>52</v>
      </c>
      <c r="K3591" t="str">
        <f t="shared" si="182"/>
        <v>1+0</v>
      </c>
      <c r="L3591">
        <f>VLOOKUP(A3591,'ZONE 1 PREMIUM'!$A$3:$M$16,13,0)</f>
        <v>7</v>
      </c>
      <c r="M3591">
        <f>VLOOKUP(D3591,DROPDOWN!B:C,2,0)</f>
        <v>12</v>
      </c>
      <c r="N3591" t="str">
        <f t="shared" si="180"/>
        <v>X3:AP16</v>
      </c>
      <c r="O3591" s="4">
        <f t="shared" ca="1" si="181"/>
        <v>98832.15</v>
      </c>
    </row>
    <row r="3592" spans="1:15">
      <c r="A3592" s="2" t="s">
        <v>15</v>
      </c>
      <c r="B3592" t="s">
        <v>33</v>
      </c>
      <c r="C3592" t="s">
        <v>34</v>
      </c>
      <c r="D3592">
        <v>50</v>
      </c>
      <c r="E3592" t="s">
        <v>26</v>
      </c>
      <c r="F3592">
        <v>1</v>
      </c>
      <c r="G3592">
        <v>1</v>
      </c>
      <c r="H3592">
        <v>0</v>
      </c>
      <c r="I3592">
        <v>1</v>
      </c>
      <c r="J3592" s="4" t="s">
        <v>52</v>
      </c>
      <c r="K3592" t="str">
        <f t="shared" si="182"/>
        <v>1+0</v>
      </c>
      <c r="L3592">
        <f>VLOOKUP(A3592,'ZONE 1 PREMIUM'!$A$3:$M$16,13,0)</f>
        <v>8</v>
      </c>
      <c r="M3592">
        <f>VLOOKUP(D3592,DROPDOWN!B:C,2,0)</f>
        <v>12</v>
      </c>
      <c r="N3592" t="str">
        <f t="shared" si="180"/>
        <v>X3:AP16</v>
      </c>
      <c r="O3592" s="4">
        <f t="shared" ca="1" si="181"/>
        <v>119073.29999999999</v>
      </c>
    </row>
    <row r="3593" spans="1:15">
      <c r="A3593" s="2" t="s">
        <v>16</v>
      </c>
      <c r="B3593" t="s">
        <v>35</v>
      </c>
      <c r="C3593" t="s">
        <v>36</v>
      </c>
      <c r="D3593">
        <v>50</v>
      </c>
      <c r="E3593" t="s">
        <v>26</v>
      </c>
      <c r="F3593">
        <v>1</v>
      </c>
      <c r="G3593">
        <v>1</v>
      </c>
      <c r="H3593">
        <v>0</v>
      </c>
      <c r="I3593">
        <v>1</v>
      </c>
      <c r="J3593" s="4" t="s">
        <v>52</v>
      </c>
      <c r="K3593" t="str">
        <f t="shared" si="182"/>
        <v>1+0</v>
      </c>
      <c r="L3593">
        <f>VLOOKUP(A3593,'ZONE 1 PREMIUM'!$A$3:$M$16,13,0)</f>
        <v>9</v>
      </c>
      <c r="M3593">
        <f>VLOOKUP(D3593,DROPDOWN!B:C,2,0)</f>
        <v>12</v>
      </c>
      <c r="N3593" t="str">
        <f t="shared" si="180"/>
        <v>X3:AP16</v>
      </c>
      <c r="O3593" s="4">
        <f t="shared" ca="1" si="181"/>
        <v>167150.19999999998</v>
      </c>
    </row>
    <row r="3594" spans="1:15">
      <c r="A3594" s="2" t="s">
        <v>17</v>
      </c>
      <c r="B3594" t="s">
        <v>37</v>
      </c>
      <c r="C3594" t="s">
        <v>38</v>
      </c>
      <c r="D3594">
        <v>50</v>
      </c>
      <c r="E3594" t="s">
        <v>26</v>
      </c>
      <c r="F3594">
        <v>1</v>
      </c>
      <c r="G3594">
        <v>1</v>
      </c>
      <c r="H3594">
        <v>0</v>
      </c>
      <c r="I3594">
        <v>1</v>
      </c>
      <c r="J3594" s="4" t="s">
        <v>52</v>
      </c>
      <c r="K3594" t="str">
        <f t="shared" si="182"/>
        <v>1+0</v>
      </c>
      <c r="L3594">
        <f>VLOOKUP(A3594,'ZONE 1 PREMIUM'!$A$3:$M$16,13,0)</f>
        <v>10</v>
      </c>
      <c r="M3594">
        <f>VLOOKUP(D3594,DROPDOWN!B:C,2,0)</f>
        <v>12</v>
      </c>
      <c r="N3594" t="str">
        <f t="shared" si="180"/>
        <v>X3:AP16</v>
      </c>
      <c r="O3594" s="4">
        <f t="shared" ca="1" si="181"/>
        <v>223332.3</v>
      </c>
    </row>
    <row r="3595" spans="1:15">
      <c r="A3595" s="2" t="s">
        <v>18</v>
      </c>
      <c r="B3595" t="s">
        <v>39</v>
      </c>
      <c r="C3595" t="s">
        <v>40</v>
      </c>
      <c r="D3595">
        <v>50</v>
      </c>
      <c r="E3595" t="s">
        <v>26</v>
      </c>
      <c r="F3595">
        <v>1</v>
      </c>
      <c r="G3595">
        <v>1</v>
      </c>
      <c r="H3595">
        <v>0</v>
      </c>
      <c r="I3595">
        <v>1</v>
      </c>
      <c r="J3595" s="4" t="s">
        <v>52</v>
      </c>
      <c r="K3595" t="str">
        <f t="shared" si="182"/>
        <v>1+0</v>
      </c>
      <c r="L3595">
        <f>VLOOKUP(A3595,'ZONE 1 PREMIUM'!$A$3:$M$16,13,0)</f>
        <v>11</v>
      </c>
      <c r="M3595">
        <f>VLOOKUP(D3595,DROPDOWN!B:C,2,0)</f>
        <v>12</v>
      </c>
      <c r="N3595" t="str">
        <f t="shared" si="180"/>
        <v>X3:AP16</v>
      </c>
      <c r="O3595" s="4">
        <f t="shared" ca="1" si="181"/>
        <v>306799.3</v>
      </c>
    </row>
    <row r="3596" spans="1:15">
      <c r="A3596" s="2" t="s">
        <v>19</v>
      </c>
      <c r="B3596" t="s">
        <v>41</v>
      </c>
      <c r="C3596" t="s">
        <v>42</v>
      </c>
      <c r="D3596">
        <v>50</v>
      </c>
      <c r="E3596" t="s">
        <v>26</v>
      </c>
      <c r="F3596">
        <v>1</v>
      </c>
      <c r="G3596">
        <v>1</v>
      </c>
      <c r="H3596">
        <v>0</v>
      </c>
      <c r="I3596">
        <v>1</v>
      </c>
      <c r="J3596" s="4" t="s">
        <v>52</v>
      </c>
      <c r="K3596" t="str">
        <f t="shared" si="182"/>
        <v>1+0</v>
      </c>
      <c r="L3596">
        <f>VLOOKUP(A3596,'ZONE 1 PREMIUM'!$A$3:$M$16,13,0)</f>
        <v>12</v>
      </c>
      <c r="M3596">
        <f>VLOOKUP(D3596,DROPDOWN!B:C,2,0)</f>
        <v>12</v>
      </c>
      <c r="N3596" t="str">
        <f t="shared" si="180"/>
        <v>X3:AP16</v>
      </c>
      <c r="O3596" s="4">
        <f t="shared" ca="1" si="181"/>
        <v>389046.14999999997</v>
      </c>
    </row>
    <row r="3597" spans="1:15">
      <c r="A3597" s="2" t="s">
        <v>20</v>
      </c>
      <c r="B3597" t="s">
        <v>43</v>
      </c>
      <c r="C3597" t="s">
        <v>44</v>
      </c>
      <c r="D3597">
        <v>50</v>
      </c>
      <c r="E3597" t="s">
        <v>26</v>
      </c>
      <c r="F3597">
        <v>1</v>
      </c>
      <c r="G3597">
        <v>1</v>
      </c>
      <c r="H3597">
        <v>0</v>
      </c>
      <c r="I3597">
        <v>1</v>
      </c>
      <c r="J3597" s="4" t="s">
        <v>52</v>
      </c>
      <c r="K3597" t="str">
        <f t="shared" si="182"/>
        <v>1+0</v>
      </c>
      <c r="L3597">
        <f>VLOOKUP(A3597,'ZONE 1 PREMIUM'!$A$3:$M$16,13,0)</f>
        <v>13</v>
      </c>
      <c r="M3597">
        <f>VLOOKUP(D3597,DROPDOWN!B:C,2,0)</f>
        <v>12</v>
      </c>
      <c r="N3597" t="str">
        <f t="shared" si="180"/>
        <v>X3:AP16</v>
      </c>
      <c r="O3597" s="4">
        <f t="shared" ca="1" si="181"/>
        <v>455161.94999999995</v>
      </c>
    </row>
    <row r="3598" spans="1:15">
      <c r="A3598" s="2" t="s">
        <v>21</v>
      </c>
      <c r="B3598" t="s">
        <v>22</v>
      </c>
      <c r="D3598">
        <v>50</v>
      </c>
      <c r="E3598" t="s">
        <v>26</v>
      </c>
      <c r="F3598">
        <v>1</v>
      </c>
      <c r="G3598">
        <v>1</v>
      </c>
      <c r="H3598">
        <v>0</v>
      </c>
      <c r="I3598">
        <v>1</v>
      </c>
      <c r="J3598" s="4" t="s">
        <v>52</v>
      </c>
      <c r="K3598" t="str">
        <f t="shared" si="182"/>
        <v>1+0</v>
      </c>
      <c r="L3598">
        <f>VLOOKUP(A3598,'ZONE 1 PREMIUM'!$A$3:$M$16,13,0)</f>
        <v>14</v>
      </c>
      <c r="M3598">
        <f>VLOOKUP(D3598,DROPDOWN!B:C,2,0)</f>
        <v>12</v>
      </c>
      <c r="N3598" t="str">
        <f t="shared" si="180"/>
        <v>X3:AP16</v>
      </c>
      <c r="O3598" s="4">
        <f t="shared" ca="1" si="181"/>
        <v>593725.44999999995</v>
      </c>
    </row>
    <row r="3599" spans="1:15">
      <c r="A3599" s="2" t="s">
        <v>11</v>
      </c>
      <c r="B3599" t="s">
        <v>45</v>
      </c>
      <c r="C3599" t="s">
        <v>25</v>
      </c>
      <c r="D3599">
        <v>50</v>
      </c>
      <c r="E3599" t="s">
        <v>46</v>
      </c>
      <c r="F3599">
        <v>2</v>
      </c>
      <c r="G3599">
        <v>1</v>
      </c>
      <c r="H3599">
        <v>1</v>
      </c>
      <c r="I3599">
        <v>1</v>
      </c>
      <c r="J3599" s="4" t="s">
        <v>52</v>
      </c>
      <c r="K3599" t="str">
        <f t="shared" si="182"/>
        <v>1+1</v>
      </c>
      <c r="L3599">
        <f>VLOOKUP(A3599,'ZONE 1 PREMIUM'!$A$4:$N$16,14,0)</f>
        <v>2</v>
      </c>
      <c r="M3599">
        <f>VLOOKUP(D3599,DROPDOWN!B:C,2,0)</f>
        <v>12</v>
      </c>
      <c r="N3599" t="str">
        <f t="shared" si="180"/>
        <v>X20:AP31</v>
      </c>
      <c r="O3599" s="4">
        <f t="shared" ca="1" si="181"/>
        <v>76208.2</v>
      </c>
    </row>
    <row r="3600" spans="1:15">
      <c r="A3600" s="2" t="s">
        <v>12</v>
      </c>
      <c r="B3600" t="s">
        <v>27</v>
      </c>
      <c r="C3600" t="s">
        <v>28</v>
      </c>
      <c r="D3600">
        <v>50</v>
      </c>
      <c r="E3600" t="s">
        <v>46</v>
      </c>
      <c r="F3600">
        <v>2</v>
      </c>
      <c r="G3600">
        <v>1</v>
      </c>
      <c r="H3600">
        <v>1</v>
      </c>
      <c r="I3600">
        <v>1</v>
      </c>
      <c r="J3600" s="4" t="s">
        <v>52</v>
      </c>
      <c r="K3600" t="str">
        <f t="shared" si="182"/>
        <v>1+1</v>
      </c>
      <c r="L3600">
        <f>VLOOKUP(A3600,'ZONE 1 PREMIUM'!$A$4:$N$16,14,0)</f>
        <v>3</v>
      </c>
      <c r="M3600">
        <f>VLOOKUP(D3600,DROPDOWN!B:C,2,0)</f>
        <v>12</v>
      </c>
      <c r="N3600" t="str">
        <f t="shared" si="180"/>
        <v>X20:AP31</v>
      </c>
      <c r="O3600" s="4">
        <f t="shared" ca="1" si="181"/>
        <v>83941.95</v>
      </c>
    </row>
    <row r="3601" spans="1:15">
      <c r="A3601" s="2" t="s">
        <v>13</v>
      </c>
      <c r="B3601" t="s">
        <v>29</v>
      </c>
      <c r="C3601" t="s">
        <v>30</v>
      </c>
      <c r="D3601">
        <v>50</v>
      </c>
      <c r="E3601" t="s">
        <v>46</v>
      </c>
      <c r="F3601">
        <v>2</v>
      </c>
      <c r="G3601">
        <v>1</v>
      </c>
      <c r="H3601">
        <v>1</v>
      </c>
      <c r="I3601">
        <v>1</v>
      </c>
      <c r="J3601" s="4" t="s">
        <v>52</v>
      </c>
      <c r="K3601" t="str">
        <f t="shared" si="182"/>
        <v>1+1</v>
      </c>
      <c r="L3601">
        <f>VLOOKUP(A3601,'ZONE 1 PREMIUM'!$A$4:$N$16,14,0)</f>
        <v>4</v>
      </c>
      <c r="M3601">
        <f>VLOOKUP(D3601,DROPDOWN!B:C,2,0)</f>
        <v>12</v>
      </c>
      <c r="N3601" t="str">
        <f t="shared" si="180"/>
        <v>X20:AP31</v>
      </c>
      <c r="O3601" s="4">
        <f t="shared" ca="1" si="181"/>
        <v>89686.2</v>
      </c>
    </row>
    <row r="3602" spans="1:15">
      <c r="A3602" s="2" t="s">
        <v>14</v>
      </c>
      <c r="B3602" t="s">
        <v>31</v>
      </c>
      <c r="C3602" t="s">
        <v>32</v>
      </c>
      <c r="D3602">
        <v>50</v>
      </c>
      <c r="E3602" t="s">
        <v>46</v>
      </c>
      <c r="F3602">
        <v>2</v>
      </c>
      <c r="G3602">
        <v>1</v>
      </c>
      <c r="H3602">
        <v>1</v>
      </c>
      <c r="I3602">
        <v>1</v>
      </c>
      <c r="J3602" s="4" t="s">
        <v>52</v>
      </c>
      <c r="K3602" t="str">
        <f t="shared" si="182"/>
        <v>1+1</v>
      </c>
      <c r="L3602">
        <f>VLOOKUP(A3602,'ZONE 1 PREMIUM'!$A$4:$N$16,14,0)</f>
        <v>5</v>
      </c>
      <c r="M3602">
        <f>VLOOKUP(D3602,DROPDOWN!B:C,2,0)</f>
        <v>12</v>
      </c>
      <c r="N3602" t="str">
        <f t="shared" si="180"/>
        <v>X20:AP31</v>
      </c>
      <c r="O3602" s="4">
        <f t="shared" ca="1" si="181"/>
        <v>103625.34999999999</v>
      </c>
    </row>
    <row r="3603" spans="1:15">
      <c r="A3603" s="2" t="s">
        <v>15</v>
      </c>
      <c r="B3603" t="s">
        <v>33</v>
      </c>
      <c r="C3603" t="s">
        <v>34</v>
      </c>
      <c r="D3603">
        <v>50</v>
      </c>
      <c r="E3603" t="s">
        <v>46</v>
      </c>
      <c r="F3603">
        <v>2</v>
      </c>
      <c r="G3603">
        <v>1</v>
      </c>
      <c r="H3603">
        <v>1</v>
      </c>
      <c r="I3603">
        <v>1</v>
      </c>
      <c r="J3603" s="4" t="s">
        <v>52</v>
      </c>
      <c r="K3603" t="str">
        <f t="shared" si="182"/>
        <v>1+1</v>
      </c>
      <c r="L3603">
        <f>VLOOKUP(A3603,'ZONE 1 PREMIUM'!$A$4:$N$16,14,0)</f>
        <v>6</v>
      </c>
      <c r="M3603">
        <f>VLOOKUP(D3603,DROPDOWN!B:C,2,0)</f>
        <v>12</v>
      </c>
      <c r="N3603" t="str">
        <f t="shared" si="180"/>
        <v>X20:AP31</v>
      </c>
      <c r="O3603" s="4">
        <f t="shared" ca="1" si="181"/>
        <v>125191.29999999999</v>
      </c>
    </row>
    <row r="3604" spans="1:15">
      <c r="A3604" s="2" t="s">
        <v>16</v>
      </c>
      <c r="B3604" t="s">
        <v>35</v>
      </c>
      <c r="C3604" t="s">
        <v>36</v>
      </c>
      <c r="D3604">
        <v>50</v>
      </c>
      <c r="E3604" t="s">
        <v>46</v>
      </c>
      <c r="F3604">
        <v>2</v>
      </c>
      <c r="G3604">
        <v>1</v>
      </c>
      <c r="H3604">
        <v>1</v>
      </c>
      <c r="I3604">
        <v>1</v>
      </c>
      <c r="J3604" s="4" t="s">
        <v>52</v>
      </c>
      <c r="K3604" t="str">
        <f t="shared" si="182"/>
        <v>1+1</v>
      </c>
      <c r="L3604">
        <f>VLOOKUP(A3604,'ZONE 1 PREMIUM'!$A$4:$N$16,14,0)</f>
        <v>7</v>
      </c>
      <c r="M3604">
        <f>VLOOKUP(D3604,DROPDOWN!B:C,2,0)</f>
        <v>12</v>
      </c>
      <c r="N3604" t="str">
        <f t="shared" si="180"/>
        <v>X20:AP31</v>
      </c>
      <c r="O3604" s="4">
        <f t="shared" ca="1" si="181"/>
        <v>171071.69999999998</v>
      </c>
    </row>
    <row r="3605" spans="1:15">
      <c r="A3605" s="2" t="s">
        <v>17</v>
      </c>
      <c r="B3605" t="s">
        <v>37</v>
      </c>
      <c r="C3605" t="s">
        <v>38</v>
      </c>
      <c r="D3605">
        <v>50</v>
      </c>
      <c r="E3605" t="s">
        <v>46</v>
      </c>
      <c r="F3605">
        <v>2</v>
      </c>
      <c r="G3605">
        <v>1</v>
      </c>
      <c r="H3605">
        <v>1</v>
      </c>
      <c r="I3605">
        <v>1</v>
      </c>
      <c r="J3605" s="4" t="s">
        <v>52</v>
      </c>
      <c r="K3605" t="str">
        <f t="shared" si="182"/>
        <v>1+1</v>
      </c>
      <c r="L3605">
        <f>VLOOKUP(A3605,'ZONE 1 PREMIUM'!$A$4:$N$16,14,0)</f>
        <v>8</v>
      </c>
      <c r="M3605">
        <f>VLOOKUP(D3605,DROPDOWN!B:C,2,0)</f>
        <v>12</v>
      </c>
      <c r="N3605" t="str">
        <f t="shared" si="180"/>
        <v>X20:AP31</v>
      </c>
      <c r="O3605" s="4">
        <f t="shared" ca="1" si="181"/>
        <v>227176.74999999997</v>
      </c>
    </row>
    <row r="3606" spans="1:15">
      <c r="A3606" s="2" t="s">
        <v>18</v>
      </c>
      <c r="B3606" t="s">
        <v>39</v>
      </c>
      <c r="C3606" t="s">
        <v>40</v>
      </c>
      <c r="D3606">
        <v>50</v>
      </c>
      <c r="E3606" t="s">
        <v>46</v>
      </c>
      <c r="F3606">
        <v>2</v>
      </c>
      <c r="G3606">
        <v>1</v>
      </c>
      <c r="H3606">
        <v>1</v>
      </c>
      <c r="I3606">
        <v>1</v>
      </c>
      <c r="J3606" s="4" t="s">
        <v>52</v>
      </c>
      <c r="K3606" t="str">
        <f t="shared" si="182"/>
        <v>1+1</v>
      </c>
      <c r="L3606">
        <f>VLOOKUP(A3606,'ZONE 1 PREMIUM'!$A$4:$N$16,14,0)</f>
        <v>9</v>
      </c>
      <c r="M3606">
        <f>VLOOKUP(D3606,DROPDOWN!B:C,2,0)</f>
        <v>12</v>
      </c>
      <c r="N3606" t="str">
        <f t="shared" si="180"/>
        <v>X20:AP31</v>
      </c>
      <c r="O3606" s="4">
        <f t="shared" ca="1" si="181"/>
        <v>314112.14999999997</v>
      </c>
    </row>
    <row r="3607" spans="1:15">
      <c r="A3607" s="2" t="s">
        <v>19</v>
      </c>
      <c r="B3607" t="s">
        <v>41</v>
      </c>
      <c r="C3607" t="s">
        <v>42</v>
      </c>
      <c r="D3607">
        <v>50</v>
      </c>
      <c r="E3607" t="s">
        <v>46</v>
      </c>
      <c r="F3607">
        <v>2</v>
      </c>
      <c r="G3607">
        <v>1</v>
      </c>
      <c r="H3607">
        <v>1</v>
      </c>
      <c r="I3607">
        <v>1</v>
      </c>
      <c r="J3607" s="4" t="s">
        <v>52</v>
      </c>
      <c r="K3607" t="str">
        <f t="shared" si="182"/>
        <v>1+1</v>
      </c>
      <c r="L3607">
        <f>VLOOKUP(A3607,'ZONE 1 PREMIUM'!$A$4:$N$16,14,0)</f>
        <v>10</v>
      </c>
      <c r="M3607">
        <f>VLOOKUP(D3607,DROPDOWN!B:C,2,0)</f>
        <v>12</v>
      </c>
      <c r="N3607" t="str">
        <f t="shared" si="180"/>
        <v>X20:AP31</v>
      </c>
      <c r="O3607" s="4">
        <f t="shared" ca="1" si="181"/>
        <v>396721.24999999994</v>
      </c>
    </row>
    <row r="3608" spans="1:15">
      <c r="A3608" s="2" t="s">
        <v>20</v>
      </c>
      <c r="B3608" t="s">
        <v>43</v>
      </c>
      <c r="C3608" t="s">
        <v>44</v>
      </c>
      <c r="D3608">
        <v>50</v>
      </c>
      <c r="E3608" t="s">
        <v>46</v>
      </c>
      <c r="F3608">
        <v>2</v>
      </c>
      <c r="G3608">
        <v>1</v>
      </c>
      <c r="H3608">
        <v>1</v>
      </c>
      <c r="I3608">
        <v>1</v>
      </c>
      <c r="J3608" s="4" t="s">
        <v>52</v>
      </c>
      <c r="K3608" t="str">
        <f t="shared" si="182"/>
        <v>1+1</v>
      </c>
      <c r="L3608">
        <f>VLOOKUP(A3608,'ZONE 1 PREMIUM'!$A$4:$N$16,14,0)</f>
        <v>11</v>
      </c>
      <c r="M3608">
        <f>VLOOKUP(D3608,DROPDOWN!B:C,2,0)</f>
        <v>12</v>
      </c>
      <c r="N3608" t="str">
        <f t="shared" si="180"/>
        <v>X20:AP31</v>
      </c>
      <c r="O3608" s="4">
        <f t="shared" ca="1" si="181"/>
        <v>457637.89999999997</v>
      </c>
    </row>
    <row r="3609" spans="1:15">
      <c r="A3609" s="2" t="s">
        <v>21</v>
      </c>
      <c r="B3609" t="s">
        <v>22</v>
      </c>
      <c r="D3609">
        <v>50</v>
      </c>
      <c r="E3609" t="s">
        <v>46</v>
      </c>
      <c r="F3609">
        <v>2</v>
      </c>
      <c r="G3609">
        <v>1</v>
      </c>
      <c r="H3609">
        <v>1</v>
      </c>
      <c r="I3609">
        <v>1</v>
      </c>
      <c r="J3609" s="4" t="s">
        <v>52</v>
      </c>
      <c r="K3609" t="str">
        <f t="shared" si="182"/>
        <v>1+1</v>
      </c>
      <c r="L3609">
        <f>VLOOKUP(A3609,'ZONE 1 PREMIUM'!$A$4:$N$16,14,0)</f>
        <v>12</v>
      </c>
      <c r="M3609">
        <f>VLOOKUP(D3609,DROPDOWN!B:C,2,0)</f>
        <v>12</v>
      </c>
      <c r="N3609" t="str">
        <f t="shared" si="180"/>
        <v>X20:AP31</v>
      </c>
      <c r="O3609" s="4">
        <f t="shared" ca="1" si="181"/>
        <v>606031.6</v>
      </c>
    </row>
    <row r="3610" spans="1:15">
      <c r="A3610" s="2" t="s">
        <v>11</v>
      </c>
      <c r="B3610" t="s">
        <v>45</v>
      </c>
      <c r="C3610" t="s">
        <v>25</v>
      </c>
      <c r="D3610">
        <v>50</v>
      </c>
      <c r="E3610" t="s">
        <v>46</v>
      </c>
      <c r="F3610">
        <v>3</v>
      </c>
      <c r="G3610">
        <v>1</v>
      </c>
      <c r="H3610">
        <v>2</v>
      </c>
      <c r="I3610">
        <v>1</v>
      </c>
      <c r="J3610" s="4" t="s">
        <v>52</v>
      </c>
      <c r="K3610" t="str">
        <f t="shared" si="182"/>
        <v>1+2</v>
      </c>
      <c r="L3610">
        <f>VLOOKUP(A3610,'ZONE 1 PREMIUM'!$A$4:$N$16,14,0)</f>
        <v>2</v>
      </c>
      <c r="M3610">
        <f>VLOOKUP(D3610,DROPDOWN!B:C,2,0)</f>
        <v>12</v>
      </c>
      <c r="N3610" t="str">
        <f t="shared" si="180"/>
        <v>X35:AP46</v>
      </c>
      <c r="O3610" s="4">
        <f t="shared" ca="1" si="181"/>
        <v>94318.399999999994</v>
      </c>
    </row>
    <row r="3611" spans="1:15">
      <c r="A3611" s="2" t="s">
        <v>12</v>
      </c>
      <c r="B3611" t="s">
        <v>27</v>
      </c>
      <c r="C3611" t="s">
        <v>28</v>
      </c>
      <c r="D3611">
        <v>50</v>
      </c>
      <c r="E3611" t="s">
        <v>46</v>
      </c>
      <c r="F3611">
        <v>3</v>
      </c>
      <c r="G3611">
        <v>1</v>
      </c>
      <c r="H3611">
        <v>2</v>
      </c>
      <c r="I3611">
        <v>1</v>
      </c>
      <c r="J3611" s="4" t="s">
        <v>52</v>
      </c>
      <c r="K3611" t="str">
        <f t="shared" si="182"/>
        <v>1+2</v>
      </c>
      <c r="L3611">
        <f>VLOOKUP(A3611,'ZONE 1 PREMIUM'!$A$4:$N$16,14,0)</f>
        <v>3</v>
      </c>
      <c r="M3611">
        <f>VLOOKUP(D3611,DROPDOWN!B:C,2,0)</f>
        <v>12</v>
      </c>
      <c r="N3611" t="str">
        <f t="shared" si="180"/>
        <v>X35:AP46</v>
      </c>
      <c r="O3611" s="4">
        <f t="shared" ca="1" si="181"/>
        <v>101385.15</v>
      </c>
    </row>
    <row r="3612" spans="1:15">
      <c r="A3612" s="2" t="s">
        <v>13</v>
      </c>
      <c r="B3612" t="s">
        <v>29</v>
      </c>
      <c r="C3612" t="s">
        <v>30</v>
      </c>
      <c r="D3612">
        <v>50</v>
      </c>
      <c r="E3612" t="s">
        <v>46</v>
      </c>
      <c r="F3612">
        <v>3</v>
      </c>
      <c r="G3612">
        <v>1</v>
      </c>
      <c r="H3612">
        <v>2</v>
      </c>
      <c r="I3612">
        <v>1</v>
      </c>
      <c r="J3612" s="4" t="s">
        <v>52</v>
      </c>
      <c r="K3612" t="str">
        <f t="shared" si="182"/>
        <v>1+2</v>
      </c>
      <c r="L3612">
        <f>VLOOKUP(A3612,'ZONE 1 PREMIUM'!$A$4:$N$16,14,0)</f>
        <v>4</v>
      </c>
      <c r="M3612">
        <f>VLOOKUP(D3612,DROPDOWN!B:C,2,0)</f>
        <v>12</v>
      </c>
      <c r="N3612" t="str">
        <f t="shared" si="180"/>
        <v>X35:AP46</v>
      </c>
      <c r="O3612" s="4">
        <f t="shared" ca="1" si="181"/>
        <v>109873.29999999999</v>
      </c>
    </row>
    <row r="3613" spans="1:15">
      <c r="A3613" s="2" t="s">
        <v>14</v>
      </c>
      <c r="B3613" t="s">
        <v>31</v>
      </c>
      <c r="C3613" t="s">
        <v>32</v>
      </c>
      <c r="D3613">
        <v>50</v>
      </c>
      <c r="E3613" t="s">
        <v>46</v>
      </c>
      <c r="F3613">
        <v>3</v>
      </c>
      <c r="G3613">
        <v>1</v>
      </c>
      <c r="H3613">
        <v>2</v>
      </c>
      <c r="I3613">
        <v>1</v>
      </c>
      <c r="J3613" s="4" t="s">
        <v>52</v>
      </c>
      <c r="K3613" t="str">
        <f t="shared" si="182"/>
        <v>1+2</v>
      </c>
      <c r="L3613">
        <f>VLOOKUP(A3613,'ZONE 1 PREMIUM'!$A$4:$N$16,14,0)</f>
        <v>5</v>
      </c>
      <c r="M3613">
        <f>VLOOKUP(D3613,DROPDOWN!B:C,2,0)</f>
        <v>12</v>
      </c>
      <c r="N3613" t="str">
        <f t="shared" si="180"/>
        <v>X35:AP46</v>
      </c>
      <c r="O3613" s="4">
        <f t="shared" ca="1" si="181"/>
        <v>121720.59999999999</v>
      </c>
    </row>
    <row r="3614" spans="1:15">
      <c r="A3614" s="2" t="s">
        <v>15</v>
      </c>
      <c r="B3614" t="s">
        <v>33</v>
      </c>
      <c r="C3614" t="s">
        <v>34</v>
      </c>
      <c r="D3614">
        <v>50</v>
      </c>
      <c r="E3614" t="s">
        <v>46</v>
      </c>
      <c r="F3614">
        <v>3</v>
      </c>
      <c r="G3614">
        <v>1</v>
      </c>
      <c r="H3614">
        <v>2</v>
      </c>
      <c r="I3614">
        <v>1</v>
      </c>
      <c r="J3614" s="4" t="s">
        <v>52</v>
      </c>
      <c r="K3614" t="str">
        <f t="shared" si="182"/>
        <v>1+2</v>
      </c>
      <c r="L3614">
        <f>VLOOKUP(A3614,'ZONE 1 PREMIUM'!$A$4:$N$16,14,0)</f>
        <v>6</v>
      </c>
      <c r="M3614">
        <f>VLOOKUP(D3614,DROPDOWN!B:C,2,0)</f>
        <v>12</v>
      </c>
      <c r="N3614" t="str">
        <f t="shared" si="180"/>
        <v>X35:AP46</v>
      </c>
      <c r="O3614" s="4">
        <f t="shared" ca="1" si="181"/>
        <v>149839.25</v>
      </c>
    </row>
    <row r="3615" spans="1:15">
      <c r="A3615" s="2" t="s">
        <v>16</v>
      </c>
      <c r="B3615" t="s">
        <v>35</v>
      </c>
      <c r="C3615" t="s">
        <v>36</v>
      </c>
      <c r="D3615">
        <v>50</v>
      </c>
      <c r="E3615" t="s">
        <v>46</v>
      </c>
      <c r="F3615">
        <v>3</v>
      </c>
      <c r="G3615">
        <v>1</v>
      </c>
      <c r="H3615">
        <v>2</v>
      </c>
      <c r="I3615">
        <v>1</v>
      </c>
      <c r="J3615" s="4" t="s">
        <v>52</v>
      </c>
      <c r="K3615" t="str">
        <f t="shared" si="182"/>
        <v>1+2</v>
      </c>
      <c r="L3615">
        <f>VLOOKUP(A3615,'ZONE 1 PREMIUM'!$A$4:$N$16,14,0)</f>
        <v>7</v>
      </c>
      <c r="M3615">
        <f>VLOOKUP(D3615,DROPDOWN!B:C,2,0)</f>
        <v>12</v>
      </c>
      <c r="N3615" t="str">
        <f t="shared" si="180"/>
        <v>X35:AP46</v>
      </c>
      <c r="O3615" s="4">
        <f t="shared" ca="1" si="181"/>
        <v>201108.55</v>
      </c>
    </row>
    <row r="3616" spans="1:15">
      <c r="A3616" s="2" t="s">
        <v>17</v>
      </c>
      <c r="B3616" t="s">
        <v>37</v>
      </c>
      <c r="C3616" t="s">
        <v>38</v>
      </c>
      <c r="D3616">
        <v>50</v>
      </c>
      <c r="E3616" t="s">
        <v>46</v>
      </c>
      <c r="F3616">
        <v>3</v>
      </c>
      <c r="G3616">
        <v>1</v>
      </c>
      <c r="H3616">
        <v>2</v>
      </c>
      <c r="I3616">
        <v>1</v>
      </c>
      <c r="J3616" s="4" t="s">
        <v>52</v>
      </c>
      <c r="K3616" t="str">
        <f t="shared" si="182"/>
        <v>1+2</v>
      </c>
      <c r="L3616">
        <f>VLOOKUP(A3616,'ZONE 1 PREMIUM'!$A$4:$N$16,14,0)</f>
        <v>8</v>
      </c>
      <c r="M3616">
        <f>VLOOKUP(D3616,DROPDOWN!B:C,2,0)</f>
        <v>12</v>
      </c>
      <c r="N3616" t="str">
        <f t="shared" si="180"/>
        <v>X35:AP46</v>
      </c>
      <c r="O3616" s="4">
        <f t="shared" ca="1" si="181"/>
        <v>259369.84999999998</v>
      </c>
    </row>
    <row r="3617" spans="1:15">
      <c r="A3617" s="2" t="s">
        <v>18</v>
      </c>
      <c r="B3617" t="s">
        <v>39</v>
      </c>
      <c r="C3617" t="s">
        <v>40</v>
      </c>
      <c r="D3617">
        <v>50</v>
      </c>
      <c r="E3617" t="s">
        <v>46</v>
      </c>
      <c r="F3617">
        <v>3</v>
      </c>
      <c r="G3617">
        <v>1</v>
      </c>
      <c r="H3617">
        <v>2</v>
      </c>
      <c r="I3617">
        <v>1</v>
      </c>
      <c r="J3617" s="4" t="s">
        <v>52</v>
      </c>
      <c r="K3617" t="str">
        <f t="shared" si="182"/>
        <v>1+2</v>
      </c>
      <c r="L3617">
        <f>VLOOKUP(A3617,'ZONE 1 PREMIUM'!$A$4:$N$16,14,0)</f>
        <v>9</v>
      </c>
      <c r="M3617">
        <f>VLOOKUP(D3617,DROPDOWN!B:C,2,0)</f>
        <v>12</v>
      </c>
      <c r="N3617" t="str">
        <f t="shared" si="180"/>
        <v>X35:AP46</v>
      </c>
      <c r="O3617" s="4">
        <f t="shared" ca="1" si="181"/>
        <v>339182.14999999997</v>
      </c>
    </row>
    <row r="3618" spans="1:15">
      <c r="A3618" s="2" t="s">
        <v>19</v>
      </c>
      <c r="B3618" t="s">
        <v>41</v>
      </c>
      <c r="C3618" t="s">
        <v>42</v>
      </c>
      <c r="D3618">
        <v>50</v>
      </c>
      <c r="E3618" t="s">
        <v>46</v>
      </c>
      <c r="F3618">
        <v>3</v>
      </c>
      <c r="G3618">
        <v>1</v>
      </c>
      <c r="H3618">
        <v>2</v>
      </c>
      <c r="I3618">
        <v>1</v>
      </c>
      <c r="J3618" s="4" t="s">
        <v>52</v>
      </c>
      <c r="K3618" t="str">
        <f t="shared" si="182"/>
        <v>1+2</v>
      </c>
      <c r="L3618">
        <f>VLOOKUP(A3618,'ZONE 1 PREMIUM'!$A$4:$N$16,14,0)</f>
        <v>10</v>
      </c>
      <c r="M3618">
        <f>VLOOKUP(D3618,DROPDOWN!B:C,2,0)</f>
        <v>12</v>
      </c>
      <c r="N3618" t="str">
        <f t="shared" si="180"/>
        <v>X35:AP46</v>
      </c>
      <c r="O3618" s="4">
        <f t="shared" ca="1" si="181"/>
        <v>428341.64999999997</v>
      </c>
    </row>
    <row r="3619" spans="1:15">
      <c r="A3619" s="2" t="s">
        <v>20</v>
      </c>
      <c r="B3619" t="s">
        <v>43</v>
      </c>
      <c r="C3619" t="s">
        <v>44</v>
      </c>
      <c r="D3619">
        <v>50</v>
      </c>
      <c r="E3619" t="s">
        <v>46</v>
      </c>
      <c r="F3619">
        <v>3</v>
      </c>
      <c r="G3619">
        <v>1</v>
      </c>
      <c r="H3619">
        <v>2</v>
      </c>
      <c r="I3619">
        <v>1</v>
      </c>
      <c r="J3619" s="4" t="s">
        <v>52</v>
      </c>
      <c r="K3619" t="str">
        <f t="shared" si="182"/>
        <v>1+2</v>
      </c>
      <c r="L3619">
        <f>VLOOKUP(A3619,'ZONE 1 PREMIUM'!$A$4:$N$16,14,0)</f>
        <v>11</v>
      </c>
      <c r="M3619">
        <f>VLOOKUP(D3619,DROPDOWN!B:C,2,0)</f>
        <v>12</v>
      </c>
      <c r="N3619" t="str">
        <f t="shared" si="180"/>
        <v>X35:AP46</v>
      </c>
      <c r="O3619" s="4">
        <f t="shared" ca="1" si="181"/>
        <v>495725.89999999997</v>
      </c>
    </row>
    <row r="3620" spans="1:15">
      <c r="A3620" s="2" t="s">
        <v>21</v>
      </c>
      <c r="B3620" t="s">
        <v>22</v>
      </c>
      <c r="D3620">
        <v>50</v>
      </c>
      <c r="E3620" t="s">
        <v>46</v>
      </c>
      <c r="F3620">
        <v>3</v>
      </c>
      <c r="G3620">
        <v>1</v>
      </c>
      <c r="H3620">
        <v>2</v>
      </c>
      <c r="I3620">
        <v>1</v>
      </c>
      <c r="J3620" s="4" t="s">
        <v>52</v>
      </c>
      <c r="K3620" t="str">
        <f t="shared" si="182"/>
        <v>1+2</v>
      </c>
      <c r="L3620">
        <f>VLOOKUP(A3620,'ZONE 1 PREMIUM'!$A$4:$N$16,14,0)</f>
        <v>12</v>
      </c>
      <c r="M3620">
        <f>VLOOKUP(D3620,DROPDOWN!B:C,2,0)</f>
        <v>12</v>
      </c>
      <c r="N3620" t="str">
        <f t="shared" si="180"/>
        <v>X35:AP46</v>
      </c>
      <c r="O3620" s="4">
        <f t="shared" ca="1" si="181"/>
        <v>633439.54999999993</v>
      </c>
    </row>
    <row r="3621" spans="1:15">
      <c r="A3621" s="2" t="s">
        <v>11</v>
      </c>
      <c r="B3621" t="s">
        <v>45</v>
      </c>
      <c r="C3621" t="s">
        <v>25</v>
      </c>
      <c r="D3621">
        <v>50</v>
      </c>
      <c r="E3621" t="s">
        <v>46</v>
      </c>
      <c r="F3621">
        <v>4</v>
      </c>
      <c r="G3621">
        <v>1</v>
      </c>
      <c r="H3621">
        <v>3</v>
      </c>
      <c r="I3621">
        <v>1</v>
      </c>
      <c r="J3621" s="4" t="s">
        <v>52</v>
      </c>
      <c r="K3621" t="str">
        <f t="shared" si="182"/>
        <v>1+3</v>
      </c>
      <c r="L3621">
        <f>VLOOKUP(A3621,'ZONE 1 PREMIUM'!$A$4:$N$16,14,0)</f>
        <v>2</v>
      </c>
      <c r="M3621">
        <f>VLOOKUP(D3621,DROPDOWN!B:C,2,0)</f>
        <v>12</v>
      </c>
      <c r="N3621" t="str">
        <f t="shared" si="180"/>
        <v>X50:AP61</v>
      </c>
      <c r="O3621" s="4">
        <f t="shared" ca="1" si="181"/>
        <v>112428.59999999999</v>
      </c>
    </row>
    <row r="3622" spans="1:15">
      <c r="A3622" s="2" t="s">
        <v>12</v>
      </c>
      <c r="B3622" t="s">
        <v>27</v>
      </c>
      <c r="C3622" t="s">
        <v>28</v>
      </c>
      <c r="D3622">
        <v>50</v>
      </c>
      <c r="E3622" t="s">
        <v>46</v>
      </c>
      <c r="F3622">
        <v>4</v>
      </c>
      <c r="G3622">
        <v>1</v>
      </c>
      <c r="H3622">
        <v>3</v>
      </c>
      <c r="I3622">
        <v>1</v>
      </c>
      <c r="J3622" s="4" t="s">
        <v>52</v>
      </c>
      <c r="K3622" t="str">
        <f t="shared" si="182"/>
        <v>1+3</v>
      </c>
      <c r="L3622">
        <f>VLOOKUP(A3622,'ZONE 1 PREMIUM'!$A$4:$N$16,14,0)</f>
        <v>3</v>
      </c>
      <c r="M3622">
        <f>VLOOKUP(D3622,DROPDOWN!B:C,2,0)</f>
        <v>12</v>
      </c>
      <c r="N3622" t="str">
        <f t="shared" si="180"/>
        <v>X50:AP61</v>
      </c>
      <c r="O3622" s="4">
        <f t="shared" ca="1" si="181"/>
        <v>119245.79999999999</v>
      </c>
    </row>
    <row r="3623" spans="1:15">
      <c r="A3623" s="2" t="s">
        <v>13</v>
      </c>
      <c r="B3623" t="s">
        <v>29</v>
      </c>
      <c r="C3623" t="s">
        <v>30</v>
      </c>
      <c r="D3623">
        <v>50</v>
      </c>
      <c r="E3623" t="s">
        <v>46</v>
      </c>
      <c r="F3623">
        <v>4</v>
      </c>
      <c r="G3623">
        <v>1</v>
      </c>
      <c r="H3623">
        <v>3</v>
      </c>
      <c r="I3623">
        <v>1</v>
      </c>
      <c r="J3623" s="4" t="s">
        <v>52</v>
      </c>
      <c r="K3623" t="str">
        <f t="shared" si="182"/>
        <v>1+3</v>
      </c>
      <c r="L3623">
        <f>VLOOKUP(A3623,'ZONE 1 PREMIUM'!$A$4:$N$16,14,0)</f>
        <v>4</v>
      </c>
      <c r="M3623">
        <f>VLOOKUP(D3623,DROPDOWN!B:C,2,0)</f>
        <v>12</v>
      </c>
      <c r="N3623" t="str">
        <f t="shared" si="180"/>
        <v>X50:AP61</v>
      </c>
      <c r="O3623" s="4">
        <f t="shared" ca="1" si="181"/>
        <v>130507.74999999999</v>
      </c>
    </row>
    <row r="3624" spans="1:15">
      <c r="A3624" s="2" t="s">
        <v>14</v>
      </c>
      <c r="B3624" t="s">
        <v>31</v>
      </c>
      <c r="C3624" t="s">
        <v>32</v>
      </c>
      <c r="D3624">
        <v>50</v>
      </c>
      <c r="E3624" t="s">
        <v>46</v>
      </c>
      <c r="F3624">
        <v>4</v>
      </c>
      <c r="G3624">
        <v>1</v>
      </c>
      <c r="H3624">
        <v>3</v>
      </c>
      <c r="I3624">
        <v>1</v>
      </c>
      <c r="J3624" s="4" t="s">
        <v>52</v>
      </c>
      <c r="K3624" t="str">
        <f t="shared" si="182"/>
        <v>1+3</v>
      </c>
      <c r="L3624">
        <f>VLOOKUP(A3624,'ZONE 1 PREMIUM'!$A$4:$N$16,14,0)</f>
        <v>5</v>
      </c>
      <c r="M3624">
        <f>VLOOKUP(D3624,DROPDOWN!B:C,2,0)</f>
        <v>12</v>
      </c>
      <c r="N3624" t="str">
        <f t="shared" si="180"/>
        <v>X50:AP61</v>
      </c>
      <c r="O3624" s="4">
        <f t="shared" ca="1" si="181"/>
        <v>143800.59999999998</v>
      </c>
    </row>
    <row r="3625" spans="1:15">
      <c r="A3625" s="2" t="s">
        <v>15</v>
      </c>
      <c r="B3625" t="s">
        <v>33</v>
      </c>
      <c r="C3625" t="s">
        <v>34</v>
      </c>
      <c r="D3625">
        <v>50</v>
      </c>
      <c r="E3625" t="s">
        <v>46</v>
      </c>
      <c r="F3625">
        <v>4</v>
      </c>
      <c r="G3625">
        <v>1</v>
      </c>
      <c r="H3625">
        <v>3</v>
      </c>
      <c r="I3625">
        <v>1</v>
      </c>
      <c r="J3625" s="4" t="s">
        <v>52</v>
      </c>
      <c r="K3625" t="str">
        <f t="shared" si="182"/>
        <v>1+3</v>
      </c>
      <c r="L3625">
        <f>VLOOKUP(A3625,'ZONE 1 PREMIUM'!$A$4:$N$16,14,0)</f>
        <v>6</v>
      </c>
      <c r="M3625">
        <f>VLOOKUP(D3625,DROPDOWN!B:C,2,0)</f>
        <v>12</v>
      </c>
      <c r="N3625" t="str">
        <f t="shared" si="180"/>
        <v>X50:AP61</v>
      </c>
      <c r="O3625" s="4">
        <f t="shared" ca="1" si="181"/>
        <v>174487.19999999998</v>
      </c>
    </row>
    <row r="3626" spans="1:15">
      <c r="A3626" s="2" t="s">
        <v>16</v>
      </c>
      <c r="B3626" t="s">
        <v>35</v>
      </c>
      <c r="C3626" t="s">
        <v>36</v>
      </c>
      <c r="D3626">
        <v>50</v>
      </c>
      <c r="E3626" t="s">
        <v>46</v>
      </c>
      <c r="F3626">
        <v>4</v>
      </c>
      <c r="G3626">
        <v>1</v>
      </c>
      <c r="H3626">
        <v>3</v>
      </c>
      <c r="I3626">
        <v>1</v>
      </c>
      <c r="J3626" s="4" t="s">
        <v>52</v>
      </c>
      <c r="K3626" t="str">
        <f t="shared" si="182"/>
        <v>1+3</v>
      </c>
      <c r="L3626">
        <f>VLOOKUP(A3626,'ZONE 1 PREMIUM'!$A$4:$N$16,14,0)</f>
        <v>7</v>
      </c>
      <c r="M3626">
        <f>VLOOKUP(D3626,DROPDOWN!B:C,2,0)</f>
        <v>12</v>
      </c>
      <c r="N3626" t="str">
        <f t="shared" si="180"/>
        <v>X50:AP61</v>
      </c>
      <c r="O3626" s="4">
        <f t="shared" ca="1" si="181"/>
        <v>227679.3</v>
      </c>
    </row>
    <row r="3627" spans="1:15">
      <c r="A3627" s="2" t="s">
        <v>17</v>
      </c>
      <c r="B3627" t="s">
        <v>37</v>
      </c>
      <c r="C3627" t="s">
        <v>38</v>
      </c>
      <c r="D3627">
        <v>50</v>
      </c>
      <c r="E3627" t="s">
        <v>46</v>
      </c>
      <c r="F3627">
        <v>4</v>
      </c>
      <c r="G3627">
        <v>1</v>
      </c>
      <c r="H3627">
        <v>3</v>
      </c>
      <c r="I3627">
        <v>1</v>
      </c>
      <c r="J3627" s="4" t="s">
        <v>52</v>
      </c>
      <c r="K3627" t="str">
        <f t="shared" si="182"/>
        <v>1+3</v>
      </c>
      <c r="L3627">
        <f>VLOOKUP(A3627,'ZONE 1 PREMIUM'!$A$4:$N$16,14,0)</f>
        <v>8</v>
      </c>
      <c r="M3627">
        <f>VLOOKUP(D3627,DROPDOWN!B:C,2,0)</f>
        <v>12</v>
      </c>
      <c r="N3627" t="str">
        <f t="shared" si="180"/>
        <v>X50:AP61</v>
      </c>
      <c r="O3627" s="4">
        <f t="shared" ca="1" si="181"/>
        <v>282085.8</v>
      </c>
    </row>
    <row r="3628" spans="1:15">
      <c r="A3628" s="2" t="s">
        <v>18</v>
      </c>
      <c r="B3628" t="s">
        <v>39</v>
      </c>
      <c r="C3628" t="s">
        <v>40</v>
      </c>
      <c r="D3628">
        <v>50</v>
      </c>
      <c r="E3628" t="s">
        <v>46</v>
      </c>
      <c r="F3628">
        <v>4</v>
      </c>
      <c r="G3628">
        <v>1</v>
      </c>
      <c r="H3628">
        <v>3</v>
      </c>
      <c r="I3628">
        <v>1</v>
      </c>
      <c r="J3628" s="4" t="s">
        <v>52</v>
      </c>
      <c r="K3628" t="str">
        <f t="shared" si="182"/>
        <v>1+3</v>
      </c>
      <c r="L3628">
        <f>VLOOKUP(A3628,'ZONE 1 PREMIUM'!$A$4:$N$16,14,0)</f>
        <v>9</v>
      </c>
      <c r="M3628">
        <f>VLOOKUP(D3628,DROPDOWN!B:C,2,0)</f>
        <v>12</v>
      </c>
      <c r="N3628" t="str">
        <f t="shared" si="180"/>
        <v>X50:AP61</v>
      </c>
      <c r="O3628" s="4">
        <f t="shared" ca="1" si="181"/>
        <v>364475.25</v>
      </c>
    </row>
    <row r="3629" spans="1:15">
      <c r="A3629" s="2" t="s">
        <v>19</v>
      </c>
      <c r="B3629" t="s">
        <v>41</v>
      </c>
      <c r="C3629" t="s">
        <v>42</v>
      </c>
      <c r="D3629">
        <v>50</v>
      </c>
      <c r="E3629" t="s">
        <v>46</v>
      </c>
      <c r="F3629">
        <v>4</v>
      </c>
      <c r="G3629">
        <v>1</v>
      </c>
      <c r="H3629">
        <v>3</v>
      </c>
      <c r="I3629">
        <v>1</v>
      </c>
      <c r="J3629" s="4" t="s">
        <v>52</v>
      </c>
      <c r="K3629" t="str">
        <f t="shared" si="182"/>
        <v>1+3</v>
      </c>
      <c r="L3629">
        <f>VLOOKUP(A3629,'ZONE 1 PREMIUM'!$A$4:$N$16,14,0)</f>
        <v>10</v>
      </c>
      <c r="M3629">
        <f>VLOOKUP(D3629,DROPDOWN!B:C,2,0)</f>
        <v>12</v>
      </c>
      <c r="N3629" t="str">
        <f t="shared" si="180"/>
        <v>X50:AP61</v>
      </c>
      <c r="O3629" s="4">
        <f t="shared" ca="1" si="181"/>
        <v>447645.55</v>
      </c>
    </row>
    <row r="3630" spans="1:15">
      <c r="A3630" s="2" t="s">
        <v>20</v>
      </c>
      <c r="B3630" t="s">
        <v>43</v>
      </c>
      <c r="C3630" t="s">
        <v>44</v>
      </c>
      <c r="D3630">
        <v>50</v>
      </c>
      <c r="E3630" t="s">
        <v>46</v>
      </c>
      <c r="F3630">
        <v>4</v>
      </c>
      <c r="G3630">
        <v>1</v>
      </c>
      <c r="H3630">
        <v>3</v>
      </c>
      <c r="I3630">
        <v>1</v>
      </c>
      <c r="J3630" s="4" t="s">
        <v>52</v>
      </c>
      <c r="K3630" t="str">
        <f t="shared" si="182"/>
        <v>1+3</v>
      </c>
      <c r="L3630">
        <f>VLOOKUP(A3630,'ZONE 1 PREMIUM'!$A$4:$N$16,14,0)</f>
        <v>11</v>
      </c>
      <c r="M3630">
        <f>VLOOKUP(D3630,DROPDOWN!B:C,2,0)</f>
        <v>12</v>
      </c>
      <c r="N3630" t="str">
        <f t="shared" si="180"/>
        <v>X50:AP61</v>
      </c>
      <c r="O3630" s="4">
        <f t="shared" ca="1" si="181"/>
        <v>513951.1</v>
      </c>
    </row>
    <row r="3631" spans="1:15">
      <c r="A3631" s="2" t="s">
        <v>21</v>
      </c>
      <c r="B3631" t="s">
        <v>22</v>
      </c>
      <c r="D3631">
        <v>50</v>
      </c>
      <c r="E3631" t="s">
        <v>46</v>
      </c>
      <c r="F3631">
        <v>4</v>
      </c>
      <c r="G3631">
        <v>1</v>
      </c>
      <c r="H3631">
        <v>3</v>
      </c>
      <c r="I3631">
        <v>1</v>
      </c>
      <c r="J3631" s="4" t="s">
        <v>52</v>
      </c>
      <c r="K3631" t="str">
        <f t="shared" si="182"/>
        <v>1+3</v>
      </c>
      <c r="L3631">
        <f>VLOOKUP(A3631,'ZONE 1 PREMIUM'!$A$4:$N$16,14,0)</f>
        <v>12</v>
      </c>
      <c r="M3631">
        <f>VLOOKUP(D3631,DROPDOWN!B:C,2,0)</f>
        <v>12</v>
      </c>
      <c r="N3631" t="str">
        <f t="shared" si="180"/>
        <v>X50:AP61</v>
      </c>
      <c r="O3631" s="4">
        <f t="shared" ca="1" si="181"/>
        <v>653193.1</v>
      </c>
    </row>
    <row r="3632" spans="1:15">
      <c r="A3632" s="2" t="s">
        <v>11</v>
      </c>
      <c r="B3632" t="s">
        <v>45</v>
      </c>
      <c r="C3632" t="s">
        <v>25</v>
      </c>
      <c r="D3632">
        <v>50</v>
      </c>
      <c r="E3632" t="s">
        <v>46</v>
      </c>
      <c r="F3632">
        <v>5</v>
      </c>
      <c r="G3632">
        <v>1</v>
      </c>
      <c r="H3632">
        <v>4</v>
      </c>
      <c r="I3632">
        <v>1</v>
      </c>
      <c r="J3632" s="4" t="s">
        <v>52</v>
      </c>
      <c r="K3632" t="str">
        <f t="shared" si="182"/>
        <v>1+4</v>
      </c>
      <c r="L3632">
        <f>VLOOKUP(A3632,'ZONE 1 PREMIUM'!$A$4:$N$16,14,0)</f>
        <v>2</v>
      </c>
      <c r="M3632">
        <f>VLOOKUP(D3632,DROPDOWN!B:C,2,0)</f>
        <v>12</v>
      </c>
      <c r="N3632" t="str">
        <f t="shared" si="180"/>
        <v>X65:AP76</v>
      </c>
      <c r="O3632" s="4">
        <f t="shared" ca="1" si="181"/>
        <v>130538.79999999999</v>
      </c>
    </row>
    <row r="3633" spans="1:15">
      <c r="A3633" s="2" t="s">
        <v>12</v>
      </c>
      <c r="B3633" t="s">
        <v>27</v>
      </c>
      <c r="C3633" t="s">
        <v>28</v>
      </c>
      <c r="D3633">
        <v>50</v>
      </c>
      <c r="E3633" t="s">
        <v>46</v>
      </c>
      <c r="F3633">
        <v>5</v>
      </c>
      <c r="G3633">
        <v>1</v>
      </c>
      <c r="H3633">
        <v>4</v>
      </c>
      <c r="I3633">
        <v>1</v>
      </c>
      <c r="J3633" s="4" t="s">
        <v>52</v>
      </c>
      <c r="K3633" t="str">
        <f t="shared" si="182"/>
        <v>1+4</v>
      </c>
      <c r="L3633">
        <f>VLOOKUP(A3633,'ZONE 1 PREMIUM'!$A$4:$N$16,14,0)</f>
        <v>3</v>
      </c>
      <c r="M3633">
        <f>VLOOKUP(D3633,DROPDOWN!B:C,2,0)</f>
        <v>12</v>
      </c>
      <c r="N3633" t="str">
        <f t="shared" si="180"/>
        <v>X65:AP76</v>
      </c>
      <c r="O3633" s="4">
        <f t="shared" ca="1" si="181"/>
        <v>137106.44999999998</v>
      </c>
    </row>
    <row r="3634" spans="1:15">
      <c r="A3634" s="2" t="s">
        <v>13</v>
      </c>
      <c r="B3634" t="s">
        <v>29</v>
      </c>
      <c r="C3634" t="s">
        <v>30</v>
      </c>
      <c r="D3634">
        <v>50</v>
      </c>
      <c r="E3634" t="s">
        <v>46</v>
      </c>
      <c r="F3634">
        <v>5</v>
      </c>
      <c r="G3634">
        <v>1</v>
      </c>
      <c r="H3634">
        <v>4</v>
      </c>
      <c r="I3634">
        <v>1</v>
      </c>
      <c r="J3634" s="4" t="s">
        <v>52</v>
      </c>
      <c r="K3634" t="str">
        <f t="shared" si="182"/>
        <v>1+4</v>
      </c>
      <c r="L3634">
        <f>VLOOKUP(A3634,'ZONE 1 PREMIUM'!$A$4:$N$16,14,0)</f>
        <v>4</v>
      </c>
      <c r="M3634">
        <f>VLOOKUP(D3634,DROPDOWN!B:C,2,0)</f>
        <v>12</v>
      </c>
      <c r="N3634" t="str">
        <f t="shared" si="180"/>
        <v>X65:AP76</v>
      </c>
      <c r="O3634" s="4">
        <f t="shared" ca="1" si="181"/>
        <v>151142.19999999998</v>
      </c>
    </row>
    <row r="3635" spans="1:15">
      <c r="A3635" s="2" t="s">
        <v>14</v>
      </c>
      <c r="B3635" t="s">
        <v>31</v>
      </c>
      <c r="C3635" t="s">
        <v>32</v>
      </c>
      <c r="D3635">
        <v>50</v>
      </c>
      <c r="E3635" t="s">
        <v>46</v>
      </c>
      <c r="F3635">
        <v>5</v>
      </c>
      <c r="G3635">
        <v>1</v>
      </c>
      <c r="H3635">
        <v>4</v>
      </c>
      <c r="I3635">
        <v>1</v>
      </c>
      <c r="J3635" s="4" t="s">
        <v>52</v>
      </c>
      <c r="K3635" t="str">
        <f t="shared" si="182"/>
        <v>1+4</v>
      </c>
      <c r="L3635">
        <f>VLOOKUP(A3635,'ZONE 1 PREMIUM'!$A$4:$N$16,14,0)</f>
        <v>5</v>
      </c>
      <c r="M3635">
        <f>VLOOKUP(D3635,DROPDOWN!B:C,2,0)</f>
        <v>12</v>
      </c>
      <c r="N3635" t="str">
        <f t="shared" si="180"/>
        <v>X65:AP76</v>
      </c>
      <c r="O3635" s="4">
        <f t="shared" ca="1" si="181"/>
        <v>165880.59999999998</v>
      </c>
    </row>
    <row r="3636" spans="1:15">
      <c r="A3636" s="2" t="s">
        <v>15</v>
      </c>
      <c r="B3636" t="s">
        <v>33</v>
      </c>
      <c r="C3636" t="s">
        <v>34</v>
      </c>
      <c r="D3636">
        <v>50</v>
      </c>
      <c r="E3636" t="s">
        <v>46</v>
      </c>
      <c r="F3636">
        <v>5</v>
      </c>
      <c r="G3636">
        <v>1</v>
      </c>
      <c r="H3636">
        <v>4</v>
      </c>
      <c r="I3636">
        <v>1</v>
      </c>
      <c r="J3636" s="4" t="s">
        <v>52</v>
      </c>
      <c r="K3636" t="str">
        <f t="shared" si="182"/>
        <v>1+4</v>
      </c>
      <c r="L3636">
        <f>VLOOKUP(A3636,'ZONE 1 PREMIUM'!$A$4:$N$16,14,0)</f>
        <v>6</v>
      </c>
      <c r="M3636">
        <f>VLOOKUP(D3636,DROPDOWN!B:C,2,0)</f>
        <v>12</v>
      </c>
      <c r="N3636" t="str">
        <f t="shared" si="180"/>
        <v>X65:AP76</v>
      </c>
      <c r="O3636" s="4">
        <f t="shared" ca="1" si="181"/>
        <v>199135.15</v>
      </c>
    </row>
    <row r="3637" spans="1:15">
      <c r="A3637" s="2" t="s">
        <v>16</v>
      </c>
      <c r="B3637" t="s">
        <v>35</v>
      </c>
      <c r="C3637" t="s">
        <v>36</v>
      </c>
      <c r="D3637">
        <v>50</v>
      </c>
      <c r="E3637" t="s">
        <v>46</v>
      </c>
      <c r="F3637">
        <v>5</v>
      </c>
      <c r="G3637">
        <v>1</v>
      </c>
      <c r="H3637">
        <v>4</v>
      </c>
      <c r="I3637">
        <v>1</v>
      </c>
      <c r="J3637" s="4" t="s">
        <v>52</v>
      </c>
      <c r="K3637" t="str">
        <f t="shared" si="182"/>
        <v>1+4</v>
      </c>
      <c r="L3637">
        <f>VLOOKUP(A3637,'ZONE 1 PREMIUM'!$A$4:$N$16,14,0)</f>
        <v>7</v>
      </c>
      <c r="M3637">
        <f>VLOOKUP(D3637,DROPDOWN!B:C,2,0)</f>
        <v>12</v>
      </c>
      <c r="N3637" t="str">
        <f t="shared" si="180"/>
        <v>X65:AP76</v>
      </c>
      <c r="O3637" s="4">
        <f t="shared" ca="1" si="181"/>
        <v>249429.24999999997</v>
      </c>
    </row>
    <row r="3638" spans="1:15">
      <c r="A3638" s="2" t="s">
        <v>17</v>
      </c>
      <c r="B3638" t="s">
        <v>37</v>
      </c>
      <c r="C3638" t="s">
        <v>38</v>
      </c>
      <c r="D3638">
        <v>50</v>
      </c>
      <c r="E3638" t="s">
        <v>46</v>
      </c>
      <c r="F3638">
        <v>5</v>
      </c>
      <c r="G3638">
        <v>1</v>
      </c>
      <c r="H3638">
        <v>4</v>
      </c>
      <c r="I3638">
        <v>1</v>
      </c>
      <c r="J3638" s="4" t="s">
        <v>52</v>
      </c>
      <c r="K3638" t="str">
        <f t="shared" si="182"/>
        <v>1+4</v>
      </c>
      <c r="L3638">
        <f>VLOOKUP(A3638,'ZONE 1 PREMIUM'!$A$4:$N$16,14,0)</f>
        <v>8</v>
      </c>
      <c r="M3638">
        <f>VLOOKUP(D3638,DROPDOWN!B:C,2,0)</f>
        <v>12</v>
      </c>
      <c r="N3638" t="str">
        <f t="shared" si="180"/>
        <v>X65:AP76</v>
      </c>
      <c r="O3638" s="4">
        <f t="shared" ca="1" si="181"/>
        <v>302711.05</v>
      </c>
    </row>
    <row r="3639" spans="1:15">
      <c r="A3639" s="2" t="s">
        <v>18</v>
      </c>
      <c r="B3639" t="s">
        <v>39</v>
      </c>
      <c r="C3639" t="s">
        <v>40</v>
      </c>
      <c r="D3639">
        <v>50</v>
      </c>
      <c r="E3639" t="s">
        <v>46</v>
      </c>
      <c r="F3639">
        <v>5</v>
      </c>
      <c r="G3639">
        <v>1</v>
      </c>
      <c r="H3639">
        <v>4</v>
      </c>
      <c r="I3639">
        <v>1</v>
      </c>
      <c r="J3639" s="4" t="s">
        <v>52</v>
      </c>
      <c r="K3639" t="str">
        <f t="shared" si="182"/>
        <v>1+4</v>
      </c>
      <c r="L3639">
        <f>VLOOKUP(A3639,'ZONE 1 PREMIUM'!$A$4:$N$16,14,0)</f>
        <v>9</v>
      </c>
      <c r="M3639">
        <f>VLOOKUP(D3639,DROPDOWN!B:C,2,0)</f>
        <v>12</v>
      </c>
      <c r="N3639" t="str">
        <f t="shared" si="180"/>
        <v>X65:AP76</v>
      </c>
      <c r="O3639" s="4">
        <f t="shared" ca="1" si="181"/>
        <v>385424.8</v>
      </c>
    </row>
    <row r="3640" spans="1:15">
      <c r="A3640" s="2" t="s">
        <v>19</v>
      </c>
      <c r="B3640" t="s">
        <v>41</v>
      </c>
      <c r="C3640" t="s">
        <v>42</v>
      </c>
      <c r="D3640">
        <v>50</v>
      </c>
      <c r="E3640" t="s">
        <v>46</v>
      </c>
      <c r="F3640">
        <v>5</v>
      </c>
      <c r="G3640">
        <v>1</v>
      </c>
      <c r="H3640">
        <v>4</v>
      </c>
      <c r="I3640">
        <v>1</v>
      </c>
      <c r="J3640" s="4" t="s">
        <v>52</v>
      </c>
      <c r="K3640" t="str">
        <f t="shared" si="182"/>
        <v>1+4</v>
      </c>
      <c r="L3640">
        <f>VLOOKUP(A3640,'ZONE 1 PREMIUM'!$A$4:$N$16,14,0)</f>
        <v>10</v>
      </c>
      <c r="M3640">
        <f>VLOOKUP(D3640,DROPDOWN!B:C,2,0)</f>
        <v>12</v>
      </c>
      <c r="N3640" t="str">
        <f t="shared" si="180"/>
        <v>X65:AP76</v>
      </c>
      <c r="O3640" s="4">
        <f t="shared" ca="1" si="181"/>
        <v>467937.3</v>
      </c>
    </row>
    <row r="3641" spans="1:15">
      <c r="A3641" s="2" t="s">
        <v>20</v>
      </c>
      <c r="B3641" t="s">
        <v>43</v>
      </c>
      <c r="C3641" t="s">
        <v>44</v>
      </c>
      <c r="D3641">
        <v>50</v>
      </c>
      <c r="E3641" t="s">
        <v>46</v>
      </c>
      <c r="F3641">
        <v>5</v>
      </c>
      <c r="G3641">
        <v>1</v>
      </c>
      <c r="H3641">
        <v>4</v>
      </c>
      <c r="I3641">
        <v>1</v>
      </c>
      <c r="J3641" s="4" t="s">
        <v>52</v>
      </c>
      <c r="K3641" t="str">
        <f t="shared" si="182"/>
        <v>1+4</v>
      </c>
      <c r="L3641">
        <f>VLOOKUP(A3641,'ZONE 1 PREMIUM'!$A$4:$N$16,14,0)</f>
        <v>11</v>
      </c>
      <c r="M3641">
        <f>VLOOKUP(D3641,DROPDOWN!B:C,2,0)</f>
        <v>12</v>
      </c>
      <c r="N3641" t="str">
        <f t="shared" si="180"/>
        <v>X65:AP76</v>
      </c>
      <c r="O3641" s="4">
        <f t="shared" ca="1" si="181"/>
        <v>534394.64999999991</v>
      </c>
    </row>
    <row r="3642" spans="1:15">
      <c r="A3642" s="2" t="s">
        <v>21</v>
      </c>
      <c r="B3642" t="s">
        <v>22</v>
      </c>
      <c r="D3642">
        <v>50</v>
      </c>
      <c r="E3642" t="s">
        <v>46</v>
      </c>
      <c r="F3642">
        <v>5</v>
      </c>
      <c r="G3642">
        <v>1</v>
      </c>
      <c r="H3642">
        <v>4</v>
      </c>
      <c r="I3642">
        <v>1</v>
      </c>
      <c r="J3642" s="4" t="s">
        <v>52</v>
      </c>
      <c r="K3642" t="str">
        <f t="shared" si="182"/>
        <v>1+4</v>
      </c>
      <c r="L3642">
        <f>VLOOKUP(A3642,'ZONE 1 PREMIUM'!$A$4:$N$16,14,0)</f>
        <v>12</v>
      </c>
      <c r="M3642">
        <f>VLOOKUP(D3642,DROPDOWN!B:C,2,0)</f>
        <v>12</v>
      </c>
      <c r="N3642" t="str">
        <f t="shared" si="180"/>
        <v>X65:AP76</v>
      </c>
      <c r="O3642" s="4">
        <f t="shared" ca="1" si="181"/>
        <v>674557.79999999993</v>
      </c>
    </row>
    <row r="3643" spans="1:15">
      <c r="A3643" s="2" t="s">
        <v>11</v>
      </c>
      <c r="B3643" t="s">
        <v>45</v>
      </c>
      <c r="C3643" t="s">
        <v>25</v>
      </c>
      <c r="D3643">
        <v>50</v>
      </c>
      <c r="E3643" t="s">
        <v>46</v>
      </c>
      <c r="F3643">
        <v>2</v>
      </c>
      <c r="G3643">
        <v>2</v>
      </c>
      <c r="H3643">
        <v>0</v>
      </c>
      <c r="I3643">
        <v>1</v>
      </c>
      <c r="J3643" s="4" t="s">
        <v>52</v>
      </c>
      <c r="K3643" t="str">
        <f t="shared" si="182"/>
        <v>2+0</v>
      </c>
      <c r="L3643">
        <f>VLOOKUP(A3643,'ZONE 1 PREMIUM'!$A$4:$N$16,14,0)</f>
        <v>2</v>
      </c>
      <c r="M3643">
        <f>VLOOKUP(D3643,DROPDOWN!B:C,2,0)</f>
        <v>12</v>
      </c>
      <c r="N3643" t="str">
        <f t="shared" si="180"/>
        <v>X81:AP92</v>
      </c>
      <c r="O3643" s="4">
        <f t="shared" ca="1" si="181"/>
        <v>115870.54999999999</v>
      </c>
    </row>
    <row r="3644" spans="1:15">
      <c r="A3644" s="2" t="s">
        <v>12</v>
      </c>
      <c r="B3644" t="s">
        <v>27</v>
      </c>
      <c r="C3644" t="s">
        <v>28</v>
      </c>
      <c r="D3644">
        <v>50</v>
      </c>
      <c r="E3644" t="s">
        <v>46</v>
      </c>
      <c r="F3644">
        <v>2</v>
      </c>
      <c r="G3644">
        <v>2</v>
      </c>
      <c r="H3644">
        <v>0</v>
      </c>
      <c r="I3644">
        <v>1</v>
      </c>
      <c r="J3644" s="4" t="s">
        <v>52</v>
      </c>
      <c r="K3644" t="str">
        <f t="shared" si="182"/>
        <v>2+0</v>
      </c>
      <c r="L3644">
        <f>VLOOKUP(A3644,'ZONE 1 PREMIUM'!$A$4:$N$16,14,0)</f>
        <v>3</v>
      </c>
      <c r="M3644">
        <f>VLOOKUP(D3644,DROPDOWN!B:C,2,0)</f>
        <v>12</v>
      </c>
      <c r="N3644" t="str">
        <f t="shared" si="180"/>
        <v>X81:AP92</v>
      </c>
      <c r="O3644" s="4">
        <f t="shared" ca="1" si="181"/>
        <v>129868.34999999999</v>
      </c>
    </row>
    <row r="3645" spans="1:15">
      <c r="A3645" s="2" t="s">
        <v>13</v>
      </c>
      <c r="B3645" t="s">
        <v>29</v>
      </c>
      <c r="C3645" t="s">
        <v>30</v>
      </c>
      <c r="D3645">
        <v>50</v>
      </c>
      <c r="E3645" t="s">
        <v>46</v>
      </c>
      <c r="F3645">
        <v>2</v>
      </c>
      <c r="G3645">
        <v>2</v>
      </c>
      <c r="H3645">
        <v>0</v>
      </c>
      <c r="I3645">
        <v>1</v>
      </c>
      <c r="J3645" s="4" t="s">
        <v>52</v>
      </c>
      <c r="K3645" t="str">
        <f t="shared" si="182"/>
        <v>2+0</v>
      </c>
      <c r="L3645">
        <f>VLOOKUP(A3645,'ZONE 1 PREMIUM'!$A$4:$N$16,14,0)</f>
        <v>4</v>
      </c>
      <c r="M3645">
        <f>VLOOKUP(D3645,DROPDOWN!B:C,2,0)</f>
        <v>12</v>
      </c>
      <c r="N3645" t="str">
        <f t="shared" si="180"/>
        <v>X81:AP92</v>
      </c>
      <c r="O3645" s="4">
        <f t="shared" ca="1" si="181"/>
        <v>134730.54999999999</v>
      </c>
    </row>
    <row r="3646" spans="1:15">
      <c r="A3646" s="2" t="s">
        <v>14</v>
      </c>
      <c r="B3646" t="s">
        <v>31</v>
      </c>
      <c r="C3646" t="s">
        <v>32</v>
      </c>
      <c r="D3646">
        <v>50</v>
      </c>
      <c r="E3646" t="s">
        <v>46</v>
      </c>
      <c r="F3646">
        <v>2</v>
      </c>
      <c r="G3646">
        <v>2</v>
      </c>
      <c r="H3646">
        <v>0</v>
      </c>
      <c r="I3646">
        <v>1</v>
      </c>
      <c r="J3646" s="4" t="s">
        <v>52</v>
      </c>
      <c r="K3646" t="str">
        <f t="shared" si="182"/>
        <v>2+0</v>
      </c>
      <c r="L3646">
        <f>VLOOKUP(A3646,'ZONE 1 PREMIUM'!$A$4:$N$16,14,0)</f>
        <v>5</v>
      </c>
      <c r="M3646">
        <f>VLOOKUP(D3646,DROPDOWN!B:C,2,0)</f>
        <v>12</v>
      </c>
      <c r="N3646" t="str">
        <f t="shared" si="180"/>
        <v>X81:AP92</v>
      </c>
      <c r="O3646" s="4">
        <f t="shared" ca="1" si="181"/>
        <v>148309.75</v>
      </c>
    </row>
    <row r="3647" spans="1:15">
      <c r="A3647" s="2" t="s">
        <v>15</v>
      </c>
      <c r="B3647" t="s">
        <v>33</v>
      </c>
      <c r="C3647" t="s">
        <v>34</v>
      </c>
      <c r="D3647">
        <v>50</v>
      </c>
      <c r="E3647" t="s">
        <v>46</v>
      </c>
      <c r="F3647">
        <v>2</v>
      </c>
      <c r="G3647">
        <v>2</v>
      </c>
      <c r="H3647">
        <v>0</v>
      </c>
      <c r="I3647">
        <v>1</v>
      </c>
      <c r="J3647" s="4" t="s">
        <v>52</v>
      </c>
      <c r="K3647" t="str">
        <f t="shared" si="182"/>
        <v>2+0</v>
      </c>
      <c r="L3647">
        <f>VLOOKUP(A3647,'ZONE 1 PREMIUM'!$A$4:$N$16,14,0)</f>
        <v>6</v>
      </c>
      <c r="M3647">
        <f>VLOOKUP(D3647,DROPDOWN!B:C,2,0)</f>
        <v>12</v>
      </c>
      <c r="N3647" t="str">
        <f t="shared" si="180"/>
        <v>X81:AP92</v>
      </c>
      <c r="O3647" s="4">
        <f t="shared" ca="1" si="181"/>
        <v>184336.94999999998</v>
      </c>
    </row>
    <row r="3648" spans="1:15">
      <c r="A3648" s="2" t="s">
        <v>16</v>
      </c>
      <c r="B3648" t="s">
        <v>35</v>
      </c>
      <c r="C3648" t="s">
        <v>36</v>
      </c>
      <c r="D3648">
        <v>50</v>
      </c>
      <c r="E3648" t="s">
        <v>46</v>
      </c>
      <c r="F3648">
        <v>2</v>
      </c>
      <c r="G3648">
        <v>2</v>
      </c>
      <c r="H3648">
        <v>0</v>
      </c>
      <c r="I3648">
        <v>1</v>
      </c>
      <c r="J3648" s="4" t="s">
        <v>52</v>
      </c>
      <c r="K3648" t="str">
        <f t="shared" si="182"/>
        <v>2+0</v>
      </c>
      <c r="L3648">
        <f>VLOOKUP(A3648,'ZONE 1 PREMIUM'!$A$4:$N$16,14,0)</f>
        <v>7</v>
      </c>
      <c r="M3648">
        <f>VLOOKUP(D3648,DROPDOWN!B:C,2,0)</f>
        <v>12</v>
      </c>
      <c r="N3648" t="str">
        <f t="shared" si="180"/>
        <v>X81:AP92</v>
      </c>
      <c r="O3648" s="4">
        <f t="shared" ca="1" si="181"/>
        <v>252881.55</v>
      </c>
    </row>
    <row r="3649" spans="1:15">
      <c r="A3649" s="2" t="s">
        <v>17</v>
      </c>
      <c r="B3649" t="s">
        <v>37</v>
      </c>
      <c r="C3649" t="s">
        <v>38</v>
      </c>
      <c r="D3649">
        <v>50</v>
      </c>
      <c r="E3649" t="s">
        <v>46</v>
      </c>
      <c r="F3649">
        <v>2</v>
      </c>
      <c r="G3649">
        <v>2</v>
      </c>
      <c r="H3649">
        <v>0</v>
      </c>
      <c r="I3649">
        <v>1</v>
      </c>
      <c r="J3649" s="4" t="s">
        <v>52</v>
      </c>
      <c r="K3649" t="str">
        <f t="shared" si="182"/>
        <v>2+0</v>
      </c>
      <c r="L3649">
        <f>VLOOKUP(A3649,'ZONE 1 PREMIUM'!$A$4:$N$16,14,0)</f>
        <v>8</v>
      </c>
      <c r="M3649">
        <f>VLOOKUP(D3649,DROPDOWN!B:C,2,0)</f>
        <v>12</v>
      </c>
      <c r="N3649" t="str">
        <f t="shared" si="180"/>
        <v>X81:AP92</v>
      </c>
      <c r="O3649" s="4">
        <f t="shared" ca="1" si="181"/>
        <v>351229.55</v>
      </c>
    </row>
    <row r="3650" spans="1:15">
      <c r="A3650" s="2" t="s">
        <v>18</v>
      </c>
      <c r="B3650" t="s">
        <v>39</v>
      </c>
      <c r="C3650" t="s">
        <v>40</v>
      </c>
      <c r="D3650">
        <v>50</v>
      </c>
      <c r="E3650" t="s">
        <v>46</v>
      </c>
      <c r="F3650">
        <v>2</v>
      </c>
      <c r="G3650">
        <v>2</v>
      </c>
      <c r="H3650">
        <v>0</v>
      </c>
      <c r="I3650">
        <v>1</v>
      </c>
      <c r="J3650" s="4" t="s">
        <v>52</v>
      </c>
      <c r="K3650" t="str">
        <f t="shared" si="182"/>
        <v>2+0</v>
      </c>
      <c r="L3650">
        <f>VLOOKUP(A3650,'ZONE 1 PREMIUM'!$A$4:$N$16,14,0)</f>
        <v>9</v>
      </c>
      <c r="M3650">
        <f>VLOOKUP(D3650,DROPDOWN!B:C,2,0)</f>
        <v>12</v>
      </c>
      <c r="N3650" t="str">
        <f t="shared" ref="N3650:N3697" si="183">VLOOKUP(K3650,$AQ$3:$AR$12,2,0)</f>
        <v>X81:AP92</v>
      </c>
      <c r="O3650" s="4">
        <f t="shared" ref="O3650:O3713" ca="1" si="184">INDEX(INDIRECT(N3650),L3650,M3650)</f>
        <v>491305.3</v>
      </c>
    </row>
    <row r="3651" spans="1:15">
      <c r="A3651" s="2" t="s">
        <v>19</v>
      </c>
      <c r="B3651" t="s">
        <v>41</v>
      </c>
      <c r="C3651" t="s">
        <v>42</v>
      </c>
      <c r="D3651">
        <v>50</v>
      </c>
      <c r="E3651" t="s">
        <v>46</v>
      </c>
      <c r="F3651">
        <v>2</v>
      </c>
      <c r="G3651">
        <v>2</v>
      </c>
      <c r="H3651">
        <v>0</v>
      </c>
      <c r="I3651">
        <v>1</v>
      </c>
      <c r="J3651" s="4" t="s">
        <v>52</v>
      </c>
      <c r="K3651" t="str">
        <f t="shared" si="182"/>
        <v>2+0</v>
      </c>
      <c r="L3651">
        <f>VLOOKUP(A3651,'ZONE 1 PREMIUM'!$A$4:$N$16,14,0)</f>
        <v>10</v>
      </c>
      <c r="M3651">
        <f>VLOOKUP(D3651,DROPDOWN!B:C,2,0)</f>
        <v>12</v>
      </c>
      <c r="N3651" t="str">
        <f t="shared" si="183"/>
        <v>X81:AP92</v>
      </c>
      <c r="O3651" s="4">
        <f t="shared" ca="1" si="184"/>
        <v>676517.39999999991</v>
      </c>
    </row>
    <row r="3652" spans="1:15">
      <c r="A3652" s="2" t="s">
        <v>20</v>
      </c>
      <c r="B3652" t="s">
        <v>43</v>
      </c>
      <c r="C3652" t="s">
        <v>44</v>
      </c>
      <c r="D3652">
        <v>50</v>
      </c>
      <c r="E3652" t="s">
        <v>46</v>
      </c>
      <c r="F3652">
        <v>2</v>
      </c>
      <c r="G3652">
        <v>2</v>
      </c>
      <c r="H3652">
        <v>0</v>
      </c>
      <c r="I3652">
        <v>1</v>
      </c>
      <c r="J3652" s="4" t="s">
        <v>52</v>
      </c>
      <c r="K3652" t="str">
        <f t="shared" ref="K3652:K3715" si="185">G3652&amp;"+"&amp;H3652</f>
        <v>2+0</v>
      </c>
      <c r="L3652">
        <f>VLOOKUP(A3652,'ZONE 1 PREMIUM'!$A$4:$N$16,14,0)</f>
        <v>11</v>
      </c>
      <c r="M3652">
        <f>VLOOKUP(D3652,DROPDOWN!B:C,2,0)</f>
        <v>12</v>
      </c>
      <c r="N3652" t="str">
        <f t="shared" si="183"/>
        <v>X81:AP92</v>
      </c>
      <c r="O3652" s="4">
        <f t="shared" ca="1" si="184"/>
        <v>819238.14999999991</v>
      </c>
    </row>
    <row r="3653" spans="1:15">
      <c r="A3653" s="2" t="s">
        <v>21</v>
      </c>
      <c r="B3653" t="s">
        <v>22</v>
      </c>
      <c r="D3653">
        <v>50</v>
      </c>
      <c r="E3653" t="s">
        <v>46</v>
      </c>
      <c r="F3653">
        <v>2</v>
      </c>
      <c r="G3653">
        <v>2</v>
      </c>
      <c r="H3653">
        <v>0</v>
      </c>
      <c r="I3653">
        <v>1</v>
      </c>
      <c r="J3653" s="4" t="s">
        <v>52</v>
      </c>
      <c r="K3653" t="str">
        <f t="shared" si="185"/>
        <v>2+0</v>
      </c>
      <c r="L3653">
        <f>VLOOKUP(A3653,'ZONE 1 PREMIUM'!$A$4:$N$16,14,0)</f>
        <v>12</v>
      </c>
      <c r="M3653">
        <f>VLOOKUP(D3653,DROPDOWN!B:C,2,0)</f>
        <v>12</v>
      </c>
      <c r="N3653" t="str">
        <f t="shared" si="183"/>
        <v>X81:AP92</v>
      </c>
      <c r="O3653" s="4">
        <f t="shared" ca="1" si="184"/>
        <v>1018173.2</v>
      </c>
    </row>
    <row r="3654" spans="1:15">
      <c r="A3654" s="2" t="s">
        <v>11</v>
      </c>
      <c r="B3654" t="s">
        <v>45</v>
      </c>
      <c r="C3654" t="s">
        <v>25</v>
      </c>
      <c r="D3654">
        <v>50</v>
      </c>
      <c r="E3654" t="s">
        <v>46</v>
      </c>
      <c r="F3654">
        <v>3</v>
      </c>
      <c r="G3654">
        <v>2</v>
      </c>
      <c r="H3654">
        <v>1</v>
      </c>
      <c r="I3654">
        <v>1</v>
      </c>
      <c r="J3654" s="4" t="s">
        <v>52</v>
      </c>
      <c r="K3654" t="str">
        <f t="shared" si="185"/>
        <v>2+1</v>
      </c>
      <c r="L3654">
        <f>VLOOKUP(A3654,'ZONE 1 PREMIUM'!$A$4:$N$16,14,0)</f>
        <v>2</v>
      </c>
      <c r="M3654">
        <f>VLOOKUP(D3654,DROPDOWN!B:C,2,0)</f>
        <v>12</v>
      </c>
      <c r="N3654" t="str">
        <f t="shared" si="183"/>
        <v>X98:AP109</v>
      </c>
      <c r="O3654" s="4">
        <f t="shared" ca="1" si="184"/>
        <v>135149.15</v>
      </c>
    </row>
    <row r="3655" spans="1:15">
      <c r="A3655" s="2" t="s">
        <v>12</v>
      </c>
      <c r="B3655" t="s">
        <v>27</v>
      </c>
      <c r="C3655" t="s">
        <v>28</v>
      </c>
      <c r="D3655">
        <v>50</v>
      </c>
      <c r="E3655" t="s">
        <v>46</v>
      </c>
      <c r="F3655">
        <v>3</v>
      </c>
      <c r="G3655">
        <v>2</v>
      </c>
      <c r="H3655">
        <v>1</v>
      </c>
      <c r="I3655">
        <v>1</v>
      </c>
      <c r="J3655" s="4" t="s">
        <v>52</v>
      </c>
      <c r="K3655" t="str">
        <f t="shared" si="185"/>
        <v>2+1</v>
      </c>
      <c r="L3655">
        <f>VLOOKUP(A3655,'ZONE 1 PREMIUM'!$A$4:$N$16,14,0)</f>
        <v>3</v>
      </c>
      <c r="M3655">
        <f>VLOOKUP(D3655,DROPDOWN!B:C,2,0)</f>
        <v>12</v>
      </c>
      <c r="N3655" t="str">
        <f t="shared" si="183"/>
        <v>X98:AP109</v>
      </c>
      <c r="O3655" s="4">
        <f t="shared" ca="1" si="184"/>
        <v>149000.9</v>
      </c>
    </row>
    <row r="3656" spans="1:15">
      <c r="A3656" s="2" t="s">
        <v>13</v>
      </c>
      <c r="B3656" t="s">
        <v>29</v>
      </c>
      <c r="C3656" t="s">
        <v>30</v>
      </c>
      <c r="D3656">
        <v>50</v>
      </c>
      <c r="E3656" t="s">
        <v>46</v>
      </c>
      <c r="F3656">
        <v>3</v>
      </c>
      <c r="G3656">
        <v>2</v>
      </c>
      <c r="H3656">
        <v>1</v>
      </c>
      <c r="I3656">
        <v>1</v>
      </c>
      <c r="J3656" s="4" t="s">
        <v>52</v>
      </c>
      <c r="K3656" t="str">
        <f t="shared" si="185"/>
        <v>2+1</v>
      </c>
      <c r="L3656">
        <f>VLOOKUP(A3656,'ZONE 1 PREMIUM'!$A$4:$N$16,14,0)</f>
        <v>4</v>
      </c>
      <c r="M3656">
        <f>VLOOKUP(D3656,DROPDOWN!B:C,2,0)</f>
        <v>12</v>
      </c>
      <c r="N3656" t="str">
        <f t="shared" si="183"/>
        <v>X98:AP109</v>
      </c>
      <c r="O3656" s="4">
        <f t="shared" ca="1" si="184"/>
        <v>156768</v>
      </c>
    </row>
    <row r="3657" spans="1:15">
      <c r="A3657" s="2" t="s">
        <v>14</v>
      </c>
      <c r="B3657" t="s">
        <v>31</v>
      </c>
      <c r="C3657" t="s">
        <v>32</v>
      </c>
      <c r="D3657">
        <v>50</v>
      </c>
      <c r="E3657" t="s">
        <v>46</v>
      </c>
      <c r="F3657">
        <v>3</v>
      </c>
      <c r="G3657">
        <v>2</v>
      </c>
      <c r="H3657">
        <v>1</v>
      </c>
      <c r="I3657">
        <v>1</v>
      </c>
      <c r="J3657" s="4" t="s">
        <v>52</v>
      </c>
      <c r="K3657" t="str">
        <f t="shared" si="185"/>
        <v>2+1</v>
      </c>
      <c r="L3657">
        <f>VLOOKUP(A3657,'ZONE 1 PREMIUM'!$A$4:$N$16,14,0)</f>
        <v>5</v>
      </c>
      <c r="M3657">
        <f>VLOOKUP(D3657,DROPDOWN!B:C,2,0)</f>
        <v>12</v>
      </c>
      <c r="N3657" t="str">
        <f t="shared" si="183"/>
        <v>X98:AP109</v>
      </c>
      <c r="O3657" s="4">
        <f t="shared" ca="1" si="184"/>
        <v>171959.5</v>
      </c>
    </row>
    <row r="3658" spans="1:15">
      <c r="A3658" s="2" t="s">
        <v>15</v>
      </c>
      <c r="B3658" t="s">
        <v>33</v>
      </c>
      <c r="C3658" t="s">
        <v>34</v>
      </c>
      <c r="D3658">
        <v>50</v>
      </c>
      <c r="E3658" t="s">
        <v>46</v>
      </c>
      <c r="F3658">
        <v>3</v>
      </c>
      <c r="G3658">
        <v>2</v>
      </c>
      <c r="H3658">
        <v>1</v>
      </c>
      <c r="I3658">
        <v>1</v>
      </c>
      <c r="J3658" s="4" t="s">
        <v>52</v>
      </c>
      <c r="K3658" t="str">
        <f t="shared" si="185"/>
        <v>2+1</v>
      </c>
      <c r="L3658">
        <f>VLOOKUP(A3658,'ZONE 1 PREMIUM'!$A$4:$N$16,14,0)</f>
        <v>6</v>
      </c>
      <c r="M3658">
        <f>VLOOKUP(D3658,DROPDOWN!B:C,2,0)</f>
        <v>12</v>
      </c>
      <c r="N3658" t="str">
        <f t="shared" si="183"/>
        <v>X98:AP109</v>
      </c>
      <c r="O3658" s="4">
        <f t="shared" ca="1" si="184"/>
        <v>210907.69999999998</v>
      </c>
    </row>
    <row r="3659" spans="1:15">
      <c r="A3659" s="2" t="s">
        <v>16</v>
      </c>
      <c r="B3659" t="s">
        <v>35</v>
      </c>
      <c r="C3659" t="s">
        <v>36</v>
      </c>
      <c r="D3659">
        <v>50</v>
      </c>
      <c r="E3659" t="s">
        <v>46</v>
      </c>
      <c r="F3659">
        <v>3</v>
      </c>
      <c r="G3659">
        <v>2</v>
      </c>
      <c r="H3659">
        <v>1</v>
      </c>
      <c r="I3659">
        <v>1</v>
      </c>
      <c r="J3659" s="4" t="s">
        <v>52</v>
      </c>
      <c r="K3659" t="str">
        <f t="shared" si="185"/>
        <v>2+1</v>
      </c>
      <c r="L3659">
        <f>VLOOKUP(A3659,'ZONE 1 PREMIUM'!$A$4:$N$16,14,0)</f>
        <v>7</v>
      </c>
      <c r="M3659">
        <f>VLOOKUP(D3659,DROPDOWN!B:C,2,0)</f>
        <v>12</v>
      </c>
      <c r="N3659" t="str">
        <f t="shared" si="183"/>
        <v>X98:AP109</v>
      </c>
      <c r="O3659" s="4">
        <f t="shared" ca="1" si="184"/>
        <v>285503.59999999998</v>
      </c>
    </row>
    <row r="3660" spans="1:15">
      <c r="A3660" s="2" t="s">
        <v>17</v>
      </c>
      <c r="B3660" t="s">
        <v>37</v>
      </c>
      <c r="C3660" t="s">
        <v>38</v>
      </c>
      <c r="D3660">
        <v>50</v>
      </c>
      <c r="E3660" t="s">
        <v>46</v>
      </c>
      <c r="F3660">
        <v>3</v>
      </c>
      <c r="G3660">
        <v>2</v>
      </c>
      <c r="H3660">
        <v>1</v>
      </c>
      <c r="I3660">
        <v>1</v>
      </c>
      <c r="J3660" s="4" t="s">
        <v>52</v>
      </c>
      <c r="K3660" t="str">
        <f t="shared" si="185"/>
        <v>2+1</v>
      </c>
      <c r="L3660">
        <f>VLOOKUP(A3660,'ZONE 1 PREMIUM'!$A$4:$N$16,14,0)</f>
        <v>8</v>
      </c>
      <c r="M3660">
        <f>VLOOKUP(D3660,DROPDOWN!B:C,2,0)</f>
        <v>12</v>
      </c>
      <c r="N3660" t="str">
        <f t="shared" si="183"/>
        <v>X98:AP109</v>
      </c>
      <c r="O3660" s="4">
        <f t="shared" ca="1" si="184"/>
        <v>386803.64999999997</v>
      </c>
    </row>
    <row r="3661" spans="1:15">
      <c r="A3661" s="2" t="s">
        <v>18</v>
      </c>
      <c r="B3661" t="s">
        <v>39</v>
      </c>
      <c r="C3661" t="s">
        <v>40</v>
      </c>
      <c r="D3661">
        <v>50</v>
      </c>
      <c r="E3661" t="s">
        <v>46</v>
      </c>
      <c r="F3661">
        <v>3</v>
      </c>
      <c r="G3661">
        <v>2</v>
      </c>
      <c r="H3661">
        <v>1</v>
      </c>
      <c r="I3661">
        <v>1</v>
      </c>
      <c r="J3661" s="4" t="s">
        <v>52</v>
      </c>
      <c r="K3661" t="str">
        <f t="shared" si="185"/>
        <v>2+1</v>
      </c>
      <c r="L3661">
        <f>VLOOKUP(A3661,'ZONE 1 PREMIUM'!$A$4:$N$16,14,0)</f>
        <v>9</v>
      </c>
      <c r="M3661">
        <f>VLOOKUP(D3661,DROPDOWN!B:C,2,0)</f>
        <v>12</v>
      </c>
      <c r="N3661" t="str">
        <f t="shared" si="183"/>
        <v>X98:AP109</v>
      </c>
      <c r="O3661" s="4">
        <f t="shared" ca="1" si="184"/>
        <v>528483.64999999991</v>
      </c>
    </row>
    <row r="3662" spans="1:15">
      <c r="A3662" s="2" t="s">
        <v>19</v>
      </c>
      <c r="B3662" t="s">
        <v>41</v>
      </c>
      <c r="C3662" t="s">
        <v>42</v>
      </c>
      <c r="D3662">
        <v>50</v>
      </c>
      <c r="E3662" t="s">
        <v>46</v>
      </c>
      <c r="F3662">
        <v>3</v>
      </c>
      <c r="G3662">
        <v>2</v>
      </c>
      <c r="H3662">
        <v>1</v>
      </c>
      <c r="I3662">
        <v>1</v>
      </c>
      <c r="J3662" s="4" t="s">
        <v>52</v>
      </c>
      <c r="K3662" t="str">
        <f t="shared" si="185"/>
        <v>2+1</v>
      </c>
      <c r="L3662">
        <f>VLOOKUP(A3662,'ZONE 1 PREMIUM'!$A$4:$N$16,14,0)</f>
        <v>10</v>
      </c>
      <c r="M3662">
        <f>VLOOKUP(D3662,DROPDOWN!B:C,2,0)</f>
        <v>12</v>
      </c>
      <c r="N3662" t="str">
        <f t="shared" si="183"/>
        <v>X98:AP109</v>
      </c>
      <c r="O3662" s="4">
        <f t="shared" ca="1" si="184"/>
        <v>699367.89999999991</v>
      </c>
    </row>
    <row r="3663" spans="1:15">
      <c r="A3663" s="2" t="s">
        <v>20</v>
      </c>
      <c r="B3663" t="s">
        <v>43</v>
      </c>
      <c r="C3663" t="s">
        <v>44</v>
      </c>
      <c r="D3663">
        <v>50</v>
      </c>
      <c r="E3663" t="s">
        <v>46</v>
      </c>
      <c r="F3663">
        <v>3</v>
      </c>
      <c r="G3663">
        <v>2</v>
      </c>
      <c r="H3663">
        <v>1</v>
      </c>
      <c r="I3663">
        <v>1</v>
      </c>
      <c r="J3663" s="4" t="s">
        <v>52</v>
      </c>
      <c r="K3663" t="str">
        <f t="shared" si="185"/>
        <v>2+1</v>
      </c>
      <c r="L3663">
        <f>VLOOKUP(A3663,'ZONE 1 PREMIUM'!$A$4:$N$16,14,0)</f>
        <v>11</v>
      </c>
      <c r="M3663">
        <f>VLOOKUP(D3663,DROPDOWN!B:C,2,0)</f>
        <v>12</v>
      </c>
      <c r="N3663" t="str">
        <f t="shared" si="183"/>
        <v>X98:AP109</v>
      </c>
      <c r="O3663" s="4">
        <f t="shared" ca="1" si="184"/>
        <v>837948.64999999991</v>
      </c>
    </row>
    <row r="3664" spans="1:15">
      <c r="A3664" s="2" t="s">
        <v>21</v>
      </c>
      <c r="B3664" t="s">
        <v>22</v>
      </c>
      <c r="D3664">
        <v>50</v>
      </c>
      <c r="E3664" t="s">
        <v>46</v>
      </c>
      <c r="F3664">
        <v>3</v>
      </c>
      <c r="G3664">
        <v>2</v>
      </c>
      <c r="H3664">
        <v>1</v>
      </c>
      <c r="I3664">
        <v>1</v>
      </c>
      <c r="J3664" s="4" t="s">
        <v>52</v>
      </c>
      <c r="K3664" t="str">
        <f t="shared" si="185"/>
        <v>2+1</v>
      </c>
      <c r="L3664">
        <f>VLOOKUP(A3664,'ZONE 1 PREMIUM'!$A$4:$N$16,14,0)</f>
        <v>12</v>
      </c>
      <c r="M3664">
        <f>VLOOKUP(D3664,DROPDOWN!B:C,2,0)</f>
        <v>12</v>
      </c>
      <c r="N3664" t="str">
        <f t="shared" si="183"/>
        <v>X98:AP109</v>
      </c>
      <c r="O3664" s="4">
        <f t="shared" ca="1" si="184"/>
        <v>1038175.1499999999</v>
      </c>
    </row>
    <row r="3665" spans="1:15">
      <c r="A3665" s="2" t="s">
        <v>11</v>
      </c>
      <c r="B3665" t="s">
        <v>45</v>
      </c>
      <c r="C3665" t="s">
        <v>25</v>
      </c>
      <c r="D3665">
        <v>50</v>
      </c>
      <c r="E3665" t="s">
        <v>46</v>
      </c>
      <c r="F3665">
        <v>4</v>
      </c>
      <c r="G3665">
        <v>2</v>
      </c>
      <c r="H3665">
        <v>2</v>
      </c>
      <c r="I3665">
        <v>1</v>
      </c>
      <c r="J3665" s="4" t="s">
        <v>52</v>
      </c>
      <c r="K3665" t="str">
        <f t="shared" si="185"/>
        <v>2+2</v>
      </c>
      <c r="L3665">
        <f>VLOOKUP(A3665,'ZONE 1 PREMIUM'!$A$4:$N$16,14,0)</f>
        <v>2</v>
      </c>
      <c r="M3665">
        <f>VLOOKUP(D3665,DROPDOWN!B:C,2,0)</f>
        <v>12</v>
      </c>
      <c r="N3665" t="str">
        <f t="shared" si="183"/>
        <v>X113:AP124</v>
      </c>
      <c r="O3665" s="4">
        <f t="shared" ca="1" si="184"/>
        <v>152254.25</v>
      </c>
    </row>
    <row r="3666" spans="1:15">
      <c r="A3666" s="2" t="s">
        <v>12</v>
      </c>
      <c r="B3666" t="s">
        <v>27</v>
      </c>
      <c r="C3666" t="s">
        <v>28</v>
      </c>
      <c r="D3666">
        <v>50</v>
      </c>
      <c r="E3666" t="s">
        <v>46</v>
      </c>
      <c r="F3666">
        <v>4</v>
      </c>
      <c r="G3666">
        <v>2</v>
      </c>
      <c r="H3666">
        <v>2</v>
      </c>
      <c r="I3666">
        <v>1</v>
      </c>
      <c r="J3666" s="4" t="s">
        <v>52</v>
      </c>
      <c r="K3666" t="str">
        <f t="shared" si="185"/>
        <v>2+2</v>
      </c>
      <c r="L3666">
        <f>VLOOKUP(A3666,'ZONE 1 PREMIUM'!$A$4:$N$16,14,0)</f>
        <v>3</v>
      </c>
      <c r="M3666">
        <f>VLOOKUP(D3666,DROPDOWN!B:C,2,0)</f>
        <v>12</v>
      </c>
      <c r="N3666" t="str">
        <f t="shared" si="183"/>
        <v>X113:AP124</v>
      </c>
      <c r="O3666" s="4">
        <f t="shared" ca="1" si="184"/>
        <v>165751.79999999999</v>
      </c>
    </row>
    <row r="3667" spans="1:15">
      <c r="A3667" s="2" t="s">
        <v>13</v>
      </c>
      <c r="B3667" t="s">
        <v>29</v>
      </c>
      <c r="C3667" t="s">
        <v>30</v>
      </c>
      <c r="D3667">
        <v>50</v>
      </c>
      <c r="E3667" t="s">
        <v>46</v>
      </c>
      <c r="F3667">
        <v>4</v>
      </c>
      <c r="G3667">
        <v>2</v>
      </c>
      <c r="H3667">
        <v>2</v>
      </c>
      <c r="I3667">
        <v>1</v>
      </c>
      <c r="J3667" s="4" t="s">
        <v>52</v>
      </c>
      <c r="K3667" t="str">
        <f t="shared" si="185"/>
        <v>2+2</v>
      </c>
      <c r="L3667">
        <f>VLOOKUP(A3667,'ZONE 1 PREMIUM'!$A$4:$N$16,14,0)</f>
        <v>4</v>
      </c>
      <c r="M3667">
        <f>VLOOKUP(D3667,DROPDOWN!B:C,2,0)</f>
        <v>12</v>
      </c>
      <c r="N3667" t="str">
        <f t="shared" si="183"/>
        <v>X113:AP124</v>
      </c>
      <c r="O3667" s="4">
        <f t="shared" ca="1" si="184"/>
        <v>176235.19999999998</v>
      </c>
    </row>
    <row r="3668" spans="1:15">
      <c r="A3668" s="2" t="s">
        <v>14</v>
      </c>
      <c r="B3668" t="s">
        <v>31</v>
      </c>
      <c r="C3668" t="s">
        <v>32</v>
      </c>
      <c r="D3668">
        <v>50</v>
      </c>
      <c r="E3668" t="s">
        <v>46</v>
      </c>
      <c r="F3668">
        <v>4</v>
      </c>
      <c r="G3668">
        <v>2</v>
      </c>
      <c r="H3668">
        <v>2</v>
      </c>
      <c r="I3668">
        <v>1</v>
      </c>
      <c r="J3668" s="4" t="s">
        <v>52</v>
      </c>
      <c r="K3668" t="str">
        <f t="shared" si="185"/>
        <v>2+2</v>
      </c>
      <c r="L3668">
        <f>VLOOKUP(A3668,'ZONE 1 PREMIUM'!$A$4:$N$16,14,0)</f>
        <v>5</v>
      </c>
      <c r="M3668">
        <f>VLOOKUP(D3668,DROPDOWN!B:C,2,0)</f>
        <v>12</v>
      </c>
      <c r="N3668" t="str">
        <f t="shared" si="183"/>
        <v>X113:AP124</v>
      </c>
      <c r="O3668" s="4">
        <f t="shared" ca="1" si="184"/>
        <v>192759.55</v>
      </c>
    </row>
    <row r="3669" spans="1:15">
      <c r="A3669" s="2" t="s">
        <v>15</v>
      </c>
      <c r="B3669" t="s">
        <v>33</v>
      </c>
      <c r="C3669" t="s">
        <v>34</v>
      </c>
      <c r="D3669">
        <v>50</v>
      </c>
      <c r="E3669" t="s">
        <v>46</v>
      </c>
      <c r="F3669">
        <v>4</v>
      </c>
      <c r="G3669">
        <v>2</v>
      </c>
      <c r="H3669">
        <v>2</v>
      </c>
      <c r="I3669">
        <v>1</v>
      </c>
      <c r="J3669" s="4" t="s">
        <v>52</v>
      </c>
      <c r="K3669" t="str">
        <f t="shared" si="185"/>
        <v>2+2</v>
      </c>
      <c r="L3669">
        <f>VLOOKUP(A3669,'ZONE 1 PREMIUM'!$A$4:$N$16,14,0)</f>
        <v>6</v>
      </c>
      <c r="M3669">
        <f>VLOOKUP(D3669,DROPDOWN!B:C,2,0)</f>
        <v>12</v>
      </c>
      <c r="N3669" t="str">
        <f t="shared" si="183"/>
        <v>X113:AP124</v>
      </c>
      <c r="O3669" s="4">
        <f t="shared" ca="1" si="184"/>
        <v>233985.9</v>
      </c>
    </row>
    <row r="3670" spans="1:15">
      <c r="A3670" s="2" t="s">
        <v>16</v>
      </c>
      <c r="B3670" t="s">
        <v>35</v>
      </c>
      <c r="C3670" t="s">
        <v>36</v>
      </c>
      <c r="D3670">
        <v>50</v>
      </c>
      <c r="E3670" t="s">
        <v>46</v>
      </c>
      <c r="F3670">
        <v>4</v>
      </c>
      <c r="G3670">
        <v>2</v>
      </c>
      <c r="H3670">
        <v>2</v>
      </c>
      <c r="I3670">
        <v>1</v>
      </c>
      <c r="J3670" s="4" t="s">
        <v>52</v>
      </c>
      <c r="K3670" t="str">
        <f t="shared" si="185"/>
        <v>2+2</v>
      </c>
      <c r="L3670">
        <f>VLOOKUP(A3670,'ZONE 1 PREMIUM'!$A$4:$N$16,14,0)</f>
        <v>7</v>
      </c>
      <c r="M3670">
        <f>VLOOKUP(D3670,DROPDOWN!B:C,2,0)</f>
        <v>12</v>
      </c>
      <c r="N3670" t="str">
        <f t="shared" si="183"/>
        <v>X113:AP124</v>
      </c>
      <c r="O3670" s="4">
        <f t="shared" ca="1" si="184"/>
        <v>313415.25</v>
      </c>
    </row>
    <row r="3671" spans="1:15">
      <c r="A3671" s="2" t="s">
        <v>17</v>
      </c>
      <c r="B3671" t="s">
        <v>37</v>
      </c>
      <c r="C3671" t="s">
        <v>38</v>
      </c>
      <c r="D3671">
        <v>50</v>
      </c>
      <c r="E3671" t="s">
        <v>46</v>
      </c>
      <c r="F3671">
        <v>4</v>
      </c>
      <c r="G3671">
        <v>2</v>
      </c>
      <c r="H3671">
        <v>2</v>
      </c>
      <c r="I3671">
        <v>1</v>
      </c>
      <c r="J3671" s="4" t="s">
        <v>52</v>
      </c>
      <c r="K3671" t="str">
        <f t="shared" si="185"/>
        <v>2+2</v>
      </c>
      <c r="L3671">
        <f>VLOOKUP(A3671,'ZONE 1 PREMIUM'!$A$4:$N$16,14,0)</f>
        <v>8</v>
      </c>
      <c r="M3671">
        <f>VLOOKUP(D3671,DROPDOWN!B:C,2,0)</f>
        <v>12</v>
      </c>
      <c r="N3671" t="str">
        <f t="shared" si="183"/>
        <v>X113:AP124</v>
      </c>
      <c r="O3671" s="4">
        <f t="shared" ca="1" si="184"/>
        <v>411331.99999999994</v>
      </c>
    </row>
    <row r="3672" spans="1:15">
      <c r="A3672" s="2" t="s">
        <v>18</v>
      </c>
      <c r="B3672" t="s">
        <v>39</v>
      </c>
      <c r="C3672" t="s">
        <v>40</v>
      </c>
      <c r="D3672">
        <v>50</v>
      </c>
      <c r="E3672" t="s">
        <v>46</v>
      </c>
      <c r="F3672">
        <v>4</v>
      </c>
      <c r="G3672">
        <v>2</v>
      </c>
      <c r="H3672">
        <v>2</v>
      </c>
      <c r="I3672">
        <v>1</v>
      </c>
      <c r="J3672" s="4" t="s">
        <v>52</v>
      </c>
      <c r="K3672" t="str">
        <f t="shared" si="185"/>
        <v>2+2</v>
      </c>
      <c r="L3672">
        <f>VLOOKUP(A3672,'ZONE 1 PREMIUM'!$A$4:$N$16,14,0)</f>
        <v>9</v>
      </c>
      <c r="M3672">
        <f>VLOOKUP(D3672,DROPDOWN!B:C,2,0)</f>
        <v>12</v>
      </c>
      <c r="N3672" t="str">
        <f t="shared" si="183"/>
        <v>X113:AP124</v>
      </c>
      <c r="O3672" s="4">
        <f t="shared" ca="1" si="184"/>
        <v>545300.1</v>
      </c>
    </row>
    <row r="3673" spans="1:15">
      <c r="A3673" s="2" t="s">
        <v>19</v>
      </c>
      <c r="B3673" t="s">
        <v>41</v>
      </c>
      <c r="C3673" t="s">
        <v>42</v>
      </c>
      <c r="D3673">
        <v>50</v>
      </c>
      <c r="E3673" t="s">
        <v>46</v>
      </c>
      <c r="F3673">
        <v>4</v>
      </c>
      <c r="G3673">
        <v>2</v>
      </c>
      <c r="H3673">
        <v>2</v>
      </c>
      <c r="I3673">
        <v>1</v>
      </c>
      <c r="J3673" s="4" t="s">
        <v>52</v>
      </c>
      <c r="K3673" t="str">
        <f t="shared" si="185"/>
        <v>2+2</v>
      </c>
      <c r="L3673">
        <f>VLOOKUP(A3673,'ZONE 1 PREMIUM'!$A$4:$N$16,14,0)</f>
        <v>10</v>
      </c>
      <c r="M3673">
        <f>VLOOKUP(D3673,DROPDOWN!B:C,2,0)</f>
        <v>12</v>
      </c>
      <c r="N3673" t="str">
        <f t="shared" si="183"/>
        <v>X113:AP124</v>
      </c>
      <c r="O3673" s="4">
        <f t="shared" ca="1" si="184"/>
        <v>700169.45</v>
      </c>
    </row>
    <row r="3674" spans="1:15">
      <c r="A3674" s="2" t="s">
        <v>20</v>
      </c>
      <c r="B3674" t="s">
        <v>43</v>
      </c>
      <c r="C3674" t="s">
        <v>44</v>
      </c>
      <c r="D3674">
        <v>50</v>
      </c>
      <c r="E3674" t="s">
        <v>46</v>
      </c>
      <c r="F3674">
        <v>4</v>
      </c>
      <c r="G3674">
        <v>2</v>
      </c>
      <c r="H3674">
        <v>2</v>
      </c>
      <c r="I3674">
        <v>1</v>
      </c>
      <c r="J3674" s="4" t="s">
        <v>52</v>
      </c>
      <c r="K3674" t="str">
        <f t="shared" si="185"/>
        <v>2+2</v>
      </c>
      <c r="L3674">
        <f>VLOOKUP(A3674,'ZONE 1 PREMIUM'!$A$4:$N$16,14,0)</f>
        <v>11</v>
      </c>
      <c r="M3674">
        <f>VLOOKUP(D3674,DROPDOWN!B:C,2,0)</f>
        <v>12</v>
      </c>
      <c r="N3674" t="str">
        <f t="shared" si="183"/>
        <v>X113:AP124</v>
      </c>
      <c r="O3674" s="4">
        <f t="shared" ca="1" si="184"/>
        <v>839443.64999999991</v>
      </c>
    </row>
    <row r="3675" spans="1:15">
      <c r="A3675" s="2" t="s">
        <v>21</v>
      </c>
      <c r="B3675" t="s">
        <v>22</v>
      </c>
      <c r="D3675">
        <v>50</v>
      </c>
      <c r="E3675" t="s">
        <v>46</v>
      </c>
      <c r="F3675">
        <v>4</v>
      </c>
      <c r="G3675">
        <v>2</v>
      </c>
      <c r="H3675">
        <v>2</v>
      </c>
      <c r="I3675">
        <v>1</v>
      </c>
      <c r="J3675" s="4" t="s">
        <v>52</v>
      </c>
      <c r="K3675" t="str">
        <f t="shared" si="185"/>
        <v>2+2</v>
      </c>
      <c r="L3675">
        <f>VLOOKUP(A3675,'ZONE 1 PREMIUM'!$A$4:$N$16,14,0)</f>
        <v>12</v>
      </c>
      <c r="M3675">
        <f>VLOOKUP(D3675,DROPDOWN!B:C,2,0)</f>
        <v>12</v>
      </c>
      <c r="N3675" t="str">
        <f t="shared" si="183"/>
        <v>X113:AP124</v>
      </c>
      <c r="O3675" s="4">
        <f t="shared" ca="1" si="184"/>
        <v>1039470.0499999999</v>
      </c>
    </row>
    <row r="3676" spans="1:15">
      <c r="A3676" s="2" t="s">
        <v>11</v>
      </c>
      <c r="B3676" t="s">
        <v>45</v>
      </c>
      <c r="C3676" t="s">
        <v>25</v>
      </c>
      <c r="D3676">
        <v>50</v>
      </c>
      <c r="E3676" t="s">
        <v>46</v>
      </c>
      <c r="F3676">
        <v>5</v>
      </c>
      <c r="G3676">
        <v>2</v>
      </c>
      <c r="H3676">
        <v>3</v>
      </c>
      <c r="I3676">
        <v>1</v>
      </c>
      <c r="J3676" s="4" t="s">
        <v>52</v>
      </c>
      <c r="K3676" t="str">
        <f t="shared" si="185"/>
        <v>2+3</v>
      </c>
      <c r="L3676">
        <f>VLOOKUP(A3676,'ZONE 1 PREMIUM'!$A$4:$N$16,14,0)</f>
        <v>2</v>
      </c>
      <c r="M3676">
        <f>VLOOKUP(D3676,DROPDOWN!B:C,2,0)</f>
        <v>12</v>
      </c>
      <c r="N3676" t="str">
        <f t="shared" si="183"/>
        <v>X128:AP139</v>
      </c>
      <c r="O3676" s="4">
        <f t="shared" ca="1" si="184"/>
        <v>170364.44999999998</v>
      </c>
    </row>
    <row r="3677" spans="1:15">
      <c r="A3677" s="2" t="s">
        <v>12</v>
      </c>
      <c r="B3677" t="s">
        <v>27</v>
      </c>
      <c r="C3677" t="s">
        <v>28</v>
      </c>
      <c r="D3677">
        <v>50</v>
      </c>
      <c r="E3677" t="s">
        <v>46</v>
      </c>
      <c r="F3677">
        <v>5</v>
      </c>
      <c r="G3677">
        <v>2</v>
      </c>
      <c r="H3677">
        <v>3</v>
      </c>
      <c r="I3677">
        <v>1</v>
      </c>
      <c r="J3677" s="4" t="s">
        <v>52</v>
      </c>
      <c r="K3677" t="str">
        <f t="shared" si="185"/>
        <v>2+3</v>
      </c>
      <c r="L3677">
        <f>VLOOKUP(A3677,'ZONE 1 PREMIUM'!$A$4:$N$16,14,0)</f>
        <v>3</v>
      </c>
      <c r="M3677">
        <f>VLOOKUP(D3677,DROPDOWN!B:C,2,0)</f>
        <v>12</v>
      </c>
      <c r="N3677" t="str">
        <f t="shared" si="183"/>
        <v>X128:AP139</v>
      </c>
      <c r="O3677" s="4">
        <f t="shared" ca="1" si="184"/>
        <v>183612.44999999998</v>
      </c>
    </row>
    <row r="3678" spans="1:15">
      <c r="A3678" s="2" t="s">
        <v>13</v>
      </c>
      <c r="B3678" t="s">
        <v>29</v>
      </c>
      <c r="C3678" t="s">
        <v>30</v>
      </c>
      <c r="D3678">
        <v>50</v>
      </c>
      <c r="E3678" t="s">
        <v>46</v>
      </c>
      <c r="F3678">
        <v>5</v>
      </c>
      <c r="G3678">
        <v>2</v>
      </c>
      <c r="H3678">
        <v>3</v>
      </c>
      <c r="I3678">
        <v>1</v>
      </c>
      <c r="J3678" s="4" t="s">
        <v>52</v>
      </c>
      <c r="K3678" t="str">
        <f t="shared" si="185"/>
        <v>2+3</v>
      </c>
      <c r="L3678">
        <f>VLOOKUP(A3678,'ZONE 1 PREMIUM'!$A$4:$N$16,14,0)</f>
        <v>4</v>
      </c>
      <c r="M3678">
        <f>VLOOKUP(D3678,DROPDOWN!B:C,2,0)</f>
        <v>12</v>
      </c>
      <c r="N3678" t="str">
        <f t="shared" si="183"/>
        <v>X128:AP139</v>
      </c>
      <c r="O3678" s="4">
        <f t="shared" ca="1" si="184"/>
        <v>196869.65</v>
      </c>
    </row>
    <row r="3679" spans="1:15">
      <c r="A3679" s="2" t="s">
        <v>14</v>
      </c>
      <c r="B3679" t="s">
        <v>31</v>
      </c>
      <c r="C3679" t="s">
        <v>32</v>
      </c>
      <c r="D3679">
        <v>50</v>
      </c>
      <c r="E3679" t="s">
        <v>46</v>
      </c>
      <c r="F3679">
        <v>5</v>
      </c>
      <c r="G3679">
        <v>2</v>
      </c>
      <c r="H3679">
        <v>3</v>
      </c>
      <c r="I3679">
        <v>1</v>
      </c>
      <c r="J3679" s="4" t="s">
        <v>52</v>
      </c>
      <c r="K3679" t="str">
        <f t="shared" si="185"/>
        <v>2+3</v>
      </c>
      <c r="L3679">
        <f>VLOOKUP(A3679,'ZONE 1 PREMIUM'!$A$4:$N$16,14,0)</f>
        <v>5</v>
      </c>
      <c r="M3679">
        <f>VLOOKUP(D3679,DROPDOWN!B:C,2,0)</f>
        <v>12</v>
      </c>
      <c r="N3679" t="str">
        <f t="shared" si="183"/>
        <v>X128:AP139</v>
      </c>
      <c r="O3679" s="4">
        <f t="shared" ca="1" si="184"/>
        <v>214839.55</v>
      </c>
    </row>
    <row r="3680" spans="1:15">
      <c r="A3680" s="2" t="s">
        <v>15</v>
      </c>
      <c r="B3680" t="s">
        <v>33</v>
      </c>
      <c r="C3680" t="s">
        <v>34</v>
      </c>
      <c r="D3680">
        <v>50</v>
      </c>
      <c r="E3680" t="s">
        <v>46</v>
      </c>
      <c r="F3680">
        <v>5</v>
      </c>
      <c r="G3680">
        <v>2</v>
      </c>
      <c r="H3680">
        <v>3</v>
      </c>
      <c r="I3680">
        <v>1</v>
      </c>
      <c r="J3680" s="4" t="s">
        <v>52</v>
      </c>
      <c r="K3680" t="str">
        <f t="shared" si="185"/>
        <v>2+3</v>
      </c>
      <c r="L3680">
        <f>VLOOKUP(A3680,'ZONE 1 PREMIUM'!$A$4:$N$16,14,0)</f>
        <v>6</v>
      </c>
      <c r="M3680">
        <f>VLOOKUP(D3680,DROPDOWN!B:C,2,0)</f>
        <v>12</v>
      </c>
      <c r="N3680" t="str">
        <f t="shared" si="183"/>
        <v>X128:AP139</v>
      </c>
      <c r="O3680" s="4">
        <f t="shared" ca="1" si="184"/>
        <v>258632.69999999998</v>
      </c>
    </row>
    <row r="3681" spans="1:15">
      <c r="A3681" s="2" t="s">
        <v>16</v>
      </c>
      <c r="B3681" t="s">
        <v>35</v>
      </c>
      <c r="C3681" t="s">
        <v>36</v>
      </c>
      <c r="D3681">
        <v>50</v>
      </c>
      <c r="E3681" t="s">
        <v>46</v>
      </c>
      <c r="F3681">
        <v>5</v>
      </c>
      <c r="G3681">
        <v>2</v>
      </c>
      <c r="H3681">
        <v>3</v>
      </c>
      <c r="I3681">
        <v>1</v>
      </c>
      <c r="J3681" s="4" t="s">
        <v>52</v>
      </c>
      <c r="K3681" t="str">
        <f t="shared" si="185"/>
        <v>2+3</v>
      </c>
      <c r="L3681">
        <f>VLOOKUP(A3681,'ZONE 1 PREMIUM'!$A$4:$N$16,14,0)</f>
        <v>7</v>
      </c>
      <c r="M3681">
        <f>VLOOKUP(D3681,DROPDOWN!B:C,2,0)</f>
        <v>12</v>
      </c>
      <c r="N3681" t="str">
        <f t="shared" si="183"/>
        <v>X128:AP139</v>
      </c>
      <c r="O3681" s="4">
        <f t="shared" ca="1" si="184"/>
        <v>337269.69999999995</v>
      </c>
    </row>
    <row r="3682" spans="1:15">
      <c r="A3682" s="2" t="s">
        <v>17</v>
      </c>
      <c r="B3682" t="s">
        <v>37</v>
      </c>
      <c r="C3682" t="s">
        <v>38</v>
      </c>
      <c r="D3682">
        <v>50</v>
      </c>
      <c r="E3682" t="s">
        <v>46</v>
      </c>
      <c r="F3682">
        <v>5</v>
      </c>
      <c r="G3682">
        <v>2</v>
      </c>
      <c r="H3682">
        <v>3</v>
      </c>
      <c r="I3682">
        <v>1</v>
      </c>
      <c r="J3682" s="4" t="s">
        <v>52</v>
      </c>
      <c r="K3682" t="str">
        <f t="shared" si="185"/>
        <v>2+3</v>
      </c>
      <c r="L3682">
        <f>VLOOKUP(A3682,'ZONE 1 PREMIUM'!$A$4:$N$16,14,0)</f>
        <v>8</v>
      </c>
      <c r="M3682">
        <f>VLOOKUP(D3682,DROPDOWN!B:C,2,0)</f>
        <v>12</v>
      </c>
      <c r="N3682" t="str">
        <f t="shared" si="183"/>
        <v>X128:AP139</v>
      </c>
      <c r="O3682" s="4">
        <f t="shared" ca="1" si="184"/>
        <v>432169.99999999994</v>
      </c>
    </row>
    <row r="3683" spans="1:15">
      <c r="A3683" s="2" t="s">
        <v>18</v>
      </c>
      <c r="B3683" t="s">
        <v>39</v>
      </c>
      <c r="C3683" t="s">
        <v>40</v>
      </c>
      <c r="D3683">
        <v>50</v>
      </c>
      <c r="E3683" t="s">
        <v>46</v>
      </c>
      <c r="F3683">
        <v>5</v>
      </c>
      <c r="G3683">
        <v>2</v>
      </c>
      <c r="H3683">
        <v>3</v>
      </c>
      <c r="I3683">
        <v>1</v>
      </c>
      <c r="J3683" s="4" t="s">
        <v>52</v>
      </c>
      <c r="K3683" t="str">
        <f t="shared" si="185"/>
        <v>2+3</v>
      </c>
      <c r="L3683">
        <f>VLOOKUP(A3683,'ZONE 1 PREMIUM'!$A$4:$N$16,14,0)</f>
        <v>9</v>
      </c>
      <c r="M3683">
        <f>VLOOKUP(D3683,DROPDOWN!B:C,2,0)</f>
        <v>12</v>
      </c>
      <c r="N3683" t="str">
        <f t="shared" si="183"/>
        <v>X128:AP139</v>
      </c>
      <c r="O3683" s="4">
        <f t="shared" ca="1" si="184"/>
        <v>565821.85</v>
      </c>
    </row>
    <row r="3684" spans="1:15">
      <c r="A3684" s="2" t="s">
        <v>19</v>
      </c>
      <c r="B3684" t="s">
        <v>41</v>
      </c>
      <c r="C3684" t="s">
        <v>42</v>
      </c>
      <c r="D3684">
        <v>50</v>
      </c>
      <c r="E3684" t="s">
        <v>46</v>
      </c>
      <c r="F3684">
        <v>5</v>
      </c>
      <c r="G3684">
        <v>2</v>
      </c>
      <c r="H3684">
        <v>3</v>
      </c>
      <c r="I3684">
        <v>1</v>
      </c>
      <c r="J3684" s="4" t="s">
        <v>52</v>
      </c>
      <c r="K3684" t="str">
        <f t="shared" si="185"/>
        <v>2+3</v>
      </c>
      <c r="L3684">
        <f>VLOOKUP(A3684,'ZONE 1 PREMIUM'!$A$4:$N$16,14,0)</f>
        <v>10</v>
      </c>
      <c r="M3684">
        <f>VLOOKUP(D3684,DROPDOWN!B:C,2,0)</f>
        <v>12</v>
      </c>
      <c r="N3684" t="str">
        <f t="shared" si="183"/>
        <v>X128:AP139</v>
      </c>
      <c r="O3684" s="4">
        <f t="shared" ca="1" si="184"/>
        <v>719196.2</v>
      </c>
    </row>
    <row r="3685" spans="1:15">
      <c r="A3685" s="2" t="s">
        <v>20</v>
      </c>
      <c r="B3685" t="s">
        <v>43</v>
      </c>
      <c r="C3685" t="s">
        <v>44</v>
      </c>
      <c r="D3685">
        <v>50</v>
      </c>
      <c r="E3685" t="s">
        <v>46</v>
      </c>
      <c r="F3685">
        <v>5</v>
      </c>
      <c r="G3685">
        <v>2</v>
      </c>
      <c r="H3685">
        <v>3</v>
      </c>
      <c r="I3685">
        <v>1</v>
      </c>
      <c r="J3685" s="4" t="s">
        <v>52</v>
      </c>
      <c r="K3685" t="str">
        <f t="shared" si="185"/>
        <v>2+3</v>
      </c>
      <c r="L3685">
        <f>VLOOKUP(A3685,'ZONE 1 PREMIUM'!$A$4:$N$16,14,0)</f>
        <v>11</v>
      </c>
      <c r="M3685">
        <f>VLOOKUP(D3685,DROPDOWN!B:C,2,0)</f>
        <v>12</v>
      </c>
      <c r="N3685" t="str">
        <f t="shared" si="183"/>
        <v>X128:AP139</v>
      </c>
      <c r="O3685" s="4">
        <f t="shared" ca="1" si="184"/>
        <v>861256.85</v>
      </c>
    </row>
    <row r="3686" spans="1:15">
      <c r="A3686" s="2" t="s">
        <v>21</v>
      </c>
      <c r="B3686" t="s">
        <v>22</v>
      </c>
      <c r="D3686">
        <v>50</v>
      </c>
      <c r="E3686" t="s">
        <v>46</v>
      </c>
      <c r="F3686">
        <v>5</v>
      </c>
      <c r="G3686">
        <v>2</v>
      </c>
      <c r="H3686">
        <v>3</v>
      </c>
      <c r="I3686">
        <v>1</v>
      </c>
      <c r="J3686" s="4" t="s">
        <v>52</v>
      </c>
      <c r="K3686" t="str">
        <f t="shared" si="185"/>
        <v>2+3</v>
      </c>
      <c r="L3686">
        <f>VLOOKUP(A3686,'ZONE 1 PREMIUM'!$A$4:$N$16,14,0)</f>
        <v>12</v>
      </c>
      <c r="M3686">
        <f>VLOOKUP(D3686,DROPDOWN!B:C,2,0)</f>
        <v>12</v>
      </c>
      <c r="N3686" t="str">
        <f t="shared" si="183"/>
        <v>X128:AP139</v>
      </c>
      <c r="O3686" s="4">
        <f t="shared" ca="1" si="184"/>
        <v>1063141.6499999999</v>
      </c>
    </row>
    <row r="3687" spans="1:15">
      <c r="A3687" s="2" t="s">
        <v>11</v>
      </c>
      <c r="B3687" t="s">
        <v>45</v>
      </c>
      <c r="C3687" t="s">
        <v>25</v>
      </c>
      <c r="D3687">
        <v>50</v>
      </c>
      <c r="E3687" t="s">
        <v>46</v>
      </c>
      <c r="F3687">
        <v>6</v>
      </c>
      <c r="G3687">
        <v>2</v>
      </c>
      <c r="H3687">
        <v>4</v>
      </c>
      <c r="I3687">
        <v>1</v>
      </c>
      <c r="J3687" s="4" t="s">
        <v>52</v>
      </c>
      <c r="K3687" t="str">
        <f t="shared" si="185"/>
        <v>2+4</v>
      </c>
      <c r="L3687">
        <f>VLOOKUP(A3687,'ZONE 1 PREMIUM'!$A$4:$N$16,14,0)</f>
        <v>2</v>
      </c>
      <c r="M3687">
        <f>VLOOKUP(D3687,DROPDOWN!B:C,2,0)</f>
        <v>12</v>
      </c>
      <c r="N3687" t="str">
        <f t="shared" si="183"/>
        <v>X143:AP154</v>
      </c>
      <c r="O3687" s="4">
        <f t="shared" ca="1" si="184"/>
        <v>188474.65</v>
      </c>
    </row>
    <row r="3688" spans="1:15">
      <c r="A3688" s="2" t="s">
        <v>12</v>
      </c>
      <c r="B3688" t="s">
        <v>27</v>
      </c>
      <c r="C3688" t="s">
        <v>28</v>
      </c>
      <c r="D3688">
        <v>50</v>
      </c>
      <c r="E3688" t="s">
        <v>46</v>
      </c>
      <c r="F3688">
        <v>6</v>
      </c>
      <c r="G3688">
        <v>2</v>
      </c>
      <c r="H3688">
        <v>4</v>
      </c>
      <c r="I3688">
        <v>1</v>
      </c>
      <c r="J3688" s="4" t="s">
        <v>52</v>
      </c>
      <c r="K3688" t="str">
        <f t="shared" si="185"/>
        <v>2+4</v>
      </c>
      <c r="L3688">
        <f>VLOOKUP(A3688,'ZONE 1 PREMIUM'!$A$4:$N$16,14,0)</f>
        <v>3</v>
      </c>
      <c r="M3688">
        <f>VLOOKUP(D3688,DROPDOWN!B:C,2,0)</f>
        <v>12</v>
      </c>
      <c r="N3688" t="str">
        <f t="shared" si="183"/>
        <v>X143:AP154</v>
      </c>
      <c r="O3688" s="4">
        <f t="shared" ca="1" si="184"/>
        <v>201473.09999999998</v>
      </c>
    </row>
    <row r="3689" spans="1:15">
      <c r="A3689" s="2" t="s">
        <v>13</v>
      </c>
      <c r="B3689" t="s">
        <v>29</v>
      </c>
      <c r="C3689" t="s">
        <v>30</v>
      </c>
      <c r="D3689">
        <v>50</v>
      </c>
      <c r="E3689" t="s">
        <v>46</v>
      </c>
      <c r="F3689">
        <v>6</v>
      </c>
      <c r="G3689">
        <v>2</v>
      </c>
      <c r="H3689">
        <v>4</v>
      </c>
      <c r="I3689">
        <v>1</v>
      </c>
      <c r="J3689" s="4" t="s">
        <v>52</v>
      </c>
      <c r="K3689" t="str">
        <f t="shared" si="185"/>
        <v>2+4</v>
      </c>
      <c r="L3689">
        <f>VLOOKUP(A3689,'ZONE 1 PREMIUM'!$A$4:$N$16,14,0)</f>
        <v>4</v>
      </c>
      <c r="M3689">
        <f>VLOOKUP(D3689,DROPDOWN!B:C,2,0)</f>
        <v>12</v>
      </c>
      <c r="N3689" t="str">
        <f t="shared" si="183"/>
        <v>X143:AP154</v>
      </c>
      <c r="O3689" s="4">
        <f t="shared" ca="1" si="184"/>
        <v>217504.09999999998</v>
      </c>
    </row>
    <row r="3690" spans="1:15">
      <c r="A3690" s="2" t="s">
        <v>14</v>
      </c>
      <c r="B3690" t="s">
        <v>31</v>
      </c>
      <c r="C3690" t="s">
        <v>32</v>
      </c>
      <c r="D3690">
        <v>50</v>
      </c>
      <c r="E3690" t="s">
        <v>46</v>
      </c>
      <c r="F3690">
        <v>6</v>
      </c>
      <c r="G3690">
        <v>2</v>
      </c>
      <c r="H3690">
        <v>4</v>
      </c>
      <c r="I3690">
        <v>1</v>
      </c>
      <c r="J3690" s="4" t="s">
        <v>52</v>
      </c>
      <c r="K3690" t="str">
        <f t="shared" si="185"/>
        <v>2+4</v>
      </c>
      <c r="L3690">
        <f>VLOOKUP(A3690,'ZONE 1 PREMIUM'!$A$4:$N$16,14,0)</f>
        <v>5</v>
      </c>
      <c r="M3690">
        <f>VLOOKUP(D3690,DROPDOWN!B:C,2,0)</f>
        <v>12</v>
      </c>
      <c r="N3690" t="str">
        <f t="shared" si="183"/>
        <v>X143:AP154</v>
      </c>
      <c r="O3690" s="4">
        <f t="shared" ca="1" si="184"/>
        <v>236919.55</v>
      </c>
    </row>
    <row r="3691" spans="1:15">
      <c r="A3691" s="2" t="s">
        <v>15</v>
      </c>
      <c r="B3691" t="s">
        <v>33</v>
      </c>
      <c r="C3691" t="s">
        <v>34</v>
      </c>
      <c r="D3691">
        <v>50</v>
      </c>
      <c r="E3691" t="s">
        <v>46</v>
      </c>
      <c r="F3691">
        <v>6</v>
      </c>
      <c r="G3691">
        <v>2</v>
      </c>
      <c r="H3691">
        <v>4</v>
      </c>
      <c r="I3691">
        <v>1</v>
      </c>
      <c r="J3691" s="4" t="s">
        <v>52</v>
      </c>
      <c r="K3691" t="str">
        <f t="shared" si="185"/>
        <v>2+4</v>
      </c>
      <c r="L3691">
        <f>VLOOKUP(A3691,'ZONE 1 PREMIUM'!$A$4:$N$16,14,0)</f>
        <v>6</v>
      </c>
      <c r="M3691">
        <f>VLOOKUP(D3691,DROPDOWN!B:C,2,0)</f>
        <v>12</v>
      </c>
      <c r="N3691" t="str">
        <f t="shared" si="183"/>
        <v>X143:AP154</v>
      </c>
      <c r="O3691" s="4">
        <f t="shared" ca="1" si="184"/>
        <v>283280.64999999997</v>
      </c>
    </row>
    <row r="3692" spans="1:15">
      <c r="A3692" s="2" t="s">
        <v>16</v>
      </c>
      <c r="B3692" t="s">
        <v>35</v>
      </c>
      <c r="C3692" t="s">
        <v>36</v>
      </c>
      <c r="D3692">
        <v>50</v>
      </c>
      <c r="E3692" t="s">
        <v>46</v>
      </c>
      <c r="F3692">
        <v>6</v>
      </c>
      <c r="G3692">
        <v>2</v>
      </c>
      <c r="H3692">
        <v>4</v>
      </c>
      <c r="I3692">
        <v>1</v>
      </c>
      <c r="J3692" s="4" t="s">
        <v>52</v>
      </c>
      <c r="K3692" t="str">
        <f t="shared" si="185"/>
        <v>2+4</v>
      </c>
      <c r="L3692">
        <f>VLOOKUP(A3692,'ZONE 1 PREMIUM'!$A$4:$N$16,14,0)</f>
        <v>7</v>
      </c>
      <c r="M3692">
        <f>VLOOKUP(D3692,DROPDOWN!B:C,2,0)</f>
        <v>12</v>
      </c>
      <c r="N3692" t="str">
        <f t="shared" si="183"/>
        <v>X143:AP154</v>
      </c>
      <c r="O3692" s="4">
        <f t="shared" ca="1" si="184"/>
        <v>358549.3</v>
      </c>
    </row>
    <row r="3693" spans="1:15">
      <c r="A3693" s="2" t="s">
        <v>17</v>
      </c>
      <c r="B3693" t="s">
        <v>37</v>
      </c>
      <c r="C3693" t="s">
        <v>38</v>
      </c>
      <c r="D3693">
        <v>50</v>
      </c>
      <c r="E3693" t="s">
        <v>46</v>
      </c>
      <c r="F3693">
        <v>6</v>
      </c>
      <c r="G3693">
        <v>2</v>
      </c>
      <c r="H3693">
        <v>4</v>
      </c>
      <c r="I3693">
        <v>1</v>
      </c>
      <c r="J3693" s="4" t="s">
        <v>52</v>
      </c>
      <c r="K3693" t="str">
        <f t="shared" si="185"/>
        <v>2+4</v>
      </c>
      <c r="L3693">
        <f>VLOOKUP(A3693,'ZONE 1 PREMIUM'!$A$4:$N$16,14,0)</f>
        <v>8</v>
      </c>
      <c r="M3693">
        <f>VLOOKUP(D3693,DROPDOWN!B:C,2,0)</f>
        <v>12</v>
      </c>
      <c r="N3693" t="str">
        <f t="shared" si="183"/>
        <v>X143:AP154</v>
      </c>
      <c r="O3693" s="4">
        <f t="shared" ca="1" si="184"/>
        <v>452873.44999999995</v>
      </c>
    </row>
    <row r="3694" spans="1:15">
      <c r="A3694" s="2" t="s">
        <v>18</v>
      </c>
      <c r="B3694" t="s">
        <v>39</v>
      </c>
      <c r="C3694" t="s">
        <v>40</v>
      </c>
      <c r="D3694">
        <v>50</v>
      </c>
      <c r="E3694" t="s">
        <v>46</v>
      </c>
      <c r="F3694">
        <v>6</v>
      </c>
      <c r="G3694">
        <v>2</v>
      </c>
      <c r="H3694">
        <v>4</v>
      </c>
      <c r="I3694">
        <v>1</v>
      </c>
      <c r="J3694" s="4" t="s">
        <v>52</v>
      </c>
      <c r="K3694" t="str">
        <f t="shared" si="185"/>
        <v>2+4</v>
      </c>
      <c r="L3694">
        <f>VLOOKUP(A3694,'ZONE 1 PREMIUM'!$A$4:$N$16,14,0)</f>
        <v>9</v>
      </c>
      <c r="M3694">
        <f>VLOOKUP(D3694,DROPDOWN!B:C,2,0)</f>
        <v>12</v>
      </c>
      <c r="N3694" t="str">
        <f t="shared" si="183"/>
        <v>X143:AP154</v>
      </c>
      <c r="O3694" s="4">
        <f t="shared" ca="1" si="184"/>
        <v>585379.89999999991</v>
      </c>
    </row>
    <row r="3695" spans="1:15">
      <c r="A3695" s="2" t="s">
        <v>19</v>
      </c>
      <c r="B3695" t="s">
        <v>41</v>
      </c>
      <c r="C3695" t="s">
        <v>42</v>
      </c>
      <c r="D3695">
        <v>50</v>
      </c>
      <c r="E3695" t="s">
        <v>46</v>
      </c>
      <c r="F3695">
        <v>6</v>
      </c>
      <c r="G3695">
        <v>2</v>
      </c>
      <c r="H3695">
        <v>4</v>
      </c>
      <c r="I3695">
        <v>1</v>
      </c>
      <c r="J3695" s="4" t="s">
        <v>52</v>
      </c>
      <c r="K3695" t="str">
        <f t="shared" si="185"/>
        <v>2+4</v>
      </c>
      <c r="L3695">
        <f>VLOOKUP(A3695,'ZONE 1 PREMIUM'!$A$4:$N$16,14,0)</f>
        <v>10</v>
      </c>
      <c r="M3695">
        <f>VLOOKUP(D3695,DROPDOWN!B:C,2,0)</f>
        <v>12</v>
      </c>
      <c r="N3695" t="str">
        <f t="shared" si="183"/>
        <v>X143:AP154</v>
      </c>
      <c r="O3695" s="4">
        <f t="shared" ca="1" si="184"/>
        <v>741085.29999999993</v>
      </c>
    </row>
    <row r="3696" spans="1:15">
      <c r="A3696" s="2" t="s">
        <v>20</v>
      </c>
      <c r="B3696" t="s">
        <v>43</v>
      </c>
      <c r="C3696" t="s">
        <v>44</v>
      </c>
      <c r="D3696">
        <v>50</v>
      </c>
      <c r="E3696" t="s">
        <v>46</v>
      </c>
      <c r="F3696">
        <v>6</v>
      </c>
      <c r="G3696">
        <v>2</v>
      </c>
      <c r="H3696">
        <v>4</v>
      </c>
      <c r="I3696">
        <v>1</v>
      </c>
      <c r="J3696" s="4" t="s">
        <v>52</v>
      </c>
      <c r="K3696" t="str">
        <f t="shared" si="185"/>
        <v>2+4</v>
      </c>
      <c r="L3696">
        <f>VLOOKUP(A3696,'ZONE 1 PREMIUM'!$A$4:$N$16,14,0)</f>
        <v>11</v>
      </c>
      <c r="M3696">
        <f>VLOOKUP(D3696,DROPDOWN!B:C,2,0)</f>
        <v>12</v>
      </c>
      <c r="N3696" t="str">
        <f t="shared" si="183"/>
        <v>X143:AP154</v>
      </c>
      <c r="O3696" s="4">
        <f t="shared" ca="1" si="184"/>
        <v>881221.99999999988</v>
      </c>
    </row>
    <row r="3697" spans="1:15">
      <c r="A3697" s="2" t="s">
        <v>21</v>
      </c>
      <c r="B3697" t="s">
        <v>22</v>
      </c>
      <c r="D3697">
        <v>50</v>
      </c>
      <c r="E3697" t="s">
        <v>46</v>
      </c>
      <c r="F3697">
        <v>6</v>
      </c>
      <c r="G3697">
        <v>2</v>
      </c>
      <c r="H3697">
        <v>4</v>
      </c>
      <c r="I3697">
        <v>1</v>
      </c>
      <c r="J3697" s="4" t="s">
        <v>52</v>
      </c>
      <c r="K3697" t="str">
        <f t="shared" si="185"/>
        <v>2+4</v>
      </c>
      <c r="L3697">
        <f>VLOOKUP(A3697,'ZONE 1 PREMIUM'!$A$4:$N$16,14,0)</f>
        <v>12</v>
      </c>
      <c r="M3697">
        <f>VLOOKUP(D3697,DROPDOWN!B:C,2,0)</f>
        <v>12</v>
      </c>
      <c r="N3697" t="str">
        <f t="shared" si="183"/>
        <v>X143:AP154</v>
      </c>
      <c r="O3697" s="4">
        <f t="shared" ca="1" si="184"/>
        <v>1079212.8999999999</v>
      </c>
    </row>
    <row r="3698" spans="1:15">
      <c r="A3698" s="2" t="s">
        <v>9</v>
      </c>
      <c r="B3698" t="s">
        <v>47</v>
      </c>
      <c r="C3698" t="s">
        <v>48</v>
      </c>
      <c r="D3698">
        <v>50</v>
      </c>
      <c r="E3698" t="s">
        <v>26</v>
      </c>
      <c r="F3698">
        <v>1</v>
      </c>
      <c r="H3698">
        <v>1</v>
      </c>
      <c r="I3698">
        <v>1</v>
      </c>
      <c r="J3698" s="4" t="s">
        <v>55</v>
      </c>
      <c r="K3698" t="str">
        <f t="shared" si="185"/>
        <v>+1</v>
      </c>
      <c r="N3698" t="e">
        <f t="shared" ref="N3698:N3761" si="186">VLOOKUP(K3698,$BN$3:$BO$12,2,0)</f>
        <v>#N/A</v>
      </c>
      <c r="O3698" s="7">
        <v>10261.052308211749</v>
      </c>
    </row>
    <row r="3699" spans="1:15">
      <c r="A3699" s="2" t="s">
        <v>10</v>
      </c>
      <c r="B3699" t="s">
        <v>49</v>
      </c>
      <c r="C3699" t="s">
        <v>50</v>
      </c>
      <c r="D3699">
        <v>50</v>
      </c>
      <c r="E3699" t="s">
        <v>26</v>
      </c>
      <c r="F3699">
        <v>1</v>
      </c>
      <c r="G3699">
        <v>1</v>
      </c>
      <c r="H3699">
        <v>0</v>
      </c>
      <c r="I3699">
        <v>1</v>
      </c>
      <c r="J3699" s="4" t="s">
        <v>55</v>
      </c>
      <c r="K3699" t="str">
        <f t="shared" si="185"/>
        <v>1+0</v>
      </c>
      <c r="L3699">
        <f>VLOOKUP(A3699,'ZONE 1 PREMIUM'!$A$3:$M$16,13,0)</f>
        <v>3</v>
      </c>
      <c r="M3699">
        <f>VLOOKUP(D3699,DROPDOWN!B:C,2,0)</f>
        <v>12</v>
      </c>
      <c r="N3699" t="str">
        <f t="shared" si="186"/>
        <v>AU3:BM16</v>
      </c>
      <c r="O3699" s="4">
        <f t="shared" ca="1" si="184"/>
        <v>18673.875</v>
      </c>
    </row>
    <row r="3700" spans="1:15">
      <c r="A3700" s="2" t="s">
        <v>11</v>
      </c>
      <c r="B3700" t="s">
        <v>45</v>
      </c>
      <c r="C3700" t="s">
        <v>25</v>
      </c>
      <c r="D3700">
        <v>50</v>
      </c>
      <c r="E3700" t="s">
        <v>26</v>
      </c>
      <c r="F3700">
        <v>1</v>
      </c>
      <c r="G3700">
        <v>1</v>
      </c>
      <c r="H3700">
        <v>0</v>
      </c>
      <c r="I3700">
        <v>1</v>
      </c>
      <c r="J3700" s="4" t="s">
        <v>55</v>
      </c>
      <c r="K3700" t="str">
        <f t="shared" si="185"/>
        <v>1+0</v>
      </c>
      <c r="L3700">
        <f>VLOOKUP(A3700,'ZONE 1 PREMIUM'!$A$3:$M$16,13,0)</f>
        <v>4</v>
      </c>
      <c r="M3700">
        <f>VLOOKUP(D3700,DROPDOWN!B:C,2,0)</f>
        <v>12</v>
      </c>
      <c r="N3700" t="str">
        <f t="shared" si="186"/>
        <v>AU3:BM16</v>
      </c>
      <c r="O3700" s="4">
        <f t="shared" ca="1" si="184"/>
        <v>65674.125</v>
      </c>
    </row>
    <row r="3701" spans="1:15">
      <c r="A3701" s="2" t="s">
        <v>12</v>
      </c>
      <c r="B3701" t="s">
        <v>27</v>
      </c>
      <c r="C3701" t="s">
        <v>28</v>
      </c>
      <c r="D3701">
        <v>50</v>
      </c>
      <c r="E3701" t="s">
        <v>26</v>
      </c>
      <c r="F3701">
        <v>1</v>
      </c>
      <c r="G3701">
        <v>1</v>
      </c>
      <c r="H3701">
        <v>0</v>
      </c>
      <c r="I3701">
        <v>1</v>
      </c>
      <c r="J3701" s="4" t="s">
        <v>55</v>
      </c>
      <c r="K3701" t="str">
        <f t="shared" si="185"/>
        <v>1+0</v>
      </c>
      <c r="L3701">
        <f>VLOOKUP(A3701,'ZONE 1 PREMIUM'!$A$3:$M$16,13,0)</f>
        <v>5</v>
      </c>
      <c r="M3701">
        <f>VLOOKUP(D3701,DROPDOWN!B:C,2,0)</f>
        <v>12</v>
      </c>
      <c r="N3701" t="str">
        <f t="shared" si="186"/>
        <v>AU3:BM16</v>
      </c>
      <c r="O3701" s="4">
        <f t="shared" ca="1" si="184"/>
        <v>74224.125</v>
      </c>
    </row>
    <row r="3702" spans="1:15">
      <c r="A3702" s="2" t="s">
        <v>13</v>
      </c>
      <c r="B3702" t="s">
        <v>29</v>
      </c>
      <c r="C3702" t="s">
        <v>30</v>
      </c>
      <c r="D3702">
        <v>50</v>
      </c>
      <c r="E3702" t="s">
        <v>26</v>
      </c>
      <c r="F3702">
        <v>1</v>
      </c>
      <c r="G3702">
        <v>1</v>
      </c>
      <c r="H3702">
        <v>0</v>
      </c>
      <c r="I3702">
        <v>1</v>
      </c>
      <c r="J3702" s="4" t="s">
        <v>55</v>
      </c>
      <c r="K3702" t="str">
        <f t="shared" si="185"/>
        <v>1+0</v>
      </c>
      <c r="L3702">
        <f>VLOOKUP(A3702,'ZONE 1 PREMIUM'!$A$3:$M$16,13,0)</f>
        <v>6</v>
      </c>
      <c r="M3702">
        <f>VLOOKUP(D3702,DROPDOWN!B:C,2,0)</f>
        <v>12</v>
      </c>
      <c r="N3702" t="str">
        <f t="shared" si="186"/>
        <v>AU3:BM16</v>
      </c>
      <c r="O3702" s="4">
        <f t="shared" ca="1" si="184"/>
        <v>77479.875</v>
      </c>
    </row>
    <row r="3703" spans="1:15">
      <c r="A3703" s="2" t="s">
        <v>14</v>
      </c>
      <c r="B3703" t="s">
        <v>31</v>
      </c>
      <c r="C3703" t="s">
        <v>32</v>
      </c>
      <c r="D3703">
        <v>50</v>
      </c>
      <c r="E3703" t="s">
        <v>26</v>
      </c>
      <c r="F3703">
        <v>1</v>
      </c>
      <c r="G3703">
        <v>1</v>
      </c>
      <c r="H3703">
        <v>0</v>
      </c>
      <c r="I3703">
        <v>1</v>
      </c>
      <c r="J3703" s="4" t="s">
        <v>55</v>
      </c>
      <c r="K3703" t="str">
        <f t="shared" si="185"/>
        <v>1+0</v>
      </c>
      <c r="L3703">
        <f>VLOOKUP(A3703,'ZONE 1 PREMIUM'!$A$3:$M$16,13,0)</f>
        <v>7</v>
      </c>
      <c r="M3703">
        <f>VLOOKUP(D3703,DROPDOWN!B:C,2,0)</f>
        <v>12</v>
      </c>
      <c r="N3703" t="str">
        <f t="shared" si="186"/>
        <v>AU3:BM16</v>
      </c>
      <c r="O3703" s="4">
        <f t="shared" ca="1" si="184"/>
        <v>87584.625</v>
      </c>
    </row>
    <row r="3704" spans="1:15">
      <c r="A3704" s="2" t="s">
        <v>15</v>
      </c>
      <c r="B3704" t="s">
        <v>33</v>
      </c>
      <c r="C3704" t="s">
        <v>34</v>
      </c>
      <c r="D3704">
        <v>50</v>
      </c>
      <c r="E3704" t="s">
        <v>26</v>
      </c>
      <c r="F3704">
        <v>1</v>
      </c>
      <c r="G3704">
        <v>1</v>
      </c>
      <c r="H3704">
        <v>0</v>
      </c>
      <c r="I3704">
        <v>1</v>
      </c>
      <c r="J3704" s="4" t="s">
        <v>55</v>
      </c>
      <c r="K3704" t="str">
        <f t="shared" si="185"/>
        <v>1+0</v>
      </c>
      <c r="L3704">
        <f>VLOOKUP(A3704,'ZONE 1 PREMIUM'!$A$3:$M$16,13,0)</f>
        <v>8</v>
      </c>
      <c r="M3704">
        <f>VLOOKUP(D3704,DROPDOWN!B:C,2,0)</f>
        <v>12</v>
      </c>
      <c r="N3704" t="str">
        <f t="shared" si="186"/>
        <v>AU3:BM16</v>
      </c>
      <c r="O3704" s="4">
        <f t="shared" ca="1" si="184"/>
        <v>105527.25</v>
      </c>
    </row>
    <row r="3705" spans="1:15">
      <c r="A3705" s="2" t="s">
        <v>16</v>
      </c>
      <c r="B3705" t="s">
        <v>35</v>
      </c>
      <c r="C3705" t="s">
        <v>36</v>
      </c>
      <c r="D3705">
        <v>50</v>
      </c>
      <c r="E3705" t="s">
        <v>26</v>
      </c>
      <c r="F3705">
        <v>1</v>
      </c>
      <c r="G3705">
        <v>1</v>
      </c>
      <c r="H3705">
        <v>0</v>
      </c>
      <c r="I3705">
        <v>1</v>
      </c>
      <c r="J3705" s="4" t="s">
        <v>55</v>
      </c>
      <c r="K3705" t="str">
        <f t="shared" si="185"/>
        <v>1+0</v>
      </c>
      <c r="L3705">
        <f>VLOOKUP(A3705,'ZONE 1 PREMIUM'!$A$3:$M$16,13,0)</f>
        <v>9</v>
      </c>
      <c r="M3705">
        <f>VLOOKUP(D3705,DROPDOWN!B:C,2,0)</f>
        <v>12</v>
      </c>
      <c r="N3705" t="str">
        <f t="shared" si="186"/>
        <v>AU3:BM16</v>
      </c>
      <c r="O3705" s="4">
        <f t="shared" ca="1" si="184"/>
        <v>148101.75</v>
      </c>
    </row>
    <row r="3706" spans="1:15">
      <c r="A3706" s="2" t="s">
        <v>17</v>
      </c>
      <c r="B3706" t="s">
        <v>37</v>
      </c>
      <c r="C3706" t="s">
        <v>38</v>
      </c>
      <c r="D3706">
        <v>50</v>
      </c>
      <c r="E3706" t="s">
        <v>26</v>
      </c>
      <c r="F3706">
        <v>1</v>
      </c>
      <c r="G3706">
        <v>1</v>
      </c>
      <c r="H3706">
        <v>0</v>
      </c>
      <c r="I3706">
        <v>1</v>
      </c>
      <c r="J3706" s="4" t="s">
        <v>55</v>
      </c>
      <c r="K3706" t="str">
        <f t="shared" si="185"/>
        <v>1+0</v>
      </c>
      <c r="L3706">
        <f>VLOOKUP(A3706,'ZONE 1 PREMIUM'!$A$3:$M$16,13,0)</f>
        <v>10</v>
      </c>
      <c r="M3706">
        <f>VLOOKUP(D3706,DROPDOWN!B:C,2,0)</f>
        <v>12</v>
      </c>
      <c r="N3706" t="str">
        <f t="shared" si="186"/>
        <v>AU3:BM16</v>
      </c>
      <c r="O3706" s="4">
        <f t="shared" ca="1" si="184"/>
        <v>197880.75</v>
      </c>
    </row>
    <row r="3707" spans="1:15">
      <c r="A3707" s="2" t="s">
        <v>18</v>
      </c>
      <c r="B3707" t="s">
        <v>39</v>
      </c>
      <c r="C3707" t="s">
        <v>40</v>
      </c>
      <c r="D3707">
        <v>50</v>
      </c>
      <c r="E3707" t="s">
        <v>26</v>
      </c>
      <c r="F3707">
        <v>1</v>
      </c>
      <c r="G3707">
        <v>1</v>
      </c>
      <c r="H3707">
        <v>0</v>
      </c>
      <c r="I3707">
        <v>1</v>
      </c>
      <c r="J3707" s="4" t="s">
        <v>55</v>
      </c>
      <c r="K3707" t="str">
        <f t="shared" si="185"/>
        <v>1+0</v>
      </c>
      <c r="L3707">
        <f>VLOOKUP(A3707,'ZONE 1 PREMIUM'!$A$3:$M$16,13,0)</f>
        <v>11</v>
      </c>
      <c r="M3707">
        <f>VLOOKUP(D3707,DROPDOWN!B:C,2,0)</f>
        <v>12</v>
      </c>
      <c r="N3707" t="str">
        <f t="shared" si="186"/>
        <v>AU3:BM16</v>
      </c>
      <c r="O3707" s="4">
        <f t="shared" ca="1" si="184"/>
        <v>271793.25</v>
      </c>
    </row>
    <row r="3708" spans="1:15">
      <c r="A3708" s="2" t="s">
        <v>19</v>
      </c>
      <c r="B3708" t="s">
        <v>41</v>
      </c>
      <c r="C3708" t="s">
        <v>42</v>
      </c>
      <c r="D3708">
        <v>50</v>
      </c>
      <c r="E3708" t="s">
        <v>26</v>
      </c>
      <c r="F3708">
        <v>1</v>
      </c>
      <c r="G3708">
        <v>1</v>
      </c>
      <c r="H3708">
        <v>0</v>
      </c>
      <c r="I3708">
        <v>1</v>
      </c>
      <c r="J3708" s="4" t="s">
        <v>55</v>
      </c>
      <c r="K3708" t="str">
        <f t="shared" si="185"/>
        <v>1+0</v>
      </c>
      <c r="L3708">
        <f>VLOOKUP(A3708,'ZONE 1 PREMIUM'!$A$3:$M$16,13,0)</f>
        <v>12</v>
      </c>
      <c r="M3708">
        <f>VLOOKUP(D3708,DROPDOWN!B:C,2,0)</f>
        <v>12</v>
      </c>
      <c r="N3708" t="str">
        <f t="shared" si="186"/>
        <v>AU3:BM16</v>
      </c>
      <c r="O3708" s="4">
        <f t="shared" ca="1" si="184"/>
        <v>344640.375</v>
      </c>
    </row>
    <row r="3709" spans="1:15">
      <c r="A3709" s="2" t="s">
        <v>20</v>
      </c>
      <c r="B3709" t="s">
        <v>43</v>
      </c>
      <c r="C3709" t="s">
        <v>44</v>
      </c>
      <c r="D3709">
        <v>50</v>
      </c>
      <c r="E3709" t="s">
        <v>26</v>
      </c>
      <c r="F3709">
        <v>1</v>
      </c>
      <c r="G3709">
        <v>1</v>
      </c>
      <c r="H3709">
        <v>0</v>
      </c>
      <c r="I3709">
        <v>1</v>
      </c>
      <c r="J3709" s="4" t="s">
        <v>55</v>
      </c>
      <c r="K3709" t="str">
        <f t="shared" si="185"/>
        <v>1+0</v>
      </c>
      <c r="L3709">
        <f>VLOOKUP(A3709,'ZONE 1 PREMIUM'!$A$3:$M$16,13,0)</f>
        <v>13</v>
      </c>
      <c r="M3709">
        <f>VLOOKUP(D3709,DROPDOWN!B:C,2,0)</f>
        <v>12</v>
      </c>
      <c r="N3709" t="str">
        <f t="shared" si="186"/>
        <v>AU3:BM16</v>
      </c>
      <c r="O3709" s="4">
        <f t="shared" ca="1" si="184"/>
        <v>403187.625</v>
      </c>
    </row>
    <row r="3710" spans="1:15">
      <c r="A3710" s="2" t="s">
        <v>21</v>
      </c>
      <c r="B3710" t="s">
        <v>22</v>
      </c>
      <c r="D3710">
        <v>50</v>
      </c>
      <c r="E3710" t="s">
        <v>26</v>
      </c>
      <c r="F3710">
        <v>1</v>
      </c>
      <c r="G3710">
        <v>1</v>
      </c>
      <c r="H3710">
        <v>0</v>
      </c>
      <c r="I3710">
        <v>1</v>
      </c>
      <c r="J3710" s="4" t="s">
        <v>55</v>
      </c>
      <c r="K3710" t="str">
        <f t="shared" si="185"/>
        <v>1+0</v>
      </c>
      <c r="L3710">
        <f>VLOOKUP(A3710,'ZONE 1 PREMIUM'!$A$3:$M$16,13,0)</f>
        <v>14</v>
      </c>
      <c r="M3710">
        <f>VLOOKUP(D3710,DROPDOWN!B:C,2,0)</f>
        <v>12</v>
      </c>
      <c r="N3710" t="str">
        <f t="shared" si="186"/>
        <v>AU3:BM16</v>
      </c>
      <c r="O3710" s="4">
        <f t="shared" ca="1" si="184"/>
        <v>525889.125</v>
      </c>
    </row>
    <row r="3711" spans="1:15">
      <c r="A3711" s="2" t="s">
        <v>11</v>
      </c>
      <c r="B3711" t="s">
        <v>45</v>
      </c>
      <c r="C3711" t="s">
        <v>25</v>
      </c>
      <c r="D3711">
        <v>50</v>
      </c>
      <c r="E3711" t="s">
        <v>46</v>
      </c>
      <c r="F3711">
        <v>2</v>
      </c>
      <c r="G3711">
        <v>1</v>
      </c>
      <c r="H3711">
        <v>1</v>
      </c>
      <c r="I3711">
        <v>1</v>
      </c>
      <c r="J3711" s="4" t="s">
        <v>55</v>
      </c>
      <c r="K3711" t="str">
        <f t="shared" si="185"/>
        <v>1+1</v>
      </c>
      <c r="L3711">
        <f>VLOOKUP(A3711,'ZONE 1 PREMIUM'!$A$4:$N$16,14,0)</f>
        <v>2</v>
      </c>
      <c r="M3711">
        <f>VLOOKUP(D3711,DROPDOWN!B:C,2,0)</f>
        <v>12</v>
      </c>
      <c r="N3711" t="str">
        <f t="shared" si="186"/>
        <v>AU20:BM31</v>
      </c>
      <c r="O3711" s="4">
        <f t="shared" ca="1" si="184"/>
        <v>67545</v>
      </c>
    </row>
    <row r="3712" spans="1:15">
      <c r="A3712" s="2" t="s">
        <v>12</v>
      </c>
      <c r="B3712" t="s">
        <v>27</v>
      </c>
      <c r="C3712" t="s">
        <v>28</v>
      </c>
      <c r="D3712">
        <v>50</v>
      </c>
      <c r="E3712" t="s">
        <v>46</v>
      </c>
      <c r="F3712">
        <v>2</v>
      </c>
      <c r="G3712">
        <v>1</v>
      </c>
      <c r="H3712">
        <v>1</v>
      </c>
      <c r="I3712">
        <v>1</v>
      </c>
      <c r="J3712" s="4" t="s">
        <v>55</v>
      </c>
      <c r="K3712" t="str">
        <f t="shared" si="185"/>
        <v>1+1</v>
      </c>
      <c r="L3712">
        <f>VLOOKUP(A3712,'ZONE 1 PREMIUM'!$A$4:$N$16,14,0)</f>
        <v>3</v>
      </c>
      <c r="M3712">
        <f>VLOOKUP(D3712,DROPDOWN!B:C,2,0)</f>
        <v>12</v>
      </c>
      <c r="N3712" t="str">
        <f t="shared" si="186"/>
        <v>AU20:BM31</v>
      </c>
      <c r="O3712" s="4">
        <f t="shared" ca="1" si="184"/>
        <v>74413.125</v>
      </c>
    </row>
    <row r="3713" spans="1:15">
      <c r="A3713" s="2" t="s">
        <v>13</v>
      </c>
      <c r="B3713" t="s">
        <v>29</v>
      </c>
      <c r="C3713" t="s">
        <v>30</v>
      </c>
      <c r="D3713">
        <v>50</v>
      </c>
      <c r="E3713" t="s">
        <v>46</v>
      </c>
      <c r="F3713">
        <v>2</v>
      </c>
      <c r="G3713">
        <v>1</v>
      </c>
      <c r="H3713">
        <v>1</v>
      </c>
      <c r="I3713">
        <v>1</v>
      </c>
      <c r="J3713" s="4" t="s">
        <v>55</v>
      </c>
      <c r="K3713" t="str">
        <f t="shared" si="185"/>
        <v>1+1</v>
      </c>
      <c r="L3713">
        <f>VLOOKUP(A3713,'ZONE 1 PREMIUM'!$A$4:$N$16,14,0)</f>
        <v>4</v>
      </c>
      <c r="M3713">
        <f>VLOOKUP(D3713,DROPDOWN!B:C,2,0)</f>
        <v>12</v>
      </c>
      <c r="N3713" t="str">
        <f t="shared" si="186"/>
        <v>AU20:BM31</v>
      </c>
      <c r="O3713" s="4">
        <f t="shared" ca="1" si="184"/>
        <v>79504.875</v>
      </c>
    </row>
    <row r="3714" spans="1:15">
      <c r="A3714" s="2" t="s">
        <v>14</v>
      </c>
      <c r="B3714" t="s">
        <v>31</v>
      </c>
      <c r="C3714" t="s">
        <v>32</v>
      </c>
      <c r="D3714">
        <v>50</v>
      </c>
      <c r="E3714" t="s">
        <v>46</v>
      </c>
      <c r="F3714">
        <v>2</v>
      </c>
      <c r="G3714">
        <v>1</v>
      </c>
      <c r="H3714">
        <v>1</v>
      </c>
      <c r="I3714">
        <v>1</v>
      </c>
      <c r="J3714" s="4" t="s">
        <v>55</v>
      </c>
      <c r="K3714" t="str">
        <f t="shared" si="185"/>
        <v>1+1</v>
      </c>
      <c r="L3714">
        <f>VLOOKUP(A3714,'ZONE 1 PREMIUM'!$A$4:$N$16,14,0)</f>
        <v>5</v>
      </c>
      <c r="M3714">
        <f>VLOOKUP(D3714,DROPDOWN!B:C,2,0)</f>
        <v>12</v>
      </c>
      <c r="N3714" t="str">
        <f t="shared" si="186"/>
        <v>AU20:BM31</v>
      </c>
      <c r="O3714" s="4">
        <f t="shared" ref="O3714:O3777" ca="1" si="187">INDEX(INDIRECT(N3714),L3714,M3714)</f>
        <v>91857.375</v>
      </c>
    </row>
    <row r="3715" spans="1:15">
      <c r="A3715" s="2" t="s">
        <v>15</v>
      </c>
      <c r="B3715" t="s">
        <v>33</v>
      </c>
      <c r="C3715" t="s">
        <v>34</v>
      </c>
      <c r="D3715">
        <v>50</v>
      </c>
      <c r="E3715" t="s">
        <v>46</v>
      </c>
      <c r="F3715">
        <v>2</v>
      </c>
      <c r="G3715">
        <v>1</v>
      </c>
      <c r="H3715">
        <v>1</v>
      </c>
      <c r="I3715">
        <v>1</v>
      </c>
      <c r="J3715" s="4" t="s">
        <v>55</v>
      </c>
      <c r="K3715" t="str">
        <f t="shared" si="185"/>
        <v>1+1</v>
      </c>
      <c r="L3715">
        <f>VLOOKUP(A3715,'ZONE 1 PREMIUM'!$A$4:$N$16,14,0)</f>
        <v>6</v>
      </c>
      <c r="M3715">
        <f>VLOOKUP(D3715,DROPDOWN!B:C,2,0)</f>
        <v>12</v>
      </c>
      <c r="N3715" t="str">
        <f t="shared" si="186"/>
        <v>AU20:BM31</v>
      </c>
      <c r="O3715" s="4">
        <f t="shared" ca="1" si="187"/>
        <v>110974.5</v>
      </c>
    </row>
    <row r="3716" spans="1:15">
      <c r="A3716" s="2" t="s">
        <v>16</v>
      </c>
      <c r="B3716" t="s">
        <v>35</v>
      </c>
      <c r="C3716" t="s">
        <v>36</v>
      </c>
      <c r="D3716">
        <v>50</v>
      </c>
      <c r="E3716" t="s">
        <v>46</v>
      </c>
      <c r="F3716">
        <v>2</v>
      </c>
      <c r="G3716">
        <v>1</v>
      </c>
      <c r="H3716">
        <v>1</v>
      </c>
      <c r="I3716">
        <v>1</v>
      </c>
      <c r="J3716" s="4" t="s">
        <v>55</v>
      </c>
      <c r="K3716" t="str">
        <f t="shared" ref="K3716:K3779" si="188">G3716&amp;"+"&amp;H3716</f>
        <v>1+1</v>
      </c>
      <c r="L3716">
        <f>VLOOKUP(A3716,'ZONE 1 PREMIUM'!$A$4:$N$16,14,0)</f>
        <v>7</v>
      </c>
      <c r="M3716">
        <f>VLOOKUP(D3716,DROPDOWN!B:C,2,0)</f>
        <v>12</v>
      </c>
      <c r="N3716" t="str">
        <f t="shared" si="186"/>
        <v>AU20:BM31</v>
      </c>
      <c r="O3716" s="4">
        <f t="shared" ca="1" si="187"/>
        <v>151611.75</v>
      </c>
    </row>
    <row r="3717" spans="1:15">
      <c r="A3717" s="2" t="s">
        <v>17</v>
      </c>
      <c r="B3717" t="s">
        <v>37</v>
      </c>
      <c r="C3717" t="s">
        <v>38</v>
      </c>
      <c r="D3717">
        <v>50</v>
      </c>
      <c r="E3717" t="s">
        <v>46</v>
      </c>
      <c r="F3717">
        <v>2</v>
      </c>
      <c r="G3717">
        <v>1</v>
      </c>
      <c r="H3717">
        <v>1</v>
      </c>
      <c r="I3717">
        <v>1</v>
      </c>
      <c r="J3717" s="4" t="s">
        <v>55</v>
      </c>
      <c r="K3717" t="str">
        <f t="shared" si="188"/>
        <v>1+1</v>
      </c>
      <c r="L3717">
        <f>VLOOKUP(A3717,'ZONE 1 PREMIUM'!$A$4:$N$16,14,0)</f>
        <v>8</v>
      </c>
      <c r="M3717">
        <f>VLOOKUP(D3717,DROPDOWN!B:C,2,0)</f>
        <v>12</v>
      </c>
      <c r="N3717" t="str">
        <f t="shared" si="186"/>
        <v>AU20:BM31</v>
      </c>
      <c r="O3717" s="4">
        <f t="shared" ca="1" si="187"/>
        <v>201325.5</v>
      </c>
    </row>
    <row r="3718" spans="1:15">
      <c r="A3718" s="2" t="s">
        <v>18</v>
      </c>
      <c r="B3718" t="s">
        <v>39</v>
      </c>
      <c r="C3718" t="s">
        <v>40</v>
      </c>
      <c r="D3718">
        <v>50</v>
      </c>
      <c r="E3718" t="s">
        <v>46</v>
      </c>
      <c r="F3718">
        <v>2</v>
      </c>
      <c r="G3718">
        <v>1</v>
      </c>
      <c r="H3718">
        <v>1</v>
      </c>
      <c r="I3718">
        <v>1</v>
      </c>
      <c r="J3718" s="4" t="s">
        <v>55</v>
      </c>
      <c r="K3718" t="str">
        <f t="shared" si="188"/>
        <v>1+1</v>
      </c>
      <c r="L3718">
        <f>VLOOKUP(A3718,'ZONE 1 PREMIUM'!$A$4:$N$16,14,0)</f>
        <v>9</v>
      </c>
      <c r="M3718">
        <f>VLOOKUP(D3718,DROPDOWN!B:C,2,0)</f>
        <v>12</v>
      </c>
      <c r="N3718" t="str">
        <f t="shared" si="186"/>
        <v>AU20:BM31</v>
      </c>
      <c r="O3718" s="4">
        <f t="shared" ca="1" si="187"/>
        <v>278313.75</v>
      </c>
    </row>
    <row r="3719" spans="1:15">
      <c r="A3719" s="2" t="s">
        <v>19</v>
      </c>
      <c r="B3719" t="s">
        <v>41</v>
      </c>
      <c r="C3719" t="s">
        <v>42</v>
      </c>
      <c r="D3719">
        <v>50</v>
      </c>
      <c r="E3719" t="s">
        <v>46</v>
      </c>
      <c r="F3719">
        <v>2</v>
      </c>
      <c r="G3719">
        <v>1</v>
      </c>
      <c r="H3719">
        <v>1</v>
      </c>
      <c r="I3719">
        <v>1</v>
      </c>
      <c r="J3719" s="4" t="s">
        <v>55</v>
      </c>
      <c r="K3719" t="str">
        <f t="shared" si="188"/>
        <v>1+1</v>
      </c>
      <c r="L3719">
        <f>VLOOKUP(A3719,'ZONE 1 PREMIUM'!$A$4:$N$16,14,0)</f>
        <v>10</v>
      </c>
      <c r="M3719">
        <f>VLOOKUP(D3719,DROPDOWN!B:C,2,0)</f>
        <v>12</v>
      </c>
      <c r="N3719" t="str">
        <f t="shared" si="186"/>
        <v>AU20:BM31</v>
      </c>
      <c r="O3719" s="4">
        <f t="shared" ca="1" si="187"/>
        <v>351475.875</v>
      </c>
    </row>
    <row r="3720" spans="1:15">
      <c r="A3720" s="2" t="s">
        <v>20</v>
      </c>
      <c r="B3720" t="s">
        <v>43</v>
      </c>
      <c r="C3720" t="s">
        <v>44</v>
      </c>
      <c r="D3720">
        <v>50</v>
      </c>
      <c r="E3720" t="s">
        <v>46</v>
      </c>
      <c r="F3720">
        <v>2</v>
      </c>
      <c r="G3720">
        <v>1</v>
      </c>
      <c r="H3720">
        <v>1</v>
      </c>
      <c r="I3720">
        <v>1</v>
      </c>
      <c r="J3720" s="4" t="s">
        <v>55</v>
      </c>
      <c r="K3720" t="str">
        <f t="shared" si="188"/>
        <v>1+1</v>
      </c>
      <c r="L3720">
        <f>VLOOKUP(A3720,'ZONE 1 PREMIUM'!$A$4:$N$16,14,0)</f>
        <v>11</v>
      </c>
      <c r="M3720">
        <f>VLOOKUP(D3720,DROPDOWN!B:C,2,0)</f>
        <v>12</v>
      </c>
      <c r="N3720" t="str">
        <f t="shared" si="186"/>
        <v>AU20:BM31</v>
      </c>
      <c r="O3720" s="4">
        <f t="shared" ca="1" si="187"/>
        <v>405419.625</v>
      </c>
    </row>
    <row r="3721" spans="1:15">
      <c r="A3721" s="2" t="s">
        <v>21</v>
      </c>
      <c r="B3721" t="s">
        <v>22</v>
      </c>
      <c r="D3721">
        <v>50</v>
      </c>
      <c r="E3721" t="s">
        <v>46</v>
      </c>
      <c r="F3721">
        <v>2</v>
      </c>
      <c r="G3721">
        <v>1</v>
      </c>
      <c r="H3721">
        <v>1</v>
      </c>
      <c r="I3721">
        <v>1</v>
      </c>
      <c r="J3721" s="4" t="s">
        <v>55</v>
      </c>
      <c r="K3721" t="str">
        <f t="shared" si="188"/>
        <v>1+1</v>
      </c>
      <c r="L3721">
        <f>VLOOKUP(A3721,'ZONE 1 PREMIUM'!$A$4:$N$16,14,0)</f>
        <v>12</v>
      </c>
      <c r="M3721">
        <f>VLOOKUP(D3721,DROPDOWN!B:C,2,0)</f>
        <v>12</v>
      </c>
      <c r="N3721" t="str">
        <f t="shared" si="186"/>
        <v>AU20:BM31</v>
      </c>
      <c r="O3721" s="4">
        <f t="shared" ca="1" si="187"/>
        <v>536833.125</v>
      </c>
    </row>
    <row r="3722" spans="1:15">
      <c r="A3722" s="2" t="s">
        <v>11</v>
      </c>
      <c r="B3722" t="s">
        <v>45</v>
      </c>
      <c r="C3722" t="s">
        <v>25</v>
      </c>
      <c r="D3722">
        <v>50</v>
      </c>
      <c r="E3722" t="s">
        <v>46</v>
      </c>
      <c r="F3722">
        <v>3</v>
      </c>
      <c r="G3722">
        <v>1</v>
      </c>
      <c r="H3722">
        <v>2</v>
      </c>
      <c r="I3722">
        <v>1</v>
      </c>
      <c r="J3722" s="4" t="s">
        <v>55</v>
      </c>
      <c r="K3722" t="str">
        <f t="shared" si="188"/>
        <v>1+2</v>
      </c>
      <c r="L3722">
        <f>VLOOKUP(A3722,'ZONE 1 PREMIUM'!$A$4:$N$16,14,0)</f>
        <v>2</v>
      </c>
      <c r="M3722">
        <f>VLOOKUP(D3722,DROPDOWN!B:C,2,0)</f>
        <v>12</v>
      </c>
      <c r="N3722" t="str">
        <f t="shared" si="186"/>
        <v>AU35:BM46</v>
      </c>
      <c r="O3722" s="4">
        <f t="shared" ca="1" si="187"/>
        <v>83581.875</v>
      </c>
    </row>
    <row r="3723" spans="1:15">
      <c r="A3723" s="2" t="s">
        <v>12</v>
      </c>
      <c r="B3723" t="s">
        <v>27</v>
      </c>
      <c r="C3723" t="s">
        <v>28</v>
      </c>
      <c r="D3723">
        <v>50</v>
      </c>
      <c r="E3723" t="s">
        <v>46</v>
      </c>
      <c r="F3723">
        <v>3</v>
      </c>
      <c r="G3723">
        <v>1</v>
      </c>
      <c r="H3723">
        <v>2</v>
      </c>
      <c r="I3723">
        <v>1</v>
      </c>
      <c r="J3723" s="4" t="s">
        <v>55</v>
      </c>
      <c r="K3723" t="str">
        <f t="shared" si="188"/>
        <v>1+2</v>
      </c>
      <c r="L3723">
        <f>VLOOKUP(A3723,'ZONE 1 PREMIUM'!$A$4:$N$16,14,0)</f>
        <v>3</v>
      </c>
      <c r="M3723">
        <f>VLOOKUP(D3723,DROPDOWN!B:C,2,0)</f>
        <v>12</v>
      </c>
      <c r="N3723" t="str">
        <f t="shared" si="186"/>
        <v>AU35:BM46</v>
      </c>
      <c r="O3723" s="4">
        <f t="shared" ca="1" si="187"/>
        <v>89859.375</v>
      </c>
    </row>
    <row r="3724" spans="1:15">
      <c r="A3724" s="2" t="s">
        <v>13</v>
      </c>
      <c r="B3724" t="s">
        <v>29</v>
      </c>
      <c r="C3724" t="s">
        <v>30</v>
      </c>
      <c r="D3724">
        <v>50</v>
      </c>
      <c r="E3724" t="s">
        <v>46</v>
      </c>
      <c r="F3724">
        <v>3</v>
      </c>
      <c r="G3724">
        <v>1</v>
      </c>
      <c r="H3724">
        <v>2</v>
      </c>
      <c r="I3724">
        <v>1</v>
      </c>
      <c r="J3724" s="4" t="s">
        <v>55</v>
      </c>
      <c r="K3724" t="str">
        <f t="shared" si="188"/>
        <v>1+2</v>
      </c>
      <c r="L3724">
        <f>VLOOKUP(A3724,'ZONE 1 PREMIUM'!$A$4:$N$16,14,0)</f>
        <v>4</v>
      </c>
      <c r="M3724">
        <f>VLOOKUP(D3724,DROPDOWN!B:C,2,0)</f>
        <v>12</v>
      </c>
      <c r="N3724" t="str">
        <f t="shared" si="186"/>
        <v>AU35:BM46</v>
      </c>
      <c r="O3724" s="4">
        <f t="shared" ca="1" si="187"/>
        <v>97382.25</v>
      </c>
    </row>
    <row r="3725" spans="1:15">
      <c r="A3725" s="2" t="s">
        <v>14</v>
      </c>
      <c r="B3725" t="s">
        <v>31</v>
      </c>
      <c r="C3725" t="s">
        <v>32</v>
      </c>
      <c r="D3725">
        <v>50</v>
      </c>
      <c r="E3725" t="s">
        <v>46</v>
      </c>
      <c r="F3725">
        <v>3</v>
      </c>
      <c r="G3725">
        <v>1</v>
      </c>
      <c r="H3725">
        <v>2</v>
      </c>
      <c r="I3725">
        <v>1</v>
      </c>
      <c r="J3725" s="4" t="s">
        <v>55</v>
      </c>
      <c r="K3725" t="str">
        <f t="shared" si="188"/>
        <v>1+2</v>
      </c>
      <c r="L3725">
        <f>VLOOKUP(A3725,'ZONE 1 PREMIUM'!$A$4:$N$16,14,0)</f>
        <v>5</v>
      </c>
      <c r="M3725">
        <f>VLOOKUP(D3725,DROPDOWN!B:C,2,0)</f>
        <v>12</v>
      </c>
      <c r="N3725" t="str">
        <f t="shared" si="186"/>
        <v>AU35:BM46</v>
      </c>
      <c r="O3725" s="4">
        <f t="shared" ca="1" si="187"/>
        <v>107876.25</v>
      </c>
    </row>
    <row r="3726" spans="1:15">
      <c r="A3726" s="2" t="s">
        <v>15</v>
      </c>
      <c r="B3726" t="s">
        <v>33</v>
      </c>
      <c r="C3726" t="s">
        <v>34</v>
      </c>
      <c r="D3726">
        <v>50</v>
      </c>
      <c r="E3726" t="s">
        <v>46</v>
      </c>
      <c r="F3726">
        <v>3</v>
      </c>
      <c r="G3726">
        <v>1</v>
      </c>
      <c r="H3726">
        <v>2</v>
      </c>
      <c r="I3726">
        <v>1</v>
      </c>
      <c r="J3726" s="4" t="s">
        <v>55</v>
      </c>
      <c r="K3726" t="str">
        <f t="shared" si="188"/>
        <v>1+2</v>
      </c>
      <c r="L3726">
        <f>VLOOKUP(A3726,'ZONE 1 PREMIUM'!$A$4:$N$16,14,0)</f>
        <v>6</v>
      </c>
      <c r="M3726">
        <f>VLOOKUP(D3726,DROPDOWN!B:C,2,0)</f>
        <v>12</v>
      </c>
      <c r="N3726" t="str">
        <f t="shared" si="186"/>
        <v>AU35:BM46</v>
      </c>
      <c r="O3726" s="4">
        <f t="shared" ca="1" si="187"/>
        <v>132800.625</v>
      </c>
    </row>
    <row r="3727" spans="1:15">
      <c r="A3727" s="2" t="s">
        <v>16</v>
      </c>
      <c r="B3727" t="s">
        <v>35</v>
      </c>
      <c r="C3727" t="s">
        <v>36</v>
      </c>
      <c r="D3727">
        <v>50</v>
      </c>
      <c r="E3727" t="s">
        <v>46</v>
      </c>
      <c r="F3727">
        <v>3</v>
      </c>
      <c r="G3727">
        <v>1</v>
      </c>
      <c r="H3727">
        <v>2</v>
      </c>
      <c r="I3727">
        <v>1</v>
      </c>
      <c r="J3727" s="4" t="s">
        <v>55</v>
      </c>
      <c r="K3727" t="str">
        <f t="shared" si="188"/>
        <v>1+2</v>
      </c>
      <c r="L3727">
        <f>VLOOKUP(A3727,'ZONE 1 PREMIUM'!$A$4:$N$16,14,0)</f>
        <v>7</v>
      </c>
      <c r="M3727">
        <f>VLOOKUP(D3727,DROPDOWN!B:C,2,0)</f>
        <v>12</v>
      </c>
      <c r="N3727" t="str">
        <f t="shared" si="186"/>
        <v>AU35:BM46</v>
      </c>
      <c r="O3727" s="4">
        <f t="shared" ca="1" si="187"/>
        <v>178210.125</v>
      </c>
    </row>
    <row r="3728" spans="1:15">
      <c r="A3728" s="2" t="s">
        <v>17</v>
      </c>
      <c r="B3728" t="s">
        <v>37</v>
      </c>
      <c r="C3728" t="s">
        <v>38</v>
      </c>
      <c r="D3728">
        <v>50</v>
      </c>
      <c r="E3728" t="s">
        <v>46</v>
      </c>
      <c r="F3728">
        <v>3</v>
      </c>
      <c r="G3728">
        <v>1</v>
      </c>
      <c r="H3728">
        <v>2</v>
      </c>
      <c r="I3728">
        <v>1</v>
      </c>
      <c r="J3728" s="4" t="s">
        <v>55</v>
      </c>
      <c r="K3728" t="str">
        <f t="shared" si="188"/>
        <v>1+2</v>
      </c>
      <c r="L3728">
        <f>VLOOKUP(A3728,'ZONE 1 PREMIUM'!$A$4:$N$16,14,0)</f>
        <v>8</v>
      </c>
      <c r="M3728">
        <f>VLOOKUP(D3728,DROPDOWN!B:C,2,0)</f>
        <v>12</v>
      </c>
      <c r="N3728" t="str">
        <f t="shared" si="186"/>
        <v>AU35:BM46</v>
      </c>
      <c r="O3728" s="4">
        <f t="shared" ca="1" si="187"/>
        <v>229833</v>
      </c>
    </row>
    <row r="3729" spans="1:15">
      <c r="A3729" s="2" t="s">
        <v>18</v>
      </c>
      <c r="B3729" t="s">
        <v>39</v>
      </c>
      <c r="C3729" t="s">
        <v>40</v>
      </c>
      <c r="D3729">
        <v>50</v>
      </c>
      <c r="E3729" t="s">
        <v>46</v>
      </c>
      <c r="F3729">
        <v>3</v>
      </c>
      <c r="G3729">
        <v>1</v>
      </c>
      <c r="H3729">
        <v>2</v>
      </c>
      <c r="I3729">
        <v>1</v>
      </c>
      <c r="J3729" s="4" t="s">
        <v>55</v>
      </c>
      <c r="K3729" t="str">
        <f t="shared" si="188"/>
        <v>1+2</v>
      </c>
      <c r="L3729">
        <f>VLOOKUP(A3729,'ZONE 1 PREMIUM'!$A$4:$N$16,14,0)</f>
        <v>9</v>
      </c>
      <c r="M3729">
        <f>VLOOKUP(D3729,DROPDOWN!B:C,2,0)</f>
        <v>12</v>
      </c>
      <c r="N3729" t="str">
        <f t="shared" si="186"/>
        <v>AU35:BM46</v>
      </c>
      <c r="O3729" s="4">
        <f t="shared" ca="1" si="187"/>
        <v>300511.125</v>
      </c>
    </row>
    <row r="3730" spans="1:15">
      <c r="A3730" s="2" t="s">
        <v>19</v>
      </c>
      <c r="B3730" t="s">
        <v>41</v>
      </c>
      <c r="C3730" t="s">
        <v>42</v>
      </c>
      <c r="D3730">
        <v>50</v>
      </c>
      <c r="E3730" t="s">
        <v>46</v>
      </c>
      <c r="F3730">
        <v>3</v>
      </c>
      <c r="G3730">
        <v>1</v>
      </c>
      <c r="H3730">
        <v>2</v>
      </c>
      <c r="I3730">
        <v>1</v>
      </c>
      <c r="J3730" s="4" t="s">
        <v>55</v>
      </c>
      <c r="K3730" t="str">
        <f t="shared" si="188"/>
        <v>1+2</v>
      </c>
      <c r="L3730">
        <f>VLOOKUP(A3730,'ZONE 1 PREMIUM'!$A$4:$N$16,14,0)</f>
        <v>10</v>
      </c>
      <c r="M3730">
        <f>VLOOKUP(D3730,DROPDOWN!B:C,2,0)</f>
        <v>12</v>
      </c>
      <c r="N3730" t="str">
        <f t="shared" si="186"/>
        <v>AU35:BM46</v>
      </c>
      <c r="O3730" s="4">
        <f t="shared" ca="1" si="187"/>
        <v>379476</v>
      </c>
    </row>
    <row r="3731" spans="1:15">
      <c r="A3731" s="2" t="s">
        <v>20</v>
      </c>
      <c r="B3731" t="s">
        <v>43</v>
      </c>
      <c r="C3731" t="s">
        <v>44</v>
      </c>
      <c r="D3731">
        <v>50</v>
      </c>
      <c r="E3731" t="s">
        <v>46</v>
      </c>
      <c r="F3731">
        <v>3</v>
      </c>
      <c r="G3731">
        <v>1</v>
      </c>
      <c r="H3731">
        <v>2</v>
      </c>
      <c r="I3731">
        <v>1</v>
      </c>
      <c r="J3731" s="4" t="s">
        <v>55</v>
      </c>
      <c r="K3731" t="str">
        <f t="shared" si="188"/>
        <v>1+2</v>
      </c>
      <c r="L3731">
        <f>VLOOKUP(A3731,'ZONE 1 PREMIUM'!$A$4:$N$16,14,0)</f>
        <v>11</v>
      </c>
      <c r="M3731">
        <f>VLOOKUP(D3731,DROPDOWN!B:C,2,0)</f>
        <v>12</v>
      </c>
      <c r="N3731" t="str">
        <f t="shared" si="186"/>
        <v>AU35:BM46</v>
      </c>
      <c r="O3731" s="4">
        <f t="shared" ca="1" si="187"/>
        <v>439149.375</v>
      </c>
    </row>
    <row r="3732" spans="1:15">
      <c r="A3732" s="2" t="s">
        <v>21</v>
      </c>
      <c r="B3732" t="s">
        <v>22</v>
      </c>
      <c r="D3732">
        <v>50</v>
      </c>
      <c r="E3732" t="s">
        <v>46</v>
      </c>
      <c r="F3732">
        <v>3</v>
      </c>
      <c r="G3732">
        <v>1</v>
      </c>
      <c r="H3732">
        <v>2</v>
      </c>
      <c r="I3732">
        <v>1</v>
      </c>
      <c r="J3732" s="4" t="s">
        <v>55</v>
      </c>
      <c r="K3732" t="str">
        <f t="shared" si="188"/>
        <v>1+2</v>
      </c>
      <c r="L3732">
        <f>VLOOKUP(A3732,'ZONE 1 PREMIUM'!$A$4:$N$16,14,0)</f>
        <v>12</v>
      </c>
      <c r="M3732">
        <f>VLOOKUP(D3732,DROPDOWN!B:C,2,0)</f>
        <v>12</v>
      </c>
      <c r="N3732" t="str">
        <f t="shared" si="186"/>
        <v>AU35:BM46</v>
      </c>
      <c r="O3732" s="4">
        <f t="shared" ca="1" si="187"/>
        <v>561100.5</v>
      </c>
    </row>
    <row r="3733" spans="1:15">
      <c r="A3733" s="2" t="s">
        <v>11</v>
      </c>
      <c r="B3733" t="s">
        <v>45</v>
      </c>
      <c r="C3733" t="s">
        <v>25</v>
      </c>
      <c r="D3733">
        <v>50</v>
      </c>
      <c r="E3733" t="s">
        <v>46</v>
      </c>
      <c r="F3733">
        <v>4</v>
      </c>
      <c r="G3733">
        <v>1</v>
      </c>
      <c r="H3733">
        <v>3</v>
      </c>
      <c r="I3733">
        <v>1</v>
      </c>
      <c r="J3733" s="4" t="s">
        <v>55</v>
      </c>
      <c r="K3733" t="str">
        <f t="shared" si="188"/>
        <v>1+3</v>
      </c>
      <c r="L3733">
        <f>VLOOKUP(A3733,'ZONE 1 PREMIUM'!$A$4:$N$16,14,0)</f>
        <v>2</v>
      </c>
      <c r="M3733">
        <f>VLOOKUP(D3733,DROPDOWN!B:C,2,0)</f>
        <v>12</v>
      </c>
      <c r="N3733" t="str">
        <f t="shared" si="186"/>
        <v>AU50:BM61</v>
      </c>
      <c r="O3733" s="4">
        <f t="shared" ca="1" si="187"/>
        <v>99619.875</v>
      </c>
    </row>
    <row r="3734" spans="1:15">
      <c r="A3734" s="2" t="s">
        <v>12</v>
      </c>
      <c r="B3734" t="s">
        <v>27</v>
      </c>
      <c r="C3734" t="s">
        <v>28</v>
      </c>
      <c r="D3734">
        <v>50</v>
      </c>
      <c r="E3734" t="s">
        <v>46</v>
      </c>
      <c r="F3734">
        <v>4</v>
      </c>
      <c r="G3734">
        <v>1</v>
      </c>
      <c r="H3734">
        <v>3</v>
      </c>
      <c r="I3734">
        <v>1</v>
      </c>
      <c r="J3734" s="4" t="s">
        <v>55</v>
      </c>
      <c r="K3734" t="str">
        <f t="shared" si="188"/>
        <v>1+3</v>
      </c>
      <c r="L3734">
        <f>VLOOKUP(A3734,'ZONE 1 PREMIUM'!$A$4:$N$16,14,0)</f>
        <v>3</v>
      </c>
      <c r="M3734">
        <f>VLOOKUP(D3734,DROPDOWN!B:C,2,0)</f>
        <v>12</v>
      </c>
      <c r="N3734" t="str">
        <f t="shared" si="186"/>
        <v>AU50:BM61</v>
      </c>
      <c r="O3734" s="4">
        <f t="shared" ca="1" si="187"/>
        <v>105674.625</v>
      </c>
    </row>
    <row r="3735" spans="1:15">
      <c r="A3735" s="2" t="s">
        <v>13</v>
      </c>
      <c r="B3735" t="s">
        <v>29</v>
      </c>
      <c r="C3735" t="s">
        <v>30</v>
      </c>
      <c r="D3735">
        <v>50</v>
      </c>
      <c r="E3735" t="s">
        <v>46</v>
      </c>
      <c r="F3735">
        <v>4</v>
      </c>
      <c r="G3735">
        <v>1</v>
      </c>
      <c r="H3735">
        <v>3</v>
      </c>
      <c r="I3735">
        <v>1</v>
      </c>
      <c r="J3735" s="4" t="s">
        <v>55</v>
      </c>
      <c r="K3735" t="str">
        <f t="shared" si="188"/>
        <v>1+3</v>
      </c>
      <c r="L3735">
        <f>VLOOKUP(A3735,'ZONE 1 PREMIUM'!$A$4:$N$16,14,0)</f>
        <v>4</v>
      </c>
      <c r="M3735">
        <f>VLOOKUP(D3735,DROPDOWN!B:C,2,0)</f>
        <v>12</v>
      </c>
      <c r="N3735" t="str">
        <f t="shared" si="186"/>
        <v>AU50:BM61</v>
      </c>
      <c r="O3735" s="4">
        <f t="shared" ca="1" si="187"/>
        <v>115653.375</v>
      </c>
    </row>
    <row r="3736" spans="1:15">
      <c r="A3736" s="2" t="s">
        <v>14</v>
      </c>
      <c r="B3736" t="s">
        <v>31</v>
      </c>
      <c r="C3736" t="s">
        <v>32</v>
      </c>
      <c r="D3736">
        <v>50</v>
      </c>
      <c r="E3736" t="s">
        <v>46</v>
      </c>
      <c r="F3736">
        <v>4</v>
      </c>
      <c r="G3736">
        <v>1</v>
      </c>
      <c r="H3736">
        <v>3</v>
      </c>
      <c r="I3736">
        <v>1</v>
      </c>
      <c r="J3736" s="4" t="s">
        <v>55</v>
      </c>
      <c r="K3736" t="str">
        <f t="shared" si="188"/>
        <v>1+3</v>
      </c>
      <c r="L3736">
        <f>VLOOKUP(A3736,'ZONE 1 PREMIUM'!$A$4:$N$16,14,0)</f>
        <v>5</v>
      </c>
      <c r="M3736">
        <f>VLOOKUP(D3736,DROPDOWN!B:C,2,0)</f>
        <v>12</v>
      </c>
      <c r="N3736" t="str">
        <f t="shared" si="186"/>
        <v>AU50:BM61</v>
      </c>
      <c r="O3736" s="4">
        <f t="shared" ca="1" si="187"/>
        <v>127428.75</v>
      </c>
    </row>
    <row r="3737" spans="1:15">
      <c r="A3737" s="2" t="s">
        <v>15</v>
      </c>
      <c r="B3737" t="s">
        <v>33</v>
      </c>
      <c r="C3737" t="s">
        <v>34</v>
      </c>
      <c r="D3737">
        <v>50</v>
      </c>
      <c r="E3737" t="s">
        <v>46</v>
      </c>
      <c r="F3737">
        <v>4</v>
      </c>
      <c r="G3737">
        <v>1</v>
      </c>
      <c r="H3737">
        <v>3</v>
      </c>
      <c r="I3737">
        <v>1</v>
      </c>
      <c r="J3737" s="4" t="s">
        <v>55</v>
      </c>
      <c r="K3737" t="str">
        <f t="shared" si="188"/>
        <v>1+3</v>
      </c>
      <c r="L3737">
        <f>VLOOKUP(A3737,'ZONE 1 PREMIUM'!$A$4:$N$16,14,0)</f>
        <v>6</v>
      </c>
      <c r="M3737">
        <f>VLOOKUP(D3737,DROPDOWN!B:C,2,0)</f>
        <v>12</v>
      </c>
      <c r="N3737" t="str">
        <f t="shared" si="186"/>
        <v>AU50:BM61</v>
      </c>
      <c r="O3737" s="4">
        <f t="shared" ca="1" si="187"/>
        <v>154626.75</v>
      </c>
    </row>
    <row r="3738" spans="1:15">
      <c r="A3738" s="2" t="s">
        <v>16</v>
      </c>
      <c r="B3738" t="s">
        <v>35</v>
      </c>
      <c r="C3738" t="s">
        <v>36</v>
      </c>
      <c r="D3738">
        <v>50</v>
      </c>
      <c r="E3738" t="s">
        <v>46</v>
      </c>
      <c r="F3738">
        <v>4</v>
      </c>
      <c r="G3738">
        <v>1</v>
      </c>
      <c r="H3738">
        <v>3</v>
      </c>
      <c r="I3738">
        <v>1</v>
      </c>
      <c r="J3738" s="4" t="s">
        <v>55</v>
      </c>
      <c r="K3738" t="str">
        <f t="shared" si="188"/>
        <v>1+3</v>
      </c>
      <c r="L3738">
        <f>VLOOKUP(A3738,'ZONE 1 PREMIUM'!$A$4:$N$16,14,0)</f>
        <v>7</v>
      </c>
      <c r="M3738">
        <f>VLOOKUP(D3738,DROPDOWN!B:C,2,0)</f>
        <v>12</v>
      </c>
      <c r="N3738" t="str">
        <f t="shared" si="186"/>
        <v>AU50:BM61</v>
      </c>
      <c r="O3738" s="4">
        <f t="shared" ca="1" si="187"/>
        <v>201736.125</v>
      </c>
    </row>
    <row r="3739" spans="1:15">
      <c r="A3739" s="2" t="s">
        <v>17</v>
      </c>
      <c r="B3739" t="s">
        <v>37</v>
      </c>
      <c r="C3739" t="s">
        <v>38</v>
      </c>
      <c r="D3739">
        <v>50</v>
      </c>
      <c r="E3739" t="s">
        <v>46</v>
      </c>
      <c r="F3739">
        <v>4</v>
      </c>
      <c r="G3739">
        <v>1</v>
      </c>
      <c r="H3739">
        <v>3</v>
      </c>
      <c r="I3739">
        <v>1</v>
      </c>
      <c r="J3739" s="4" t="s">
        <v>55</v>
      </c>
      <c r="K3739" t="str">
        <f t="shared" si="188"/>
        <v>1+3</v>
      </c>
      <c r="L3739">
        <f>VLOOKUP(A3739,'ZONE 1 PREMIUM'!$A$4:$N$16,14,0)</f>
        <v>8</v>
      </c>
      <c r="M3739">
        <f>VLOOKUP(D3739,DROPDOWN!B:C,2,0)</f>
        <v>12</v>
      </c>
      <c r="N3739" t="str">
        <f t="shared" si="186"/>
        <v>AU50:BM61</v>
      </c>
      <c r="O3739" s="4">
        <f t="shared" ca="1" si="187"/>
        <v>249944.625</v>
      </c>
    </row>
    <row r="3740" spans="1:15">
      <c r="A3740" s="2" t="s">
        <v>18</v>
      </c>
      <c r="B3740" t="s">
        <v>39</v>
      </c>
      <c r="C3740" t="s">
        <v>40</v>
      </c>
      <c r="D3740">
        <v>50</v>
      </c>
      <c r="E3740" t="s">
        <v>46</v>
      </c>
      <c r="F3740">
        <v>4</v>
      </c>
      <c r="G3740">
        <v>1</v>
      </c>
      <c r="H3740">
        <v>3</v>
      </c>
      <c r="I3740">
        <v>1</v>
      </c>
      <c r="J3740" s="4" t="s">
        <v>55</v>
      </c>
      <c r="K3740" t="str">
        <f t="shared" si="188"/>
        <v>1+3</v>
      </c>
      <c r="L3740">
        <f>VLOOKUP(A3740,'ZONE 1 PREMIUM'!$A$4:$N$16,14,0)</f>
        <v>9</v>
      </c>
      <c r="M3740">
        <f>VLOOKUP(D3740,DROPDOWN!B:C,2,0)</f>
        <v>12</v>
      </c>
      <c r="N3740" t="str">
        <f t="shared" si="186"/>
        <v>AU50:BM61</v>
      </c>
      <c r="O3740" s="4">
        <f t="shared" ca="1" si="187"/>
        <v>322905.375</v>
      </c>
    </row>
    <row r="3741" spans="1:15">
      <c r="A3741" s="2" t="s">
        <v>19</v>
      </c>
      <c r="B3741" t="s">
        <v>41</v>
      </c>
      <c r="C3741" t="s">
        <v>42</v>
      </c>
      <c r="D3741">
        <v>50</v>
      </c>
      <c r="E3741" t="s">
        <v>46</v>
      </c>
      <c r="F3741">
        <v>4</v>
      </c>
      <c r="G3741">
        <v>1</v>
      </c>
      <c r="H3741">
        <v>3</v>
      </c>
      <c r="I3741">
        <v>1</v>
      </c>
      <c r="J3741" s="4" t="s">
        <v>55</v>
      </c>
      <c r="K3741" t="str">
        <f t="shared" si="188"/>
        <v>1+3</v>
      </c>
      <c r="L3741">
        <f>VLOOKUP(A3741,'ZONE 1 PREMIUM'!$A$4:$N$16,14,0)</f>
        <v>10</v>
      </c>
      <c r="M3741">
        <f>VLOOKUP(D3741,DROPDOWN!B:C,2,0)</f>
        <v>12</v>
      </c>
      <c r="N3741" t="str">
        <f t="shared" si="186"/>
        <v>AU50:BM61</v>
      </c>
      <c r="O3741" s="4">
        <f t="shared" ca="1" si="187"/>
        <v>396564.75</v>
      </c>
    </row>
    <row r="3742" spans="1:15">
      <c r="A3742" s="2" t="s">
        <v>20</v>
      </c>
      <c r="B3742" t="s">
        <v>43</v>
      </c>
      <c r="C3742" t="s">
        <v>44</v>
      </c>
      <c r="D3742">
        <v>50</v>
      </c>
      <c r="E3742" t="s">
        <v>46</v>
      </c>
      <c r="F3742">
        <v>4</v>
      </c>
      <c r="G3742">
        <v>1</v>
      </c>
      <c r="H3742">
        <v>3</v>
      </c>
      <c r="I3742">
        <v>1</v>
      </c>
      <c r="J3742" s="4" t="s">
        <v>55</v>
      </c>
      <c r="K3742" t="str">
        <f t="shared" si="188"/>
        <v>1+3</v>
      </c>
      <c r="L3742">
        <f>VLOOKUP(A3742,'ZONE 1 PREMIUM'!$A$4:$N$16,14,0)</f>
        <v>11</v>
      </c>
      <c r="M3742">
        <f>VLOOKUP(D3742,DROPDOWN!B:C,2,0)</f>
        <v>12</v>
      </c>
      <c r="N3742" t="str">
        <f t="shared" si="186"/>
        <v>AU50:BM61</v>
      </c>
      <c r="O3742" s="4">
        <f t="shared" ca="1" si="187"/>
        <v>455283</v>
      </c>
    </row>
    <row r="3743" spans="1:15">
      <c r="A3743" s="2" t="s">
        <v>21</v>
      </c>
      <c r="B3743" t="s">
        <v>22</v>
      </c>
      <c r="D3743">
        <v>50</v>
      </c>
      <c r="E3743" t="s">
        <v>46</v>
      </c>
      <c r="F3743">
        <v>4</v>
      </c>
      <c r="G3743">
        <v>1</v>
      </c>
      <c r="H3743">
        <v>3</v>
      </c>
      <c r="I3743">
        <v>1</v>
      </c>
      <c r="J3743" s="4" t="s">
        <v>55</v>
      </c>
      <c r="K3743" t="str">
        <f t="shared" si="188"/>
        <v>1+3</v>
      </c>
      <c r="L3743">
        <f>VLOOKUP(A3743,'ZONE 1 PREMIUM'!$A$4:$N$16,14,0)</f>
        <v>12</v>
      </c>
      <c r="M3743">
        <f>VLOOKUP(D3743,DROPDOWN!B:C,2,0)</f>
        <v>12</v>
      </c>
      <c r="N3743" t="str">
        <f t="shared" si="186"/>
        <v>AU50:BM61</v>
      </c>
      <c r="O3743" s="4">
        <f t="shared" ca="1" si="187"/>
        <v>578589.75</v>
      </c>
    </row>
    <row r="3744" spans="1:15">
      <c r="A3744" s="2" t="s">
        <v>11</v>
      </c>
      <c r="B3744" t="s">
        <v>45</v>
      </c>
      <c r="C3744" t="s">
        <v>25</v>
      </c>
      <c r="D3744">
        <v>50</v>
      </c>
      <c r="E3744" t="s">
        <v>46</v>
      </c>
      <c r="F3744">
        <v>5</v>
      </c>
      <c r="G3744">
        <v>1</v>
      </c>
      <c r="H3744">
        <v>4</v>
      </c>
      <c r="I3744">
        <v>1</v>
      </c>
      <c r="J3744" s="4" t="s">
        <v>55</v>
      </c>
      <c r="K3744" t="str">
        <f t="shared" si="188"/>
        <v>1+4</v>
      </c>
      <c r="L3744">
        <f>VLOOKUP(A3744,'ZONE 1 PREMIUM'!$A$4:$N$16,14,0)</f>
        <v>2</v>
      </c>
      <c r="M3744">
        <f>VLOOKUP(D3744,DROPDOWN!B:C,2,0)</f>
        <v>12</v>
      </c>
      <c r="N3744" t="str">
        <f t="shared" si="186"/>
        <v>AU65:BM76</v>
      </c>
      <c r="O3744" s="4">
        <f t="shared" ca="1" si="187"/>
        <v>115656.75</v>
      </c>
    </row>
    <row r="3745" spans="1:15">
      <c r="A3745" s="2" t="s">
        <v>12</v>
      </c>
      <c r="B3745" t="s">
        <v>27</v>
      </c>
      <c r="C3745" t="s">
        <v>28</v>
      </c>
      <c r="D3745">
        <v>50</v>
      </c>
      <c r="E3745" t="s">
        <v>46</v>
      </c>
      <c r="F3745">
        <v>5</v>
      </c>
      <c r="G3745">
        <v>1</v>
      </c>
      <c r="H3745">
        <v>4</v>
      </c>
      <c r="I3745">
        <v>1</v>
      </c>
      <c r="J3745" s="4" t="s">
        <v>55</v>
      </c>
      <c r="K3745" t="str">
        <f t="shared" si="188"/>
        <v>1+4</v>
      </c>
      <c r="L3745">
        <f>VLOOKUP(A3745,'ZONE 1 PREMIUM'!$A$4:$N$16,14,0)</f>
        <v>3</v>
      </c>
      <c r="M3745">
        <f>VLOOKUP(D3745,DROPDOWN!B:C,2,0)</f>
        <v>12</v>
      </c>
      <c r="N3745" t="str">
        <f t="shared" si="186"/>
        <v>AU65:BM76</v>
      </c>
      <c r="O3745" s="4">
        <f t="shared" ca="1" si="187"/>
        <v>121491</v>
      </c>
    </row>
    <row r="3746" spans="1:15">
      <c r="A3746" s="2" t="s">
        <v>13</v>
      </c>
      <c r="B3746" t="s">
        <v>29</v>
      </c>
      <c r="C3746" t="s">
        <v>30</v>
      </c>
      <c r="D3746">
        <v>50</v>
      </c>
      <c r="E3746" t="s">
        <v>46</v>
      </c>
      <c r="F3746">
        <v>5</v>
      </c>
      <c r="G3746">
        <v>1</v>
      </c>
      <c r="H3746">
        <v>4</v>
      </c>
      <c r="I3746">
        <v>1</v>
      </c>
      <c r="J3746" s="4" t="s">
        <v>55</v>
      </c>
      <c r="K3746" t="str">
        <f t="shared" si="188"/>
        <v>1+4</v>
      </c>
      <c r="L3746">
        <f>VLOOKUP(A3746,'ZONE 1 PREMIUM'!$A$4:$N$16,14,0)</f>
        <v>4</v>
      </c>
      <c r="M3746">
        <f>VLOOKUP(D3746,DROPDOWN!B:C,2,0)</f>
        <v>12</v>
      </c>
      <c r="N3746" t="str">
        <f t="shared" si="186"/>
        <v>AU65:BM76</v>
      </c>
      <c r="O3746" s="4">
        <f t="shared" ca="1" si="187"/>
        <v>133925.625</v>
      </c>
    </row>
    <row r="3747" spans="1:15">
      <c r="A3747" s="2" t="s">
        <v>14</v>
      </c>
      <c r="B3747" t="s">
        <v>31</v>
      </c>
      <c r="C3747" t="s">
        <v>32</v>
      </c>
      <c r="D3747">
        <v>50</v>
      </c>
      <c r="E3747" t="s">
        <v>46</v>
      </c>
      <c r="F3747">
        <v>5</v>
      </c>
      <c r="G3747">
        <v>1</v>
      </c>
      <c r="H3747">
        <v>4</v>
      </c>
      <c r="I3747">
        <v>1</v>
      </c>
      <c r="J3747" s="4" t="s">
        <v>55</v>
      </c>
      <c r="K3747" t="str">
        <f t="shared" si="188"/>
        <v>1+4</v>
      </c>
      <c r="L3747">
        <f>VLOOKUP(A3747,'ZONE 1 PREMIUM'!$A$4:$N$16,14,0)</f>
        <v>5</v>
      </c>
      <c r="M3747">
        <f>VLOOKUP(D3747,DROPDOWN!B:C,2,0)</f>
        <v>12</v>
      </c>
      <c r="N3747" t="str">
        <f t="shared" si="186"/>
        <v>AU65:BM76</v>
      </c>
      <c r="O3747" s="4">
        <f t="shared" ca="1" si="187"/>
        <v>146981.25</v>
      </c>
    </row>
    <row r="3748" spans="1:15">
      <c r="A3748" s="2" t="s">
        <v>15</v>
      </c>
      <c r="B3748" t="s">
        <v>33</v>
      </c>
      <c r="C3748" t="s">
        <v>34</v>
      </c>
      <c r="D3748">
        <v>50</v>
      </c>
      <c r="E3748" t="s">
        <v>46</v>
      </c>
      <c r="F3748">
        <v>5</v>
      </c>
      <c r="G3748">
        <v>1</v>
      </c>
      <c r="H3748">
        <v>4</v>
      </c>
      <c r="I3748">
        <v>1</v>
      </c>
      <c r="J3748" s="4" t="s">
        <v>55</v>
      </c>
      <c r="K3748" t="str">
        <f t="shared" si="188"/>
        <v>1+4</v>
      </c>
      <c r="L3748">
        <f>VLOOKUP(A3748,'ZONE 1 PREMIUM'!$A$4:$N$16,14,0)</f>
        <v>6</v>
      </c>
      <c r="M3748">
        <f>VLOOKUP(D3748,DROPDOWN!B:C,2,0)</f>
        <v>12</v>
      </c>
      <c r="N3748" t="str">
        <f t="shared" si="186"/>
        <v>AU65:BM76</v>
      </c>
      <c r="O3748" s="4">
        <f t="shared" ca="1" si="187"/>
        <v>176452.875</v>
      </c>
    </row>
    <row r="3749" spans="1:15">
      <c r="A3749" s="2" t="s">
        <v>16</v>
      </c>
      <c r="B3749" t="s">
        <v>35</v>
      </c>
      <c r="C3749" t="s">
        <v>36</v>
      </c>
      <c r="D3749">
        <v>50</v>
      </c>
      <c r="E3749" t="s">
        <v>46</v>
      </c>
      <c r="F3749">
        <v>5</v>
      </c>
      <c r="G3749">
        <v>1</v>
      </c>
      <c r="H3749">
        <v>4</v>
      </c>
      <c r="I3749">
        <v>1</v>
      </c>
      <c r="J3749" s="4" t="s">
        <v>55</v>
      </c>
      <c r="K3749" t="str">
        <f t="shared" si="188"/>
        <v>1+4</v>
      </c>
      <c r="L3749">
        <f>VLOOKUP(A3749,'ZONE 1 PREMIUM'!$A$4:$N$16,14,0)</f>
        <v>7</v>
      </c>
      <c r="M3749">
        <f>VLOOKUP(D3749,DROPDOWN!B:C,2,0)</f>
        <v>12</v>
      </c>
      <c r="N3749" t="str">
        <f t="shared" si="186"/>
        <v>AU65:BM76</v>
      </c>
      <c r="O3749" s="4">
        <f t="shared" ca="1" si="187"/>
        <v>220993.875</v>
      </c>
    </row>
    <row r="3750" spans="1:15">
      <c r="A3750" s="2" t="s">
        <v>17</v>
      </c>
      <c r="B3750" t="s">
        <v>37</v>
      </c>
      <c r="C3750" t="s">
        <v>38</v>
      </c>
      <c r="D3750">
        <v>50</v>
      </c>
      <c r="E3750" t="s">
        <v>46</v>
      </c>
      <c r="F3750">
        <v>5</v>
      </c>
      <c r="G3750">
        <v>1</v>
      </c>
      <c r="H3750">
        <v>4</v>
      </c>
      <c r="I3750">
        <v>1</v>
      </c>
      <c r="J3750" s="4" t="s">
        <v>55</v>
      </c>
      <c r="K3750" t="str">
        <f t="shared" si="188"/>
        <v>1+4</v>
      </c>
      <c r="L3750">
        <f>VLOOKUP(A3750,'ZONE 1 PREMIUM'!$A$4:$N$16,14,0)</f>
        <v>8</v>
      </c>
      <c r="M3750">
        <f>VLOOKUP(D3750,DROPDOWN!B:C,2,0)</f>
        <v>12</v>
      </c>
      <c r="N3750" t="str">
        <f t="shared" si="186"/>
        <v>AU65:BM76</v>
      </c>
      <c r="O3750" s="4">
        <f t="shared" ca="1" si="187"/>
        <v>268203.375</v>
      </c>
    </row>
    <row r="3751" spans="1:15">
      <c r="A3751" s="2" t="s">
        <v>18</v>
      </c>
      <c r="B3751" t="s">
        <v>39</v>
      </c>
      <c r="C3751" t="s">
        <v>40</v>
      </c>
      <c r="D3751">
        <v>50</v>
      </c>
      <c r="E3751" t="s">
        <v>46</v>
      </c>
      <c r="F3751">
        <v>5</v>
      </c>
      <c r="G3751">
        <v>1</v>
      </c>
      <c r="H3751">
        <v>4</v>
      </c>
      <c r="I3751">
        <v>1</v>
      </c>
      <c r="J3751" s="4" t="s">
        <v>55</v>
      </c>
      <c r="K3751" t="str">
        <f t="shared" si="188"/>
        <v>1+4</v>
      </c>
      <c r="L3751">
        <f>VLOOKUP(A3751,'ZONE 1 PREMIUM'!$A$4:$N$16,14,0)</f>
        <v>9</v>
      </c>
      <c r="M3751">
        <f>VLOOKUP(D3751,DROPDOWN!B:C,2,0)</f>
        <v>12</v>
      </c>
      <c r="N3751" t="str">
        <f t="shared" si="186"/>
        <v>AU65:BM76</v>
      </c>
      <c r="O3751" s="4">
        <f t="shared" ca="1" si="187"/>
        <v>341452.125</v>
      </c>
    </row>
    <row r="3752" spans="1:15">
      <c r="A3752" s="2" t="s">
        <v>19</v>
      </c>
      <c r="B3752" t="s">
        <v>41</v>
      </c>
      <c r="C3752" t="s">
        <v>42</v>
      </c>
      <c r="D3752">
        <v>50</v>
      </c>
      <c r="E3752" t="s">
        <v>46</v>
      </c>
      <c r="F3752">
        <v>5</v>
      </c>
      <c r="G3752">
        <v>1</v>
      </c>
      <c r="H3752">
        <v>4</v>
      </c>
      <c r="I3752">
        <v>1</v>
      </c>
      <c r="J3752" s="4" t="s">
        <v>55</v>
      </c>
      <c r="K3752" t="str">
        <f t="shared" si="188"/>
        <v>1+4</v>
      </c>
      <c r="L3752">
        <f>VLOOKUP(A3752,'ZONE 1 PREMIUM'!$A$4:$N$16,14,0)</f>
        <v>10</v>
      </c>
      <c r="M3752">
        <f>VLOOKUP(D3752,DROPDOWN!B:C,2,0)</f>
        <v>12</v>
      </c>
      <c r="N3752" t="str">
        <f t="shared" si="186"/>
        <v>AU65:BM76</v>
      </c>
      <c r="O3752" s="4">
        <f t="shared" ca="1" si="187"/>
        <v>414529.875</v>
      </c>
    </row>
    <row r="3753" spans="1:15">
      <c r="A3753" s="2" t="s">
        <v>20</v>
      </c>
      <c r="B3753" t="s">
        <v>43</v>
      </c>
      <c r="C3753" t="s">
        <v>44</v>
      </c>
      <c r="D3753">
        <v>50</v>
      </c>
      <c r="E3753" t="s">
        <v>46</v>
      </c>
      <c r="F3753">
        <v>5</v>
      </c>
      <c r="G3753">
        <v>1</v>
      </c>
      <c r="H3753">
        <v>4</v>
      </c>
      <c r="I3753">
        <v>1</v>
      </c>
      <c r="J3753" s="4" t="s">
        <v>55</v>
      </c>
      <c r="K3753" t="str">
        <f t="shared" si="188"/>
        <v>1+4</v>
      </c>
      <c r="L3753">
        <f>VLOOKUP(A3753,'ZONE 1 PREMIUM'!$A$4:$N$16,14,0)</f>
        <v>11</v>
      </c>
      <c r="M3753">
        <f>VLOOKUP(D3753,DROPDOWN!B:C,2,0)</f>
        <v>12</v>
      </c>
      <c r="N3753" t="str">
        <f t="shared" si="186"/>
        <v>AU65:BM76</v>
      </c>
      <c r="O3753" s="4">
        <f t="shared" ca="1" si="187"/>
        <v>473382</v>
      </c>
    </row>
    <row r="3754" spans="1:15">
      <c r="A3754" s="2" t="s">
        <v>21</v>
      </c>
      <c r="B3754" t="s">
        <v>22</v>
      </c>
      <c r="D3754">
        <v>50</v>
      </c>
      <c r="E3754" t="s">
        <v>46</v>
      </c>
      <c r="F3754">
        <v>5</v>
      </c>
      <c r="G3754">
        <v>1</v>
      </c>
      <c r="H3754">
        <v>4</v>
      </c>
      <c r="I3754">
        <v>1</v>
      </c>
      <c r="J3754" s="4" t="s">
        <v>55</v>
      </c>
      <c r="K3754" t="str">
        <f t="shared" si="188"/>
        <v>1+4</v>
      </c>
      <c r="L3754">
        <f>VLOOKUP(A3754,'ZONE 1 PREMIUM'!$A$4:$N$16,14,0)</f>
        <v>12</v>
      </c>
      <c r="M3754">
        <f>VLOOKUP(D3754,DROPDOWN!B:C,2,0)</f>
        <v>12</v>
      </c>
      <c r="N3754" t="str">
        <f t="shared" si="186"/>
        <v>AU65:BM76</v>
      </c>
      <c r="O3754" s="4">
        <f t="shared" ca="1" si="187"/>
        <v>597505.5</v>
      </c>
    </row>
    <row r="3755" spans="1:15">
      <c r="A3755" s="2" t="s">
        <v>11</v>
      </c>
      <c r="B3755" t="s">
        <v>45</v>
      </c>
      <c r="C3755" t="s">
        <v>25</v>
      </c>
      <c r="D3755">
        <v>50</v>
      </c>
      <c r="E3755" t="s">
        <v>46</v>
      </c>
      <c r="F3755">
        <v>2</v>
      </c>
      <c r="G3755">
        <v>2</v>
      </c>
      <c r="H3755">
        <v>0</v>
      </c>
      <c r="I3755">
        <v>1</v>
      </c>
      <c r="J3755" s="4" t="s">
        <v>55</v>
      </c>
      <c r="K3755" t="str">
        <f t="shared" si="188"/>
        <v>2+0</v>
      </c>
      <c r="L3755">
        <f>VLOOKUP(A3755,'ZONE 1 PREMIUM'!$A$4:$N$16,14,0)</f>
        <v>2</v>
      </c>
      <c r="M3755">
        <f>VLOOKUP(D3755,DROPDOWN!B:C,2,0)</f>
        <v>12</v>
      </c>
      <c r="N3755" t="str">
        <f t="shared" si="186"/>
        <v>AU81:BM92</v>
      </c>
      <c r="O3755" s="4">
        <f t="shared" ca="1" si="187"/>
        <v>102701.25</v>
      </c>
    </row>
    <row r="3756" spans="1:15">
      <c r="A3756" s="2" t="s">
        <v>12</v>
      </c>
      <c r="B3756" t="s">
        <v>27</v>
      </c>
      <c r="C3756" t="s">
        <v>28</v>
      </c>
      <c r="D3756">
        <v>50</v>
      </c>
      <c r="E3756" t="s">
        <v>46</v>
      </c>
      <c r="F3756">
        <v>2</v>
      </c>
      <c r="G3756">
        <v>2</v>
      </c>
      <c r="H3756">
        <v>0</v>
      </c>
      <c r="I3756">
        <v>1</v>
      </c>
      <c r="J3756" s="4" t="s">
        <v>55</v>
      </c>
      <c r="K3756" t="str">
        <f t="shared" si="188"/>
        <v>2+0</v>
      </c>
      <c r="L3756">
        <f>VLOOKUP(A3756,'ZONE 1 PREMIUM'!$A$4:$N$16,14,0)</f>
        <v>3</v>
      </c>
      <c r="M3756">
        <f>VLOOKUP(D3756,DROPDOWN!B:C,2,0)</f>
        <v>12</v>
      </c>
      <c r="N3756" t="str">
        <f t="shared" si="186"/>
        <v>AU81:BM92</v>
      </c>
      <c r="O3756" s="4">
        <f t="shared" ca="1" si="187"/>
        <v>115132.5</v>
      </c>
    </row>
    <row r="3757" spans="1:15">
      <c r="A3757" s="2" t="s">
        <v>13</v>
      </c>
      <c r="B3757" t="s">
        <v>29</v>
      </c>
      <c r="C3757" t="s">
        <v>30</v>
      </c>
      <c r="D3757">
        <v>50</v>
      </c>
      <c r="E3757" t="s">
        <v>46</v>
      </c>
      <c r="F3757">
        <v>2</v>
      </c>
      <c r="G3757">
        <v>2</v>
      </c>
      <c r="H3757">
        <v>0</v>
      </c>
      <c r="I3757">
        <v>1</v>
      </c>
      <c r="J3757" s="4" t="s">
        <v>55</v>
      </c>
      <c r="K3757" t="str">
        <f t="shared" si="188"/>
        <v>2+0</v>
      </c>
      <c r="L3757">
        <f>VLOOKUP(A3757,'ZONE 1 PREMIUM'!$A$4:$N$16,14,0)</f>
        <v>4</v>
      </c>
      <c r="M3757">
        <f>VLOOKUP(D3757,DROPDOWN!B:C,2,0)</f>
        <v>12</v>
      </c>
      <c r="N3757" t="str">
        <f t="shared" si="186"/>
        <v>AU81:BM92</v>
      </c>
      <c r="O3757" s="4">
        <f t="shared" ca="1" si="187"/>
        <v>119440.125</v>
      </c>
    </row>
    <row r="3758" spans="1:15">
      <c r="A3758" s="2" t="s">
        <v>14</v>
      </c>
      <c r="B3758" t="s">
        <v>31</v>
      </c>
      <c r="C3758" t="s">
        <v>32</v>
      </c>
      <c r="D3758">
        <v>50</v>
      </c>
      <c r="E3758" t="s">
        <v>46</v>
      </c>
      <c r="F3758">
        <v>2</v>
      </c>
      <c r="G3758">
        <v>2</v>
      </c>
      <c r="H3758">
        <v>0</v>
      </c>
      <c r="I3758">
        <v>1</v>
      </c>
      <c r="J3758" s="4" t="s">
        <v>55</v>
      </c>
      <c r="K3758" t="str">
        <f t="shared" si="188"/>
        <v>2+0</v>
      </c>
      <c r="L3758">
        <f>VLOOKUP(A3758,'ZONE 1 PREMIUM'!$A$4:$N$16,14,0)</f>
        <v>5</v>
      </c>
      <c r="M3758">
        <f>VLOOKUP(D3758,DROPDOWN!B:C,2,0)</f>
        <v>12</v>
      </c>
      <c r="N3758" t="str">
        <f t="shared" si="186"/>
        <v>AU81:BM92</v>
      </c>
      <c r="O3758" s="4">
        <f t="shared" ca="1" si="187"/>
        <v>131464.125</v>
      </c>
    </row>
    <row r="3759" spans="1:15">
      <c r="A3759" s="2" t="s">
        <v>15</v>
      </c>
      <c r="B3759" t="s">
        <v>33</v>
      </c>
      <c r="C3759" t="s">
        <v>34</v>
      </c>
      <c r="D3759">
        <v>50</v>
      </c>
      <c r="E3759" t="s">
        <v>46</v>
      </c>
      <c r="F3759">
        <v>2</v>
      </c>
      <c r="G3759">
        <v>2</v>
      </c>
      <c r="H3759">
        <v>0</v>
      </c>
      <c r="I3759">
        <v>1</v>
      </c>
      <c r="J3759" s="4" t="s">
        <v>55</v>
      </c>
      <c r="K3759" t="str">
        <f t="shared" si="188"/>
        <v>2+0</v>
      </c>
      <c r="L3759">
        <f>VLOOKUP(A3759,'ZONE 1 PREMIUM'!$A$4:$N$16,14,0)</f>
        <v>6</v>
      </c>
      <c r="M3759">
        <f>VLOOKUP(D3759,DROPDOWN!B:C,2,0)</f>
        <v>12</v>
      </c>
      <c r="N3759" t="str">
        <f t="shared" si="186"/>
        <v>AU81:BM92</v>
      </c>
      <c r="O3759" s="4">
        <f t="shared" ca="1" si="187"/>
        <v>163392.75</v>
      </c>
    </row>
    <row r="3760" spans="1:15">
      <c r="A3760" s="2" t="s">
        <v>16</v>
      </c>
      <c r="B3760" t="s">
        <v>35</v>
      </c>
      <c r="C3760" t="s">
        <v>36</v>
      </c>
      <c r="D3760">
        <v>50</v>
      </c>
      <c r="E3760" t="s">
        <v>46</v>
      </c>
      <c r="F3760">
        <v>2</v>
      </c>
      <c r="G3760">
        <v>2</v>
      </c>
      <c r="H3760">
        <v>0</v>
      </c>
      <c r="I3760">
        <v>1</v>
      </c>
      <c r="J3760" s="4" t="s">
        <v>55</v>
      </c>
      <c r="K3760" t="str">
        <f t="shared" si="188"/>
        <v>2+0</v>
      </c>
      <c r="L3760">
        <f>VLOOKUP(A3760,'ZONE 1 PREMIUM'!$A$4:$N$16,14,0)</f>
        <v>7</v>
      </c>
      <c r="M3760">
        <f>VLOOKUP(D3760,DROPDOWN!B:C,2,0)</f>
        <v>12</v>
      </c>
      <c r="N3760" t="str">
        <f t="shared" si="186"/>
        <v>AU81:BM92</v>
      </c>
      <c r="O3760" s="4">
        <f t="shared" ca="1" si="187"/>
        <v>224104.5</v>
      </c>
    </row>
    <row r="3761" spans="1:15">
      <c r="A3761" s="2" t="s">
        <v>17</v>
      </c>
      <c r="B3761" t="s">
        <v>37</v>
      </c>
      <c r="C3761" t="s">
        <v>38</v>
      </c>
      <c r="D3761">
        <v>50</v>
      </c>
      <c r="E3761" t="s">
        <v>46</v>
      </c>
      <c r="F3761">
        <v>2</v>
      </c>
      <c r="G3761">
        <v>2</v>
      </c>
      <c r="H3761">
        <v>0</v>
      </c>
      <c r="I3761">
        <v>1</v>
      </c>
      <c r="J3761" s="4" t="s">
        <v>55</v>
      </c>
      <c r="K3761" t="str">
        <f t="shared" si="188"/>
        <v>2+0</v>
      </c>
      <c r="L3761">
        <f>VLOOKUP(A3761,'ZONE 1 PREMIUM'!$A$4:$N$16,14,0)</f>
        <v>8</v>
      </c>
      <c r="M3761">
        <f>VLOOKUP(D3761,DROPDOWN!B:C,2,0)</f>
        <v>12</v>
      </c>
      <c r="N3761" t="str">
        <f t="shared" si="186"/>
        <v>AU81:BM92</v>
      </c>
      <c r="O3761" s="4">
        <f t="shared" ca="1" si="187"/>
        <v>311231.25</v>
      </c>
    </row>
    <row r="3762" spans="1:15">
      <c r="A3762" s="2" t="s">
        <v>18</v>
      </c>
      <c r="B3762" t="s">
        <v>39</v>
      </c>
      <c r="C3762" t="s">
        <v>40</v>
      </c>
      <c r="D3762">
        <v>50</v>
      </c>
      <c r="E3762" t="s">
        <v>46</v>
      </c>
      <c r="F3762">
        <v>2</v>
      </c>
      <c r="G3762">
        <v>2</v>
      </c>
      <c r="H3762">
        <v>0</v>
      </c>
      <c r="I3762">
        <v>1</v>
      </c>
      <c r="J3762" s="4" t="s">
        <v>55</v>
      </c>
      <c r="K3762" t="str">
        <f t="shared" si="188"/>
        <v>2+0</v>
      </c>
      <c r="L3762">
        <f>VLOOKUP(A3762,'ZONE 1 PREMIUM'!$A$4:$N$16,14,0)</f>
        <v>9</v>
      </c>
      <c r="M3762">
        <f>VLOOKUP(D3762,DROPDOWN!B:C,2,0)</f>
        <v>12</v>
      </c>
      <c r="N3762" t="str">
        <f t="shared" ref="N3762:N3809" si="189">VLOOKUP(K3762,$BN$3:$BO$12,2,0)</f>
        <v>AU81:BM92</v>
      </c>
      <c r="O3762" s="4">
        <f t="shared" ca="1" si="187"/>
        <v>435292.875</v>
      </c>
    </row>
    <row r="3763" spans="1:15">
      <c r="A3763" s="2" t="s">
        <v>19</v>
      </c>
      <c r="B3763" t="s">
        <v>41</v>
      </c>
      <c r="C3763" t="s">
        <v>42</v>
      </c>
      <c r="D3763">
        <v>50</v>
      </c>
      <c r="E3763" t="s">
        <v>46</v>
      </c>
      <c r="F3763">
        <v>2</v>
      </c>
      <c r="G3763">
        <v>2</v>
      </c>
      <c r="H3763">
        <v>0</v>
      </c>
      <c r="I3763">
        <v>1</v>
      </c>
      <c r="J3763" s="4" t="s">
        <v>55</v>
      </c>
      <c r="K3763" t="str">
        <f t="shared" si="188"/>
        <v>2+0</v>
      </c>
      <c r="L3763">
        <f>VLOOKUP(A3763,'ZONE 1 PREMIUM'!$A$4:$N$16,14,0)</f>
        <v>10</v>
      </c>
      <c r="M3763">
        <f>VLOOKUP(D3763,DROPDOWN!B:C,2,0)</f>
        <v>12</v>
      </c>
      <c r="N3763" t="str">
        <f t="shared" si="189"/>
        <v>AU81:BM92</v>
      </c>
      <c r="O3763" s="4">
        <f t="shared" ca="1" si="187"/>
        <v>599322.375</v>
      </c>
    </row>
    <row r="3764" spans="1:15">
      <c r="A3764" s="2" t="s">
        <v>20</v>
      </c>
      <c r="B3764" t="s">
        <v>43</v>
      </c>
      <c r="C3764" t="s">
        <v>44</v>
      </c>
      <c r="D3764">
        <v>50</v>
      </c>
      <c r="E3764" t="s">
        <v>46</v>
      </c>
      <c r="F3764">
        <v>2</v>
      </c>
      <c r="G3764">
        <v>2</v>
      </c>
      <c r="H3764">
        <v>0</v>
      </c>
      <c r="I3764">
        <v>1</v>
      </c>
      <c r="J3764" s="4" t="s">
        <v>55</v>
      </c>
      <c r="K3764" t="str">
        <f t="shared" si="188"/>
        <v>2+0</v>
      </c>
      <c r="L3764">
        <f>VLOOKUP(A3764,'ZONE 1 PREMIUM'!$A$4:$N$16,14,0)</f>
        <v>11</v>
      </c>
      <c r="M3764">
        <f>VLOOKUP(D3764,DROPDOWN!B:C,2,0)</f>
        <v>12</v>
      </c>
      <c r="N3764" t="str">
        <f t="shared" si="189"/>
        <v>AU81:BM92</v>
      </c>
      <c r="O3764" s="4">
        <f t="shared" ca="1" si="187"/>
        <v>725711.625</v>
      </c>
    </row>
    <row r="3765" spans="1:15">
      <c r="A3765" s="2" t="s">
        <v>21</v>
      </c>
      <c r="B3765" t="s">
        <v>22</v>
      </c>
      <c r="D3765">
        <v>50</v>
      </c>
      <c r="E3765" t="s">
        <v>46</v>
      </c>
      <c r="F3765">
        <v>2</v>
      </c>
      <c r="G3765">
        <v>2</v>
      </c>
      <c r="H3765">
        <v>0</v>
      </c>
      <c r="I3765">
        <v>1</v>
      </c>
      <c r="J3765" s="4" t="s">
        <v>55</v>
      </c>
      <c r="K3765" t="str">
        <f t="shared" si="188"/>
        <v>2+0</v>
      </c>
      <c r="L3765">
        <f>VLOOKUP(A3765,'ZONE 1 PREMIUM'!$A$4:$N$16,14,0)</f>
        <v>12</v>
      </c>
      <c r="M3765">
        <f>VLOOKUP(D3765,DROPDOWN!B:C,2,0)</f>
        <v>12</v>
      </c>
      <c r="N3765" t="str">
        <f t="shared" si="189"/>
        <v>AU81:BM92</v>
      </c>
      <c r="O3765" s="4">
        <f t="shared" ca="1" si="187"/>
        <v>901870.875</v>
      </c>
    </row>
    <row r="3766" spans="1:15">
      <c r="A3766" s="2" t="s">
        <v>11</v>
      </c>
      <c r="B3766" t="s">
        <v>45</v>
      </c>
      <c r="C3766" t="s">
        <v>25</v>
      </c>
      <c r="D3766">
        <v>50</v>
      </c>
      <c r="E3766" t="s">
        <v>46</v>
      </c>
      <c r="F3766">
        <v>3</v>
      </c>
      <c r="G3766">
        <v>2</v>
      </c>
      <c r="H3766">
        <v>1</v>
      </c>
      <c r="I3766">
        <v>1</v>
      </c>
      <c r="J3766" s="4" t="s">
        <v>55</v>
      </c>
      <c r="K3766" t="str">
        <f t="shared" si="188"/>
        <v>2+1</v>
      </c>
      <c r="L3766">
        <f>VLOOKUP(A3766,'ZONE 1 PREMIUM'!$A$4:$N$16,14,0)</f>
        <v>2</v>
      </c>
      <c r="M3766">
        <f>VLOOKUP(D3766,DROPDOWN!B:C,2,0)</f>
        <v>12</v>
      </c>
      <c r="N3766" t="str">
        <f t="shared" si="189"/>
        <v>AU98:BM109</v>
      </c>
      <c r="O3766" s="4">
        <f t="shared" ca="1" si="187"/>
        <v>119787.75</v>
      </c>
    </row>
    <row r="3767" spans="1:15">
      <c r="A3767" s="2" t="s">
        <v>12</v>
      </c>
      <c r="B3767" t="s">
        <v>27</v>
      </c>
      <c r="C3767" t="s">
        <v>28</v>
      </c>
      <c r="D3767">
        <v>50</v>
      </c>
      <c r="E3767" t="s">
        <v>46</v>
      </c>
      <c r="F3767">
        <v>3</v>
      </c>
      <c r="G3767">
        <v>2</v>
      </c>
      <c r="H3767">
        <v>1</v>
      </c>
      <c r="I3767">
        <v>1</v>
      </c>
      <c r="J3767" s="4" t="s">
        <v>55</v>
      </c>
      <c r="K3767" t="str">
        <f t="shared" si="188"/>
        <v>2+1</v>
      </c>
      <c r="L3767">
        <f>VLOOKUP(A3767,'ZONE 1 PREMIUM'!$A$4:$N$16,14,0)</f>
        <v>3</v>
      </c>
      <c r="M3767">
        <f>VLOOKUP(D3767,DROPDOWN!B:C,2,0)</f>
        <v>12</v>
      </c>
      <c r="N3767" t="str">
        <f t="shared" si="189"/>
        <v>AU98:BM109</v>
      </c>
      <c r="O3767" s="4">
        <f t="shared" ca="1" si="187"/>
        <v>132088.5</v>
      </c>
    </row>
    <row r="3768" spans="1:15">
      <c r="A3768" s="2" t="s">
        <v>13</v>
      </c>
      <c r="B3768" t="s">
        <v>29</v>
      </c>
      <c r="C3768" t="s">
        <v>30</v>
      </c>
      <c r="D3768">
        <v>50</v>
      </c>
      <c r="E3768" t="s">
        <v>46</v>
      </c>
      <c r="F3768">
        <v>3</v>
      </c>
      <c r="G3768">
        <v>2</v>
      </c>
      <c r="H3768">
        <v>1</v>
      </c>
      <c r="I3768">
        <v>1</v>
      </c>
      <c r="J3768" s="4" t="s">
        <v>55</v>
      </c>
      <c r="K3768" t="str">
        <f t="shared" si="188"/>
        <v>2+1</v>
      </c>
      <c r="L3768">
        <f>VLOOKUP(A3768,'ZONE 1 PREMIUM'!$A$4:$N$16,14,0)</f>
        <v>4</v>
      </c>
      <c r="M3768">
        <f>VLOOKUP(D3768,DROPDOWN!B:C,2,0)</f>
        <v>12</v>
      </c>
      <c r="N3768" t="str">
        <f t="shared" si="189"/>
        <v>AU98:BM109</v>
      </c>
      <c r="O3768" s="4">
        <f t="shared" ca="1" si="187"/>
        <v>138975.75</v>
      </c>
    </row>
    <row r="3769" spans="1:15">
      <c r="A3769" s="2" t="s">
        <v>14</v>
      </c>
      <c r="B3769" t="s">
        <v>31</v>
      </c>
      <c r="C3769" t="s">
        <v>32</v>
      </c>
      <c r="D3769">
        <v>50</v>
      </c>
      <c r="E3769" t="s">
        <v>46</v>
      </c>
      <c r="F3769">
        <v>3</v>
      </c>
      <c r="G3769">
        <v>2</v>
      </c>
      <c r="H3769">
        <v>1</v>
      </c>
      <c r="I3769">
        <v>1</v>
      </c>
      <c r="J3769" s="4" t="s">
        <v>55</v>
      </c>
      <c r="K3769" t="str">
        <f t="shared" si="188"/>
        <v>2+1</v>
      </c>
      <c r="L3769">
        <f>VLOOKUP(A3769,'ZONE 1 PREMIUM'!$A$4:$N$16,14,0)</f>
        <v>5</v>
      </c>
      <c r="M3769">
        <f>VLOOKUP(D3769,DROPDOWN!B:C,2,0)</f>
        <v>12</v>
      </c>
      <c r="N3769" t="str">
        <f t="shared" si="189"/>
        <v>AU98:BM109</v>
      </c>
      <c r="O3769" s="4">
        <f t="shared" ca="1" si="187"/>
        <v>152431.875</v>
      </c>
    </row>
    <row r="3770" spans="1:15">
      <c r="A3770" s="2" t="s">
        <v>15</v>
      </c>
      <c r="B3770" t="s">
        <v>33</v>
      </c>
      <c r="C3770" t="s">
        <v>34</v>
      </c>
      <c r="D3770">
        <v>50</v>
      </c>
      <c r="E3770" t="s">
        <v>46</v>
      </c>
      <c r="F3770">
        <v>3</v>
      </c>
      <c r="G3770">
        <v>2</v>
      </c>
      <c r="H3770">
        <v>1</v>
      </c>
      <c r="I3770">
        <v>1</v>
      </c>
      <c r="J3770" s="4" t="s">
        <v>55</v>
      </c>
      <c r="K3770" t="str">
        <f t="shared" si="188"/>
        <v>2+1</v>
      </c>
      <c r="L3770">
        <f>VLOOKUP(A3770,'ZONE 1 PREMIUM'!$A$4:$N$16,14,0)</f>
        <v>6</v>
      </c>
      <c r="M3770">
        <f>VLOOKUP(D3770,DROPDOWN!B:C,2,0)</f>
        <v>12</v>
      </c>
      <c r="N3770" t="str">
        <f t="shared" si="189"/>
        <v>AU98:BM109</v>
      </c>
      <c r="O3770" s="4">
        <f t="shared" ca="1" si="187"/>
        <v>186952.5</v>
      </c>
    </row>
    <row r="3771" spans="1:15">
      <c r="A3771" s="2" t="s">
        <v>16</v>
      </c>
      <c r="B3771" t="s">
        <v>35</v>
      </c>
      <c r="C3771" t="s">
        <v>36</v>
      </c>
      <c r="D3771">
        <v>50</v>
      </c>
      <c r="E3771" t="s">
        <v>46</v>
      </c>
      <c r="F3771">
        <v>3</v>
      </c>
      <c r="G3771">
        <v>2</v>
      </c>
      <c r="H3771">
        <v>1</v>
      </c>
      <c r="I3771">
        <v>1</v>
      </c>
      <c r="J3771" s="4" t="s">
        <v>55</v>
      </c>
      <c r="K3771" t="str">
        <f t="shared" si="188"/>
        <v>2+1</v>
      </c>
      <c r="L3771">
        <f>VLOOKUP(A3771,'ZONE 1 PREMIUM'!$A$4:$N$16,14,0)</f>
        <v>7</v>
      </c>
      <c r="M3771">
        <f>VLOOKUP(D3771,DROPDOWN!B:C,2,0)</f>
        <v>12</v>
      </c>
      <c r="N3771" t="str">
        <f t="shared" si="189"/>
        <v>AU98:BM109</v>
      </c>
      <c r="O3771" s="4">
        <f t="shared" ca="1" si="187"/>
        <v>253030.5</v>
      </c>
    </row>
    <row r="3772" spans="1:15">
      <c r="A3772" s="2" t="s">
        <v>17</v>
      </c>
      <c r="B3772" t="s">
        <v>37</v>
      </c>
      <c r="C3772" t="s">
        <v>38</v>
      </c>
      <c r="D3772">
        <v>50</v>
      </c>
      <c r="E3772" t="s">
        <v>46</v>
      </c>
      <c r="F3772">
        <v>3</v>
      </c>
      <c r="G3772">
        <v>2</v>
      </c>
      <c r="H3772">
        <v>1</v>
      </c>
      <c r="I3772">
        <v>1</v>
      </c>
      <c r="J3772" s="4" t="s">
        <v>55</v>
      </c>
      <c r="K3772" t="str">
        <f t="shared" si="188"/>
        <v>2+1</v>
      </c>
      <c r="L3772">
        <f>VLOOKUP(A3772,'ZONE 1 PREMIUM'!$A$4:$N$16,14,0)</f>
        <v>8</v>
      </c>
      <c r="M3772">
        <f>VLOOKUP(D3772,DROPDOWN!B:C,2,0)</f>
        <v>12</v>
      </c>
      <c r="N3772" t="str">
        <f t="shared" si="189"/>
        <v>AU98:BM109</v>
      </c>
      <c r="O3772" s="4">
        <f t="shared" ca="1" si="187"/>
        <v>342775.125</v>
      </c>
    </row>
    <row r="3773" spans="1:15">
      <c r="A3773" s="2" t="s">
        <v>18</v>
      </c>
      <c r="B3773" t="s">
        <v>39</v>
      </c>
      <c r="C3773" t="s">
        <v>40</v>
      </c>
      <c r="D3773">
        <v>50</v>
      </c>
      <c r="E3773" t="s">
        <v>46</v>
      </c>
      <c r="F3773">
        <v>3</v>
      </c>
      <c r="G3773">
        <v>2</v>
      </c>
      <c r="H3773">
        <v>1</v>
      </c>
      <c r="I3773">
        <v>1</v>
      </c>
      <c r="J3773" s="4" t="s">
        <v>55</v>
      </c>
      <c r="K3773" t="str">
        <f t="shared" si="188"/>
        <v>2+1</v>
      </c>
      <c r="L3773">
        <f>VLOOKUP(A3773,'ZONE 1 PREMIUM'!$A$4:$N$16,14,0)</f>
        <v>9</v>
      </c>
      <c r="M3773">
        <f>VLOOKUP(D3773,DROPDOWN!B:C,2,0)</f>
        <v>12</v>
      </c>
      <c r="N3773" t="str">
        <f t="shared" si="189"/>
        <v>AU98:BM109</v>
      </c>
      <c r="O3773" s="4">
        <f t="shared" ca="1" si="187"/>
        <v>468258.75</v>
      </c>
    </row>
    <row r="3774" spans="1:15">
      <c r="A3774" s="2" t="s">
        <v>19</v>
      </c>
      <c r="B3774" t="s">
        <v>41</v>
      </c>
      <c r="C3774" t="s">
        <v>42</v>
      </c>
      <c r="D3774">
        <v>50</v>
      </c>
      <c r="E3774" t="s">
        <v>46</v>
      </c>
      <c r="F3774">
        <v>3</v>
      </c>
      <c r="G3774">
        <v>2</v>
      </c>
      <c r="H3774">
        <v>1</v>
      </c>
      <c r="I3774">
        <v>1</v>
      </c>
      <c r="J3774" s="4" t="s">
        <v>55</v>
      </c>
      <c r="K3774" t="str">
        <f t="shared" si="188"/>
        <v>2+1</v>
      </c>
      <c r="L3774">
        <f>VLOOKUP(A3774,'ZONE 1 PREMIUM'!$A$4:$N$16,14,0)</f>
        <v>10</v>
      </c>
      <c r="M3774">
        <f>VLOOKUP(D3774,DROPDOWN!B:C,2,0)</f>
        <v>12</v>
      </c>
      <c r="N3774" t="str">
        <f t="shared" si="189"/>
        <v>AU98:BM109</v>
      </c>
      <c r="O3774" s="4">
        <f t="shared" ca="1" si="187"/>
        <v>619596</v>
      </c>
    </row>
    <row r="3775" spans="1:15">
      <c r="A3775" s="2" t="s">
        <v>20</v>
      </c>
      <c r="B3775" t="s">
        <v>43</v>
      </c>
      <c r="C3775" t="s">
        <v>44</v>
      </c>
      <c r="D3775">
        <v>50</v>
      </c>
      <c r="E3775" t="s">
        <v>46</v>
      </c>
      <c r="F3775">
        <v>3</v>
      </c>
      <c r="G3775">
        <v>2</v>
      </c>
      <c r="H3775">
        <v>1</v>
      </c>
      <c r="I3775">
        <v>1</v>
      </c>
      <c r="J3775" s="4" t="s">
        <v>55</v>
      </c>
      <c r="K3775" t="str">
        <f t="shared" si="188"/>
        <v>2+1</v>
      </c>
      <c r="L3775">
        <f>VLOOKUP(A3775,'ZONE 1 PREMIUM'!$A$4:$N$16,14,0)</f>
        <v>11</v>
      </c>
      <c r="M3775">
        <f>VLOOKUP(D3775,DROPDOWN!B:C,2,0)</f>
        <v>12</v>
      </c>
      <c r="N3775" t="str">
        <f t="shared" si="189"/>
        <v>AU98:BM109</v>
      </c>
      <c r="O3775" s="4">
        <f t="shared" ca="1" si="187"/>
        <v>742321.125</v>
      </c>
    </row>
    <row r="3776" spans="1:15">
      <c r="A3776" s="2" t="s">
        <v>21</v>
      </c>
      <c r="B3776" t="s">
        <v>22</v>
      </c>
      <c r="D3776">
        <v>50</v>
      </c>
      <c r="E3776" t="s">
        <v>46</v>
      </c>
      <c r="F3776">
        <v>3</v>
      </c>
      <c r="G3776">
        <v>2</v>
      </c>
      <c r="H3776">
        <v>1</v>
      </c>
      <c r="I3776">
        <v>1</v>
      </c>
      <c r="J3776" s="4" t="s">
        <v>55</v>
      </c>
      <c r="K3776" t="str">
        <f t="shared" si="188"/>
        <v>2+1</v>
      </c>
      <c r="L3776">
        <f>VLOOKUP(A3776,'ZONE 1 PREMIUM'!$A$4:$N$16,14,0)</f>
        <v>12</v>
      </c>
      <c r="M3776">
        <f>VLOOKUP(D3776,DROPDOWN!B:C,2,0)</f>
        <v>12</v>
      </c>
      <c r="N3776" t="str">
        <f t="shared" si="189"/>
        <v>AU98:BM109</v>
      </c>
      <c r="O3776" s="4">
        <f t="shared" ca="1" si="187"/>
        <v>919624.5</v>
      </c>
    </row>
    <row r="3777" spans="1:15">
      <c r="A3777" s="2" t="s">
        <v>11</v>
      </c>
      <c r="B3777" t="s">
        <v>45</v>
      </c>
      <c r="C3777" t="s">
        <v>25</v>
      </c>
      <c r="D3777">
        <v>50</v>
      </c>
      <c r="E3777" t="s">
        <v>46</v>
      </c>
      <c r="F3777">
        <v>4</v>
      </c>
      <c r="G3777">
        <v>2</v>
      </c>
      <c r="H3777">
        <v>2</v>
      </c>
      <c r="I3777">
        <v>1</v>
      </c>
      <c r="J3777" s="4" t="s">
        <v>55</v>
      </c>
      <c r="K3777" t="str">
        <f t="shared" si="188"/>
        <v>2+2</v>
      </c>
      <c r="L3777">
        <f>VLOOKUP(A3777,'ZONE 1 PREMIUM'!$A$4:$N$16,14,0)</f>
        <v>2</v>
      </c>
      <c r="M3777">
        <f>VLOOKUP(D3777,DROPDOWN!B:C,2,0)</f>
        <v>12</v>
      </c>
      <c r="N3777" t="str">
        <f t="shared" si="189"/>
        <v>AU113:BM124</v>
      </c>
      <c r="O3777" s="4">
        <f t="shared" ca="1" si="187"/>
        <v>134932.5</v>
      </c>
    </row>
    <row r="3778" spans="1:15">
      <c r="A3778" s="2" t="s">
        <v>12</v>
      </c>
      <c r="B3778" t="s">
        <v>27</v>
      </c>
      <c r="C3778" t="s">
        <v>28</v>
      </c>
      <c r="D3778">
        <v>50</v>
      </c>
      <c r="E3778" t="s">
        <v>46</v>
      </c>
      <c r="F3778">
        <v>4</v>
      </c>
      <c r="G3778">
        <v>2</v>
      </c>
      <c r="H3778">
        <v>2</v>
      </c>
      <c r="I3778">
        <v>1</v>
      </c>
      <c r="J3778" s="4" t="s">
        <v>55</v>
      </c>
      <c r="K3778" t="str">
        <f t="shared" si="188"/>
        <v>2+2</v>
      </c>
      <c r="L3778">
        <f>VLOOKUP(A3778,'ZONE 1 PREMIUM'!$A$4:$N$16,14,0)</f>
        <v>3</v>
      </c>
      <c r="M3778">
        <f>VLOOKUP(D3778,DROPDOWN!B:C,2,0)</f>
        <v>12</v>
      </c>
      <c r="N3778" t="str">
        <f t="shared" si="189"/>
        <v>AU113:BM124</v>
      </c>
      <c r="O3778" s="4">
        <f t="shared" ref="O3778:O3841" ca="1" si="190">INDEX(INDIRECT(N3778),L3778,M3778)</f>
        <v>146921.625</v>
      </c>
    </row>
    <row r="3779" spans="1:15">
      <c r="A3779" s="2" t="s">
        <v>13</v>
      </c>
      <c r="B3779" t="s">
        <v>29</v>
      </c>
      <c r="C3779" t="s">
        <v>30</v>
      </c>
      <c r="D3779">
        <v>50</v>
      </c>
      <c r="E3779" t="s">
        <v>46</v>
      </c>
      <c r="F3779">
        <v>4</v>
      </c>
      <c r="G3779">
        <v>2</v>
      </c>
      <c r="H3779">
        <v>2</v>
      </c>
      <c r="I3779">
        <v>1</v>
      </c>
      <c r="J3779" s="4" t="s">
        <v>55</v>
      </c>
      <c r="K3779" t="str">
        <f t="shared" si="188"/>
        <v>2+2</v>
      </c>
      <c r="L3779">
        <f>VLOOKUP(A3779,'ZONE 1 PREMIUM'!$A$4:$N$16,14,0)</f>
        <v>4</v>
      </c>
      <c r="M3779">
        <f>VLOOKUP(D3779,DROPDOWN!B:C,2,0)</f>
        <v>12</v>
      </c>
      <c r="N3779" t="str">
        <f t="shared" si="189"/>
        <v>AU113:BM124</v>
      </c>
      <c r="O3779" s="4">
        <f t="shared" ca="1" si="190"/>
        <v>156213</v>
      </c>
    </row>
    <row r="3780" spans="1:15">
      <c r="A3780" s="2" t="s">
        <v>14</v>
      </c>
      <c r="B3780" t="s">
        <v>31</v>
      </c>
      <c r="C3780" t="s">
        <v>32</v>
      </c>
      <c r="D3780">
        <v>50</v>
      </c>
      <c r="E3780" t="s">
        <v>46</v>
      </c>
      <c r="F3780">
        <v>4</v>
      </c>
      <c r="G3780">
        <v>2</v>
      </c>
      <c r="H3780">
        <v>2</v>
      </c>
      <c r="I3780">
        <v>1</v>
      </c>
      <c r="J3780" s="4" t="s">
        <v>55</v>
      </c>
      <c r="K3780" t="str">
        <f t="shared" ref="K3780:K3843" si="191">G3780&amp;"+"&amp;H3780</f>
        <v>2+2</v>
      </c>
      <c r="L3780">
        <f>VLOOKUP(A3780,'ZONE 1 PREMIUM'!$A$4:$N$16,14,0)</f>
        <v>5</v>
      </c>
      <c r="M3780">
        <f>VLOOKUP(D3780,DROPDOWN!B:C,2,0)</f>
        <v>12</v>
      </c>
      <c r="N3780" t="str">
        <f t="shared" si="189"/>
        <v>AU113:BM124</v>
      </c>
      <c r="O3780" s="4">
        <f t="shared" ca="1" si="190"/>
        <v>170850.375</v>
      </c>
    </row>
    <row r="3781" spans="1:15">
      <c r="A3781" s="2" t="s">
        <v>15</v>
      </c>
      <c r="B3781" t="s">
        <v>33</v>
      </c>
      <c r="C3781" t="s">
        <v>34</v>
      </c>
      <c r="D3781">
        <v>50</v>
      </c>
      <c r="E3781" t="s">
        <v>46</v>
      </c>
      <c r="F3781">
        <v>4</v>
      </c>
      <c r="G3781">
        <v>2</v>
      </c>
      <c r="H3781">
        <v>2</v>
      </c>
      <c r="I3781">
        <v>1</v>
      </c>
      <c r="J3781" s="4" t="s">
        <v>55</v>
      </c>
      <c r="K3781" t="str">
        <f t="shared" si="191"/>
        <v>2+2</v>
      </c>
      <c r="L3781">
        <f>VLOOKUP(A3781,'ZONE 1 PREMIUM'!$A$4:$N$16,14,0)</f>
        <v>6</v>
      </c>
      <c r="M3781">
        <f>VLOOKUP(D3781,DROPDOWN!B:C,2,0)</f>
        <v>12</v>
      </c>
      <c r="N3781" t="str">
        <f t="shared" si="189"/>
        <v>AU113:BM124</v>
      </c>
      <c r="O3781" s="4">
        <f t="shared" ca="1" si="190"/>
        <v>207387</v>
      </c>
    </row>
    <row r="3782" spans="1:15">
      <c r="A3782" s="2" t="s">
        <v>16</v>
      </c>
      <c r="B3782" t="s">
        <v>35</v>
      </c>
      <c r="C3782" t="s">
        <v>36</v>
      </c>
      <c r="D3782">
        <v>50</v>
      </c>
      <c r="E3782" t="s">
        <v>46</v>
      </c>
      <c r="F3782">
        <v>4</v>
      </c>
      <c r="G3782">
        <v>2</v>
      </c>
      <c r="H3782">
        <v>2</v>
      </c>
      <c r="I3782">
        <v>1</v>
      </c>
      <c r="J3782" s="4" t="s">
        <v>55</v>
      </c>
      <c r="K3782" t="str">
        <f t="shared" si="191"/>
        <v>2+2</v>
      </c>
      <c r="L3782">
        <f>VLOOKUP(A3782,'ZONE 1 PREMIUM'!$A$4:$N$16,14,0)</f>
        <v>7</v>
      </c>
      <c r="M3782">
        <f>VLOOKUP(D3782,DROPDOWN!B:C,2,0)</f>
        <v>12</v>
      </c>
      <c r="N3782" t="str">
        <f t="shared" si="189"/>
        <v>AU113:BM124</v>
      </c>
      <c r="O3782" s="4">
        <f t="shared" ca="1" si="190"/>
        <v>277745.625</v>
      </c>
    </row>
    <row r="3783" spans="1:15">
      <c r="A3783" s="2" t="s">
        <v>17</v>
      </c>
      <c r="B3783" t="s">
        <v>37</v>
      </c>
      <c r="C3783" t="s">
        <v>38</v>
      </c>
      <c r="D3783">
        <v>50</v>
      </c>
      <c r="E3783" t="s">
        <v>46</v>
      </c>
      <c r="F3783">
        <v>4</v>
      </c>
      <c r="G3783">
        <v>2</v>
      </c>
      <c r="H3783">
        <v>2</v>
      </c>
      <c r="I3783">
        <v>1</v>
      </c>
      <c r="J3783" s="4" t="s">
        <v>55</v>
      </c>
      <c r="K3783" t="str">
        <f t="shared" si="191"/>
        <v>2+2</v>
      </c>
      <c r="L3783">
        <f>VLOOKUP(A3783,'ZONE 1 PREMIUM'!$A$4:$N$16,14,0)</f>
        <v>8</v>
      </c>
      <c r="M3783">
        <f>VLOOKUP(D3783,DROPDOWN!B:C,2,0)</f>
        <v>12</v>
      </c>
      <c r="N3783" t="str">
        <f t="shared" si="189"/>
        <v>AU113:BM124</v>
      </c>
      <c r="O3783" s="4">
        <f t="shared" ca="1" si="190"/>
        <v>364491</v>
      </c>
    </row>
    <row r="3784" spans="1:15">
      <c r="A3784" s="2" t="s">
        <v>18</v>
      </c>
      <c r="B3784" t="s">
        <v>39</v>
      </c>
      <c r="C3784" t="s">
        <v>40</v>
      </c>
      <c r="D3784">
        <v>50</v>
      </c>
      <c r="E3784" t="s">
        <v>46</v>
      </c>
      <c r="F3784">
        <v>4</v>
      </c>
      <c r="G3784">
        <v>2</v>
      </c>
      <c r="H3784">
        <v>2</v>
      </c>
      <c r="I3784">
        <v>1</v>
      </c>
      <c r="J3784" s="4" t="s">
        <v>55</v>
      </c>
      <c r="K3784" t="str">
        <f t="shared" si="191"/>
        <v>2+2</v>
      </c>
      <c r="L3784">
        <f>VLOOKUP(A3784,'ZONE 1 PREMIUM'!$A$4:$N$16,14,0)</f>
        <v>9</v>
      </c>
      <c r="M3784">
        <f>VLOOKUP(D3784,DROPDOWN!B:C,2,0)</f>
        <v>12</v>
      </c>
      <c r="N3784" t="str">
        <f t="shared" si="189"/>
        <v>AU113:BM124</v>
      </c>
      <c r="O3784" s="4">
        <f t="shared" ca="1" si="190"/>
        <v>483141.375</v>
      </c>
    </row>
    <row r="3785" spans="1:15">
      <c r="A3785" s="2" t="s">
        <v>19</v>
      </c>
      <c r="B3785" t="s">
        <v>41</v>
      </c>
      <c r="C3785" t="s">
        <v>42</v>
      </c>
      <c r="D3785">
        <v>50</v>
      </c>
      <c r="E3785" t="s">
        <v>46</v>
      </c>
      <c r="F3785">
        <v>4</v>
      </c>
      <c r="G3785">
        <v>2</v>
      </c>
      <c r="H3785">
        <v>2</v>
      </c>
      <c r="I3785">
        <v>1</v>
      </c>
      <c r="J3785" s="4" t="s">
        <v>55</v>
      </c>
      <c r="K3785" t="str">
        <f t="shared" si="191"/>
        <v>2+2</v>
      </c>
      <c r="L3785">
        <f>VLOOKUP(A3785,'ZONE 1 PREMIUM'!$A$4:$N$16,14,0)</f>
        <v>10</v>
      </c>
      <c r="M3785">
        <f>VLOOKUP(D3785,DROPDOWN!B:C,2,0)</f>
        <v>12</v>
      </c>
      <c r="N3785" t="str">
        <f t="shared" si="189"/>
        <v>AU113:BM124</v>
      </c>
      <c r="O3785" s="4">
        <f t="shared" ca="1" si="190"/>
        <v>620293.5</v>
      </c>
    </row>
    <row r="3786" spans="1:15">
      <c r="A3786" s="2" t="s">
        <v>20</v>
      </c>
      <c r="B3786" t="s">
        <v>43</v>
      </c>
      <c r="C3786" t="s">
        <v>44</v>
      </c>
      <c r="D3786">
        <v>50</v>
      </c>
      <c r="E3786" t="s">
        <v>46</v>
      </c>
      <c r="F3786">
        <v>4</v>
      </c>
      <c r="G3786">
        <v>2</v>
      </c>
      <c r="H3786">
        <v>2</v>
      </c>
      <c r="I3786">
        <v>1</v>
      </c>
      <c r="J3786" s="4" t="s">
        <v>55</v>
      </c>
      <c r="K3786" t="str">
        <f t="shared" si="191"/>
        <v>2+2</v>
      </c>
      <c r="L3786">
        <f>VLOOKUP(A3786,'ZONE 1 PREMIUM'!$A$4:$N$16,14,0)</f>
        <v>11</v>
      </c>
      <c r="M3786">
        <f>VLOOKUP(D3786,DROPDOWN!B:C,2,0)</f>
        <v>12</v>
      </c>
      <c r="N3786" t="str">
        <f t="shared" si="189"/>
        <v>AU113:BM124</v>
      </c>
      <c r="O3786" s="4">
        <f t="shared" ca="1" si="190"/>
        <v>743632.875</v>
      </c>
    </row>
    <row r="3787" spans="1:15">
      <c r="A3787" s="2" t="s">
        <v>21</v>
      </c>
      <c r="B3787" t="s">
        <v>22</v>
      </c>
      <c r="D3787">
        <v>50</v>
      </c>
      <c r="E3787" t="s">
        <v>46</v>
      </c>
      <c r="F3787">
        <v>4</v>
      </c>
      <c r="G3787">
        <v>2</v>
      </c>
      <c r="H3787">
        <v>2</v>
      </c>
      <c r="I3787">
        <v>1</v>
      </c>
      <c r="J3787" s="4" t="s">
        <v>55</v>
      </c>
      <c r="K3787" t="str">
        <f t="shared" si="191"/>
        <v>2+2</v>
      </c>
      <c r="L3787">
        <f>VLOOKUP(A3787,'ZONE 1 PREMIUM'!$A$4:$N$16,14,0)</f>
        <v>12</v>
      </c>
      <c r="M3787">
        <f>VLOOKUP(D3787,DROPDOWN!B:C,2,0)</f>
        <v>12</v>
      </c>
      <c r="N3787" t="str">
        <f t="shared" si="189"/>
        <v>AU113:BM124</v>
      </c>
      <c r="O3787" s="4">
        <f t="shared" ca="1" si="190"/>
        <v>920763</v>
      </c>
    </row>
    <row r="3788" spans="1:15">
      <c r="A3788" s="2" t="s">
        <v>11</v>
      </c>
      <c r="B3788" t="s">
        <v>45</v>
      </c>
      <c r="C3788" t="s">
        <v>25</v>
      </c>
      <c r="D3788">
        <v>50</v>
      </c>
      <c r="E3788" t="s">
        <v>46</v>
      </c>
      <c r="F3788">
        <v>5</v>
      </c>
      <c r="G3788">
        <v>2</v>
      </c>
      <c r="H3788">
        <v>3</v>
      </c>
      <c r="I3788">
        <v>1</v>
      </c>
      <c r="J3788" s="4" t="s">
        <v>55</v>
      </c>
      <c r="K3788" t="str">
        <f t="shared" si="191"/>
        <v>2+3</v>
      </c>
      <c r="L3788">
        <f>VLOOKUP(A3788,'ZONE 1 PREMIUM'!$A$4:$N$16,14,0)</f>
        <v>2</v>
      </c>
      <c r="M3788">
        <f>VLOOKUP(D3788,DROPDOWN!B:C,2,0)</f>
        <v>12</v>
      </c>
      <c r="N3788" t="str">
        <f t="shared" si="189"/>
        <v>AU128:BM139</v>
      </c>
      <c r="O3788" s="4">
        <f t="shared" ca="1" si="190"/>
        <v>150970.5</v>
      </c>
    </row>
    <row r="3789" spans="1:15">
      <c r="A3789" s="2" t="s">
        <v>12</v>
      </c>
      <c r="B3789" t="s">
        <v>27</v>
      </c>
      <c r="C3789" t="s">
        <v>28</v>
      </c>
      <c r="D3789">
        <v>50</v>
      </c>
      <c r="E3789" t="s">
        <v>46</v>
      </c>
      <c r="F3789">
        <v>5</v>
      </c>
      <c r="G3789">
        <v>2</v>
      </c>
      <c r="H3789">
        <v>3</v>
      </c>
      <c r="I3789">
        <v>1</v>
      </c>
      <c r="J3789" s="4" t="s">
        <v>55</v>
      </c>
      <c r="K3789" t="str">
        <f t="shared" si="191"/>
        <v>2+3</v>
      </c>
      <c r="L3789">
        <f>VLOOKUP(A3789,'ZONE 1 PREMIUM'!$A$4:$N$16,14,0)</f>
        <v>3</v>
      </c>
      <c r="M3789">
        <f>VLOOKUP(D3789,DROPDOWN!B:C,2,0)</f>
        <v>12</v>
      </c>
      <c r="N3789" t="str">
        <f t="shared" si="189"/>
        <v>AU128:BM139</v>
      </c>
      <c r="O3789" s="4">
        <f t="shared" ca="1" si="190"/>
        <v>162736.875</v>
      </c>
    </row>
    <row r="3790" spans="1:15">
      <c r="A3790" s="2" t="s">
        <v>13</v>
      </c>
      <c r="B3790" t="s">
        <v>29</v>
      </c>
      <c r="C3790" t="s">
        <v>30</v>
      </c>
      <c r="D3790">
        <v>50</v>
      </c>
      <c r="E3790" t="s">
        <v>46</v>
      </c>
      <c r="F3790">
        <v>5</v>
      </c>
      <c r="G3790">
        <v>2</v>
      </c>
      <c r="H3790">
        <v>3</v>
      </c>
      <c r="I3790">
        <v>1</v>
      </c>
      <c r="J3790" s="4" t="s">
        <v>55</v>
      </c>
      <c r="K3790" t="str">
        <f t="shared" si="191"/>
        <v>2+3</v>
      </c>
      <c r="L3790">
        <f>VLOOKUP(A3790,'ZONE 1 PREMIUM'!$A$4:$N$16,14,0)</f>
        <v>4</v>
      </c>
      <c r="M3790">
        <f>VLOOKUP(D3790,DROPDOWN!B:C,2,0)</f>
        <v>12</v>
      </c>
      <c r="N3790" t="str">
        <f t="shared" si="189"/>
        <v>AU128:BM139</v>
      </c>
      <c r="O3790" s="4">
        <f t="shared" ca="1" si="190"/>
        <v>174485.25</v>
      </c>
    </row>
    <row r="3791" spans="1:15">
      <c r="A3791" s="2" t="s">
        <v>14</v>
      </c>
      <c r="B3791" t="s">
        <v>31</v>
      </c>
      <c r="C3791" t="s">
        <v>32</v>
      </c>
      <c r="D3791">
        <v>50</v>
      </c>
      <c r="E3791" t="s">
        <v>46</v>
      </c>
      <c r="F3791">
        <v>5</v>
      </c>
      <c r="G3791">
        <v>2</v>
      </c>
      <c r="H3791">
        <v>3</v>
      </c>
      <c r="I3791">
        <v>1</v>
      </c>
      <c r="J3791" s="4" t="s">
        <v>55</v>
      </c>
      <c r="K3791" t="str">
        <f t="shared" si="191"/>
        <v>2+3</v>
      </c>
      <c r="L3791">
        <f>VLOOKUP(A3791,'ZONE 1 PREMIUM'!$A$4:$N$16,14,0)</f>
        <v>5</v>
      </c>
      <c r="M3791">
        <f>VLOOKUP(D3791,DROPDOWN!B:C,2,0)</f>
        <v>12</v>
      </c>
      <c r="N3791" t="str">
        <f t="shared" si="189"/>
        <v>AU128:BM139</v>
      </c>
      <c r="O3791" s="4">
        <f t="shared" ca="1" si="190"/>
        <v>190402.875</v>
      </c>
    </row>
    <row r="3792" spans="1:15">
      <c r="A3792" s="2" t="s">
        <v>15</v>
      </c>
      <c r="B3792" t="s">
        <v>33</v>
      </c>
      <c r="C3792" t="s">
        <v>34</v>
      </c>
      <c r="D3792">
        <v>50</v>
      </c>
      <c r="E3792" t="s">
        <v>46</v>
      </c>
      <c r="F3792">
        <v>5</v>
      </c>
      <c r="G3792">
        <v>2</v>
      </c>
      <c r="H3792">
        <v>3</v>
      </c>
      <c r="I3792">
        <v>1</v>
      </c>
      <c r="J3792" s="4" t="s">
        <v>55</v>
      </c>
      <c r="K3792" t="str">
        <f t="shared" si="191"/>
        <v>2+3</v>
      </c>
      <c r="L3792">
        <f>VLOOKUP(A3792,'ZONE 1 PREMIUM'!$A$4:$N$16,14,0)</f>
        <v>6</v>
      </c>
      <c r="M3792">
        <f>VLOOKUP(D3792,DROPDOWN!B:C,2,0)</f>
        <v>12</v>
      </c>
      <c r="N3792" t="str">
        <f t="shared" si="189"/>
        <v>AU128:BM139</v>
      </c>
      <c r="O3792" s="4">
        <f t="shared" ca="1" si="190"/>
        <v>229213.125</v>
      </c>
    </row>
    <row r="3793" spans="1:15">
      <c r="A3793" s="2" t="s">
        <v>16</v>
      </c>
      <c r="B3793" t="s">
        <v>35</v>
      </c>
      <c r="C3793" t="s">
        <v>36</v>
      </c>
      <c r="D3793">
        <v>50</v>
      </c>
      <c r="E3793" t="s">
        <v>46</v>
      </c>
      <c r="F3793">
        <v>5</v>
      </c>
      <c r="G3793">
        <v>2</v>
      </c>
      <c r="H3793">
        <v>3</v>
      </c>
      <c r="I3793">
        <v>1</v>
      </c>
      <c r="J3793" s="4" t="s">
        <v>55</v>
      </c>
      <c r="K3793" t="str">
        <f t="shared" si="191"/>
        <v>2+3</v>
      </c>
      <c r="L3793">
        <f>VLOOKUP(A3793,'ZONE 1 PREMIUM'!$A$4:$N$16,14,0)</f>
        <v>7</v>
      </c>
      <c r="M3793">
        <f>VLOOKUP(D3793,DROPDOWN!B:C,2,0)</f>
        <v>12</v>
      </c>
      <c r="N3793" t="str">
        <f t="shared" si="189"/>
        <v>AU128:BM139</v>
      </c>
      <c r="O3793" s="4">
        <f t="shared" ca="1" si="190"/>
        <v>298866.375</v>
      </c>
    </row>
    <row r="3794" spans="1:15">
      <c r="A3794" s="2" t="s">
        <v>17</v>
      </c>
      <c r="B3794" t="s">
        <v>37</v>
      </c>
      <c r="C3794" t="s">
        <v>38</v>
      </c>
      <c r="D3794">
        <v>50</v>
      </c>
      <c r="E3794" t="s">
        <v>46</v>
      </c>
      <c r="F3794">
        <v>5</v>
      </c>
      <c r="G3794">
        <v>2</v>
      </c>
      <c r="H3794">
        <v>3</v>
      </c>
      <c r="I3794">
        <v>1</v>
      </c>
      <c r="J3794" s="4" t="s">
        <v>55</v>
      </c>
      <c r="K3794" t="str">
        <f t="shared" si="191"/>
        <v>2+3</v>
      </c>
      <c r="L3794">
        <f>VLOOKUP(A3794,'ZONE 1 PREMIUM'!$A$4:$N$16,14,0)</f>
        <v>8</v>
      </c>
      <c r="M3794">
        <f>VLOOKUP(D3794,DROPDOWN!B:C,2,0)</f>
        <v>12</v>
      </c>
      <c r="N3794" t="str">
        <f t="shared" si="189"/>
        <v>AU128:BM139</v>
      </c>
      <c r="O3794" s="4">
        <f t="shared" ca="1" si="190"/>
        <v>382938.75</v>
      </c>
    </row>
    <row r="3795" spans="1:15">
      <c r="A3795" s="2" t="s">
        <v>18</v>
      </c>
      <c r="B3795" t="s">
        <v>39</v>
      </c>
      <c r="C3795" t="s">
        <v>40</v>
      </c>
      <c r="D3795">
        <v>50</v>
      </c>
      <c r="E3795" t="s">
        <v>46</v>
      </c>
      <c r="F3795">
        <v>5</v>
      </c>
      <c r="G3795">
        <v>2</v>
      </c>
      <c r="H3795">
        <v>3</v>
      </c>
      <c r="I3795">
        <v>1</v>
      </c>
      <c r="J3795" s="4" t="s">
        <v>55</v>
      </c>
      <c r="K3795" t="str">
        <f t="shared" si="191"/>
        <v>2+3</v>
      </c>
      <c r="L3795">
        <f>VLOOKUP(A3795,'ZONE 1 PREMIUM'!$A$4:$N$16,14,0)</f>
        <v>9</v>
      </c>
      <c r="M3795">
        <f>VLOOKUP(D3795,DROPDOWN!B:C,2,0)</f>
        <v>12</v>
      </c>
      <c r="N3795" t="str">
        <f t="shared" si="189"/>
        <v>AU128:BM139</v>
      </c>
      <c r="O3795" s="4">
        <f t="shared" ca="1" si="190"/>
        <v>501310.125</v>
      </c>
    </row>
    <row r="3796" spans="1:15">
      <c r="A3796" s="2" t="s">
        <v>19</v>
      </c>
      <c r="B3796" t="s">
        <v>41</v>
      </c>
      <c r="C3796" t="s">
        <v>42</v>
      </c>
      <c r="D3796">
        <v>50</v>
      </c>
      <c r="E3796" t="s">
        <v>46</v>
      </c>
      <c r="F3796">
        <v>5</v>
      </c>
      <c r="G3796">
        <v>2</v>
      </c>
      <c r="H3796">
        <v>3</v>
      </c>
      <c r="I3796">
        <v>1</v>
      </c>
      <c r="J3796" s="4" t="s">
        <v>55</v>
      </c>
      <c r="K3796" t="str">
        <f t="shared" si="191"/>
        <v>2+3</v>
      </c>
      <c r="L3796">
        <f>VLOOKUP(A3796,'ZONE 1 PREMIUM'!$A$4:$N$16,14,0)</f>
        <v>10</v>
      </c>
      <c r="M3796">
        <f>VLOOKUP(D3796,DROPDOWN!B:C,2,0)</f>
        <v>12</v>
      </c>
      <c r="N3796" t="str">
        <f t="shared" si="189"/>
        <v>AU128:BM139</v>
      </c>
      <c r="O3796" s="4">
        <f t="shared" ca="1" si="190"/>
        <v>637137</v>
      </c>
    </row>
    <row r="3797" spans="1:15">
      <c r="A3797" s="2" t="s">
        <v>20</v>
      </c>
      <c r="B3797" t="s">
        <v>43</v>
      </c>
      <c r="C3797" t="s">
        <v>44</v>
      </c>
      <c r="D3797">
        <v>50</v>
      </c>
      <c r="E3797" t="s">
        <v>46</v>
      </c>
      <c r="F3797">
        <v>5</v>
      </c>
      <c r="G3797">
        <v>2</v>
      </c>
      <c r="H3797">
        <v>3</v>
      </c>
      <c r="I3797">
        <v>1</v>
      </c>
      <c r="J3797" s="4" t="s">
        <v>55</v>
      </c>
      <c r="K3797" t="str">
        <f t="shared" si="191"/>
        <v>2+3</v>
      </c>
      <c r="L3797">
        <f>VLOOKUP(A3797,'ZONE 1 PREMIUM'!$A$4:$N$16,14,0)</f>
        <v>11</v>
      </c>
      <c r="M3797">
        <f>VLOOKUP(D3797,DROPDOWN!B:C,2,0)</f>
        <v>12</v>
      </c>
      <c r="N3797" t="str">
        <f t="shared" si="189"/>
        <v>AU128:BM139</v>
      </c>
      <c r="O3797" s="4">
        <f t="shared" ca="1" si="190"/>
        <v>762945.75</v>
      </c>
    </row>
    <row r="3798" spans="1:15">
      <c r="A3798" s="2" t="s">
        <v>21</v>
      </c>
      <c r="B3798" t="s">
        <v>22</v>
      </c>
      <c r="D3798">
        <v>50</v>
      </c>
      <c r="E3798" t="s">
        <v>46</v>
      </c>
      <c r="F3798">
        <v>5</v>
      </c>
      <c r="G3798">
        <v>2</v>
      </c>
      <c r="H3798">
        <v>3</v>
      </c>
      <c r="I3798">
        <v>1</v>
      </c>
      <c r="J3798" s="4" t="s">
        <v>55</v>
      </c>
      <c r="K3798" t="str">
        <f t="shared" si="191"/>
        <v>2+3</v>
      </c>
      <c r="L3798">
        <f>VLOOKUP(A3798,'ZONE 1 PREMIUM'!$A$4:$N$16,14,0)</f>
        <v>12</v>
      </c>
      <c r="M3798">
        <f>VLOOKUP(D3798,DROPDOWN!B:C,2,0)</f>
        <v>12</v>
      </c>
      <c r="N3798" t="str">
        <f t="shared" si="189"/>
        <v>AU128:BM139</v>
      </c>
      <c r="O3798" s="4">
        <f t="shared" ca="1" si="190"/>
        <v>941721.75</v>
      </c>
    </row>
    <row r="3799" spans="1:15">
      <c r="A3799" s="2" t="s">
        <v>11</v>
      </c>
      <c r="B3799" t="s">
        <v>45</v>
      </c>
      <c r="C3799" t="s">
        <v>25</v>
      </c>
      <c r="D3799">
        <v>50</v>
      </c>
      <c r="E3799" t="s">
        <v>46</v>
      </c>
      <c r="F3799">
        <v>6</v>
      </c>
      <c r="G3799">
        <v>2</v>
      </c>
      <c r="H3799">
        <v>4</v>
      </c>
      <c r="I3799">
        <v>1</v>
      </c>
      <c r="J3799" s="4" t="s">
        <v>55</v>
      </c>
      <c r="K3799" t="str">
        <f t="shared" si="191"/>
        <v>2+4</v>
      </c>
      <c r="L3799">
        <f>VLOOKUP(A3799,'ZONE 1 PREMIUM'!$A$4:$N$16,14,0)</f>
        <v>2</v>
      </c>
      <c r="M3799">
        <f>VLOOKUP(D3799,DROPDOWN!B:C,2,0)</f>
        <v>12</v>
      </c>
      <c r="N3799" t="str">
        <f t="shared" si="189"/>
        <v>AU143:BM154</v>
      </c>
      <c r="O3799" s="4">
        <f t="shared" ca="1" si="190"/>
        <v>167007.375</v>
      </c>
    </row>
    <row r="3800" spans="1:15">
      <c r="A3800" s="2" t="s">
        <v>12</v>
      </c>
      <c r="B3800" t="s">
        <v>27</v>
      </c>
      <c r="C3800" t="s">
        <v>28</v>
      </c>
      <c r="D3800">
        <v>50</v>
      </c>
      <c r="E3800" t="s">
        <v>46</v>
      </c>
      <c r="F3800">
        <v>6</v>
      </c>
      <c r="G3800">
        <v>2</v>
      </c>
      <c r="H3800">
        <v>4</v>
      </c>
      <c r="I3800">
        <v>1</v>
      </c>
      <c r="J3800" s="4" t="s">
        <v>55</v>
      </c>
      <c r="K3800" t="str">
        <f t="shared" si="191"/>
        <v>2+4</v>
      </c>
      <c r="L3800">
        <f>VLOOKUP(A3800,'ZONE 1 PREMIUM'!$A$4:$N$16,14,0)</f>
        <v>3</v>
      </c>
      <c r="M3800">
        <f>VLOOKUP(D3800,DROPDOWN!B:C,2,0)</f>
        <v>12</v>
      </c>
      <c r="N3800" t="str">
        <f t="shared" si="189"/>
        <v>AU143:BM154</v>
      </c>
      <c r="O3800" s="4">
        <f t="shared" ca="1" si="190"/>
        <v>178553.25</v>
      </c>
    </row>
    <row r="3801" spans="1:15">
      <c r="A3801" s="2" t="s">
        <v>13</v>
      </c>
      <c r="B3801" t="s">
        <v>29</v>
      </c>
      <c r="C3801" t="s">
        <v>30</v>
      </c>
      <c r="D3801">
        <v>50</v>
      </c>
      <c r="E3801" t="s">
        <v>46</v>
      </c>
      <c r="F3801">
        <v>6</v>
      </c>
      <c r="G3801">
        <v>2</v>
      </c>
      <c r="H3801">
        <v>4</v>
      </c>
      <c r="I3801">
        <v>1</v>
      </c>
      <c r="J3801" s="4" t="s">
        <v>55</v>
      </c>
      <c r="K3801" t="str">
        <f t="shared" si="191"/>
        <v>2+4</v>
      </c>
      <c r="L3801">
        <f>VLOOKUP(A3801,'ZONE 1 PREMIUM'!$A$4:$N$16,14,0)</f>
        <v>4</v>
      </c>
      <c r="M3801">
        <f>VLOOKUP(D3801,DROPDOWN!B:C,2,0)</f>
        <v>12</v>
      </c>
      <c r="N3801" t="str">
        <f t="shared" si="189"/>
        <v>AU143:BM154</v>
      </c>
      <c r="O3801" s="4">
        <f t="shared" ca="1" si="190"/>
        <v>192757.5</v>
      </c>
    </row>
    <row r="3802" spans="1:15">
      <c r="A3802" s="2" t="s">
        <v>14</v>
      </c>
      <c r="B3802" t="s">
        <v>31</v>
      </c>
      <c r="C3802" t="s">
        <v>32</v>
      </c>
      <c r="D3802">
        <v>50</v>
      </c>
      <c r="E3802" t="s">
        <v>46</v>
      </c>
      <c r="F3802">
        <v>6</v>
      </c>
      <c r="G3802">
        <v>2</v>
      </c>
      <c r="H3802">
        <v>4</v>
      </c>
      <c r="I3802">
        <v>1</v>
      </c>
      <c r="J3802" s="4" t="s">
        <v>55</v>
      </c>
      <c r="K3802" t="str">
        <f t="shared" si="191"/>
        <v>2+4</v>
      </c>
      <c r="L3802">
        <f>VLOOKUP(A3802,'ZONE 1 PREMIUM'!$A$4:$N$16,14,0)</f>
        <v>5</v>
      </c>
      <c r="M3802">
        <f>VLOOKUP(D3802,DROPDOWN!B:C,2,0)</f>
        <v>12</v>
      </c>
      <c r="N3802" t="str">
        <f t="shared" si="189"/>
        <v>AU143:BM154</v>
      </c>
      <c r="O3802" s="4">
        <f t="shared" ca="1" si="190"/>
        <v>209955.375</v>
      </c>
    </row>
    <row r="3803" spans="1:15">
      <c r="A3803" s="2" t="s">
        <v>15</v>
      </c>
      <c r="B3803" t="s">
        <v>33</v>
      </c>
      <c r="C3803" t="s">
        <v>34</v>
      </c>
      <c r="D3803">
        <v>50</v>
      </c>
      <c r="E3803" t="s">
        <v>46</v>
      </c>
      <c r="F3803">
        <v>6</v>
      </c>
      <c r="G3803">
        <v>2</v>
      </c>
      <c r="H3803">
        <v>4</v>
      </c>
      <c r="I3803">
        <v>1</v>
      </c>
      <c r="J3803" s="4" t="s">
        <v>55</v>
      </c>
      <c r="K3803" t="str">
        <f t="shared" si="191"/>
        <v>2+4</v>
      </c>
      <c r="L3803">
        <f>VLOOKUP(A3803,'ZONE 1 PREMIUM'!$A$4:$N$16,14,0)</f>
        <v>6</v>
      </c>
      <c r="M3803">
        <f>VLOOKUP(D3803,DROPDOWN!B:C,2,0)</f>
        <v>12</v>
      </c>
      <c r="N3803" t="str">
        <f t="shared" si="189"/>
        <v>AU143:BM154</v>
      </c>
      <c r="O3803" s="4">
        <f t="shared" ca="1" si="190"/>
        <v>251039.25</v>
      </c>
    </row>
    <row r="3804" spans="1:15">
      <c r="A3804" s="2" t="s">
        <v>16</v>
      </c>
      <c r="B3804" t="s">
        <v>35</v>
      </c>
      <c r="C3804" t="s">
        <v>36</v>
      </c>
      <c r="D3804">
        <v>50</v>
      </c>
      <c r="E3804" t="s">
        <v>46</v>
      </c>
      <c r="F3804">
        <v>6</v>
      </c>
      <c r="G3804">
        <v>2</v>
      </c>
      <c r="H3804">
        <v>4</v>
      </c>
      <c r="I3804">
        <v>1</v>
      </c>
      <c r="J3804" s="4" t="s">
        <v>55</v>
      </c>
      <c r="K3804" t="str">
        <f t="shared" si="191"/>
        <v>2+4</v>
      </c>
      <c r="L3804">
        <f>VLOOKUP(A3804,'ZONE 1 PREMIUM'!$A$4:$N$16,14,0)</f>
        <v>7</v>
      </c>
      <c r="M3804">
        <f>VLOOKUP(D3804,DROPDOWN!B:C,2,0)</f>
        <v>12</v>
      </c>
      <c r="N3804" t="str">
        <f t="shared" si="189"/>
        <v>AU143:BM154</v>
      </c>
      <c r="O3804" s="4">
        <f t="shared" ca="1" si="190"/>
        <v>317704.5</v>
      </c>
    </row>
    <row r="3805" spans="1:15">
      <c r="A3805" s="2" t="s">
        <v>17</v>
      </c>
      <c r="B3805" t="s">
        <v>37</v>
      </c>
      <c r="C3805" t="s">
        <v>38</v>
      </c>
      <c r="D3805">
        <v>50</v>
      </c>
      <c r="E3805" t="s">
        <v>46</v>
      </c>
      <c r="F3805">
        <v>6</v>
      </c>
      <c r="G3805">
        <v>2</v>
      </c>
      <c r="H3805">
        <v>4</v>
      </c>
      <c r="I3805">
        <v>1</v>
      </c>
      <c r="J3805" s="4" t="s">
        <v>55</v>
      </c>
      <c r="K3805" t="str">
        <f t="shared" si="191"/>
        <v>2+4</v>
      </c>
      <c r="L3805">
        <f>VLOOKUP(A3805,'ZONE 1 PREMIUM'!$A$4:$N$16,14,0)</f>
        <v>8</v>
      </c>
      <c r="M3805">
        <f>VLOOKUP(D3805,DROPDOWN!B:C,2,0)</f>
        <v>12</v>
      </c>
      <c r="N3805" t="str">
        <f t="shared" si="189"/>
        <v>AU143:BM154</v>
      </c>
      <c r="O3805" s="4">
        <f t="shared" ca="1" si="190"/>
        <v>401266.125</v>
      </c>
    </row>
    <row r="3806" spans="1:15">
      <c r="A3806" s="2" t="s">
        <v>18</v>
      </c>
      <c r="B3806" t="s">
        <v>39</v>
      </c>
      <c r="C3806" t="s">
        <v>40</v>
      </c>
      <c r="D3806">
        <v>50</v>
      </c>
      <c r="E3806" t="s">
        <v>46</v>
      </c>
      <c r="F3806">
        <v>6</v>
      </c>
      <c r="G3806">
        <v>2</v>
      </c>
      <c r="H3806">
        <v>4</v>
      </c>
      <c r="I3806">
        <v>1</v>
      </c>
      <c r="J3806" s="4" t="s">
        <v>55</v>
      </c>
      <c r="K3806" t="str">
        <f t="shared" si="191"/>
        <v>2+4</v>
      </c>
      <c r="L3806">
        <f>VLOOKUP(A3806,'ZONE 1 PREMIUM'!$A$4:$N$16,14,0)</f>
        <v>9</v>
      </c>
      <c r="M3806">
        <f>VLOOKUP(D3806,DROPDOWN!B:C,2,0)</f>
        <v>12</v>
      </c>
      <c r="N3806" t="str">
        <f t="shared" si="189"/>
        <v>AU143:BM154</v>
      </c>
      <c r="O3806" s="4">
        <f t="shared" ca="1" si="190"/>
        <v>518622.75</v>
      </c>
    </row>
    <row r="3807" spans="1:15">
      <c r="A3807" s="2" t="s">
        <v>19</v>
      </c>
      <c r="B3807" t="s">
        <v>41</v>
      </c>
      <c r="C3807" t="s">
        <v>42</v>
      </c>
      <c r="D3807">
        <v>50</v>
      </c>
      <c r="E3807" t="s">
        <v>46</v>
      </c>
      <c r="F3807">
        <v>6</v>
      </c>
      <c r="G3807">
        <v>2</v>
      </c>
      <c r="H3807">
        <v>4</v>
      </c>
      <c r="I3807">
        <v>1</v>
      </c>
      <c r="J3807" s="4" t="s">
        <v>55</v>
      </c>
      <c r="K3807" t="str">
        <f t="shared" si="191"/>
        <v>2+4</v>
      </c>
      <c r="L3807">
        <f>VLOOKUP(A3807,'ZONE 1 PREMIUM'!$A$4:$N$16,14,0)</f>
        <v>10</v>
      </c>
      <c r="M3807">
        <f>VLOOKUP(D3807,DROPDOWN!B:C,2,0)</f>
        <v>12</v>
      </c>
      <c r="N3807" t="str">
        <f t="shared" si="189"/>
        <v>AU143:BM154</v>
      </c>
      <c r="O3807" s="4">
        <f t="shared" ca="1" si="190"/>
        <v>656516.25</v>
      </c>
    </row>
    <row r="3808" spans="1:15">
      <c r="A3808" s="2" t="s">
        <v>20</v>
      </c>
      <c r="B3808" t="s">
        <v>43</v>
      </c>
      <c r="C3808" t="s">
        <v>44</v>
      </c>
      <c r="D3808">
        <v>50</v>
      </c>
      <c r="E3808" t="s">
        <v>46</v>
      </c>
      <c r="F3808">
        <v>6</v>
      </c>
      <c r="G3808">
        <v>2</v>
      </c>
      <c r="H3808">
        <v>4</v>
      </c>
      <c r="I3808">
        <v>1</v>
      </c>
      <c r="J3808" s="4" t="s">
        <v>55</v>
      </c>
      <c r="K3808" t="str">
        <f t="shared" si="191"/>
        <v>2+4</v>
      </c>
      <c r="L3808">
        <f>VLOOKUP(A3808,'ZONE 1 PREMIUM'!$A$4:$N$16,14,0)</f>
        <v>11</v>
      </c>
      <c r="M3808">
        <f>VLOOKUP(D3808,DROPDOWN!B:C,2,0)</f>
        <v>12</v>
      </c>
      <c r="N3808" t="str">
        <f t="shared" si="189"/>
        <v>AU143:BM154</v>
      </c>
      <c r="O3808" s="4">
        <f t="shared" ca="1" si="190"/>
        <v>780621.75</v>
      </c>
    </row>
    <row r="3809" spans="1:15">
      <c r="A3809" s="2" t="s">
        <v>21</v>
      </c>
      <c r="B3809" t="s">
        <v>22</v>
      </c>
      <c r="D3809">
        <v>50</v>
      </c>
      <c r="E3809" t="s">
        <v>46</v>
      </c>
      <c r="F3809">
        <v>6</v>
      </c>
      <c r="G3809">
        <v>2</v>
      </c>
      <c r="H3809">
        <v>4</v>
      </c>
      <c r="I3809">
        <v>1</v>
      </c>
      <c r="J3809" s="4" t="s">
        <v>55</v>
      </c>
      <c r="K3809" t="str">
        <f t="shared" si="191"/>
        <v>2+4</v>
      </c>
      <c r="L3809">
        <f>VLOOKUP(A3809,'ZONE 1 PREMIUM'!$A$4:$N$16,14,0)</f>
        <v>12</v>
      </c>
      <c r="M3809">
        <f>VLOOKUP(D3809,DROPDOWN!B:C,2,0)</f>
        <v>12</v>
      </c>
      <c r="N3809" t="str">
        <f t="shared" si="189"/>
        <v>AU143:BM154</v>
      </c>
      <c r="O3809" s="4">
        <f t="shared" ca="1" si="190"/>
        <v>955948.5</v>
      </c>
    </row>
    <row r="3810" spans="1:15">
      <c r="A3810" s="2" t="s">
        <v>9</v>
      </c>
      <c r="B3810" t="s">
        <v>47</v>
      </c>
      <c r="C3810" t="s">
        <v>48</v>
      </c>
      <c r="D3810">
        <v>50</v>
      </c>
      <c r="E3810" t="s">
        <v>26</v>
      </c>
      <c r="F3810">
        <v>1</v>
      </c>
      <c r="H3810">
        <v>1</v>
      </c>
      <c r="I3810">
        <v>1</v>
      </c>
      <c r="J3810" s="4" t="s">
        <v>53</v>
      </c>
      <c r="K3810" t="str">
        <f t="shared" si="191"/>
        <v>+1</v>
      </c>
      <c r="N3810" t="e">
        <f t="shared" ref="N3810:N3873" si="192">VLOOKUP(K3810,$CK$3:$CL$12,2,0)</f>
        <v>#N/A</v>
      </c>
      <c r="O3810" s="13">
        <v>9797.855279215024</v>
      </c>
    </row>
    <row r="3811" spans="1:15">
      <c r="A3811" s="2" t="s">
        <v>10</v>
      </c>
      <c r="B3811" t="s">
        <v>49</v>
      </c>
      <c r="C3811" t="s">
        <v>50</v>
      </c>
      <c r="D3811">
        <v>50</v>
      </c>
      <c r="E3811" t="s">
        <v>26</v>
      </c>
      <c r="F3811">
        <v>1</v>
      </c>
      <c r="G3811">
        <v>1</v>
      </c>
      <c r="H3811">
        <v>0</v>
      </c>
      <c r="I3811">
        <v>1</v>
      </c>
      <c r="J3811" s="4" t="s">
        <v>53</v>
      </c>
      <c r="K3811" t="str">
        <f t="shared" si="191"/>
        <v>1+0</v>
      </c>
      <c r="L3811">
        <f>VLOOKUP(A3811,'ZONE 1 PREMIUM'!$A$3:$M$16,13,0)</f>
        <v>3</v>
      </c>
      <c r="M3811">
        <f>VLOOKUP(D3811,DROPDOWN!B:C,2,0)</f>
        <v>12</v>
      </c>
      <c r="N3811" t="str">
        <f t="shared" si="192"/>
        <v>BR3:CJ16</v>
      </c>
      <c r="O3811" s="4">
        <f t="shared" ca="1" si="190"/>
        <v>17215</v>
      </c>
    </row>
    <row r="3812" spans="1:15">
      <c r="A3812" s="2" t="s">
        <v>11</v>
      </c>
      <c r="B3812" t="s">
        <v>45</v>
      </c>
      <c r="C3812" t="s">
        <v>25</v>
      </c>
      <c r="D3812">
        <v>50</v>
      </c>
      <c r="E3812" t="s">
        <v>26</v>
      </c>
      <c r="F3812">
        <v>1</v>
      </c>
      <c r="G3812">
        <v>1</v>
      </c>
      <c r="H3812">
        <v>0</v>
      </c>
      <c r="I3812">
        <v>1</v>
      </c>
      <c r="J3812" s="4" t="s">
        <v>53</v>
      </c>
      <c r="K3812" t="str">
        <f t="shared" si="191"/>
        <v>1+0</v>
      </c>
      <c r="L3812">
        <f>VLOOKUP(A3812,'ZONE 1 PREMIUM'!$A$3:$M$16,13,0)</f>
        <v>4</v>
      </c>
      <c r="M3812">
        <f>VLOOKUP(D3812,DROPDOWN!B:C,2,0)</f>
        <v>12</v>
      </c>
      <c r="N3812" t="str">
        <f t="shared" si="192"/>
        <v>BR3:CJ16</v>
      </c>
      <c r="O3812" s="4">
        <f t="shared" ca="1" si="190"/>
        <v>60545.100000000006</v>
      </c>
    </row>
    <row r="3813" spans="1:15">
      <c r="A3813" s="2" t="s">
        <v>12</v>
      </c>
      <c r="B3813" t="s">
        <v>27</v>
      </c>
      <c r="C3813" t="s">
        <v>28</v>
      </c>
      <c r="D3813">
        <v>50</v>
      </c>
      <c r="E3813" t="s">
        <v>26</v>
      </c>
      <c r="F3813">
        <v>1</v>
      </c>
      <c r="G3813">
        <v>1</v>
      </c>
      <c r="H3813">
        <v>0</v>
      </c>
      <c r="I3813">
        <v>1</v>
      </c>
      <c r="J3813" s="4" t="s">
        <v>53</v>
      </c>
      <c r="K3813" t="str">
        <f t="shared" si="191"/>
        <v>1+0</v>
      </c>
      <c r="L3813">
        <f>VLOOKUP(A3813,'ZONE 1 PREMIUM'!$A$3:$M$16,13,0)</f>
        <v>5</v>
      </c>
      <c r="M3813">
        <f>VLOOKUP(D3813,DROPDOWN!B:C,2,0)</f>
        <v>12</v>
      </c>
      <c r="N3813" t="str">
        <f t="shared" si="192"/>
        <v>BR3:CJ16</v>
      </c>
      <c r="O3813" s="4">
        <f t="shared" ca="1" si="190"/>
        <v>68434.3</v>
      </c>
    </row>
    <row r="3814" spans="1:15">
      <c r="A3814" s="2" t="s">
        <v>13</v>
      </c>
      <c r="B3814" t="s">
        <v>29</v>
      </c>
      <c r="C3814" t="s">
        <v>30</v>
      </c>
      <c r="D3814">
        <v>50</v>
      </c>
      <c r="E3814" t="s">
        <v>26</v>
      </c>
      <c r="F3814">
        <v>1</v>
      </c>
      <c r="G3814">
        <v>1</v>
      </c>
      <c r="H3814">
        <v>0</v>
      </c>
      <c r="I3814">
        <v>1</v>
      </c>
      <c r="J3814" s="4" t="s">
        <v>53</v>
      </c>
      <c r="K3814" t="str">
        <f t="shared" si="191"/>
        <v>1+0</v>
      </c>
      <c r="L3814">
        <f>VLOOKUP(A3814,'ZONE 1 PREMIUM'!$A$3:$M$16,13,0)</f>
        <v>6</v>
      </c>
      <c r="M3814">
        <f>VLOOKUP(D3814,DROPDOWN!B:C,2,0)</f>
        <v>12</v>
      </c>
      <c r="N3814" t="str">
        <f t="shared" si="192"/>
        <v>BR3:CJ16</v>
      </c>
      <c r="O3814" s="4">
        <f t="shared" ca="1" si="190"/>
        <v>71434</v>
      </c>
    </row>
    <row r="3815" spans="1:15">
      <c r="A3815" s="2" t="s">
        <v>14</v>
      </c>
      <c r="B3815" t="s">
        <v>31</v>
      </c>
      <c r="C3815" t="s">
        <v>32</v>
      </c>
      <c r="D3815">
        <v>50</v>
      </c>
      <c r="E3815" t="s">
        <v>26</v>
      </c>
      <c r="F3815">
        <v>1</v>
      </c>
      <c r="G3815">
        <v>1</v>
      </c>
      <c r="H3815">
        <v>0</v>
      </c>
      <c r="I3815">
        <v>1</v>
      </c>
      <c r="J3815" s="4" t="s">
        <v>53</v>
      </c>
      <c r="K3815" t="str">
        <f t="shared" si="191"/>
        <v>1+0</v>
      </c>
      <c r="L3815">
        <f>VLOOKUP(A3815,'ZONE 1 PREMIUM'!$A$3:$M$16,13,0)</f>
        <v>7</v>
      </c>
      <c r="M3815">
        <f>VLOOKUP(D3815,DROPDOWN!B:C,2,0)</f>
        <v>12</v>
      </c>
      <c r="N3815" t="str">
        <f t="shared" si="192"/>
        <v>BR3:CJ16</v>
      </c>
      <c r="O3815" s="4">
        <f t="shared" ca="1" si="190"/>
        <v>80746.600000000006</v>
      </c>
    </row>
    <row r="3816" spans="1:15">
      <c r="A3816" s="2" t="s">
        <v>15</v>
      </c>
      <c r="B3816" t="s">
        <v>33</v>
      </c>
      <c r="C3816" t="s">
        <v>34</v>
      </c>
      <c r="D3816">
        <v>50</v>
      </c>
      <c r="E3816" t="s">
        <v>26</v>
      </c>
      <c r="F3816">
        <v>1</v>
      </c>
      <c r="G3816">
        <v>1</v>
      </c>
      <c r="H3816">
        <v>0</v>
      </c>
      <c r="I3816">
        <v>1</v>
      </c>
      <c r="J3816" s="4" t="s">
        <v>53</v>
      </c>
      <c r="K3816" t="str">
        <f t="shared" si="191"/>
        <v>1+0</v>
      </c>
      <c r="L3816">
        <f>VLOOKUP(A3816,'ZONE 1 PREMIUM'!$A$3:$M$16,13,0)</f>
        <v>8</v>
      </c>
      <c r="M3816">
        <f>VLOOKUP(D3816,DROPDOWN!B:C,2,0)</f>
        <v>12</v>
      </c>
      <c r="N3816" t="str">
        <f t="shared" si="192"/>
        <v>BR3:CJ16</v>
      </c>
      <c r="O3816" s="4">
        <f t="shared" ca="1" si="190"/>
        <v>97290.6</v>
      </c>
    </row>
    <row r="3817" spans="1:15">
      <c r="A3817" s="2" t="s">
        <v>16</v>
      </c>
      <c r="B3817" t="s">
        <v>35</v>
      </c>
      <c r="C3817" t="s">
        <v>36</v>
      </c>
      <c r="D3817">
        <v>50</v>
      </c>
      <c r="E3817" t="s">
        <v>26</v>
      </c>
      <c r="F3817">
        <v>1</v>
      </c>
      <c r="G3817">
        <v>1</v>
      </c>
      <c r="H3817">
        <v>0</v>
      </c>
      <c r="I3817">
        <v>1</v>
      </c>
      <c r="J3817" s="4" t="s">
        <v>53</v>
      </c>
      <c r="K3817" t="str">
        <f t="shared" si="191"/>
        <v>1+0</v>
      </c>
      <c r="L3817">
        <f>VLOOKUP(A3817,'ZONE 1 PREMIUM'!$A$3:$M$16,13,0)</f>
        <v>9</v>
      </c>
      <c r="M3817">
        <f>VLOOKUP(D3817,DROPDOWN!B:C,2,0)</f>
        <v>12</v>
      </c>
      <c r="N3817" t="str">
        <f t="shared" si="192"/>
        <v>BR3:CJ16</v>
      </c>
      <c r="O3817" s="4">
        <f t="shared" ca="1" si="190"/>
        <v>136523.20000000001</v>
      </c>
    </row>
    <row r="3818" spans="1:15">
      <c r="A3818" s="2" t="s">
        <v>17</v>
      </c>
      <c r="B3818" t="s">
        <v>37</v>
      </c>
      <c r="C3818" t="s">
        <v>38</v>
      </c>
      <c r="D3818">
        <v>50</v>
      </c>
      <c r="E3818" t="s">
        <v>26</v>
      </c>
      <c r="F3818">
        <v>1</v>
      </c>
      <c r="G3818">
        <v>1</v>
      </c>
      <c r="H3818">
        <v>0</v>
      </c>
      <c r="I3818">
        <v>1</v>
      </c>
      <c r="J3818" s="4" t="s">
        <v>53</v>
      </c>
      <c r="K3818" t="str">
        <f t="shared" si="191"/>
        <v>1+0</v>
      </c>
      <c r="L3818">
        <f>VLOOKUP(A3818,'ZONE 1 PREMIUM'!$A$3:$M$16,13,0)</f>
        <v>10</v>
      </c>
      <c r="M3818">
        <f>VLOOKUP(D3818,DROPDOWN!B:C,2,0)</f>
        <v>12</v>
      </c>
      <c r="N3818" t="str">
        <f t="shared" si="192"/>
        <v>BR3:CJ16</v>
      </c>
      <c r="O3818" s="4">
        <f t="shared" ca="1" si="190"/>
        <v>182410.80000000002</v>
      </c>
    </row>
    <row r="3819" spans="1:15">
      <c r="A3819" s="2" t="s">
        <v>18</v>
      </c>
      <c r="B3819" t="s">
        <v>39</v>
      </c>
      <c r="C3819" t="s">
        <v>40</v>
      </c>
      <c r="D3819">
        <v>50</v>
      </c>
      <c r="E3819" t="s">
        <v>26</v>
      </c>
      <c r="F3819">
        <v>1</v>
      </c>
      <c r="G3819">
        <v>1</v>
      </c>
      <c r="H3819">
        <v>0</v>
      </c>
      <c r="I3819">
        <v>1</v>
      </c>
      <c r="J3819" s="4" t="s">
        <v>53</v>
      </c>
      <c r="K3819" t="str">
        <f t="shared" si="191"/>
        <v>1+0</v>
      </c>
      <c r="L3819">
        <f>VLOOKUP(A3819,'ZONE 1 PREMIUM'!$A$3:$M$16,13,0)</f>
        <v>11</v>
      </c>
      <c r="M3819">
        <f>VLOOKUP(D3819,DROPDOWN!B:C,2,0)</f>
        <v>12</v>
      </c>
      <c r="N3819" t="str">
        <f t="shared" si="192"/>
        <v>BR3:CJ16</v>
      </c>
      <c r="O3819" s="4">
        <f t="shared" ca="1" si="190"/>
        <v>250521.7</v>
      </c>
    </row>
    <row r="3820" spans="1:15">
      <c r="A3820" s="2" t="s">
        <v>19</v>
      </c>
      <c r="B3820" t="s">
        <v>41</v>
      </c>
      <c r="C3820" t="s">
        <v>42</v>
      </c>
      <c r="D3820">
        <v>50</v>
      </c>
      <c r="E3820" t="s">
        <v>26</v>
      </c>
      <c r="F3820">
        <v>1</v>
      </c>
      <c r="G3820">
        <v>1</v>
      </c>
      <c r="H3820">
        <v>0</v>
      </c>
      <c r="I3820">
        <v>1</v>
      </c>
      <c r="J3820" s="4" t="s">
        <v>53</v>
      </c>
      <c r="K3820" t="str">
        <f t="shared" si="191"/>
        <v>1+0</v>
      </c>
      <c r="L3820">
        <f>VLOOKUP(A3820,'ZONE 1 PREMIUM'!$A$3:$M$16,13,0)</f>
        <v>12</v>
      </c>
      <c r="M3820">
        <f>VLOOKUP(D3820,DROPDOWN!B:C,2,0)</f>
        <v>12</v>
      </c>
      <c r="N3820" t="str">
        <f t="shared" si="192"/>
        <v>BR3:CJ16</v>
      </c>
      <c r="O3820" s="4">
        <f t="shared" ca="1" si="190"/>
        <v>317659.10000000003</v>
      </c>
    </row>
    <row r="3821" spans="1:15">
      <c r="A3821" s="2" t="s">
        <v>20</v>
      </c>
      <c r="B3821" t="s">
        <v>43</v>
      </c>
      <c r="C3821" t="s">
        <v>44</v>
      </c>
      <c r="D3821">
        <v>50</v>
      </c>
      <c r="E3821" t="s">
        <v>26</v>
      </c>
      <c r="F3821">
        <v>1</v>
      </c>
      <c r="G3821">
        <v>1</v>
      </c>
      <c r="H3821">
        <v>0</v>
      </c>
      <c r="I3821">
        <v>1</v>
      </c>
      <c r="J3821" s="4" t="s">
        <v>53</v>
      </c>
      <c r="K3821" t="str">
        <f t="shared" si="191"/>
        <v>1+0</v>
      </c>
      <c r="L3821">
        <f>VLOOKUP(A3821,'ZONE 1 PREMIUM'!$A$3:$M$16,13,0)</f>
        <v>13</v>
      </c>
      <c r="M3821">
        <f>VLOOKUP(D3821,DROPDOWN!B:C,2,0)</f>
        <v>12</v>
      </c>
      <c r="N3821" t="str">
        <f t="shared" si="192"/>
        <v>BR3:CJ16</v>
      </c>
      <c r="O3821" s="4">
        <f t="shared" ca="1" si="190"/>
        <v>371611.9</v>
      </c>
    </row>
    <row r="3822" spans="1:15">
      <c r="A3822" s="2" t="s">
        <v>21</v>
      </c>
      <c r="B3822" t="s">
        <v>22</v>
      </c>
      <c r="D3822">
        <v>50</v>
      </c>
      <c r="E3822" t="s">
        <v>26</v>
      </c>
      <c r="F3822">
        <v>1</v>
      </c>
      <c r="G3822">
        <v>1</v>
      </c>
      <c r="H3822">
        <v>0</v>
      </c>
      <c r="I3822">
        <v>1</v>
      </c>
      <c r="J3822" s="4" t="s">
        <v>53</v>
      </c>
      <c r="K3822" t="str">
        <f t="shared" si="191"/>
        <v>1+0</v>
      </c>
      <c r="L3822">
        <f>VLOOKUP(A3822,'ZONE 1 PREMIUM'!$A$3:$M$16,13,0)</f>
        <v>14</v>
      </c>
      <c r="M3822">
        <f>VLOOKUP(D3822,DROPDOWN!B:C,2,0)</f>
        <v>12</v>
      </c>
      <c r="N3822" t="str">
        <f t="shared" si="192"/>
        <v>BR3:CJ16</v>
      </c>
      <c r="O3822" s="4">
        <f t="shared" ca="1" si="190"/>
        <v>484684.2</v>
      </c>
    </row>
    <row r="3823" spans="1:15">
      <c r="A3823" s="2" t="s">
        <v>11</v>
      </c>
      <c r="B3823" t="s">
        <v>45</v>
      </c>
      <c r="C3823" t="s">
        <v>25</v>
      </c>
      <c r="D3823">
        <v>50</v>
      </c>
      <c r="E3823" t="s">
        <v>46</v>
      </c>
      <c r="F3823">
        <v>2</v>
      </c>
      <c r="G3823">
        <v>1</v>
      </c>
      <c r="H3823">
        <v>1</v>
      </c>
      <c r="I3823">
        <v>1</v>
      </c>
      <c r="J3823" s="4" t="s">
        <v>53</v>
      </c>
      <c r="K3823" t="str">
        <f t="shared" si="191"/>
        <v>1+1</v>
      </c>
      <c r="L3823">
        <f>VLOOKUP(A3823,'ZONE 1 PREMIUM'!$A$4:$N$16,14,0)</f>
        <v>2</v>
      </c>
      <c r="M3823">
        <f>VLOOKUP(D3823,DROPDOWN!B:C,2,0)</f>
        <v>12</v>
      </c>
      <c r="N3823" t="str">
        <f t="shared" si="192"/>
        <v>BR20:CJ31</v>
      </c>
      <c r="O3823" s="4">
        <f t="shared" ca="1" si="190"/>
        <v>62275.4</v>
      </c>
    </row>
    <row r="3824" spans="1:15">
      <c r="A3824" s="2" t="s">
        <v>12</v>
      </c>
      <c r="B3824" t="s">
        <v>27</v>
      </c>
      <c r="C3824" t="s">
        <v>28</v>
      </c>
      <c r="D3824">
        <v>50</v>
      </c>
      <c r="E3824" t="s">
        <v>46</v>
      </c>
      <c r="F3824">
        <v>2</v>
      </c>
      <c r="G3824">
        <v>1</v>
      </c>
      <c r="H3824">
        <v>1</v>
      </c>
      <c r="I3824">
        <v>1</v>
      </c>
      <c r="J3824" s="4" t="s">
        <v>53</v>
      </c>
      <c r="K3824" t="str">
        <f t="shared" si="191"/>
        <v>1+1</v>
      </c>
      <c r="L3824">
        <f>VLOOKUP(A3824,'ZONE 1 PREMIUM'!$A$4:$N$16,14,0)</f>
        <v>3</v>
      </c>
      <c r="M3824">
        <f>VLOOKUP(D3824,DROPDOWN!B:C,2,0)</f>
        <v>12</v>
      </c>
      <c r="N3824" t="str">
        <f t="shared" si="192"/>
        <v>BR20:CJ31</v>
      </c>
      <c r="O3824" s="4">
        <f t="shared" ca="1" si="190"/>
        <v>68614.700000000012</v>
      </c>
    </row>
    <row r="3825" spans="1:15">
      <c r="A3825" s="2" t="s">
        <v>13</v>
      </c>
      <c r="B3825" t="s">
        <v>29</v>
      </c>
      <c r="C3825" t="s">
        <v>30</v>
      </c>
      <c r="D3825">
        <v>50</v>
      </c>
      <c r="E3825" t="s">
        <v>46</v>
      </c>
      <c r="F3825">
        <v>2</v>
      </c>
      <c r="G3825">
        <v>1</v>
      </c>
      <c r="H3825">
        <v>1</v>
      </c>
      <c r="I3825">
        <v>1</v>
      </c>
      <c r="J3825" s="4" t="s">
        <v>53</v>
      </c>
      <c r="K3825" t="str">
        <f t="shared" si="191"/>
        <v>1+1</v>
      </c>
      <c r="L3825">
        <f>VLOOKUP(A3825,'ZONE 1 PREMIUM'!$A$4:$N$16,14,0)</f>
        <v>4</v>
      </c>
      <c r="M3825">
        <f>VLOOKUP(D3825,DROPDOWN!B:C,2,0)</f>
        <v>12</v>
      </c>
      <c r="N3825" t="str">
        <f t="shared" si="192"/>
        <v>BR20:CJ31</v>
      </c>
      <c r="O3825" s="4">
        <f t="shared" ca="1" si="190"/>
        <v>73310.600000000006</v>
      </c>
    </row>
    <row r="3826" spans="1:15">
      <c r="A3826" s="2" t="s">
        <v>14</v>
      </c>
      <c r="B3826" t="s">
        <v>31</v>
      </c>
      <c r="C3826" t="s">
        <v>32</v>
      </c>
      <c r="D3826">
        <v>50</v>
      </c>
      <c r="E3826" t="s">
        <v>46</v>
      </c>
      <c r="F3826">
        <v>2</v>
      </c>
      <c r="G3826">
        <v>1</v>
      </c>
      <c r="H3826">
        <v>1</v>
      </c>
      <c r="I3826">
        <v>1</v>
      </c>
      <c r="J3826" s="4" t="s">
        <v>53</v>
      </c>
      <c r="K3826" t="str">
        <f t="shared" si="191"/>
        <v>1+1</v>
      </c>
      <c r="L3826">
        <f>VLOOKUP(A3826,'ZONE 1 PREMIUM'!$A$4:$N$16,14,0)</f>
        <v>5</v>
      </c>
      <c r="M3826">
        <f>VLOOKUP(D3826,DROPDOWN!B:C,2,0)</f>
        <v>12</v>
      </c>
      <c r="N3826" t="str">
        <f t="shared" si="192"/>
        <v>BR20:CJ31</v>
      </c>
      <c r="O3826" s="4">
        <f t="shared" ca="1" si="190"/>
        <v>84696.700000000012</v>
      </c>
    </row>
    <row r="3827" spans="1:15">
      <c r="A3827" s="2" t="s">
        <v>15</v>
      </c>
      <c r="B3827" t="s">
        <v>33</v>
      </c>
      <c r="C3827" t="s">
        <v>34</v>
      </c>
      <c r="D3827">
        <v>50</v>
      </c>
      <c r="E3827" t="s">
        <v>46</v>
      </c>
      <c r="F3827">
        <v>2</v>
      </c>
      <c r="G3827">
        <v>1</v>
      </c>
      <c r="H3827">
        <v>1</v>
      </c>
      <c r="I3827">
        <v>1</v>
      </c>
      <c r="J3827" s="4" t="s">
        <v>53</v>
      </c>
      <c r="K3827" t="str">
        <f t="shared" si="191"/>
        <v>1+1</v>
      </c>
      <c r="L3827">
        <f>VLOOKUP(A3827,'ZONE 1 PREMIUM'!$A$4:$N$16,14,0)</f>
        <v>6</v>
      </c>
      <c r="M3827">
        <f>VLOOKUP(D3827,DROPDOWN!B:C,2,0)</f>
        <v>12</v>
      </c>
      <c r="N3827" t="str">
        <f t="shared" si="192"/>
        <v>BR20:CJ31</v>
      </c>
      <c r="O3827" s="4">
        <f t="shared" ca="1" si="190"/>
        <v>102325.3</v>
      </c>
    </row>
    <row r="3828" spans="1:15">
      <c r="A3828" s="2" t="s">
        <v>16</v>
      </c>
      <c r="B3828" t="s">
        <v>35</v>
      </c>
      <c r="C3828" t="s">
        <v>36</v>
      </c>
      <c r="D3828">
        <v>50</v>
      </c>
      <c r="E3828" t="s">
        <v>46</v>
      </c>
      <c r="F3828">
        <v>2</v>
      </c>
      <c r="G3828">
        <v>1</v>
      </c>
      <c r="H3828">
        <v>1</v>
      </c>
      <c r="I3828">
        <v>1</v>
      </c>
      <c r="J3828" s="4" t="s">
        <v>53</v>
      </c>
      <c r="K3828" t="str">
        <f t="shared" si="191"/>
        <v>1+1</v>
      </c>
      <c r="L3828">
        <f>VLOOKUP(A3828,'ZONE 1 PREMIUM'!$A$4:$N$16,14,0)</f>
        <v>7</v>
      </c>
      <c r="M3828">
        <f>VLOOKUP(D3828,DROPDOWN!B:C,2,0)</f>
        <v>12</v>
      </c>
      <c r="N3828" t="str">
        <f t="shared" si="192"/>
        <v>BR20:CJ31</v>
      </c>
      <c r="O3828" s="4">
        <f t="shared" ca="1" si="190"/>
        <v>139777</v>
      </c>
    </row>
    <row r="3829" spans="1:15">
      <c r="A3829" s="2" t="s">
        <v>17</v>
      </c>
      <c r="B3829" t="s">
        <v>37</v>
      </c>
      <c r="C3829" t="s">
        <v>38</v>
      </c>
      <c r="D3829">
        <v>50</v>
      </c>
      <c r="E3829" t="s">
        <v>46</v>
      </c>
      <c r="F3829">
        <v>2</v>
      </c>
      <c r="G3829">
        <v>1</v>
      </c>
      <c r="H3829">
        <v>1</v>
      </c>
      <c r="I3829">
        <v>1</v>
      </c>
      <c r="J3829" s="4" t="s">
        <v>53</v>
      </c>
      <c r="K3829" t="str">
        <f t="shared" si="191"/>
        <v>1+1</v>
      </c>
      <c r="L3829">
        <f>VLOOKUP(A3829,'ZONE 1 PREMIUM'!$A$4:$N$16,14,0)</f>
        <v>8</v>
      </c>
      <c r="M3829">
        <f>VLOOKUP(D3829,DROPDOWN!B:C,2,0)</f>
        <v>12</v>
      </c>
      <c r="N3829" t="str">
        <f t="shared" si="192"/>
        <v>BR20:CJ31</v>
      </c>
      <c r="O3829" s="4">
        <f t="shared" ca="1" si="190"/>
        <v>185606.30000000002</v>
      </c>
    </row>
    <row r="3830" spans="1:15">
      <c r="A3830" s="2" t="s">
        <v>18</v>
      </c>
      <c r="B3830" t="s">
        <v>39</v>
      </c>
      <c r="C3830" t="s">
        <v>40</v>
      </c>
      <c r="D3830">
        <v>50</v>
      </c>
      <c r="E3830" t="s">
        <v>46</v>
      </c>
      <c r="F3830">
        <v>2</v>
      </c>
      <c r="G3830">
        <v>1</v>
      </c>
      <c r="H3830">
        <v>1</v>
      </c>
      <c r="I3830">
        <v>1</v>
      </c>
      <c r="J3830" s="4" t="s">
        <v>53</v>
      </c>
      <c r="K3830" t="str">
        <f t="shared" si="191"/>
        <v>1+1</v>
      </c>
      <c r="L3830">
        <f>VLOOKUP(A3830,'ZONE 1 PREMIUM'!$A$4:$N$16,14,0)</f>
        <v>9</v>
      </c>
      <c r="M3830">
        <f>VLOOKUP(D3830,DROPDOWN!B:C,2,0)</f>
        <v>12</v>
      </c>
      <c r="N3830" t="str">
        <f t="shared" si="192"/>
        <v>BR20:CJ31</v>
      </c>
      <c r="O3830" s="4">
        <f t="shared" ca="1" si="190"/>
        <v>256555.2</v>
      </c>
    </row>
    <row r="3831" spans="1:15">
      <c r="A3831" s="2" t="s">
        <v>19</v>
      </c>
      <c r="B3831" t="s">
        <v>41</v>
      </c>
      <c r="C3831" t="s">
        <v>42</v>
      </c>
      <c r="D3831">
        <v>50</v>
      </c>
      <c r="E3831" t="s">
        <v>46</v>
      </c>
      <c r="F3831">
        <v>2</v>
      </c>
      <c r="G3831">
        <v>1</v>
      </c>
      <c r="H3831">
        <v>1</v>
      </c>
      <c r="I3831">
        <v>1</v>
      </c>
      <c r="J3831" s="4" t="s">
        <v>53</v>
      </c>
      <c r="K3831" t="str">
        <f t="shared" si="191"/>
        <v>1+1</v>
      </c>
      <c r="L3831">
        <f>VLOOKUP(A3831,'ZONE 1 PREMIUM'!$A$4:$N$16,14,0)</f>
        <v>10</v>
      </c>
      <c r="M3831">
        <f>VLOOKUP(D3831,DROPDOWN!B:C,2,0)</f>
        <v>12</v>
      </c>
      <c r="N3831" t="str">
        <f t="shared" si="192"/>
        <v>BR20:CJ31</v>
      </c>
      <c r="O3831" s="4">
        <f t="shared" ca="1" si="190"/>
        <v>323979.7</v>
      </c>
    </row>
    <row r="3832" spans="1:15">
      <c r="A3832" s="2" t="s">
        <v>20</v>
      </c>
      <c r="B3832" t="s">
        <v>43</v>
      </c>
      <c r="C3832" t="s">
        <v>44</v>
      </c>
      <c r="D3832">
        <v>50</v>
      </c>
      <c r="E3832" t="s">
        <v>46</v>
      </c>
      <c r="F3832">
        <v>2</v>
      </c>
      <c r="G3832">
        <v>1</v>
      </c>
      <c r="H3832">
        <v>1</v>
      </c>
      <c r="I3832">
        <v>1</v>
      </c>
      <c r="J3832" s="4" t="s">
        <v>53</v>
      </c>
      <c r="K3832" t="str">
        <f t="shared" si="191"/>
        <v>1+1</v>
      </c>
      <c r="L3832">
        <f>VLOOKUP(A3832,'ZONE 1 PREMIUM'!$A$4:$N$16,14,0)</f>
        <v>11</v>
      </c>
      <c r="M3832">
        <f>VLOOKUP(D3832,DROPDOWN!B:C,2,0)</f>
        <v>12</v>
      </c>
      <c r="N3832" t="str">
        <f t="shared" si="192"/>
        <v>BR20:CJ31</v>
      </c>
      <c r="O3832" s="4">
        <f t="shared" ca="1" si="190"/>
        <v>373690.9</v>
      </c>
    </row>
    <row r="3833" spans="1:15">
      <c r="A3833" s="2" t="s">
        <v>21</v>
      </c>
      <c r="B3833" t="s">
        <v>22</v>
      </c>
      <c r="D3833">
        <v>50</v>
      </c>
      <c r="E3833" t="s">
        <v>46</v>
      </c>
      <c r="F3833">
        <v>2</v>
      </c>
      <c r="G3833">
        <v>1</v>
      </c>
      <c r="H3833">
        <v>1</v>
      </c>
      <c r="I3833">
        <v>1</v>
      </c>
      <c r="J3833" s="4" t="s">
        <v>53</v>
      </c>
      <c r="K3833" t="str">
        <f t="shared" si="191"/>
        <v>1+1</v>
      </c>
      <c r="L3833">
        <f>VLOOKUP(A3833,'ZONE 1 PREMIUM'!$A$4:$N$16,14,0)</f>
        <v>12</v>
      </c>
      <c r="M3833">
        <f>VLOOKUP(D3833,DROPDOWN!B:C,2,0)</f>
        <v>12</v>
      </c>
      <c r="N3833" t="str">
        <f t="shared" si="192"/>
        <v>BR20:CJ31</v>
      </c>
      <c r="O3833" s="4">
        <f t="shared" ca="1" si="190"/>
        <v>494793.2</v>
      </c>
    </row>
    <row r="3834" spans="1:15">
      <c r="A3834" s="2" t="s">
        <v>11</v>
      </c>
      <c r="B3834" t="s">
        <v>45</v>
      </c>
      <c r="C3834" t="s">
        <v>25</v>
      </c>
      <c r="D3834">
        <v>50</v>
      </c>
      <c r="E3834" t="s">
        <v>46</v>
      </c>
      <c r="F3834">
        <v>3</v>
      </c>
      <c r="G3834">
        <v>1</v>
      </c>
      <c r="H3834">
        <v>2</v>
      </c>
      <c r="I3834">
        <v>1</v>
      </c>
      <c r="J3834" s="4" t="s">
        <v>53</v>
      </c>
      <c r="K3834" t="str">
        <f t="shared" si="191"/>
        <v>1+2</v>
      </c>
      <c r="L3834">
        <f>VLOOKUP(A3834,'ZONE 1 PREMIUM'!$A$4:$N$16,14,0)</f>
        <v>2</v>
      </c>
      <c r="M3834">
        <f>VLOOKUP(D3834,DROPDOWN!B:C,2,0)</f>
        <v>12</v>
      </c>
      <c r="N3834" t="str">
        <f t="shared" si="192"/>
        <v>BR35:CJ46</v>
      </c>
      <c r="O3834" s="4">
        <f t="shared" ca="1" si="190"/>
        <v>77053.900000000009</v>
      </c>
    </row>
    <row r="3835" spans="1:15">
      <c r="A3835" s="2" t="s">
        <v>12</v>
      </c>
      <c r="B3835" t="s">
        <v>27</v>
      </c>
      <c r="C3835" t="s">
        <v>28</v>
      </c>
      <c r="D3835">
        <v>50</v>
      </c>
      <c r="E3835" t="s">
        <v>46</v>
      </c>
      <c r="F3835">
        <v>3</v>
      </c>
      <c r="G3835">
        <v>1</v>
      </c>
      <c r="H3835">
        <v>2</v>
      </c>
      <c r="I3835">
        <v>1</v>
      </c>
      <c r="J3835" s="4" t="s">
        <v>53</v>
      </c>
      <c r="K3835" t="str">
        <f t="shared" si="191"/>
        <v>1+2</v>
      </c>
      <c r="L3835">
        <f>VLOOKUP(A3835,'ZONE 1 PREMIUM'!$A$4:$N$16,14,0)</f>
        <v>3</v>
      </c>
      <c r="M3835">
        <f>VLOOKUP(D3835,DROPDOWN!B:C,2,0)</f>
        <v>12</v>
      </c>
      <c r="N3835" t="str">
        <f t="shared" si="192"/>
        <v>BR35:CJ46</v>
      </c>
      <c r="O3835" s="4">
        <f t="shared" ca="1" si="190"/>
        <v>82848.700000000012</v>
      </c>
    </row>
    <row r="3836" spans="1:15">
      <c r="A3836" s="2" t="s">
        <v>13</v>
      </c>
      <c r="B3836" t="s">
        <v>29</v>
      </c>
      <c r="C3836" t="s">
        <v>30</v>
      </c>
      <c r="D3836">
        <v>50</v>
      </c>
      <c r="E3836" t="s">
        <v>46</v>
      </c>
      <c r="F3836">
        <v>3</v>
      </c>
      <c r="G3836">
        <v>1</v>
      </c>
      <c r="H3836">
        <v>2</v>
      </c>
      <c r="I3836">
        <v>1</v>
      </c>
      <c r="J3836" s="4" t="s">
        <v>53</v>
      </c>
      <c r="K3836" t="str">
        <f t="shared" si="191"/>
        <v>1+2</v>
      </c>
      <c r="L3836">
        <f>VLOOKUP(A3836,'ZONE 1 PREMIUM'!$A$4:$N$16,14,0)</f>
        <v>4</v>
      </c>
      <c r="M3836">
        <f>VLOOKUP(D3836,DROPDOWN!B:C,2,0)</f>
        <v>12</v>
      </c>
      <c r="N3836" t="str">
        <f t="shared" si="192"/>
        <v>BR35:CJ46</v>
      </c>
      <c r="O3836" s="4">
        <f t="shared" ca="1" si="190"/>
        <v>89784.200000000012</v>
      </c>
    </row>
    <row r="3837" spans="1:15">
      <c r="A3837" s="2" t="s">
        <v>14</v>
      </c>
      <c r="B3837" t="s">
        <v>31</v>
      </c>
      <c r="C3837" t="s">
        <v>32</v>
      </c>
      <c r="D3837">
        <v>50</v>
      </c>
      <c r="E3837" t="s">
        <v>46</v>
      </c>
      <c r="F3837">
        <v>3</v>
      </c>
      <c r="G3837">
        <v>1</v>
      </c>
      <c r="H3837">
        <v>2</v>
      </c>
      <c r="I3837">
        <v>1</v>
      </c>
      <c r="J3837" s="4" t="s">
        <v>53</v>
      </c>
      <c r="K3837" t="str">
        <f t="shared" si="191"/>
        <v>1+2</v>
      </c>
      <c r="L3837">
        <f>VLOOKUP(A3837,'ZONE 1 PREMIUM'!$A$4:$N$16,14,0)</f>
        <v>5</v>
      </c>
      <c r="M3837">
        <f>VLOOKUP(D3837,DROPDOWN!B:C,2,0)</f>
        <v>12</v>
      </c>
      <c r="N3837" t="str">
        <f t="shared" si="192"/>
        <v>BR35:CJ46</v>
      </c>
      <c r="O3837" s="4">
        <f t="shared" ca="1" si="190"/>
        <v>99457.600000000006</v>
      </c>
    </row>
    <row r="3838" spans="1:15">
      <c r="A3838" s="2" t="s">
        <v>15</v>
      </c>
      <c r="B3838" t="s">
        <v>33</v>
      </c>
      <c r="C3838" t="s">
        <v>34</v>
      </c>
      <c r="D3838">
        <v>50</v>
      </c>
      <c r="E3838" t="s">
        <v>46</v>
      </c>
      <c r="F3838">
        <v>3</v>
      </c>
      <c r="G3838">
        <v>1</v>
      </c>
      <c r="H3838">
        <v>2</v>
      </c>
      <c r="I3838">
        <v>1</v>
      </c>
      <c r="J3838" s="4" t="s">
        <v>53</v>
      </c>
      <c r="K3838" t="str">
        <f t="shared" si="191"/>
        <v>1+2</v>
      </c>
      <c r="L3838">
        <f>VLOOKUP(A3838,'ZONE 1 PREMIUM'!$A$4:$N$16,14,0)</f>
        <v>6</v>
      </c>
      <c r="M3838">
        <f>VLOOKUP(D3838,DROPDOWN!B:C,2,0)</f>
        <v>12</v>
      </c>
      <c r="N3838" t="str">
        <f t="shared" si="192"/>
        <v>BR35:CJ46</v>
      </c>
      <c r="O3838" s="4">
        <f t="shared" ca="1" si="190"/>
        <v>122438.8</v>
      </c>
    </row>
    <row r="3839" spans="1:15">
      <c r="A3839" s="2" t="s">
        <v>16</v>
      </c>
      <c r="B3839" t="s">
        <v>35</v>
      </c>
      <c r="C3839" t="s">
        <v>36</v>
      </c>
      <c r="D3839">
        <v>50</v>
      </c>
      <c r="E3839" t="s">
        <v>46</v>
      </c>
      <c r="F3839">
        <v>3</v>
      </c>
      <c r="G3839">
        <v>1</v>
      </c>
      <c r="H3839">
        <v>2</v>
      </c>
      <c r="I3839">
        <v>1</v>
      </c>
      <c r="J3839" s="4" t="s">
        <v>53</v>
      </c>
      <c r="K3839" t="str">
        <f t="shared" si="191"/>
        <v>1+2</v>
      </c>
      <c r="L3839">
        <f>VLOOKUP(A3839,'ZONE 1 PREMIUM'!$A$4:$N$16,14,0)</f>
        <v>7</v>
      </c>
      <c r="M3839">
        <f>VLOOKUP(D3839,DROPDOWN!B:C,2,0)</f>
        <v>12</v>
      </c>
      <c r="N3839" t="str">
        <f t="shared" si="192"/>
        <v>BR35:CJ46</v>
      </c>
      <c r="O3839" s="4">
        <f t="shared" ca="1" si="190"/>
        <v>164288.30000000002</v>
      </c>
    </row>
    <row r="3840" spans="1:15">
      <c r="A3840" s="2" t="s">
        <v>17</v>
      </c>
      <c r="B3840" t="s">
        <v>37</v>
      </c>
      <c r="C3840" t="s">
        <v>38</v>
      </c>
      <c r="D3840">
        <v>50</v>
      </c>
      <c r="E3840" t="s">
        <v>46</v>
      </c>
      <c r="F3840">
        <v>3</v>
      </c>
      <c r="G3840">
        <v>1</v>
      </c>
      <c r="H3840">
        <v>2</v>
      </c>
      <c r="I3840">
        <v>1</v>
      </c>
      <c r="J3840" s="4" t="s">
        <v>53</v>
      </c>
      <c r="K3840" t="str">
        <f t="shared" si="191"/>
        <v>1+2</v>
      </c>
      <c r="L3840">
        <f>VLOOKUP(A3840,'ZONE 1 PREMIUM'!$A$4:$N$16,14,0)</f>
        <v>8</v>
      </c>
      <c r="M3840">
        <f>VLOOKUP(D3840,DROPDOWN!B:C,2,0)</f>
        <v>12</v>
      </c>
      <c r="N3840" t="str">
        <f t="shared" si="192"/>
        <v>BR35:CJ46</v>
      </c>
      <c r="O3840" s="4">
        <f t="shared" ca="1" si="190"/>
        <v>211876.50000000003</v>
      </c>
    </row>
    <row r="3841" spans="1:15">
      <c r="A3841" s="2" t="s">
        <v>18</v>
      </c>
      <c r="B3841" t="s">
        <v>39</v>
      </c>
      <c r="C3841" t="s">
        <v>40</v>
      </c>
      <c r="D3841">
        <v>50</v>
      </c>
      <c r="E3841" t="s">
        <v>46</v>
      </c>
      <c r="F3841">
        <v>3</v>
      </c>
      <c r="G3841">
        <v>1</v>
      </c>
      <c r="H3841">
        <v>2</v>
      </c>
      <c r="I3841">
        <v>1</v>
      </c>
      <c r="J3841" s="4" t="s">
        <v>53</v>
      </c>
      <c r="K3841" t="str">
        <f t="shared" si="191"/>
        <v>1+2</v>
      </c>
      <c r="L3841">
        <f>VLOOKUP(A3841,'ZONE 1 PREMIUM'!$A$4:$N$16,14,0)</f>
        <v>9</v>
      </c>
      <c r="M3841">
        <f>VLOOKUP(D3841,DROPDOWN!B:C,2,0)</f>
        <v>12</v>
      </c>
      <c r="N3841" t="str">
        <f t="shared" si="192"/>
        <v>BR35:CJ46</v>
      </c>
      <c r="O3841" s="4">
        <f t="shared" ca="1" si="190"/>
        <v>277007.5</v>
      </c>
    </row>
    <row r="3842" spans="1:15">
      <c r="A3842" s="2" t="s">
        <v>19</v>
      </c>
      <c r="B3842" t="s">
        <v>41</v>
      </c>
      <c r="C3842" t="s">
        <v>42</v>
      </c>
      <c r="D3842">
        <v>50</v>
      </c>
      <c r="E3842" t="s">
        <v>46</v>
      </c>
      <c r="F3842">
        <v>3</v>
      </c>
      <c r="G3842">
        <v>1</v>
      </c>
      <c r="H3842">
        <v>2</v>
      </c>
      <c r="I3842">
        <v>1</v>
      </c>
      <c r="J3842" s="4" t="s">
        <v>53</v>
      </c>
      <c r="K3842" t="str">
        <f t="shared" si="191"/>
        <v>1+2</v>
      </c>
      <c r="L3842">
        <f>VLOOKUP(A3842,'ZONE 1 PREMIUM'!$A$4:$N$16,14,0)</f>
        <v>10</v>
      </c>
      <c r="M3842">
        <f>VLOOKUP(D3842,DROPDOWN!B:C,2,0)</f>
        <v>12</v>
      </c>
      <c r="N3842" t="str">
        <f t="shared" si="192"/>
        <v>BR35:CJ46</v>
      </c>
      <c r="O3842" s="4">
        <f t="shared" ref="O3842:O3905" ca="1" si="193">INDEX(INDIRECT(N3842),L3842,M3842)</f>
        <v>349782.4</v>
      </c>
    </row>
    <row r="3843" spans="1:15">
      <c r="A3843" s="2" t="s">
        <v>20</v>
      </c>
      <c r="B3843" t="s">
        <v>43</v>
      </c>
      <c r="C3843" t="s">
        <v>44</v>
      </c>
      <c r="D3843">
        <v>50</v>
      </c>
      <c r="E3843" t="s">
        <v>46</v>
      </c>
      <c r="F3843">
        <v>3</v>
      </c>
      <c r="G3843">
        <v>1</v>
      </c>
      <c r="H3843">
        <v>2</v>
      </c>
      <c r="I3843">
        <v>1</v>
      </c>
      <c r="J3843" s="4" t="s">
        <v>53</v>
      </c>
      <c r="K3843" t="str">
        <f t="shared" si="191"/>
        <v>1+2</v>
      </c>
      <c r="L3843">
        <f>VLOOKUP(A3843,'ZONE 1 PREMIUM'!$A$4:$N$16,14,0)</f>
        <v>11</v>
      </c>
      <c r="M3843">
        <f>VLOOKUP(D3843,DROPDOWN!B:C,2,0)</f>
        <v>12</v>
      </c>
      <c r="N3843" t="str">
        <f t="shared" si="192"/>
        <v>BR35:CJ46</v>
      </c>
      <c r="O3843" s="4">
        <f t="shared" ca="1" si="193"/>
        <v>404773.60000000003</v>
      </c>
    </row>
    <row r="3844" spans="1:15">
      <c r="A3844" s="2" t="s">
        <v>21</v>
      </c>
      <c r="B3844" t="s">
        <v>22</v>
      </c>
      <c r="D3844">
        <v>50</v>
      </c>
      <c r="E3844" t="s">
        <v>46</v>
      </c>
      <c r="F3844">
        <v>3</v>
      </c>
      <c r="G3844">
        <v>1</v>
      </c>
      <c r="H3844">
        <v>2</v>
      </c>
      <c r="I3844">
        <v>1</v>
      </c>
      <c r="J3844" s="4" t="s">
        <v>53</v>
      </c>
      <c r="K3844" t="str">
        <f t="shared" ref="K3844:K3907" si="194">G3844&amp;"+"&amp;H3844</f>
        <v>1+2</v>
      </c>
      <c r="L3844">
        <f>VLOOKUP(A3844,'ZONE 1 PREMIUM'!$A$4:$N$16,14,0)</f>
        <v>12</v>
      </c>
      <c r="M3844">
        <f>VLOOKUP(D3844,DROPDOWN!B:C,2,0)</f>
        <v>12</v>
      </c>
      <c r="N3844" t="str">
        <f t="shared" si="192"/>
        <v>BR35:CJ46</v>
      </c>
      <c r="O3844" s="4">
        <f t="shared" ca="1" si="193"/>
        <v>517155.10000000003</v>
      </c>
    </row>
    <row r="3845" spans="1:15">
      <c r="A3845" s="2" t="s">
        <v>11</v>
      </c>
      <c r="B3845" t="s">
        <v>45</v>
      </c>
      <c r="C3845" t="s">
        <v>25</v>
      </c>
      <c r="D3845">
        <v>50</v>
      </c>
      <c r="E3845" t="s">
        <v>46</v>
      </c>
      <c r="F3845">
        <v>4</v>
      </c>
      <c r="G3845">
        <v>1</v>
      </c>
      <c r="H3845">
        <v>3</v>
      </c>
      <c r="I3845">
        <v>1</v>
      </c>
      <c r="J3845" s="4" t="s">
        <v>53</v>
      </c>
      <c r="K3845" t="str">
        <f t="shared" si="194"/>
        <v>1+3</v>
      </c>
      <c r="L3845">
        <f>VLOOKUP(A3845,'ZONE 1 PREMIUM'!$A$4:$N$16,14,0)</f>
        <v>2</v>
      </c>
      <c r="M3845">
        <f>VLOOKUP(D3845,DROPDOWN!B:C,2,0)</f>
        <v>12</v>
      </c>
      <c r="N3845" t="str">
        <f t="shared" si="192"/>
        <v>BR50:CJ61</v>
      </c>
      <c r="O3845" s="4">
        <f t="shared" ca="1" si="193"/>
        <v>91832.400000000009</v>
      </c>
    </row>
    <row r="3846" spans="1:15">
      <c r="A3846" s="2" t="s">
        <v>12</v>
      </c>
      <c r="B3846" t="s">
        <v>27</v>
      </c>
      <c r="C3846" t="s">
        <v>28</v>
      </c>
      <c r="D3846">
        <v>50</v>
      </c>
      <c r="E3846" t="s">
        <v>46</v>
      </c>
      <c r="F3846">
        <v>4</v>
      </c>
      <c r="G3846">
        <v>1</v>
      </c>
      <c r="H3846">
        <v>3</v>
      </c>
      <c r="I3846">
        <v>1</v>
      </c>
      <c r="J3846" s="4" t="s">
        <v>53</v>
      </c>
      <c r="K3846" t="str">
        <f t="shared" si="194"/>
        <v>1+3</v>
      </c>
      <c r="L3846">
        <f>VLOOKUP(A3846,'ZONE 1 PREMIUM'!$A$4:$N$16,14,0)</f>
        <v>3</v>
      </c>
      <c r="M3846">
        <f>VLOOKUP(D3846,DROPDOWN!B:C,2,0)</f>
        <v>12</v>
      </c>
      <c r="N3846" t="str">
        <f t="shared" si="192"/>
        <v>BR50:CJ61</v>
      </c>
      <c r="O3846" s="4">
        <f t="shared" ca="1" si="193"/>
        <v>97423.700000000012</v>
      </c>
    </row>
    <row r="3847" spans="1:15">
      <c r="A3847" s="2" t="s">
        <v>13</v>
      </c>
      <c r="B3847" t="s">
        <v>29</v>
      </c>
      <c r="C3847" t="s">
        <v>30</v>
      </c>
      <c r="D3847">
        <v>50</v>
      </c>
      <c r="E3847" t="s">
        <v>46</v>
      </c>
      <c r="F3847">
        <v>4</v>
      </c>
      <c r="G3847">
        <v>1</v>
      </c>
      <c r="H3847">
        <v>3</v>
      </c>
      <c r="I3847">
        <v>1</v>
      </c>
      <c r="J3847" s="4" t="s">
        <v>53</v>
      </c>
      <c r="K3847" t="str">
        <f t="shared" si="194"/>
        <v>1+3</v>
      </c>
      <c r="L3847">
        <f>VLOOKUP(A3847,'ZONE 1 PREMIUM'!$A$4:$N$16,14,0)</f>
        <v>4</v>
      </c>
      <c r="M3847">
        <f>VLOOKUP(D3847,DROPDOWN!B:C,2,0)</f>
        <v>12</v>
      </c>
      <c r="N3847" t="str">
        <f t="shared" si="192"/>
        <v>BR50:CJ61</v>
      </c>
      <c r="O3847" s="4">
        <f t="shared" ca="1" si="193"/>
        <v>106621.90000000001</v>
      </c>
    </row>
    <row r="3848" spans="1:15">
      <c r="A3848" s="2" t="s">
        <v>14</v>
      </c>
      <c r="B3848" t="s">
        <v>31</v>
      </c>
      <c r="C3848" t="s">
        <v>32</v>
      </c>
      <c r="D3848">
        <v>50</v>
      </c>
      <c r="E3848" t="s">
        <v>46</v>
      </c>
      <c r="F3848">
        <v>4</v>
      </c>
      <c r="G3848">
        <v>1</v>
      </c>
      <c r="H3848">
        <v>3</v>
      </c>
      <c r="I3848">
        <v>1</v>
      </c>
      <c r="J3848" s="4" t="s">
        <v>53</v>
      </c>
      <c r="K3848" t="str">
        <f t="shared" si="194"/>
        <v>1+3</v>
      </c>
      <c r="L3848">
        <f>VLOOKUP(A3848,'ZONE 1 PREMIUM'!$A$4:$N$16,14,0)</f>
        <v>5</v>
      </c>
      <c r="M3848">
        <f>VLOOKUP(D3848,DROPDOWN!B:C,2,0)</f>
        <v>12</v>
      </c>
      <c r="N3848" t="str">
        <f t="shared" si="192"/>
        <v>BR50:CJ61</v>
      </c>
      <c r="O3848" s="4">
        <f t="shared" ca="1" si="193"/>
        <v>117475.6</v>
      </c>
    </row>
    <row r="3849" spans="1:15">
      <c r="A3849" s="2" t="s">
        <v>15</v>
      </c>
      <c r="B3849" t="s">
        <v>33</v>
      </c>
      <c r="C3849" t="s">
        <v>34</v>
      </c>
      <c r="D3849">
        <v>50</v>
      </c>
      <c r="E3849" t="s">
        <v>46</v>
      </c>
      <c r="F3849">
        <v>4</v>
      </c>
      <c r="G3849">
        <v>1</v>
      </c>
      <c r="H3849">
        <v>3</v>
      </c>
      <c r="I3849">
        <v>1</v>
      </c>
      <c r="J3849" s="4" t="s">
        <v>53</v>
      </c>
      <c r="K3849" t="str">
        <f t="shared" si="194"/>
        <v>1+3</v>
      </c>
      <c r="L3849">
        <f>VLOOKUP(A3849,'ZONE 1 PREMIUM'!$A$4:$N$16,14,0)</f>
        <v>6</v>
      </c>
      <c r="M3849">
        <f>VLOOKUP(D3849,DROPDOWN!B:C,2,0)</f>
        <v>12</v>
      </c>
      <c r="N3849" t="str">
        <f t="shared" si="192"/>
        <v>BR50:CJ61</v>
      </c>
      <c r="O3849" s="4">
        <f t="shared" ca="1" si="193"/>
        <v>142551.20000000001</v>
      </c>
    </row>
    <row r="3850" spans="1:15">
      <c r="A3850" s="2" t="s">
        <v>16</v>
      </c>
      <c r="B3850" t="s">
        <v>35</v>
      </c>
      <c r="C3850" t="s">
        <v>36</v>
      </c>
      <c r="D3850">
        <v>50</v>
      </c>
      <c r="E3850" t="s">
        <v>46</v>
      </c>
      <c r="F3850">
        <v>4</v>
      </c>
      <c r="G3850">
        <v>1</v>
      </c>
      <c r="H3850">
        <v>3</v>
      </c>
      <c r="I3850">
        <v>1</v>
      </c>
      <c r="J3850" s="4" t="s">
        <v>53</v>
      </c>
      <c r="K3850" t="str">
        <f t="shared" si="194"/>
        <v>1+3</v>
      </c>
      <c r="L3850">
        <f>VLOOKUP(A3850,'ZONE 1 PREMIUM'!$A$4:$N$16,14,0)</f>
        <v>7</v>
      </c>
      <c r="M3850">
        <f>VLOOKUP(D3850,DROPDOWN!B:C,2,0)</f>
        <v>12</v>
      </c>
      <c r="N3850" t="str">
        <f t="shared" si="192"/>
        <v>BR50:CJ61</v>
      </c>
      <c r="O3850" s="4">
        <f t="shared" ca="1" si="193"/>
        <v>185967.1</v>
      </c>
    </row>
    <row r="3851" spans="1:15">
      <c r="A3851" s="2" t="s">
        <v>17</v>
      </c>
      <c r="B3851" t="s">
        <v>37</v>
      </c>
      <c r="C3851" t="s">
        <v>38</v>
      </c>
      <c r="D3851">
        <v>50</v>
      </c>
      <c r="E3851" t="s">
        <v>46</v>
      </c>
      <c r="F3851">
        <v>4</v>
      </c>
      <c r="G3851">
        <v>1</v>
      </c>
      <c r="H3851">
        <v>3</v>
      </c>
      <c r="I3851">
        <v>1</v>
      </c>
      <c r="J3851" s="4" t="s">
        <v>53</v>
      </c>
      <c r="K3851" t="str">
        <f t="shared" si="194"/>
        <v>1+3</v>
      </c>
      <c r="L3851">
        <f>VLOOKUP(A3851,'ZONE 1 PREMIUM'!$A$4:$N$16,14,0)</f>
        <v>8</v>
      </c>
      <c r="M3851">
        <f>VLOOKUP(D3851,DROPDOWN!B:C,2,0)</f>
        <v>12</v>
      </c>
      <c r="N3851" t="str">
        <f t="shared" si="192"/>
        <v>BR50:CJ61</v>
      </c>
      <c r="O3851" s="4">
        <f t="shared" ca="1" si="193"/>
        <v>230407.1</v>
      </c>
    </row>
    <row r="3852" spans="1:15">
      <c r="A3852" s="2" t="s">
        <v>18</v>
      </c>
      <c r="B3852" t="s">
        <v>39</v>
      </c>
      <c r="C3852" t="s">
        <v>40</v>
      </c>
      <c r="D3852">
        <v>50</v>
      </c>
      <c r="E3852" t="s">
        <v>46</v>
      </c>
      <c r="F3852">
        <v>4</v>
      </c>
      <c r="G3852">
        <v>1</v>
      </c>
      <c r="H3852">
        <v>3</v>
      </c>
      <c r="I3852">
        <v>1</v>
      </c>
      <c r="J3852" s="4" t="s">
        <v>53</v>
      </c>
      <c r="K3852" t="str">
        <f t="shared" si="194"/>
        <v>1+3</v>
      </c>
      <c r="L3852">
        <f>VLOOKUP(A3852,'ZONE 1 PREMIUM'!$A$4:$N$16,14,0)</f>
        <v>9</v>
      </c>
      <c r="M3852">
        <f>VLOOKUP(D3852,DROPDOWN!B:C,2,0)</f>
        <v>12</v>
      </c>
      <c r="N3852" t="str">
        <f t="shared" si="192"/>
        <v>BR50:CJ61</v>
      </c>
      <c r="O3852" s="4">
        <f t="shared" ca="1" si="193"/>
        <v>297643.5</v>
      </c>
    </row>
    <row r="3853" spans="1:15">
      <c r="A3853" s="2" t="s">
        <v>19</v>
      </c>
      <c r="B3853" t="s">
        <v>41</v>
      </c>
      <c r="C3853" t="s">
        <v>42</v>
      </c>
      <c r="D3853">
        <v>50</v>
      </c>
      <c r="E3853" t="s">
        <v>46</v>
      </c>
      <c r="F3853">
        <v>4</v>
      </c>
      <c r="G3853">
        <v>1</v>
      </c>
      <c r="H3853">
        <v>3</v>
      </c>
      <c r="I3853">
        <v>1</v>
      </c>
      <c r="J3853" s="4" t="s">
        <v>53</v>
      </c>
      <c r="K3853" t="str">
        <f t="shared" si="194"/>
        <v>1+3</v>
      </c>
      <c r="L3853">
        <f>VLOOKUP(A3853,'ZONE 1 PREMIUM'!$A$4:$N$16,14,0)</f>
        <v>10</v>
      </c>
      <c r="M3853">
        <f>VLOOKUP(D3853,DROPDOWN!B:C,2,0)</f>
        <v>12</v>
      </c>
      <c r="N3853" t="str">
        <f t="shared" si="192"/>
        <v>BR50:CJ61</v>
      </c>
      <c r="O3853" s="4">
        <f t="shared" ca="1" si="193"/>
        <v>365526.7</v>
      </c>
    </row>
    <row r="3854" spans="1:15">
      <c r="A3854" s="2" t="s">
        <v>20</v>
      </c>
      <c r="B3854" t="s">
        <v>43</v>
      </c>
      <c r="C3854" t="s">
        <v>44</v>
      </c>
      <c r="D3854">
        <v>50</v>
      </c>
      <c r="E3854" t="s">
        <v>46</v>
      </c>
      <c r="F3854">
        <v>4</v>
      </c>
      <c r="G3854">
        <v>1</v>
      </c>
      <c r="H3854">
        <v>3</v>
      </c>
      <c r="I3854">
        <v>1</v>
      </c>
      <c r="J3854" s="4" t="s">
        <v>53</v>
      </c>
      <c r="K3854" t="str">
        <f t="shared" si="194"/>
        <v>1+3</v>
      </c>
      <c r="L3854">
        <f>VLOOKUP(A3854,'ZONE 1 PREMIUM'!$A$4:$N$16,14,0)</f>
        <v>11</v>
      </c>
      <c r="M3854">
        <f>VLOOKUP(D3854,DROPDOWN!B:C,2,0)</f>
        <v>12</v>
      </c>
      <c r="N3854" t="str">
        <f t="shared" si="192"/>
        <v>BR50:CJ61</v>
      </c>
      <c r="O3854" s="4">
        <f t="shared" ca="1" si="193"/>
        <v>419637.9</v>
      </c>
    </row>
    <row r="3855" spans="1:15">
      <c r="A3855" s="2" t="s">
        <v>21</v>
      </c>
      <c r="B3855" t="s">
        <v>22</v>
      </c>
      <c r="D3855">
        <v>50</v>
      </c>
      <c r="E3855" t="s">
        <v>46</v>
      </c>
      <c r="F3855">
        <v>4</v>
      </c>
      <c r="G3855">
        <v>1</v>
      </c>
      <c r="H3855">
        <v>3</v>
      </c>
      <c r="I3855">
        <v>1</v>
      </c>
      <c r="J3855" s="4" t="s">
        <v>53</v>
      </c>
      <c r="K3855" t="str">
        <f t="shared" si="194"/>
        <v>1+3</v>
      </c>
      <c r="L3855">
        <f>VLOOKUP(A3855,'ZONE 1 PREMIUM'!$A$4:$N$16,14,0)</f>
        <v>12</v>
      </c>
      <c r="M3855">
        <f>VLOOKUP(D3855,DROPDOWN!B:C,2,0)</f>
        <v>12</v>
      </c>
      <c r="N3855" t="str">
        <f t="shared" si="192"/>
        <v>BR50:CJ61</v>
      </c>
      <c r="O3855" s="4">
        <f t="shared" ca="1" si="193"/>
        <v>533269</v>
      </c>
    </row>
    <row r="3856" spans="1:15">
      <c r="A3856" s="2" t="s">
        <v>11</v>
      </c>
      <c r="B3856" t="s">
        <v>45</v>
      </c>
      <c r="C3856" t="s">
        <v>25</v>
      </c>
      <c r="D3856">
        <v>50</v>
      </c>
      <c r="E3856" t="s">
        <v>46</v>
      </c>
      <c r="F3856">
        <v>5</v>
      </c>
      <c r="G3856">
        <v>1</v>
      </c>
      <c r="H3856">
        <v>4</v>
      </c>
      <c r="I3856">
        <v>1</v>
      </c>
      <c r="J3856" s="4" t="s">
        <v>53</v>
      </c>
      <c r="K3856" t="str">
        <f t="shared" si="194"/>
        <v>1+4</v>
      </c>
      <c r="L3856">
        <f>VLOOKUP(A3856,'ZONE 1 PREMIUM'!$A$4:$N$16,14,0)</f>
        <v>2</v>
      </c>
      <c r="M3856">
        <f>VLOOKUP(D3856,DROPDOWN!B:C,2,0)</f>
        <v>12</v>
      </c>
      <c r="N3856" t="str">
        <f t="shared" si="192"/>
        <v>BR65:CJ76</v>
      </c>
      <c r="O3856" s="4">
        <f t="shared" ca="1" si="193"/>
        <v>106612.00000000001</v>
      </c>
    </row>
    <row r="3857" spans="1:15">
      <c r="A3857" s="2" t="s">
        <v>12</v>
      </c>
      <c r="B3857" t="s">
        <v>27</v>
      </c>
      <c r="C3857" t="s">
        <v>28</v>
      </c>
      <c r="D3857">
        <v>50</v>
      </c>
      <c r="E3857" t="s">
        <v>46</v>
      </c>
      <c r="F3857">
        <v>5</v>
      </c>
      <c r="G3857">
        <v>1</v>
      </c>
      <c r="H3857">
        <v>4</v>
      </c>
      <c r="I3857">
        <v>1</v>
      </c>
      <c r="J3857" s="4" t="s">
        <v>53</v>
      </c>
      <c r="K3857" t="str">
        <f t="shared" si="194"/>
        <v>1+4</v>
      </c>
      <c r="L3857">
        <f>VLOOKUP(A3857,'ZONE 1 PREMIUM'!$A$4:$N$16,14,0)</f>
        <v>3</v>
      </c>
      <c r="M3857">
        <f>VLOOKUP(D3857,DROPDOWN!B:C,2,0)</f>
        <v>12</v>
      </c>
      <c r="N3857" t="str">
        <f t="shared" si="192"/>
        <v>BR65:CJ76</v>
      </c>
      <c r="O3857" s="4">
        <f t="shared" ca="1" si="193"/>
        <v>111997.6</v>
      </c>
    </row>
    <row r="3858" spans="1:15">
      <c r="A3858" s="2" t="s">
        <v>13</v>
      </c>
      <c r="B3858" t="s">
        <v>29</v>
      </c>
      <c r="C3858" t="s">
        <v>30</v>
      </c>
      <c r="D3858">
        <v>50</v>
      </c>
      <c r="E3858" t="s">
        <v>46</v>
      </c>
      <c r="F3858">
        <v>5</v>
      </c>
      <c r="G3858">
        <v>1</v>
      </c>
      <c r="H3858">
        <v>4</v>
      </c>
      <c r="I3858">
        <v>1</v>
      </c>
      <c r="J3858" s="4" t="s">
        <v>53</v>
      </c>
      <c r="K3858" t="str">
        <f t="shared" si="194"/>
        <v>1+4</v>
      </c>
      <c r="L3858">
        <f>VLOOKUP(A3858,'ZONE 1 PREMIUM'!$A$4:$N$16,14,0)</f>
        <v>4</v>
      </c>
      <c r="M3858">
        <f>VLOOKUP(D3858,DROPDOWN!B:C,2,0)</f>
        <v>12</v>
      </c>
      <c r="N3858" t="str">
        <f t="shared" si="192"/>
        <v>BR65:CJ76</v>
      </c>
      <c r="O3858" s="4">
        <f t="shared" ca="1" si="193"/>
        <v>123459.6</v>
      </c>
    </row>
    <row r="3859" spans="1:15">
      <c r="A3859" s="2" t="s">
        <v>14</v>
      </c>
      <c r="B3859" t="s">
        <v>31</v>
      </c>
      <c r="C3859" t="s">
        <v>32</v>
      </c>
      <c r="D3859">
        <v>50</v>
      </c>
      <c r="E3859" t="s">
        <v>46</v>
      </c>
      <c r="F3859">
        <v>5</v>
      </c>
      <c r="G3859">
        <v>1</v>
      </c>
      <c r="H3859">
        <v>4</v>
      </c>
      <c r="I3859">
        <v>1</v>
      </c>
      <c r="J3859" s="4" t="s">
        <v>53</v>
      </c>
      <c r="K3859" t="str">
        <f t="shared" si="194"/>
        <v>1+4</v>
      </c>
      <c r="L3859">
        <f>VLOOKUP(A3859,'ZONE 1 PREMIUM'!$A$4:$N$16,14,0)</f>
        <v>5</v>
      </c>
      <c r="M3859">
        <f>VLOOKUP(D3859,DROPDOWN!B:C,2,0)</f>
        <v>12</v>
      </c>
      <c r="N3859" t="str">
        <f t="shared" si="192"/>
        <v>BR65:CJ76</v>
      </c>
      <c r="O3859" s="4">
        <f t="shared" ca="1" si="193"/>
        <v>135493.6</v>
      </c>
    </row>
    <row r="3860" spans="1:15">
      <c r="A3860" s="2" t="s">
        <v>15</v>
      </c>
      <c r="B3860" t="s">
        <v>33</v>
      </c>
      <c r="C3860" t="s">
        <v>34</v>
      </c>
      <c r="D3860">
        <v>50</v>
      </c>
      <c r="E3860" t="s">
        <v>46</v>
      </c>
      <c r="F3860">
        <v>5</v>
      </c>
      <c r="G3860">
        <v>1</v>
      </c>
      <c r="H3860">
        <v>4</v>
      </c>
      <c r="I3860">
        <v>1</v>
      </c>
      <c r="J3860" s="4" t="s">
        <v>53</v>
      </c>
      <c r="K3860" t="str">
        <f t="shared" si="194"/>
        <v>1+4</v>
      </c>
      <c r="L3860">
        <f>VLOOKUP(A3860,'ZONE 1 PREMIUM'!$A$4:$N$16,14,0)</f>
        <v>6</v>
      </c>
      <c r="M3860">
        <f>VLOOKUP(D3860,DROPDOWN!B:C,2,0)</f>
        <v>12</v>
      </c>
      <c r="N3860" t="str">
        <f t="shared" si="192"/>
        <v>BR65:CJ76</v>
      </c>
      <c r="O3860" s="4">
        <f t="shared" ca="1" si="193"/>
        <v>162664.70000000001</v>
      </c>
    </row>
    <row r="3861" spans="1:15">
      <c r="A3861" s="2" t="s">
        <v>16</v>
      </c>
      <c r="B3861" t="s">
        <v>35</v>
      </c>
      <c r="C3861" t="s">
        <v>36</v>
      </c>
      <c r="D3861">
        <v>50</v>
      </c>
      <c r="E3861" t="s">
        <v>46</v>
      </c>
      <c r="F3861">
        <v>5</v>
      </c>
      <c r="G3861">
        <v>1</v>
      </c>
      <c r="H3861">
        <v>4</v>
      </c>
      <c r="I3861">
        <v>1</v>
      </c>
      <c r="J3861" s="4" t="s">
        <v>53</v>
      </c>
      <c r="K3861" t="str">
        <f t="shared" si="194"/>
        <v>1+4</v>
      </c>
      <c r="L3861">
        <f>VLOOKUP(A3861,'ZONE 1 PREMIUM'!$A$4:$N$16,14,0)</f>
        <v>7</v>
      </c>
      <c r="M3861">
        <f>VLOOKUP(D3861,DROPDOWN!B:C,2,0)</f>
        <v>12</v>
      </c>
      <c r="N3861" t="str">
        <f t="shared" si="192"/>
        <v>BR65:CJ76</v>
      </c>
      <c r="O3861" s="4">
        <f t="shared" ca="1" si="193"/>
        <v>203711.2</v>
      </c>
    </row>
    <row r="3862" spans="1:15">
      <c r="A3862" s="2" t="s">
        <v>17</v>
      </c>
      <c r="B3862" t="s">
        <v>37</v>
      </c>
      <c r="C3862" t="s">
        <v>38</v>
      </c>
      <c r="D3862">
        <v>50</v>
      </c>
      <c r="E3862" t="s">
        <v>46</v>
      </c>
      <c r="F3862">
        <v>5</v>
      </c>
      <c r="G3862">
        <v>1</v>
      </c>
      <c r="H3862">
        <v>4</v>
      </c>
      <c r="I3862">
        <v>1</v>
      </c>
      <c r="J3862" s="4" t="s">
        <v>53</v>
      </c>
      <c r="K3862" t="str">
        <f t="shared" si="194"/>
        <v>1+4</v>
      </c>
      <c r="L3862">
        <f>VLOOKUP(A3862,'ZONE 1 PREMIUM'!$A$4:$N$16,14,0)</f>
        <v>8</v>
      </c>
      <c r="M3862">
        <f>VLOOKUP(D3862,DROPDOWN!B:C,2,0)</f>
        <v>12</v>
      </c>
      <c r="N3862" t="str">
        <f t="shared" si="192"/>
        <v>BR65:CJ76</v>
      </c>
      <c r="O3862" s="4">
        <f t="shared" ca="1" si="193"/>
        <v>247230.50000000003</v>
      </c>
    </row>
    <row r="3863" spans="1:15">
      <c r="A3863" s="2" t="s">
        <v>18</v>
      </c>
      <c r="B3863" t="s">
        <v>39</v>
      </c>
      <c r="C3863" t="s">
        <v>40</v>
      </c>
      <c r="D3863">
        <v>50</v>
      </c>
      <c r="E3863" t="s">
        <v>46</v>
      </c>
      <c r="F3863">
        <v>5</v>
      </c>
      <c r="G3863">
        <v>1</v>
      </c>
      <c r="H3863">
        <v>4</v>
      </c>
      <c r="I3863">
        <v>1</v>
      </c>
      <c r="J3863" s="4" t="s">
        <v>53</v>
      </c>
      <c r="K3863" t="str">
        <f t="shared" si="194"/>
        <v>1+4</v>
      </c>
      <c r="L3863">
        <f>VLOOKUP(A3863,'ZONE 1 PREMIUM'!$A$4:$N$16,14,0)</f>
        <v>9</v>
      </c>
      <c r="M3863">
        <f>VLOOKUP(D3863,DROPDOWN!B:C,2,0)</f>
        <v>12</v>
      </c>
      <c r="N3863" t="str">
        <f t="shared" si="192"/>
        <v>BR65:CJ76</v>
      </c>
      <c r="O3863" s="4">
        <f t="shared" ca="1" si="193"/>
        <v>314732</v>
      </c>
    </row>
    <row r="3864" spans="1:15">
      <c r="A3864" s="2" t="s">
        <v>19</v>
      </c>
      <c r="B3864" t="s">
        <v>41</v>
      </c>
      <c r="C3864" t="s">
        <v>42</v>
      </c>
      <c r="D3864">
        <v>50</v>
      </c>
      <c r="E3864" t="s">
        <v>46</v>
      </c>
      <c r="F3864">
        <v>5</v>
      </c>
      <c r="G3864">
        <v>1</v>
      </c>
      <c r="H3864">
        <v>4</v>
      </c>
      <c r="I3864">
        <v>1</v>
      </c>
      <c r="J3864" s="4" t="s">
        <v>53</v>
      </c>
      <c r="K3864" t="str">
        <f t="shared" si="194"/>
        <v>1+4</v>
      </c>
      <c r="L3864">
        <f>VLOOKUP(A3864,'ZONE 1 PREMIUM'!$A$4:$N$16,14,0)</f>
        <v>10</v>
      </c>
      <c r="M3864">
        <f>VLOOKUP(D3864,DROPDOWN!B:C,2,0)</f>
        <v>12</v>
      </c>
      <c r="N3864" t="str">
        <f t="shared" si="192"/>
        <v>BR65:CJ76</v>
      </c>
      <c r="O3864" s="4">
        <f t="shared" ca="1" si="193"/>
        <v>382079.50000000006</v>
      </c>
    </row>
    <row r="3865" spans="1:15">
      <c r="A3865" s="2" t="s">
        <v>20</v>
      </c>
      <c r="B3865" t="s">
        <v>43</v>
      </c>
      <c r="C3865" t="s">
        <v>44</v>
      </c>
      <c r="D3865">
        <v>50</v>
      </c>
      <c r="E3865" t="s">
        <v>46</v>
      </c>
      <c r="F3865">
        <v>5</v>
      </c>
      <c r="G3865">
        <v>1</v>
      </c>
      <c r="H3865">
        <v>4</v>
      </c>
      <c r="I3865">
        <v>1</v>
      </c>
      <c r="J3865" s="4" t="s">
        <v>53</v>
      </c>
      <c r="K3865" t="str">
        <f t="shared" si="194"/>
        <v>1+4</v>
      </c>
      <c r="L3865">
        <f>VLOOKUP(A3865,'ZONE 1 PREMIUM'!$A$4:$N$16,14,0)</f>
        <v>11</v>
      </c>
      <c r="M3865">
        <f>VLOOKUP(D3865,DROPDOWN!B:C,2,0)</f>
        <v>12</v>
      </c>
      <c r="N3865" t="str">
        <f t="shared" si="192"/>
        <v>BR65:CJ76</v>
      </c>
      <c r="O3865" s="4">
        <f t="shared" ca="1" si="193"/>
        <v>436315.00000000006</v>
      </c>
    </row>
    <row r="3866" spans="1:15">
      <c r="A3866" s="2" t="s">
        <v>21</v>
      </c>
      <c r="B3866" t="s">
        <v>22</v>
      </c>
      <c r="D3866">
        <v>50</v>
      </c>
      <c r="E3866" t="s">
        <v>46</v>
      </c>
      <c r="F3866">
        <v>5</v>
      </c>
      <c r="G3866">
        <v>1</v>
      </c>
      <c r="H3866">
        <v>4</v>
      </c>
      <c r="I3866">
        <v>1</v>
      </c>
      <c r="J3866" s="4" t="s">
        <v>53</v>
      </c>
      <c r="K3866" t="str">
        <f t="shared" si="194"/>
        <v>1+4</v>
      </c>
      <c r="L3866">
        <f>VLOOKUP(A3866,'ZONE 1 PREMIUM'!$A$4:$N$16,14,0)</f>
        <v>12</v>
      </c>
      <c r="M3866">
        <f>VLOOKUP(D3866,DROPDOWN!B:C,2,0)</f>
        <v>12</v>
      </c>
      <c r="N3866" t="str">
        <f t="shared" si="192"/>
        <v>BR65:CJ76</v>
      </c>
      <c r="O3866" s="4">
        <f t="shared" ca="1" si="193"/>
        <v>550698.5</v>
      </c>
    </row>
    <row r="3867" spans="1:15">
      <c r="A3867" s="2" t="s">
        <v>11</v>
      </c>
      <c r="B3867" t="s">
        <v>45</v>
      </c>
      <c r="C3867" t="s">
        <v>25</v>
      </c>
      <c r="D3867">
        <v>50</v>
      </c>
      <c r="E3867" t="s">
        <v>46</v>
      </c>
      <c r="F3867">
        <v>2</v>
      </c>
      <c r="G3867">
        <v>2</v>
      </c>
      <c r="H3867">
        <v>0</v>
      </c>
      <c r="I3867">
        <v>1</v>
      </c>
      <c r="J3867" s="4" t="s">
        <v>53</v>
      </c>
      <c r="K3867" t="str">
        <f t="shared" si="194"/>
        <v>2+0</v>
      </c>
      <c r="L3867">
        <f>VLOOKUP(A3867,'ZONE 1 PREMIUM'!$A$4:$N$16,14,0)</f>
        <v>2</v>
      </c>
      <c r="M3867">
        <f>VLOOKUP(D3867,DROPDOWN!B:C,2,0)</f>
        <v>12</v>
      </c>
      <c r="N3867" t="str">
        <f t="shared" si="192"/>
        <v>BR81:CJ92</v>
      </c>
      <c r="O3867" s="4">
        <f t="shared" ca="1" si="193"/>
        <v>94691.3</v>
      </c>
    </row>
    <row r="3868" spans="1:15">
      <c r="A3868" s="2" t="s">
        <v>12</v>
      </c>
      <c r="B3868" t="s">
        <v>27</v>
      </c>
      <c r="C3868" t="s">
        <v>28</v>
      </c>
      <c r="D3868">
        <v>50</v>
      </c>
      <c r="E3868" t="s">
        <v>46</v>
      </c>
      <c r="F3868">
        <v>2</v>
      </c>
      <c r="G3868">
        <v>2</v>
      </c>
      <c r="H3868">
        <v>0</v>
      </c>
      <c r="I3868">
        <v>1</v>
      </c>
      <c r="J3868" s="4" t="s">
        <v>53</v>
      </c>
      <c r="K3868" t="str">
        <f t="shared" si="194"/>
        <v>2+0</v>
      </c>
      <c r="L3868">
        <f>VLOOKUP(A3868,'ZONE 1 PREMIUM'!$A$4:$N$16,14,0)</f>
        <v>3</v>
      </c>
      <c r="M3868">
        <f>VLOOKUP(D3868,DROPDOWN!B:C,2,0)</f>
        <v>12</v>
      </c>
      <c r="N3868" t="str">
        <f t="shared" si="192"/>
        <v>BR81:CJ92</v>
      </c>
      <c r="O3868" s="4">
        <f t="shared" ca="1" si="193"/>
        <v>106164.3</v>
      </c>
    </row>
    <row r="3869" spans="1:15">
      <c r="A3869" s="2" t="s">
        <v>13</v>
      </c>
      <c r="B3869" t="s">
        <v>29</v>
      </c>
      <c r="C3869" t="s">
        <v>30</v>
      </c>
      <c r="D3869">
        <v>50</v>
      </c>
      <c r="E3869" t="s">
        <v>46</v>
      </c>
      <c r="F3869">
        <v>2</v>
      </c>
      <c r="G3869">
        <v>2</v>
      </c>
      <c r="H3869">
        <v>0</v>
      </c>
      <c r="I3869">
        <v>1</v>
      </c>
      <c r="J3869" s="4" t="s">
        <v>53</v>
      </c>
      <c r="K3869" t="str">
        <f t="shared" si="194"/>
        <v>2+0</v>
      </c>
      <c r="L3869">
        <f>VLOOKUP(A3869,'ZONE 1 PREMIUM'!$A$4:$N$16,14,0)</f>
        <v>4</v>
      </c>
      <c r="M3869">
        <f>VLOOKUP(D3869,DROPDOWN!B:C,2,0)</f>
        <v>12</v>
      </c>
      <c r="N3869" t="str">
        <f t="shared" si="192"/>
        <v>BR81:CJ92</v>
      </c>
      <c r="O3869" s="4">
        <f t="shared" ca="1" si="193"/>
        <v>110136.40000000001</v>
      </c>
    </row>
    <row r="3870" spans="1:15">
      <c r="A3870" s="2" t="s">
        <v>14</v>
      </c>
      <c r="B3870" t="s">
        <v>31</v>
      </c>
      <c r="C3870" t="s">
        <v>32</v>
      </c>
      <c r="D3870">
        <v>50</v>
      </c>
      <c r="E3870" t="s">
        <v>46</v>
      </c>
      <c r="F3870">
        <v>2</v>
      </c>
      <c r="G3870">
        <v>2</v>
      </c>
      <c r="H3870">
        <v>0</v>
      </c>
      <c r="I3870">
        <v>1</v>
      </c>
      <c r="J3870" s="4" t="s">
        <v>53</v>
      </c>
      <c r="K3870" t="str">
        <f t="shared" si="194"/>
        <v>2+0</v>
      </c>
      <c r="L3870">
        <f>VLOOKUP(A3870,'ZONE 1 PREMIUM'!$A$4:$N$16,14,0)</f>
        <v>5</v>
      </c>
      <c r="M3870">
        <f>VLOOKUP(D3870,DROPDOWN!B:C,2,0)</f>
        <v>12</v>
      </c>
      <c r="N3870" t="str">
        <f t="shared" si="192"/>
        <v>BR81:CJ92</v>
      </c>
      <c r="O3870" s="4">
        <f t="shared" ca="1" si="193"/>
        <v>121216.70000000001</v>
      </c>
    </row>
    <row r="3871" spans="1:15">
      <c r="A3871" s="2" t="s">
        <v>15</v>
      </c>
      <c r="B3871" t="s">
        <v>33</v>
      </c>
      <c r="C3871" t="s">
        <v>34</v>
      </c>
      <c r="D3871">
        <v>50</v>
      </c>
      <c r="E3871" t="s">
        <v>46</v>
      </c>
      <c r="F3871">
        <v>2</v>
      </c>
      <c r="G3871">
        <v>2</v>
      </c>
      <c r="H3871">
        <v>0</v>
      </c>
      <c r="I3871">
        <v>1</v>
      </c>
      <c r="J3871" s="4" t="s">
        <v>53</v>
      </c>
      <c r="K3871" t="str">
        <f t="shared" si="194"/>
        <v>2+0</v>
      </c>
      <c r="L3871">
        <f>VLOOKUP(A3871,'ZONE 1 PREMIUM'!$A$4:$N$16,14,0)</f>
        <v>6</v>
      </c>
      <c r="M3871">
        <f>VLOOKUP(D3871,DROPDOWN!B:C,2,0)</f>
        <v>12</v>
      </c>
      <c r="N3871" t="str">
        <f t="shared" si="192"/>
        <v>BR81:CJ92</v>
      </c>
      <c r="O3871" s="4">
        <f t="shared" ca="1" si="193"/>
        <v>150651.6</v>
      </c>
    </row>
    <row r="3872" spans="1:15">
      <c r="A3872" s="2" t="s">
        <v>16</v>
      </c>
      <c r="B3872" t="s">
        <v>35</v>
      </c>
      <c r="C3872" t="s">
        <v>36</v>
      </c>
      <c r="D3872">
        <v>50</v>
      </c>
      <c r="E3872" t="s">
        <v>46</v>
      </c>
      <c r="F3872">
        <v>2</v>
      </c>
      <c r="G3872">
        <v>2</v>
      </c>
      <c r="H3872">
        <v>0</v>
      </c>
      <c r="I3872">
        <v>1</v>
      </c>
      <c r="J3872" s="4" t="s">
        <v>53</v>
      </c>
      <c r="K3872" t="str">
        <f t="shared" si="194"/>
        <v>2+0</v>
      </c>
      <c r="L3872">
        <f>VLOOKUP(A3872,'ZONE 1 PREMIUM'!$A$4:$N$16,14,0)</f>
        <v>7</v>
      </c>
      <c r="M3872">
        <f>VLOOKUP(D3872,DROPDOWN!B:C,2,0)</f>
        <v>12</v>
      </c>
      <c r="N3872" t="str">
        <f t="shared" si="192"/>
        <v>BR81:CJ92</v>
      </c>
      <c r="O3872" s="4">
        <f t="shared" ca="1" si="193"/>
        <v>206605.30000000002</v>
      </c>
    </row>
    <row r="3873" spans="1:15">
      <c r="A3873" s="2" t="s">
        <v>17</v>
      </c>
      <c r="B3873" t="s">
        <v>37</v>
      </c>
      <c r="C3873" t="s">
        <v>38</v>
      </c>
      <c r="D3873">
        <v>50</v>
      </c>
      <c r="E3873" t="s">
        <v>46</v>
      </c>
      <c r="F3873">
        <v>2</v>
      </c>
      <c r="G3873">
        <v>2</v>
      </c>
      <c r="H3873">
        <v>0</v>
      </c>
      <c r="I3873">
        <v>1</v>
      </c>
      <c r="J3873" s="4" t="s">
        <v>53</v>
      </c>
      <c r="K3873" t="str">
        <f t="shared" si="194"/>
        <v>2+0</v>
      </c>
      <c r="L3873">
        <f>VLOOKUP(A3873,'ZONE 1 PREMIUM'!$A$4:$N$16,14,0)</f>
        <v>8</v>
      </c>
      <c r="M3873">
        <f>VLOOKUP(D3873,DROPDOWN!B:C,2,0)</f>
        <v>12</v>
      </c>
      <c r="N3873" t="str">
        <f t="shared" si="192"/>
        <v>BR81:CJ92</v>
      </c>
      <c r="O3873" s="4">
        <f t="shared" ca="1" si="193"/>
        <v>286914.10000000003</v>
      </c>
    </row>
    <row r="3874" spans="1:15">
      <c r="A3874" s="2" t="s">
        <v>18</v>
      </c>
      <c r="B3874" t="s">
        <v>39</v>
      </c>
      <c r="C3874" t="s">
        <v>40</v>
      </c>
      <c r="D3874">
        <v>50</v>
      </c>
      <c r="E3874" t="s">
        <v>46</v>
      </c>
      <c r="F3874">
        <v>2</v>
      </c>
      <c r="G3874">
        <v>2</v>
      </c>
      <c r="H3874">
        <v>0</v>
      </c>
      <c r="I3874">
        <v>1</v>
      </c>
      <c r="J3874" s="4" t="s">
        <v>53</v>
      </c>
      <c r="K3874" t="str">
        <f t="shared" si="194"/>
        <v>2+0</v>
      </c>
      <c r="L3874">
        <f>VLOOKUP(A3874,'ZONE 1 PREMIUM'!$A$4:$N$16,14,0)</f>
        <v>9</v>
      </c>
      <c r="M3874">
        <f>VLOOKUP(D3874,DROPDOWN!B:C,2,0)</f>
        <v>12</v>
      </c>
      <c r="N3874" t="str">
        <f t="shared" ref="N3874:N3921" si="195">VLOOKUP(K3874,$CK$3:$CL$12,2,0)</f>
        <v>BR81:CJ92</v>
      </c>
      <c r="O3874" s="4">
        <f t="shared" ca="1" si="193"/>
        <v>401249.2</v>
      </c>
    </row>
    <row r="3875" spans="1:15">
      <c r="A3875" s="2" t="s">
        <v>19</v>
      </c>
      <c r="B3875" t="s">
        <v>41</v>
      </c>
      <c r="C3875" t="s">
        <v>42</v>
      </c>
      <c r="D3875">
        <v>50</v>
      </c>
      <c r="E3875" t="s">
        <v>46</v>
      </c>
      <c r="F3875">
        <v>2</v>
      </c>
      <c r="G3875">
        <v>2</v>
      </c>
      <c r="H3875">
        <v>0</v>
      </c>
      <c r="I3875">
        <v>1</v>
      </c>
      <c r="J3875" s="4" t="s">
        <v>53</v>
      </c>
      <c r="K3875" t="str">
        <f t="shared" si="194"/>
        <v>2+0</v>
      </c>
      <c r="L3875">
        <f>VLOOKUP(A3875,'ZONE 1 PREMIUM'!$A$4:$N$16,14,0)</f>
        <v>10</v>
      </c>
      <c r="M3875">
        <f>VLOOKUP(D3875,DROPDOWN!B:C,2,0)</f>
        <v>12</v>
      </c>
      <c r="N3875" t="str">
        <f t="shared" si="195"/>
        <v>BR81:CJ92</v>
      </c>
      <c r="O3875" s="4">
        <f t="shared" ca="1" si="193"/>
        <v>552416.70000000007</v>
      </c>
    </row>
    <row r="3876" spans="1:15">
      <c r="A3876" s="2" t="s">
        <v>20</v>
      </c>
      <c r="B3876" t="s">
        <v>43</v>
      </c>
      <c r="C3876" t="s">
        <v>44</v>
      </c>
      <c r="D3876">
        <v>50</v>
      </c>
      <c r="E3876" t="s">
        <v>46</v>
      </c>
      <c r="F3876">
        <v>2</v>
      </c>
      <c r="G3876">
        <v>2</v>
      </c>
      <c r="H3876">
        <v>0</v>
      </c>
      <c r="I3876">
        <v>1</v>
      </c>
      <c r="J3876" s="4" t="s">
        <v>53</v>
      </c>
      <c r="K3876" t="str">
        <f t="shared" si="194"/>
        <v>2+0</v>
      </c>
      <c r="L3876">
        <f>VLOOKUP(A3876,'ZONE 1 PREMIUM'!$A$4:$N$16,14,0)</f>
        <v>11</v>
      </c>
      <c r="M3876">
        <f>VLOOKUP(D3876,DROPDOWN!B:C,2,0)</f>
        <v>12</v>
      </c>
      <c r="N3876" t="str">
        <f t="shared" si="195"/>
        <v>BR81:CJ92</v>
      </c>
      <c r="O3876" s="4">
        <f t="shared" ca="1" si="193"/>
        <v>668890.20000000007</v>
      </c>
    </row>
    <row r="3877" spans="1:15">
      <c r="A3877" s="2" t="s">
        <v>21</v>
      </c>
      <c r="B3877" t="s">
        <v>22</v>
      </c>
      <c r="D3877">
        <v>50</v>
      </c>
      <c r="E3877" t="s">
        <v>46</v>
      </c>
      <c r="F3877">
        <v>2</v>
      </c>
      <c r="G3877">
        <v>2</v>
      </c>
      <c r="H3877">
        <v>0</v>
      </c>
      <c r="I3877">
        <v>1</v>
      </c>
      <c r="J3877" s="4" t="s">
        <v>53</v>
      </c>
      <c r="K3877" t="str">
        <f t="shared" si="194"/>
        <v>2+0</v>
      </c>
      <c r="L3877">
        <f>VLOOKUP(A3877,'ZONE 1 PREMIUM'!$A$4:$N$16,14,0)</f>
        <v>12</v>
      </c>
      <c r="M3877">
        <f>VLOOKUP(D3877,DROPDOWN!B:C,2,0)</f>
        <v>12</v>
      </c>
      <c r="N3877" t="str">
        <f t="shared" si="195"/>
        <v>BR81:CJ92</v>
      </c>
      <c r="O3877" s="4">
        <f t="shared" ca="1" si="193"/>
        <v>831222.70000000007</v>
      </c>
    </row>
    <row r="3878" spans="1:15">
      <c r="A3878" s="2" t="s">
        <v>11</v>
      </c>
      <c r="B3878" t="s">
        <v>45</v>
      </c>
      <c r="C3878" t="s">
        <v>25</v>
      </c>
      <c r="D3878">
        <v>50</v>
      </c>
      <c r="E3878" t="s">
        <v>46</v>
      </c>
      <c r="F3878">
        <v>3</v>
      </c>
      <c r="G3878">
        <v>2</v>
      </c>
      <c r="H3878">
        <v>1</v>
      </c>
      <c r="I3878">
        <v>1</v>
      </c>
      <c r="J3878" s="4" t="s">
        <v>53</v>
      </c>
      <c r="K3878" t="str">
        <f t="shared" si="194"/>
        <v>2+1</v>
      </c>
      <c r="L3878">
        <f>VLOOKUP(A3878,'ZONE 1 PREMIUM'!$A$4:$N$16,14,0)</f>
        <v>2</v>
      </c>
      <c r="M3878">
        <f>VLOOKUP(D3878,DROPDOWN!B:C,2,0)</f>
        <v>12</v>
      </c>
      <c r="N3878" t="str">
        <f t="shared" si="195"/>
        <v>BR98:CJ109</v>
      </c>
      <c r="O3878" s="4">
        <f t="shared" ca="1" si="193"/>
        <v>110443.3</v>
      </c>
    </row>
    <row r="3879" spans="1:15">
      <c r="A3879" s="2" t="s">
        <v>12</v>
      </c>
      <c r="B3879" t="s">
        <v>27</v>
      </c>
      <c r="C3879" t="s">
        <v>28</v>
      </c>
      <c r="D3879">
        <v>50</v>
      </c>
      <c r="E3879" t="s">
        <v>46</v>
      </c>
      <c r="F3879">
        <v>3</v>
      </c>
      <c r="G3879">
        <v>2</v>
      </c>
      <c r="H3879">
        <v>1</v>
      </c>
      <c r="I3879">
        <v>1</v>
      </c>
      <c r="J3879" s="4" t="s">
        <v>53</v>
      </c>
      <c r="K3879" t="str">
        <f t="shared" si="194"/>
        <v>2+1</v>
      </c>
      <c r="L3879">
        <f>VLOOKUP(A3879,'ZONE 1 PREMIUM'!$A$4:$N$16,14,0)</f>
        <v>3</v>
      </c>
      <c r="M3879">
        <f>VLOOKUP(D3879,DROPDOWN!B:C,2,0)</f>
        <v>12</v>
      </c>
      <c r="N3879" t="str">
        <f t="shared" si="195"/>
        <v>BR98:CJ109</v>
      </c>
      <c r="O3879" s="4">
        <f t="shared" ca="1" si="193"/>
        <v>121797.50000000001</v>
      </c>
    </row>
    <row r="3880" spans="1:15">
      <c r="A3880" s="2" t="s">
        <v>13</v>
      </c>
      <c r="B3880" t="s">
        <v>29</v>
      </c>
      <c r="C3880" t="s">
        <v>30</v>
      </c>
      <c r="D3880">
        <v>50</v>
      </c>
      <c r="E3880" t="s">
        <v>46</v>
      </c>
      <c r="F3880">
        <v>3</v>
      </c>
      <c r="G3880">
        <v>2</v>
      </c>
      <c r="H3880">
        <v>1</v>
      </c>
      <c r="I3880">
        <v>1</v>
      </c>
      <c r="J3880" s="4" t="s">
        <v>53</v>
      </c>
      <c r="K3880" t="str">
        <f t="shared" si="194"/>
        <v>2+1</v>
      </c>
      <c r="L3880">
        <f>VLOOKUP(A3880,'ZONE 1 PREMIUM'!$A$4:$N$16,14,0)</f>
        <v>4</v>
      </c>
      <c r="M3880">
        <f>VLOOKUP(D3880,DROPDOWN!B:C,2,0)</f>
        <v>12</v>
      </c>
      <c r="N3880" t="str">
        <f t="shared" si="195"/>
        <v>BR98:CJ109</v>
      </c>
      <c r="O3880" s="4">
        <f t="shared" ca="1" si="193"/>
        <v>128148.90000000001</v>
      </c>
    </row>
    <row r="3881" spans="1:15">
      <c r="A3881" s="2" t="s">
        <v>14</v>
      </c>
      <c r="B3881" t="s">
        <v>31</v>
      </c>
      <c r="C3881" t="s">
        <v>32</v>
      </c>
      <c r="D3881">
        <v>50</v>
      </c>
      <c r="E3881" t="s">
        <v>46</v>
      </c>
      <c r="F3881">
        <v>3</v>
      </c>
      <c r="G3881">
        <v>2</v>
      </c>
      <c r="H3881">
        <v>1</v>
      </c>
      <c r="I3881">
        <v>1</v>
      </c>
      <c r="J3881" s="4" t="s">
        <v>53</v>
      </c>
      <c r="K3881" t="str">
        <f t="shared" si="194"/>
        <v>2+1</v>
      </c>
      <c r="L3881">
        <f>VLOOKUP(A3881,'ZONE 1 PREMIUM'!$A$4:$N$16,14,0)</f>
        <v>5</v>
      </c>
      <c r="M3881">
        <f>VLOOKUP(D3881,DROPDOWN!B:C,2,0)</f>
        <v>12</v>
      </c>
      <c r="N3881" t="str">
        <f t="shared" si="195"/>
        <v>BR98:CJ109</v>
      </c>
      <c r="O3881" s="4">
        <f t="shared" ca="1" si="193"/>
        <v>140551.40000000002</v>
      </c>
    </row>
    <row r="3882" spans="1:15">
      <c r="A3882" s="2" t="s">
        <v>15</v>
      </c>
      <c r="B3882" t="s">
        <v>33</v>
      </c>
      <c r="C3882" t="s">
        <v>34</v>
      </c>
      <c r="D3882">
        <v>50</v>
      </c>
      <c r="E3882" t="s">
        <v>46</v>
      </c>
      <c r="F3882">
        <v>3</v>
      </c>
      <c r="G3882">
        <v>2</v>
      </c>
      <c r="H3882">
        <v>1</v>
      </c>
      <c r="I3882">
        <v>1</v>
      </c>
      <c r="J3882" s="4" t="s">
        <v>53</v>
      </c>
      <c r="K3882" t="str">
        <f t="shared" si="194"/>
        <v>2+1</v>
      </c>
      <c r="L3882">
        <f>VLOOKUP(A3882,'ZONE 1 PREMIUM'!$A$4:$N$16,14,0)</f>
        <v>6</v>
      </c>
      <c r="M3882">
        <f>VLOOKUP(D3882,DROPDOWN!B:C,2,0)</f>
        <v>12</v>
      </c>
      <c r="N3882" t="str">
        <f t="shared" si="195"/>
        <v>BR98:CJ109</v>
      </c>
      <c r="O3882" s="4">
        <f t="shared" ca="1" si="193"/>
        <v>172378.80000000002</v>
      </c>
    </row>
    <row r="3883" spans="1:15">
      <c r="A3883" s="2" t="s">
        <v>16</v>
      </c>
      <c r="B3883" t="s">
        <v>35</v>
      </c>
      <c r="C3883" t="s">
        <v>36</v>
      </c>
      <c r="D3883">
        <v>50</v>
      </c>
      <c r="E3883" t="s">
        <v>46</v>
      </c>
      <c r="F3883">
        <v>3</v>
      </c>
      <c r="G3883">
        <v>2</v>
      </c>
      <c r="H3883">
        <v>1</v>
      </c>
      <c r="I3883">
        <v>1</v>
      </c>
      <c r="J3883" s="4" t="s">
        <v>53</v>
      </c>
      <c r="K3883" t="str">
        <f t="shared" si="194"/>
        <v>2+1</v>
      </c>
      <c r="L3883">
        <f>VLOOKUP(A3883,'ZONE 1 PREMIUM'!$A$4:$N$16,14,0)</f>
        <v>7</v>
      </c>
      <c r="M3883">
        <f>VLOOKUP(D3883,DROPDOWN!B:C,2,0)</f>
        <v>12</v>
      </c>
      <c r="N3883" t="str">
        <f t="shared" si="195"/>
        <v>BR98:CJ109</v>
      </c>
      <c r="O3883" s="4">
        <f t="shared" ca="1" si="193"/>
        <v>233282.50000000003</v>
      </c>
    </row>
    <row r="3884" spans="1:15">
      <c r="A3884" s="2" t="s">
        <v>17</v>
      </c>
      <c r="B3884" t="s">
        <v>37</v>
      </c>
      <c r="C3884" t="s">
        <v>38</v>
      </c>
      <c r="D3884">
        <v>50</v>
      </c>
      <c r="E3884" t="s">
        <v>46</v>
      </c>
      <c r="F3884">
        <v>3</v>
      </c>
      <c r="G3884">
        <v>2</v>
      </c>
      <c r="H3884">
        <v>1</v>
      </c>
      <c r="I3884">
        <v>1</v>
      </c>
      <c r="J3884" s="4" t="s">
        <v>53</v>
      </c>
      <c r="K3884" t="str">
        <f t="shared" si="194"/>
        <v>2+1</v>
      </c>
      <c r="L3884">
        <f>VLOOKUP(A3884,'ZONE 1 PREMIUM'!$A$4:$N$16,14,0)</f>
        <v>8</v>
      </c>
      <c r="M3884">
        <f>VLOOKUP(D3884,DROPDOWN!B:C,2,0)</f>
        <v>12</v>
      </c>
      <c r="N3884" t="str">
        <f t="shared" si="195"/>
        <v>BR98:CJ109</v>
      </c>
      <c r="O3884" s="4">
        <f t="shared" ca="1" si="193"/>
        <v>316005.80000000005</v>
      </c>
    </row>
    <row r="3885" spans="1:15">
      <c r="A3885" s="2" t="s">
        <v>18</v>
      </c>
      <c r="B3885" t="s">
        <v>39</v>
      </c>
      <c r="C3885" t="s">
        <v>40</v>
      </c>
      <c r="D3885">
        <v>50</v>
      </c>
      <c r="E3885" t="s">
        <v>46</v>
      </c>
      <c r="F3885">
        <v>3</v>
      </c>
      <c r="G3885">
        <v>2</v>
      </c>
      <c r="H3885">
        <v>1</v>
      </c>
      <c r="I3885">
        <v>1</v>
      </c>
      <c r="J3885" s="4" t="s">
        <v>53</v>
      </c>
      <c r="K3885" t="str">
        <f t="shared" si="194"/>
        <v>2+1</v>
      </c>
      <c r="L3885">
        <f>VLOOKUP(A3885,'ZONE 1 PREMIUM'!$A$4:$N$16,14,0)</f>
        <v>9</v>
      </c>
      <c r="M3885">
        <f>VLOOKUP(D3885,DROPDOWN!B:C,2,0)</f>
        <v>12</v>
      </c>
      <c r="N3885" t="str">
        <f t="shared" si="195"/>
        <v>BR98:CJ109</v>
      </c>
      <c r="O3885" s="4">
        <f t="shared" ca="1" si="193"/>
        <v>431651.00000000006</v>
      </c>
    </row>
    <row r="3886" spans="1:15">
      <c r="A3886" s="2" t="s">
        <v>19</v>
      </c>
      <c r="B3886" t="s">
        <v>41</v>
      </c>
      <c r="C3886" t="s">
        <v>42</v>
      </c>
      <c r="D3886">
        <v>50</v>
      </c>
      <c r="E3886" t="s">
        <v>46</v>
      </c>
      <c r="F3886">
        <v>3</v>
      </c>
      <c r="G3886">
        <v>2</v>
      </c>
      <c r="H3886">
        <v>1</v>
      </c>
      <c r="I3886">
        <v>1</v>
      </c>
      <c r="J3886" s="4" t="s">
        <v>53</v>
      </c>
      <c r="K3886" t="str">
        <f t="shared" si="194"/>
        <v>2+1</v>
      </c>
      <c r="L3886">
        <f>VLOOKUP(A3886,'ZONE 1 PREMIUM'!$A$4:$N$16,14,0)</f>
        <v>10</v>
      </c>
      <c r="M3886">
        <f>VLOOKUP(D3886,DROPDOWN!B:C,2,0)</f>
        <v>12</v>
      </c>
      <c r="N3886" t="str">
        <f t="shared" si="195"/>
        <v>BR98:CJ109</v>
      </c>
      <c r="O3886" s="4">
        <f t="shared" ca="1" si="193"/>
        <v>571120</v>
      </c>
    </row>
    <row r="3887" spans="1:15">
      <c r="A3887" s="2" t="s">
        <v>20</v>
      </c>
      <c r="B3887" t="s">
        <v>43</v>
      </c>
      <c r="C3887" t="s">
        <v>44</v>
      </c>
      <c r="D3887">
        <v>50</v>
      </c>
      <c r="E3887" t="s">
        <v>46</v>
      </c>
      <c r="F3887">
        <v>3</v>
      </c>
      <c r="G3887">
        <v>2</v>
      </c>
      <c r="H3887">
        <v>1</v>
      </c>
      <c r="I3887">
        <v>1</v>
      </c>
      <c r="J3887" s="4" t="s">
        <v>53</v>
      </c>
      <c r="K3887" t="str">
        <f t="shared" si="194"/>
        <v>2+1</v>
      </c>
      <c r="L3887">
        <f>VLOOKUP(A3887,'ZONE 1 PREMIUM'!$A$4:$N$16,14,0)</f>
        <v>11</v>
      </c>
      <c r="M3887">
        <f>VLOOKUP(D3887,DROPDOWN!B:C,2,0)</f>
        <v>12</v>
      </c>
      <c r="N3887" t="str">
        <f t="shared" si="195"/>
        <v>BR98:CJ109</v>
      </c>
      <c r="O3887" s="4">
        <f t="shared" ca="1" si="193"/>
        <v>684216.5</v>
      </c>
    </row>
    <row r="3888" spans="1:15">
      <c r="A3888" s="2" t="s">
        <v>21</v>
      </c>
      <c r="B3888" t="s">
        <v>22</v>
      </c>
      <c r="D3888">
        <v>50</v>
      </c>
      <c r="E3888" t="s">
        <v>46</v>
      </c>
      <c r="F3888">
        <v>3</v>
      </c>
      <c r="G3888">
        <v>2</v>
      </c>
      <c r="H3888">
        <v>1</v>
      </c>
      <c r="I3888">
        <v>1</v>
      </c>
      <c r="J3888" s="4" t="s">
        <v>53</v>
      </c>
      <c r="K3888" t="str">
        <f t="shared" si="194"/>
        <v>2+1</v>
      </c>
      <c r="L3888">
        <f>VLOOKUP(A3888,'ZONE 1 PREMIUM'!$A$4:$N$16,14,0)</f>
        <v>12</v>
      </c>
      <c r="M3888">
        <f>VLOOKUP(D3888,DROPDOWN!B:C,2,0)</f>
        <v>12</v>
      </c>
      <c r="N3888" t="str">
        <f t="shared" si="195"/>
        <v>BR98:CJ109</v>
      </c>
      <c r="O3888" s="4">
        <f t="shared" ca="1" si="193"/>
        <v>847603.9</v>
      </c>
    </row>
    <row r="3889" spans="1:15">
      <c r="A3889" s="2" t="s">
        <v>11</v>
      </c>
      <c r="B3889" t="s">
        <v>45</v>
      </c>
      <c r="C3889" t="s">
        <v>25</v>
      </c>
      <c r="D3889">
        <v>50</v>
      </c>
      <c r="E3889" t="s">
        <v>46</v>
      </c>
      <c r="F3889">
        <v>4</v>
      </c>
      <c r="G3889">
        <v>2</v>
      </c>
      <c r="H3889">
        <v>2</v>
      </c>
      <c r="I3889">
        <v>1</v>
      </c>
      <c r="J3889" s="4" t="s">
        <v>53</v>
      </c>
      <c r="K3889" t="str">
        <f t="shared" si="194"/>
        <v>2+2</v>
      </c>
      <c r="L3889">
        <f>VLOOKUP(A3889,'ZONE 1 PREMIUM'!$A$4:$N$16,14,0)</f>
        <v>2</v>
      </c>
      <c r="M3889">
        <f>VLOOKUP(D3889,DROPDOWN!B:C,2,0)</f>
        <v>12</v>
      </c>
      <c r="N3889" t="str">
        <f t="shared" si="195"/>
        <v>BR113:CJ124</v>
      </c>
      <c r="O3889" s="4">
        <f t="shared" ca="1" si="193"/>
        <v>124400.1</v>
      </c>
    </row>
    <row r="3890" spans="1:15">
      <c r="A3890" s="2" t="s">
        <v>12</v>
      </c>
      <c r="B3890" t="s">
        <v>27</v>
      </c>
      <c r="C3890" t="s">
        <v>28</v>
      </c>
      <c r="D3890">
        <v>50</v>
      </c>
      <c r="E3890" t="s">
        <v>46</v>
      </c>
      <c r="F3890">
        <v>4</v>
      </c>
      <c r="G3890">
        <v>2</v>
      </c>
      <c r="H3890">
        <v>2</v>
      </c>
      <c r="I3890">
        <v>1</v>
      </c>
      <c r="J3890" s="4" t="s">
        <v>53</v>
      </c>
      <c r="K3890" t="str">
        <f t="shared" si="194"/>
        <v>2+2</v>
      </c>
      <c r="L3890">
        <f>VLOOKUP(A3890,'ZONE 1 PREMIUM'!$A$4:$N$16,14,0)</f>
        <v>3</v>
      </c>
      <c r="M3890">
        <f>VLOOKUP(D3890,DROPDOWN!B:C,2,0)</f>
        <v>12</v>
      </c>
      <c r="N3890" t="str">
        <f t="shared" si="195"/>
        <v>BR113:CJ124</v>
      </c>
      <c r="O3890" s="4">
        <f t="shared" ca="1" si="193"/>
        <v>135466.1</v>
      </c>
    </row>
    <row r="3891" spans="1:15">
      <c r="A3891" s="2" t="s">
        <v>13</v>
      </c>
      <c r="B3891" t="s">
        <v>29</v>
      </c>
      <c r="C3891" t="s">
        <v>30</v>
      </c>
      <c r="D3891">
        <v>50</v>
      </c>
      <c r="E3891" t="s">
        <v>46</v>
      </c>
      <c r="F3891">
        <v>4</v>
      </c>
      <c r="G3891">
        <v>2</v>
      </c>
      <c r="H3891">
        <v>2</v>
      </c>
      <c r="I3891">
        <v>1</v>
      </c>
      <c r="J3891" s="4" t="s">
        <v>53</v>
      </c>
      <c r="K3891" t="str">
        <f t="shared" si="194"/>
        <v>2+2</v>
      </c>
      <c r="L3891">
        <f>VLOOKUP(A3891,'ZONE 1 PREMIUM'!$A$4:$N$16,14,0)</f>
        <v>4</v>
      </c>
      <c r="M3891">
        <f>VLOOKUP(D3891,DROPDOWN!B:C,2,0)</f>
        <v>12</v>
      </c>
      <c r="N3891" t="str">
        <f t="shared" si="195"/>
        <v>BR113:CJ124</v>
      </c>
      <c r="O3891" s="4">
        <f t="shared" ca="1" si="193"/>
        <v>144032.90000000002</v>
      </c>
    </row>
    <row r="3892" spans="1:15">
      <c r="A3892" s="2" t="s">
        <v>14</v>
      </c>
      <c r="B3892" t="s">
        <v>31</v>
      </c>
      <c r="C3892" t="s">
        <v>32</v>
      </c>
      <c r="D3892">
        <v>50</v>
      </c>
      <c r="E3892" t="s">
        <v>46</v>
      </c>
      <c r="F3892">
        <v>4</v>
      </c>
      <c r="G3892">
        <v>2</v>
      </c>
      <c r="H3892">
        <v>2</v>
      </c>
      <c r="I3892">
        <v>1</v>
      </c>
      <c r="J3892" s="4" t="s">
        <v>53</v>
      </c>
      <c r="K3892" t="str">
        <f t="shared" si="194"/>
        <v>2+2</v>
      </c>
      <c r="L3892">
        <f>VLOOKUP(A3892,'ZONE 1 PREMIUM'!$A$4:$N$16,14,0)</f>
        <v>5</v>
      </c>
      <c r="M3892">
        <f>VLOOKUP(D3892,DROPDOWN!B:C,2,0)</f>
        <v>12</v>
      </c>
      <c r="N3892" t="str">
        <f t="shared" si="195"/>
        <v>BR113:CJ124</v>
      </c>
      <c r="O3892" s="4">
        <f t="shared" ca="1" si="193"/>
        <v>157523.30000000002</v>
      </c>
    </row>
    <row r="3893" spans="1:15">
      <c r="A3893" s="2" t="s">
        <v>15</v>
      </c>
      <c r="B3893" t="s">
        <v>33</v>
      </c>
      <c r="C3893" t="s">
        <v>34</v>
      </c>
      <c r="D3893">
        <v>50</v>
      </c>
      <c r="E3893" t="s">
        <v>46</v>
      </c>
      <c r="F3893">
        <v>4</v>
      </c>
      <c r="G3893">
        <v>2</v>
      </c>
      <c r="H3893">
        <v>2</v>
      </c>
      <c r="I3893">
        <v>1</v>
      </c>
      <c r="J3893" s="4" t="s">
        <v>53</v>
      </c>
      <c r="K3893" t="str">
        <f t="shared" si="194"/>
        <v>2+2</v>
      </c>
      <c r="L3893">
        <f>VLOOKUP(A3893,'ZONE 1 PREMIUM'!$A$4:$N$16,14,0)</f>
        <v>6</v>
      </c>
      <c r="M3893">
        <f>VLOOKUP(D3893,DROPDOWN!B:C,2,0)</f>
        <v>12</v>
      </c>
      <c r="N3893" t="str">
        <f t="shared" si="195"/>
        <v>BR113:CJ124</v>
      </c>
      <c r="O3893" s="4">
        <f t="shared" ca="1" si="193"/>
        <v>191208.6</v>
      </c>
    </row>
    <row r="3894" spans="1:15">
      <c r="A3894" s="2" t="s">
        <v>16</v>
      </c>
      <c r="B3894" t="s">
        <v>35</v>
      </c>
      <c r="C3894" t="s">
        <v>36</v>
      </c>
      <c r="D3894">
        <v>50</v>
      </c>
      <c r="E3894" t="s">
        <v>46</v>
      </c>
      <c r="F3894">
        <v>4</v>
      </c>
      <c r="G3894">
        <v>2</v>
      </c>
      <c r="H3894">
        <v>2</v>
      </c>
      <c r="I3894">
        <v>1</v>
      </c>
      <c r="J3894" s="4" t="s">
        <v>53</v>
      </c>
      <c r="K3894" t="str">
        <f t="shared" si="194"/>
        <v>2+2</v>
      </c>
      <c r="L3894">
        <f>VLOOKUP(A3894,'ZONE 1 PREMIUM'!$A$4:$N$16,14,0)</f>
        <v>7</v>
      </c>
      <c r="M3894">
        <f>VLOOKUP(D3894,DROPDOWN!B:C,2,0)</f>
        <v>12</v>
      </c>
      <c r="N3894" t="str">
        <f t="shared" si="195"/>
        <v>BR113:CJ124</v>
      </c>
      <c r="O3894" s="4">
        <f t="shared" ca="1" si="193"/>
        <v>256056.90000000002</v>
      </c>
    </row>
    <row r="3895" spans="1:15">
      <c r="A3895" s="2" t="s">
        <v>17</v>
      </c>
      <c r="B3895" t="s">
        <v>37</v>
      </c>
      <c r="C3895" t="s">
        <v>38</v>
      </c>
      <c r="D3895">
        <v>50</v>
      </c>
      <c r="E3895" t="s">
        <v>46</v>
      </c>
      <c r="F3895">
        <v>4</v>
      </c>
      <c r="G3895">
        <v>2</v>
      </c>
      <c r="H3895">
        <v>2</v>
      </c>
      <c r="I3895">
        <v>1</v>
      </c>
      <c r="J3895" s="4" t="s">
        <v>53</v>
      </c>
      <c r="K3895" t="str">
        <f t="shared" si="194"/>
        <v>2+2</v>
      </c>
      <c r="L3895">
        <f>VLOOKUP(A3895,'ZONE 1 PREMIUM'!$A$4:$N$16,14,0)</f>
        <v>8</v>
      </c>
      <c r="M3895">
        <f>VLOOKUP(D3895,DROPDOWN!B:C,2,0)</f>
        <v>12</v>
      </c>
      <c r="N3895" t="str">
        <f t="shared" si="195"/>
        <v>BR113:CJ124</v>
      </c>
      <c r="O3895" s="4">
        <f t="shared" ca="1" si="193"/>
        <v>336013.7</v>
      </c>
    </row>
    <row r="3896" spans="1:15">
      <c r="A3896" s="2" t="s">
        <v>18</v>
      </c>
      <c r="B3896" t="s">
        <v>39</v>
      </c>
      <c r="C3896" t="s">
        <v>40</v>
      </c>
      <c r="D3896">
        <v>50</v>
      </c>
      <c r="E3896" t="s">
        <v>46</v>
      </c>
      <c r="F3896">
        <v>4</v>
      </c>
      <c r="G3896">
        <v>2</v>
      </c>
      <c r="H3896">
        <v>2</v>
      </c>
      <c r="I3896">
        <v>1</v>
      </c>
      <c r="J3896" s="4" t="s">
        <v>53</v>
      </c>
      <c r="K3896" t="str">
        <f t="shared" si="194"/>
        <v>2+2</v>
      </c>
      <c r="L3896">
        <f>VLOOKUP(A3896,'ZONE 1 PREMIUM'!$A$4:$N$16,14,0)</f>
        <v>9</v>
      </c>
      <c r="M3896">
        <f>VLOOKUP(D3896,DROPDOWN!B:C,2,0)</f>
        <v>12</v>
      </c>
      <c r="N3896" t="str">
        <f t="shared" si="195"/>
        <v>BR113:CJ124</v>
      </c>
      <c r="O3896" s="4">
        <f t="shared" ca="1" si="193"/>
        <v>445362.50000000006</v>
      </c>
    </row>
    <row r="3897" spans="1:15">
      <c r="A3897" s="2" t="s">
        <v>19</v>
      </c>
      <c r="B3897" t="s">
        <v>41</v>
      </c>
      <c r="C3897" t="s">
        <v>42</v>
      </c>
      <c r="D3897">
        <v>50</v>
      </c>
      <c r="E3897" t="s">
        <v>46</v>
      </c>
      <c r="F3897">
        <v>4</v>
      </c>
      <c r="G3897">
        <v>2</v>
      </c>
      <c r="H3897">
        <v>2</v>
      </c>
      <c r="I3897">
        <v>1</v>
      </c>
      <c r="J3897" s="4" t="s">
        <v>53</v>
      </c>
      <c r="K3897" t="str">
        <f t="shared" si="194"/>
        <v>2+2</v>
      </c>
      <c r="L3897">
        <f>VLOOKUP(A3897,'ZONE 1 PREMIUM'!$A$4:$N$16,14,0)</f>
        <v>10</v>
      </c>
      <c r="M3897">
        <f>VLOOKUP(D3897,DROPDOWN!B:C,2,0)</f>
        <v>12</v>
      </c>
      <c r="N3897" t="str">
        <f t="shared" si="195"/>
        <v>BR113:CJ124</v>
      </c>
      <c r="O3897" s="4">
        <f t="shared" ca="1" si="193"/>
        <v>571755.80000000005</v>
      </c>
    </row>
    <row r="3898" spans="1:15">
      <c r="A3898" s="2" t="s">
        <v>20</v>
      </c>
      <c r="B3898" t="s">
        <v>43</v>
      </c>
      <c r="C3898" t="s">
        <v>44</v>
      </c>
      <c r="D3898">
        <v>50</v>
      </c>
      <c r="E3898" t="s">
        <v>46</v>
      </c>
      <c r="F3898">
        <v>4</v>
      </c>
      <c r="G3898">
        <v>2</v>
      </c>
      <c r="H3898">
        <v>2</v>
      </c>
      <c r="I3898">
        <v>1</v>
      </c>
      <c r="J3898" s="4" t="s">
        <v>53</v>
      </c>
      <c r="K3898" t="str">
        <f t="shared" si="194"/>
        <v>2+2</v>
      </c>
      <c r="L3898">
        <f>VLOOKUP(A3898,'ZONE 1 PREMIUM'!$A$4:$N$16,14,0)</f>
        <v>11</v>
      </c>
      <c r="M3898">
        <f>VLOOKUP(D3898,DROPDOWN!B:C,2,0)</f>
        <v>12</v>
      </c>
      <c r="N3898" t="str">
        <f t="shared" si="195"/>
        <v>BR113:CJ124</v>
      </c>
      <c r="O3898" s="4">
        <f t="shared" ca="1" si="193"/>
        <v>685419.9</v>
      </c>
    </row>
    <row r="3899" spans="1:15">
      <c r="A3899" s="2" t="s">
        <v>21</v>
      </c>
      <c r="B3899" t="s">
        <v>22</v>
      </c>
      <c r="D3899">
        <v>50</v>
      </c>
      <c r="E3899" t="s">
        <v>46</v>
      </c>
      <c r="F3899">
        <v>4</v>
      </c>
      <c r="G3899">
        <v>2</v>
      </c>
      <c r="H3899">
        <v>2</v>
      </c>
      <c r="I3899">
        <v>1</v>
      </c>
      <c r="J3899" s="4" t="s">
        <v>53</v>
      </c>
      <c r="K3899" t="str">
        <f t="shared" si="194"/>
        <v>2+2</v>
      </c>
      <c r="L3899">
        <f>VLOOKUP(A3899,'ZONE 1 PREMIUM'!$A$4:$N$16,14,0)</f>
        <v>12</v>
      </c>
      <c r="M3899">
        <f>VLOOKUP(D3899,DROPDOWN!B:C,2,0)</f>
        <v>12</v>
      </c>
      <c r="N3899" t="str">
        <f t="shared" si="195"/>
        <v>BR113:CJ124</v>
      </c>
      <c r="O3899" s="4">
        <f t="shared" ca="1" si="193"/>
        <v>848647.8</v>
      </c>
    </row>
    <row r="3900" spans="1:15">
      <c r="A3900" s="2" t="s">
        <v>11</v>
      </c>
      <c r="B3900" t="s">
        <v>45</v>
      </c>
      <c r="C3900" t="s">
        <v>25</v>
      </c>
      <c r="D3900">
        <v>50</v>
      </c>
      <c r="E3900" t="s">
        <v>46</v>
      </c>
      <c r="F3900">
        <v>5</v>
      </c>
      <c r="G3900">
        <v>2</v>
      </c>
      <c r="H3900">
        <v>3</v>
      </c>
      <c r="I3900">
        <v>1</v>
      </c>
      <c r="J3900" s="4" t="s">
        <v>53</v>
      </c>
      <c r="K3900" t="str">
        <f t="shared" si="194"/>
        <v>2+3</v>
      </c>
      <c r="L3900">
        <f>VLOOKUP(A3900,'ZONE 1 PREMIUM'!$A$4:$N$16,14,0)</f>
        <v>2</v>
      </c>
      <c r="M3900">
        <f>VLOOKUP(D3900,DROPDOWN!B:C,2,0)</f>
        <v>12</v>
      </c>
      <c r="N3900" t="str">
        <f t="shared" si="195"/>
        <v>BR128:CJ139</v>
      </c>
      <c r="O3900" s="4">
        <f t="shared" ca="1" si="193"/>
        <v>139178.6</v>
      </c>
    </row>
    <row r="3901" spans="1:15">
      <c r="A3901" s="2" t="s">
        <v>12</v>
      </c>
      <c r="B3901" t="s">
        <v>27</v>
      </c>
      <c r="C3901" t="s">
        <v>28</v>
      </c>
      <c r="D3901">
        <v>50</v>
      </c>
      <c r="E3901" t="s">
        <v>46</v>
      </c>
      <c r="F3901">
        <v>5</v>
      </c>
      <c r="G3901">
        <v>2</v>
      </c>
      <c r="H3901">
        <v>3</v>
      </c>
      <c r="I3901">
        <v>1</v>
      </c>
      <c r="J3901" s="4" t="s">
        <v>53</v>
      </c>
      <c r="K3901" t="str">
        <f t="shared" si="194"/>
        <v>2+3</v>
      </c>
      <c r="L3901">
        <f>VLOOKUP(A3901,'ZONE 1 PREMIUM'!$A$4:$N$16,14,0)</f>
        <v>3</v>
      </c>
      <c r="M3901">
        <f>VLOOKUP(D3901,DROPDOWN!B:C,2,0)</f>
        <v>12</v>
      </c>
      <c r="N3901" t="str">
        <f t="shared" si="195"/>
        <v>BR128:CJ139</v>
      </c>
      <c r="O3901" s="4">
        <f t="shared" ca="1" si="193"/>
        <v>150040</v>
      </c>
    </row>
    <row r="3902" spans="1:15">
      <c r="A3902" s="2" t="s">
        <v>13</v>
      </c>
      <c r="B3902" t="s">
        <v>29</v>
      </c>
      <c r="C3902" t="s">
        <v>30</v>
      </c>
      <c r="D3902">
        <v>50</v>
      </c>
      <c r="E3902" t="s">
        <v>46</v>
      </c>
      <c r="F3902">
        <v>5</v>
      </c>
      <c r="G3902">
        <v>2</v>
      </c>
      <c r="H3902">
        <v>3</v>
      </c>
      <c r="I3902">
        <v>1</v>
      </c>
      <c r="J3902" s="4" t="s">
        <v>53</v>
      </c>
      <c r="K3902" t="str">
        <f t="shared" si="194"/>
        <v>2+3</v>
      </c>
      <c r="L3902">
        <f>VLOOKUP(A3902,'ZONE 1 PREMIUM'!$A$4:$N$16,14,0)</f>
        <v>4</v>
      </c>
      <c r="M3902">
        <f>VLOOKUP(D3902,DROPDOWN!B:C,2,0)</f>
        <v>12</v>
      </c>
      <c r="N3902" t="str">
        <f t="shared" si="195"/>
        <v>BR128:CJ139</v>
      </c>
      <c r="O3902" s="4">
        <f t="shared" ca="1" si="193"/>
        <v>160871.70000000001</v>
      </c>
    </row>
    <row r="3903" spans="1:15">
      <c r="A3903" s="2" t="s">
        <v>14</v>
      </c>
      <c r="B3903" t="s">
        <v>31</v>
      </c>
      <c r="C3903" t="s">
        <v>32</v>
      </c>
      <c r="D3903">
        <v>50</v>
      </c>
      <c r="E3903" t="s">
        <v>46</v>
      </c>
      <c r="F3903">
        <v>5</v>
      </c>
      <c r="G3903">
        <v>2</v>
      </c>
      <c r="H3903">
        <v>3</v>
      </c>
      <c r="I3903">
        <v>1</v>
      </c>
      <c r="J3903" s="4" t="s">
        <v>53</v>
      </c>
      <c r="K3903" t="str">
        <f t="shared" si="194"/>
        <v>2+3</v>
      </c>
      <c r="L3903">
        <f>VLOOKUP(A3903,'ZONE 1 PREMIUM'!$A$4:$N$16,14,0)</f>
        <v>5</v>
      </c>
      <c r="M3903">
        <f>VLOOKUP(D3903,DROPDOWN!B:C,2,0)</f>
        <v>12</v>
      </c>
      <c r="N3903" t="str">
        <f t="shared" si="195"/>
        <v>BR128:CJ139</v>
      </c>
      <c r="O3903" s="4">
        <f t="shared" ca="1" si="193"/>
        <v>175541.30000000002</v>
      </c>
    </row>
    <row r="3904" spans="1:15">
      <c r="A3904" s="2" t="s">
        <v>15</v>
      </c>
      <c r="B3904" t="s">
        <v>33</v>
      </c>
      <c r="C3904" t="s">
        <v>34</v>
      </c>
      <c r="D3904">
        <v>50</v>
      </c>
      <c r="E3904" t="s">
        <v>46</v>
      </c>
      <c r="F3904">
        <v>5</v>
      </c>
      <c r="G3904">
        <v>2</v>
      </c>
      <c r="H3904">
        <v>3</v>
      </c>
      <c r="I3904">
        <v>1</v>
      </c>
      <c r="J3904" s="4" t="s">
        <v>53</v>
      </c>
      <c r="K3904" t="str">
        <f t="shared" si="194"/>
        <v>2+3</v>
      </c>
      <c r="L3904">
        <f>VLOOKUP(A3904,'ZONE 1 PREMIUM'!$A$4:$N$16,14,0)</f>
        <v>6</v>
      </c>
      <c r="M3904">
        <f>VLOOKUP(D3904,DROPDOWN!B:C,2,0)</f>
        <v>12</v>
      </c>
      <c r="N3904" t="str">
        <f t="shared" si="195"/>
        <v>BR128:CJ139</v>
      </c>
      <c r="O3904" s="4">
        <f t="shared" ca="1" si="193"/>
        <v>211322.1</v>
      </c>
    </row>
    <row r="3905" spans="1:15">
      <c r="A3905" s="2" t="s">
        <v>16</v>
      </c>
      <c r="B3905" t="s">
        <v>35</v>
      </c>
      <c r="C3905" t="s">
        <v>36</v>
      </c>
      <c r="D3905">
        <v>50</v>
      </c>
      <c r="E3905" t="s">
        <v>46</v>
      </c>
      <c r="F3905">
        <v>5</v>
      </c>
      <c r="G3905">
        <v>2</v>
      </c>
      <c r="H3905">
        <v>3</v>
      </c>
      <c r="I3905">
        <v>1</v>
      </c>
      <c r="J3905" s="4" t="s">
        <v>53</v>
      </c>
      <c r="K3905" t="str">
        <f t="shared" si="194"/>
        <v>2+3</v>
      </c>
      <c r="L3905">
        <f>VLOOKUP(A3905,'ZONE 1 PREMIUM'!$A$4:$N$16,14,0)</f>
        <v>7</v>
      </c>
      <c r="M3905">
        <f>VLOOKUP(D3905,DROPDOWN!B:C,2,0)</f>
        <v>12</v>
      </c>
      <c r="N3905" t="str">
        <f t="shared" si="195"/>
        <v>BR128:CJ139</v>
      </c>
      <c r="O3905" s="4">
        <f t="shared" ca="1" si="193"/>
        <v>275518.10000000003</v>
      </c>
    </row>
    <row r="3906" spans="1:15">
      <c r="A3906" s="2" t="s">
        <v>17</v>
      </c>
      <c r="B3906" t="s">
        <v>37</v>
      </c>
      <c r="C3906" t="s">
        <v>38</v>
      </c>
      <c r="D3906">
        <v>50</v>
      </c>
      <c r="E3906" t="s">
        <v>46</v>
      </c>
      <c r="F3906">
        <v>5</v>
      </c>
      <c r="G3906">
        <v>2</v>
      </c>
      <c r="H3906">
        <v>3</v>
      </c>
      <c r="I3906">
        <v>1</v>
      </c>
      <c r="J3906" s="4" t="s">
        <v>53</v>
      </c>
      <c r="K3906" t="str">
        <f t="shared" si="194"/>
        <v>2+3</v>
      </c>
      <c r="L3906">
        <f>VLOOKUP(A3906,'ZONE 1 PREMIUM'!$A$4:$N$16,14,0)</f>
        <v>8</v>
      </c>
      <c r="M3906">
        <f>VLOOKUP(D3906,DROPDOWN!B:C,2,0)</f>
        <v>12</v>
      </c>
      <c r="N3906" t="str">
        <f t="shared" si="195"/>
        <v>BR128:CJ139</v>
      </c>
      <c r="O3906" s="4">
        <f t="shared" ref="O3906:O3969" ca="1" si="196">INDEX(INDIRECT(N3906),L3906,M3906)</f>
        <v>353010.9</v>
      </c>
    </row>
    <row r="3907" spans="1:15">
      <c r="A3907" s="2" t="s">
        <v>18</v>
      </c>
      <c r="B3907" t="s">
        <v>39</v>
      </c>
      <c r="C3907" t="s">
        <v>40</v>
      </c>
      <c r="D3907">
        <v>50</v>
      </c>
      <c r="E3907" t="s">
        <v>46</v>
      </c>
      <c r="F3907">
        <v>5</v>
      </c>
      <c r="G3907">
        <v>2</v>
      </c>
      <c r="H3907">
        <v>3</v>
      </c>
      <c r="I3907">
        <v>1</v>
      </c>
      <c r="J3907" s="4" t="s">
        <v>53</v>
      </c>
      <c r="K3907" t="str">
        <f t="shared" si="194"/>
        <v>2+3</v>
      </c>
      <c r="L3907">
        <f>VLOOKUP(A3907,'ZONE 1 PREMIUM'!$A$4:$N$16,14,0)</f>
        <v>9</v>
      </c>
      <c r="M3907">
        <f>VLOOKUP(D3907,DROPDOWN!B:C,2,0)</f>
        <v>12</v>
      </c>
      <c r="N3907" t="str">
        <f t="shared" si="195"/>
        <v>BR128:CJ139</v>
      </c>
      <c r="O3907" s="4">
        <f t="shared" ca="1" si="196"/>
        <v>462102.30000000005</v>
      </c>
    </row>
    <row r="3908" spans="1:15">
      <c r="A3908" s="2" t="s">
        <v>19</v>
      </c>
      <c r="B3908" t="s">
        <v>41</v>
      </c>
      <c r="C3908" t="s">
        <v>42</v>
      </c>
      <c r="D3908">
        <v>50</v>
      </c>
      <c r="E3908" t="s">
        <v>46</v>
      </c>
      <c r="F3908">
        <v>5</v>
      </c>
      <c r="G3908">
        <v>2</v>
      </c>
      <c r="H3908">
        <v>3</v>
      </c>
      <c r="I3908">
        <v>1</v>
      </c>
      <c r="J3908" s="4" t="s">
        <v>53</v>
      </c>
      <c r="K3908" t="str">
        <f t="shared" ref="K3908:K3971" si="197">G3908&amp;"+"&amp;H3908</f>
        <v>2+3</v>
      </c>
      <c r="L3908">
        <f>VLOOKUP(A3908,'ZONE 1 PREMIUM'!$A$4:$N$16,14,0)</f>
        <v>10</v>
      </c>
      <c r="M3908">
        <f>VLOOKUP(D3908,DROPDOWN!B:C,2,0)</f>
        <v>12</v>
      </c>
      <c r="N3908" t="str">
        <f t="shared" si="195"/>
        <v>BR128:CJ139</v>
      </c>
      <c r="O3908" s="4">
        <f t="shared" ca="1" si="196"/>
        <v>587274.60000000009</v>
      </c>
    </row>
    <row r="3909" spans="1:15">
      <c r="A3909" s="2" t="s">
        <v>20</v>
      </c>
      <c r="B3909" t="s">
        <v>43</v>
      </c>
      <c r="C3909" t="s">
        <v>44</v>
      </c>
      <c r="D3909">
        <v>50</v>
      </c>
      <c r="E3909" t="s">
        <v>46</v>
      </c>
      <c r="F3909">
        <v>5</v>
      </c>
      <c r="G3909">
        <v>2</v>
      </c>
      <c r="H3909">
        <v>3</v>
      </c>
      <c r="I3909">
        <v>1</v>
      </c>
      <c r="J3909" s="4" t="s">
        <v>53</v>
      </c>
      <c r="K3909" t="str">
        <f t="shared" si="197"/>
        <v>2+3</v>
      </c>
      <c r="L3909">
        <f>VLOOKUP(A3909,'ZONE 1 PREMIUM'!$A$4:$N$16,14,0)</f>
        <v>11</v>
      </c>
      <c r="M3909">
        <f>VLOOKUP(D3909,DROPDOWN!B:C,2,0)</f>
        <v>12</v>
      </c>
      <c r="N3909" t="str">
        <f t="shared" si="195"/>
        <v>BR128:CJ139</v>
      </c>
      <c r="O3909" s="4">
        <f t="shared" ca="1" si="196"/>
        <v>703214.60000000009</v>
      </c>
    </row>
    <row r="3910" spans="1:15">
      <c r="A3910" s="2" t="s">
        <v>21</v>
      </c>
      <c r="B3910" t="s">
        <v>22</v>
      </c>
      <c r="D3910">
        <v>50</v>
      </c>
      <c r="E3910" t="s">
        <v>46</v>
      </c>
      <c r="F3910">
        <v>5</v>
      </c>
      <c r="G3910">
        <v>2</v>
      </c>
      <c r="H3910">
        <v>3</v>
      </c>
      <c r="I3910">
        <v>1</v>
      </c>
      <c r="J3910" s="4" t="s">
        <v>53</v>
      </c>
      <c r="K3910" t="str">
        <f t="shared" si="197"/>
        <v>2+3</v>
      </c>
      <c r="L3910">
        <f>VLOOKUP(A3910,'ZONE 1 PREMIUM'!$A$4:$N$16,14,0)</f>
        <v>12</v>
      </c>
      <c r="M3910">
        <f>VLOOKUP(D3910,DROPDOWN!B:C,2,0)</f>
        <v>12</v>
      </c>
      <c r="N3910" t="str">
        <f t="shared" si="195"/>
        <v>BR128:CJ139</v>
      </c>
      <c r="O3910" s="4">
        <f t="shared" ca="1" si="196"/>
        <v>867960.50000000012</v>
      </c>
    </row>
    <row r="3911" spans="1:15">
      <c r="A3911" s="2" t="s">
        <v>11</v>
      </c>
      <c r="B3911" t="s">
        <v>45</v>
      </c>
      <c r="C3911" t="s">
        <v>25</v>
      </c>
      <c r="D3911">
        <v>50</v>
      </c>
      <c r="E3911" t="s">
        <v>46</v>
      </c>
      <c r="F3911">
        <v>6</v>
      </c>
      <c r="G3911">
        <v>2</v>
      </c>
      <c r="H3911">
        <v>4</v>
      </c>
      <c r="I3911">
        <v>1</v>
      </c>
      <c r="J3911" s="4" t="s">
        <v>53</v>
      </c>
      <c r="K3911" t="str">
        <f t="shared" si="197"/>
        <v>2+4</v>
      </c>
      <c r="L3911">
        <f>VLOOKUP(A3911,'ZONE 1 PREMIUM'!$A$4:$N$16,14,0)</f>
        <v>2</v>
      </c>
      <c r="M3911">
        <f>VLOOKUP(D3911,DROPDOWN!B:C,2,0)</f>
        <v>12</v>
      </c>
      <c r="N3911" t="str">
        <f t="shared" si="195"/>
        <v>BR143:CJ154</v>
      </c>
      <c r="O3911" s="4">
        <f t="shared" ca="1" si="196"/>
        <v>153957.1</v>
      </c>
    </row>
    <row r="3912" spans="1:15">
      <c r="A3912" s="2" t="s">
        <v>12</v>
      </c>
      <c r="B3912" t="s">
        <v>27</v>
      </c>
      <c r="C3912" t="s">
        <v>28</v>
      </c>
      <c r="D3912">
        <v>50</v>
      </c>
      <c r="E3912" t="s">
        <v>46</v>
      </c>
      <c r="F3912">
        <v>6</v>
      </c>
      <c r="G3912">
        <v>2</v>
      </c>
      <c r="H3912">
        <v>4</v>
      </c>
      <c r="I3912">
        <v>1</v>
      </c>
      <c r="J3912" s="4" t="s">
        <v>53</v>
      </c>
      <c r="K3912" t="str">
        <f t="shared" si="197"/>
        <v>2+4</v>
      </c>
      <c r="L3912">
        <f>VLOOKUP(A3912,'ZONE 1 PREMIUM'!$A$4:$N$16,14,0)</f>
        <v>3</v>
      </c>
      <c r="M3912">
        <f>VLOOKUP(D3912,DROPDOWN!B:C,2,0)</f>
        <v>12</v>
      </c>
      <c r="N3912" t="str">
        <f t="shared" si="195"/>
        <v>BR143:CJ154</v>
      </c>
      <c r="O3912" s="4">
        <f t="shared" ca="1" si="196"/>
        <v>164615</v>
      </c>
    </row>
    <row r="3913" spans="1:15">
      <c r="A3913" s="2" t="s">
        <v>13</v>
      </c>
      <c r="B3913" t="s">
        <v>29</v>
      </c>
      <c r="C3913" t="s">
        <v>30</v>
      </c>
      <c r="D3913">
        <v>50</v>
      </c>
      <c r="E3913" t="s">
        <v>46</v>
      </c>
      <c r="F3913">
        <v>6</v>
      </c>
      <c r="G3913">
        <v>2</v>
      </c>
      <c r="H3913">
        <v>4</v>
      </c>
      <c r="I3913">
        <v>1</v>
      </c>
      <c r="J3913" s="4" t="s">
        <v>53</v>
      </c>
      <c r="K3913" t="str">
        <f t="shared" si="197"/>
        <v>2+4</v>
      </c>
      <c r="L3913">
        <f>VLOOKUP(A3913,'ZONE 1 PREMIUM'!$A$4:$N$16,14,0)</f>
        <v>4</v>
      </c>
      <c r="M3913">
        <f>VLOOKUP(D3913,DROPDOWN!B:C,2,0)</f>
        <v>12</v>
      </c>
      <c r="N3913" t="str">
        <f t="shared" si="195"/>
        <v>BR143:CJ154</v>
      </c>
      <c r="O3913" s="4">
        <f t="shared" ca="1" si="196"/>
        <v>177709.40000000002</v>
      </c>
    </row>
    <row r="3914" spans="1:15">
      <c r="A3914" s="2" t="s">
        <v>14</v>
      </c>
      <c r="B3914" t="s">
        <v>31</v>
      </c>
      <c r="C3914" t="s">
        <v>32</v>
      </c>
      <c r="D3914">
        <v>50</v>
      </c>
      <c r="E3914" t="s">
        <v>46</v>
      </c>
      <c r="F3914">
        <v>6</v>
      </c>
      <c r="G3914">
        <v>2</v>
      </c>
      <c r="H3914">
        <v>4</v>
      </c>
      <c r="I3914">
        <v>1</v>
      </c>
      <c r="J3914" s="4" t="s">
        <v>53</v>
      </c>
      <c r="K3914" t="str">
        <f t="shared" si="197"/>
        <v>2+4</v>
      </c>
      <c r="L3914">
        <f>VLOOKUP(A3914,'ZONE 1 PREMIUM'!$A$4:$N$16,14,0)</f>
        <v>5</v>
      </c>
      <c r="M3914">
        <f>VLOOKUP(D3914,DROPDOWN!B:C,2,0)</f>
        <v>12</v>
      </c>
      <c r="N3914" t="str">
        <f t="shared" si="195"/>
        <v>BR143:CJ154</v>
      </c>
      <c r="O3914" s="4">
        <f t="shared" ca="1" si="196"/>
        <v>193559.30000000002</v>
      </c>
    </row>
    <row r="3915" spans="1:15">
      <c r="A3915" s="2" t="s">
        <v>15</v>
      </c>
      <c r="B3915" t="s">
        <v>33</v>
      </c>
      <c r="C3915" t="s">
        <v>34</v>
      </c>
      <c r="D3915">
        <v>50</v>
      </c>
      <c r="E3915" t="s">
        <v>46</v>
      </c>
      <c r="F3915">
        <v>6</v>
      </c>
      <c r="G3915">
        <v>2</v>
      </c>
      <c r="H3915">
        <v>4</v>
      </c>
      <c r="I3915">
        <v>1</v>
      </c>
      <c r="J3915" s="4" t="s">
        <v>53</v>
      </c>
      <c r="K3915" t="str">
        <f t="shared" si="197"/>
        <v>2+4</v>
      </c>
      <c r="L3915">
        <f>VLOOKUP(A3915,'ZONE 1 PREMIUM'!$A$4:$N$16,14,0)</f>
        <v>6</v>
      </c>
      <c r="M3915">
        <f>VLOOKUP(D3915,DROPDOWN!B:C,2,0)</f>
        <v>12</v>
      </c>
      <c r="N3915" t="str">
        <f t="shared" si="195"/>
        <v>BR143:CJ154</v>
      </c>
      <c r="O3915" s="4">
        <f t="shared" ca="1" si="196"/>
        <v>231434.50000000003</v>
      </c>
    </row>
    <row r="3916" spans="1:15">
      <c r="A3916" s="2" t="s">
        <v>16</v>
      </c>
      <c r="B3916" t="s">
        <v>35</v>
      </c>
      <c r="C3916" t="s">
        <v>36</v>
      </c>
      <c r="D3916">
        <v>50</v>
      </c>
      <c r="E3916" t="s">
        <v>46</v>
      </c>
      <c r="F3916">
        <v>6</v>
      </c>
      <c r="G3916">
        <v>2</v>
      </c>
      <c r="H3916">
        <v>4</v>
      </c>
      <c r="I3916">
        <v>1</v>
      </c>
      <c r="J3916" s="4" t="s">
        <v>53</v>
      </c>
      <c r="K3916" t="str">
        <f t="shared" si="197"/>
        <v>2+4</v>
      </c>
      <c r="L3916">
        <f>VLOOKUP(A3916,'ZONE 1 PREMIUM'!$A$4:$N$16,14,0)</f>
        <v>7</v>
      </c>
      <c r="M3916">
        <f>VLOOKUP(D3916,DROPDOWN!B:C,2,0)</f>
        <v>12</v>
      </c>
      <c r="N3916" t="str">
        <f t="shared" si="195"/>
        <v>BR143:CJ154</v>
      </c>
      <c r="O3916" s="4">
        <f t="shared" ca="1" si="196"/>
        <v>292876.10000000003</v>
      </c>
    </row>
    <row r="3917" spans="1:15">
      <c r="A3917" s="2" t="s">
        <v>17</v>
      </c>
      <c r="B3917" t="s">
        <v>37</v>
      </c>
      <c r="C3917" t="s">
        <v>38</v>
      </c>
      <c r="D3917">
        <v>50</v>
      </c>
      <c r="E3917" t="s">
        <v>46</v>
      </c>
      <c r="F3917">
        <v>6</v>
      </c>
      <c r="G3917">
        <v>2</v>
      </c>
      <c r="H3917">
        <v>4</v>
      </c>
      <c r="I3917">
        <v>1</v>
      </c>
      <c r="J3917" s="4" t="s">
        <v>53</v>
      </c>
      <c r="K3917" t="str">
        <f t="shared" si="197"/>
        <v>2+4</v>
      </c>
      <c r="L3917">
        <f>VLOOKUP(A3917,'ZONE 1 PREMIUM'!$A$4:$N$16,14,0)</f>
        <v>8</v>
      </c>
      <c r="M3917">
        <f>VLOOKUP(D3917,DROPDOWN!B:C,2,0)</f>
        <v>12</v>
      </c>
      <c r="N3917" t="str">
        <f t="shared" si="195"/>
        <v>BR143:CJ154</v>
      </c>
      <c r="O3917" s="4">
        <f t="shared" ca="1" si="196"/>
        <v>369897.00000000006</v>
      </c>
    </row>
    <row r="3918" spans="1:15">
      <c r="A3918" s="2" t="s">
        <v>18</v>
      </c>
      <c r="B3918" t="s">
        <v>39</v>
      </c>
      <c r="C3918" t="s">
        <v>40</v>
      </c>
      <c r="D3918">
        <v>50</v>
      </c>
      <c r="E3918" t="s">
        <v>46</v>
      </c>
      <c r="F3918">
        <v>6</v>
      </c>
      <c r="G3918">
        <v>2</v>
      </c>
      <c r="H3918">
        <v>4</v>
      </c>
      <c r="I3918">
        <v>1</v>
      </c>
      <c r="J3918" s="4" t="s">
        <v>53</v>
      </c>
      <c r="K3918" t="str">
        <f t="shared" si="197"/>
        <v>2+4</v>
      </c>
      <c r="L3918">
        <f>VLOOKUP(A3918,'ZONE 1 PREMIUM'!$A$4:$N$16,14,0)</f>
        <v>9</v>
      </c>
      <c r="M3918">
        <f>VLOOKUP(D3918,DROPDOWN!B:C,2,0)</f>
        <v>12</v>
      </c>
      <c r="N3918" t="str">
        <f t="shared" si="195"/>
        <v>BR143:CJ154</v>
      </c>
      <c r="O3918" s="4">
        <f t="shared" ca="1" si="196"/>
        <v>478054.50000000006</v>
      </c>
    </row>
    <row r="3919" spans="1:15">
      <c r="A3919" s="2" t="s">
        <v>19</v>
      </c>
      <c r="B3919" t="s">
        <v>41</v>
      </c>
      <c r="C3919" t="s">
        <v>42</v>
      </c>
      <c r="D3919">
        <v>50</v>
      </c>
      <c r="E3919" t="s">
        <v>46</v>
      </c>
      <c r="F3919">
        <v>6</v>
      </c>
      <c r="G3919">
        <v>2</v>
      </c>
      <c r="H3919">
        <v>4</v>
      </c>
      <c r="I3919">
        <v>1</v>
      </c>
      <c r="J3919" s="4" t="s">
        <v>53</v>
      </c>
      <c r="K3919" t="str">
        <f t="shared" si="197"/>
        <v>2+4</v>
      </c>
      <c r="L3919">
        <f>VLOOKUP(A3919,'ZONE 1 PREMIUM'!$A$4:$N$16,14,0)</f>
        <v>10</v>
      </c>
      <c r="M3919">
        <f>VLOOKUP(D3919,DROPDOWN!B:C,2,0)</f>
        <v>12</v>
      </c>
      <c r="N3919" t="str">
        <f t="shared" si="195"/>
        <v>BR143:CJ154</v>
      </c>
      <c r="O3919" s="4">
        <f t="shared" ca="1" si="196"/>
        <v>605130.9</v>
      </c>
    </row>
    <row r="3920" spans="1:15">
      <c r="A3920" s="2" t="s">
        <v>20</v>
      </c>
      <c r="B3920" t="s">
        <v>43</v>
      </c>
      <c r="C3920" t="s">
        <v>44</v>
      </c>
      <c r="D3920">
        <v>50</v>
      </c>
      <c r="E3920" t="s">
        <v>46</v>
      </c>
      <c r="F3920">
        <v>6</v>
      </c>
      <c r="G3920">
        <v>2</v>
      </c>
      <c r="H3920">
        <v>4</v>
      </c>
      <c r="I3920">
        <v>1</v>
      </c>
      <c r="J3920" s="4" t="s">
        <v>53</v>
      </c>
      <c r="K3920" t="str">
        <f t="shared" si="197"/>
        <v>2+4</v>
      </c>
      <c r="L3920">
        <f>VLOOKUP(A3920,'ZONE 1 PREMIUM'!$A$4:$N$16,14,0)</f>
        <v>11</v>
      </c>
      <c r="M3920">
        <f>VLOOKUP(D3920,DROPDOWN!B:C,2,0)</f>
        <v>12</v>
      </c>
      <c r="N3920" t="str">
        <f t="shared" si="195"/>
        <v>BR143:CJ154</v>
      </c>
      <c r="O3920" s="4">
        <f t="shared" ca="1" si="196"/>
        <v>719502.3</v>
      </c>
    </row>
    <row r="3921" spans="1:15">
      <c r="A3921" s="2" t="s">
        <v>21</v>
      </c>
      <c r="B3921" t="s">
        <v>22</v>
      </c>
      <c r="D3921">
        <v>50</v>
      </c>
      <c r="E3921" t="s">
        <v>46</v>
      </c>
      <c r="F3921">
        <v>6</v>
      </c>
      <c r="G3921">
        <v>2</v>
      </c>
      <c r="H3921">
        <v>4</v>
      </c>
      <c r="I3921">
        <v>1</v>
      </c>
      <c r="J3921" s="4" t="s">
        <v>53</v>
      </c>
      <c r="K3921" t="str">
        <f t="shared" si="197"/>
        <v>2+4</v>
      </c>
      <c r="L3921">
        <f>VLOOKUP(A3921,'ZONE 1 PREMIUM'!$A$4:$N$16,14,0)</f>
        <v>12</v>
      </c>
      <c r="M3921">
        <f>VLOOKUP(D3921,DROPDOWN!B:C,2,0)</f>
        <v>12</v>
      </c>
      <c r="N3921" t="str">
        <f t="shared" si="195"/>
        <v>BR143:CJ154</v>
      </c>
      <c r="O3921" s="4">
        <f t="shared" ca="1" si="196"/>
        <v>881069.20000000007</v>
      </c>
    </row>
    <row r="3922" spans="1:15">
      <c r="A3922" s="2" t="s">
        <v>9</v>
      </c>
      <c r="B3922" t="s">
        <v>47</v>
      </c>
      <c r="C3922" t="s">
        <v>48</v>
      </c>
      <c r="D3922">
        <v>50</v>
      </c>
      <c r="E3922" t="s">
        <v>26</v>
      </c>
      <c r="F3922">
        <v>1</v>
      </c>
      <c r="H3922">
        <v>1</v>
      </c>
      <c r="I3922">
        <v>1</v>
      </c>
      <c r="J3922" s="4" t="s">
        <v>54</v>
      </c>
      <c r="K3922" t="str">
        <f t="shared" si="197"/>
        <v>+1</v>
      </c>
      <c r="N3922" t="e">
        <f t="shared" ref="N3922:N3985" si="198">VLOOKUP(K3922,$DH$4:$DI$13,2,0)</f>
        <v>#N/A</v>
      </c>
      <c r="O3922" s="13">
        <v>9334.6582502182973</v>
      </c>
    </row>
    <row r="3923" spans="1:15">
      <c r="A3923" s="2" t="s">
        <v>10</v>
      </c>
      <c r="B3923" t="s">
        <v>49</v>
      </c>
      <c r="C3923" t="s">
        <v>50</v>
      </c>
      <c r="D3923">
        <v>50</v>
      </c>
      <c r="E3923" t="s">
        <v>26</v>
      </c>
      <c r="F3923">
        <v>1</v>
      </c>
      <c r="G3923">
        <v>1</v>
      </c>
      <c r="H3923">
        <v>0</v>
      </c>
      <c r="I3923">
        <v>1</v>
      </c>
      <c r="J3923" s="4" t="s">
        <v>54</v>
      </c>
      <c r="K3923" t="str">
        <f t="shared" si="197"/>
        <v>1+0</v>
      </c>
      <c r="L3923">
        <f>VLOOKUP(A3923,'ZONE 1 PREMIUM'!$A$3:$M$16,13,0)</f>
        <v>3</v>
      </c>
      <c r="M3923">
        <f>VLOOKUP(D3923,DROPDOWN!B:C,2,0)</f>
        <v>12</v>
      </c>
      <c r="N3923" t="str">
        <f t="shared" si="198"/>
        <v>CO3:DG16</v>
      </c>
      <c r="O3923" s="4">
        <f t="shared" ca="1" si="196"/>
        <v>15836.61</v>
      </c>
    </row>
    <row r="3924" spans="1:15">
      <c r="A3924" s="2" t="s">
        <v>11</v>
      </c>
      <c r="B3924" t="s">
        <v>45</v>
      </c>
      <c r="C3924" t="s">
        <v>25</v>
      </c>
      <c r="D3924">
        <v>50</v>
      </c>
      <c r="E3924" t="s">
        <v>26</v>
      </c>
      <c r="F3924">
        <v>1</v>
      </c>
      <c r="G3924">
        <v>1</v>
      </c>
      <c r="H3924">
        <v>0</v>
      </c>
      <c r="I3924">
        <v>1</v>
      </c>
      <c r="J3924" s="4" t="s">
        <v>54</v>
      </c>
      <c r="K3924" t="str">
        <f t="shared" si="197"/>
        <v>1+0</v>
      </c>
      <c r="L3924">
        <f>VLOOKUP(A3924,'ZONE 1 PREMIUM'!$A$3:$M$16,13,0)</f>
        <v>4</v>
      </c>
      <c r="M3924">
        <f>VLOOKUP(D3924,DROPDOWN!B:C,2,0)</f>
        <v>12</v>
      </c>
      <c r="N3924" t="str">
        <f t="shared" si="198"/>
        <v>CO3:DG16</v>
      </c>
      <c r="O3924" s="4">
        <f t="shared" ca="1" si="196"/>
        <v>55697.91</v>
      </c>
    </row>
    <row r="3925" spans="1:15">
      <c r="A3925" s="2" t="s">
        <v>12</v>
      </c>
      <c r="B3925" t="s">
        <v>27</v>
      </c>
      <c r="C3925" t="s">
        <v>28</v>
      </c>
      <c r="D3925">
        <v>50</v>
      </c>
      <c r="E3925" t="s">
        <v>26</v>
      </c>
      <c r="F3925">
        <v>1</v>
      </c>
      <c r="G3925">
        <v>1</v>
      </c>
      <c r="H3925">
        <v>0</v>
      </c>
      <c r="I3925">
        <v>1</v>
      </c>
      <c r="J3925" s="4" t="s">
        <v>54</v>
      </c>
      <c r="K3925" t="str">
        <f t="shared" si="197"/>
        <v>1+0</v>
      </c>
      <c r="L3925">
        <f>VLOOKUP(A3925,'ZONE 1 PREMIUM'!$A$3:$M$16,13,0)</f>
        <v>5</v>
      </c>
      <c r="M3925">
        <f>VLOOKUP(D3925,DROPDOWN!B:C,2,0)</f>
        <v>12</v>
      </c>
      <c r="N3925" t="str">
        <f t="shared" si="198"/>
        <v>CO3:DG16</v>
      </c>
      <c r="O3925" s="4">
        <f t="shared" ca="1" si="196"/>
        <v>62962.76</v>
      </c>
    </row>
    <row r="3926" spans="1:15">
      <c r="A3926" s="2" t="s">
        <v>13</v>
      </c>
      <c r="B3926" t="s">
        <v>29</v>
      </c>
      <c r="C3926" t="s">
        <v>30</v>
      </c>
      <c r="D3926">
        <v>50</v>
      </c>
      <c r="E3926" t="s">
        <v>26</v>
      </c>
      <c r="F3926">
        <v>1</v>
      </c>
      <c r="G3926">
        <v>1</v>
      </c>
      <c r="H3926">
        <v>0</v>
      </c>
      <c r="I3926">
        <v>1</v>
      </c>
      <c r="J3926" s="4" t="s">
        <v>54</v>
      </c>
      <c r="K3926" t="str">
        <f t="shared" si="197"/>
        <v>1+0</v>
      </c>
      <c r="L3926">
        <f>VLOOKUP(A3926,'ZONE 1 PREMIUM'!$A$3:$M$16,13,0)</f>
        <v>6</v>
      </c>
      <c r="M3926">
        <f>VLOOKUP(D3926,DROPDOWN!B:C,2,0)</f>
        <v>12</v>
      </c>
      <c r="N3926" t="str">
        <f t="shared" si="198"/>
        <v>CO3:DG16</v>
      </c>
      <c r="O3926" s="4">
        <f t="shared" ca="1" si="196"/>
        <v>65720.460000000006</v>
      </c>
    </row>
    <row r="3927" spans="1:15">
      <c r="A3927" s="2" t="s">
        <v>14</v>
      </c>
      <c r="B3927" t="s">
        <v>31</v>
      </c>
      <c r="C3927" t="s">
        <v>32</v>
      </c>
      <c r="D3927">
        <v>50</v>
      </c>
      <c r="E3927" t="s">
        <v>26</v>
      </c>
      <c r="F3927">
        <v>1</v>
      </c>
      <c r="G3927">
        <v>1</v>
      </c>
      <c r="H3927">
        <v>0</v>
      </c>
      <c r="I3927">
        <v>1</v>
      </c>
      <c r="J3927" s="4" t="s">
        <v>54</v>
      </c>
      <c r="K3927" t="str">
        <f t="shared" si="197"/>
        <v>1+0</v>
      </c>
      <c r="L3927">
        <f>VLOOKUP(A3927,'ZONE 1 PREMIUM'!$A$3:$M$16,13,0)</f>
        <v>7</v>
      </c>
      <c r="M3927">
        <f>VLOOKUP(D3927,DROPDOWN!B:C,2,0)</f>
        <v>12</v>
      </c>
      <c r="N3927" t="str">
        <f t="shared" si="198"/>
        <v>CO3:DG16</v>
      </c>
      <c r="O3927" s="4">
        <f t="shared" ca="1" si="196"/>
        <v>74283.5</v>
      </c>
    </row>
    <row r="3928" spans="1:15">
      <c r="A3928" s="2" t="s">
        <v>15</v>
      </c>
      <c r="B3928" t="s">
        <v>33</v>
      </c>
      <c r="C3928" t="s">
        <v>34</v>
      </c>
      <c r="D3928">
        <v>50</v>
      </c>
      <c r="E3928" t="s">
        <v>26</v>
      </c>
      <c r="F3928">
        <v>1</v>
      </c>
      <c r="G3928">
        <v>1</v>
      </c>
      <c r="H3928">
        <v>0</v>
      </c>
      <c r="I3928">
        <v>1</v>
      </c>
      <c r="J3928" s="4" t="s">
        <v>54</v>
      </c>
      <c r="K3928" t="str">
        <f t="shared" si="197"/>
        <v>1+0</v>
      </c>
      <c r="L3928">
        <f>VLOOKUP(A3928,'ZONE 1 PREMIUM'!$A$3:$M$16,13,0)</f>
        <v>8</v>
      </c>
      <c r="M3928">
        <f>VLOOKUP(D3928,DROPDOWN!B:C,2,0)</f>
        <v>12</v>
      </c>
      <c r="N3928" t="str">
        <f t="shared" si="198"/>
        <v>CO3:DG16</v>
      </c>
      <c r="O3928" s="4">
        <f t="shared" ca="1" si="196"/>
        <v>89506.44</v>
      </c>
    </row>
    <row r="3929" spans="1:15">
      <c r="A3929" s="2" t="s">
        <v>16</v>
      </c>
      <c r="B3929" t="s">
        <v>35</v>
      </c>
      <c r="C3929" t="s">
        <v>36</v>
      </c>
      <c r="D3929">
        <v>50</v>
      </c>
      <c r="E3929" t="s">
        <v>26</v>
      </c>
      <c r="F3929">
        <v>1</v>
      </c>
      <c r="G3929">
        <v>1</v>
      </c>
      <c r="H3929">
        <v>0</v>
      </c>
      <c r="I3929">
        <v>1</v>
      </c>
      <c r="J3929" s="4" t="s">
        <v>54</v>
      </c>
      <c r="K3929" t="str">
        <f t="shared" si="197"/>
        <v>1+0</v>
      </c>
      <c r="L3929">
        <f>VLOOKUP(A3929,'ZONE 1 PREMIUM'!$A$3:$M$16,13,0)</f>
        <v>9</v>
      </c>
      <c r="M3929">
        <f>VLOOKUP(D3929,DROPDOWN!B:C,2,0)</f>
        <v>12</v>
      </c>
      <c r="N3929" t="str">
        <f t="shared" si="198"/>
        <v>CO3:DG16</v>
      </c>
      <c r="O3929" s="4">
        <f t="shared" ca="1" si="196"/>
        <v>125582.17000000001</v>
      </c>
    </row>
    <row r="3930" spans="1:15">
      <c r="A3930" s="2" t="s">
        <v>17</v>
      </c>
      <c r="B3930" t="s">
        <v>37</v>
      </c>
      <c r="C3930" t="s">
        <v>38</v>
      </c>
      <c r="D3930">
        <v>50</v>
      </c>
      <c r="E3930" t="s">
        <v>26</v>
      </c>
      <c r="F3930">
        <v>1</v>
      </c>
      <c r="G3930">
        <v>1</v>
      </c>
      <c r="H3930">
        <v>0</v>
      </c>
      <c r="I3930">
        <v>1</v>
      </c>
      <c r="J3930" s="4" t="s">
        <v>54</v>
      </c>
      <c r="K3930" t="str">
        <f t="shared" si="197"/>
        <v>1+0</v>
      </c>
      <c r="L3930">
        <f>VLOOKUP(A3930,'ZONE 1 PREMIUM'!$A$3:$M$16,13,0)</f>
        <v>10</v>
      </c>
      <c r="M3930">
        <f>VLOOKUP(D3930,DROPDOWN!B:C,2,0)</f>
        <v>12</v>
      </c>
      <c r="N3930" t="str">
        <f t="shared" si="198"/>
        <v>CO3:DG16</v>
      </c>
      <c r="O3930" s="4">
        <f t="shared" ca="1" si="196"/>
        <v>167791.33000000002</v>
      </c>
    </row>
    <row r="3931" spans="1:15">
      <c r="A3931" s="2" t="s">
        <v>18</v>
      </c>
      <c r="B3931" t="s">
        <v>39</v>
      </c>
      <c r="C3931" t="s">
        <v>40</v>
      </c>
      <c r="D3931">
        <v>50</v>
      </c>
      <c r="E3931" t="s">
        <v>26</v>
      </c>
      <c r="F3931">
        <v>1</v>
      </c>
      <c r="G3931">
        <v>1</v>
      </c>
      <c r="H3931">
        <v>0</v>
      </c>
      <c r="I3931">
        <v>1</v>
      </c>
      <c r="J3931" s="4" t="s">
        <v>54</v>
      </c>
      <c r="K3931" t="str">
        <f t="shared" si="197"/>
        <v>1+0</v>
      </c>
      <c r="L3931">
        <f>VLOOKUP(A3931,'ZONE 1 PREMIUM'!$A$3:$M$16,13,0)</f>
        <v>11</v>
      </c>
      <c r="M3931">
        <f>VLOOKUP(D3931,DROPDOWN!B:C,2,0)</f>
        <v>12</v>
      </c>
      <c r="N3931" t="str">
        <f t="shared" si="198"/>
        <v>CO3:DG16</v>
      </c>
      <c r="O3931" s="4">
        <f t="shared" ca="1" si="196"/>
        <v>230421.64</v>
      </c>
    </row>
    <row r="3932" spans="1:15">
      <c r="A3932" s="2" t="s">
        <v>19</v>
      </c>
      <c r="B3932" t="s">
        <v>41</v>
      </c>
      <c r="C3932" t="s">
        <v>42</v>
      </c>
      <c r="D3932">
        <v>50</v>
      </c>
      <c r="E3932" t="s">
        <v>26</v>
      </c>
      <c r="F3932">
        <v>1</v>
      </c>
      <c r="G3932">
        <v>1</v>
      </c>
      <c r="H3932">
        <v>0</v>
      </c>
      <c r="I3932">
        <v>1</v>
      </c>
      <c r="J3932" s="4" t="s">
        <v>54</v>
      </c>
      <c r="K3932" t="str">
        <f t="shared" si="197"/>
        <v>1+0</v>
      </c>
      <c r="L3932">
        <f>VLOOKUP(A3932,'ZONE 1 PREMIUM'!$A$3:$M$16,13,0)</f>
        <v>12</v>
      </c>
      <c r="M3932">
        <f>VLOOKUP(D3932,DROPDOWN!B:C,2,0)</f>
        <v>12</v>
      </c>
      <c r="N3932" t="str">
        <f t="shared" si="198"/>
        <v>CO3:DG16</v>
      </c>
      <c r="O3932" s="4">
        <f t="shared" ca="1" si="196"/>
        <v>292163.60000000003</v>
      </c>
    </row>
    <row r="3933" spans="1:15">
      <c r="A3933" s="2" t="s">
        <v>20</v>
      </c>
      <c r="B3933" t="s">
        <v>43</v>
      </c>
      <c r="C3933" t="s">
        <v>44</v>
      </c>
      <c r="D3933">
        <v>50</v>
      </c>
      <c r="E3933" t="s">
        <v>26</v>
      </c>
      <c r="F3933">
        <v>1</v>
      </c>
      <c r="G3933">
        <v>1</v>
      </c>
      <c r="H3933">
        <v>0</v>
      </c>
      <c r="I3933">
        <v>1</v>
      </c>
      <c r="J3933" s="4" t="s">
        <v>54</v>
      </c>
      <c r="K3933" t="str">
        <f t="shared" si="197"/>
        <v>1+0</v>
      </c>
      <c r="L3933">
        <f>VLOOKUP(A3933,'ZONE 1 PREMIUM'!$A$3:$M$16,13,0)</f>
        <v>13</v>
      </c>
      <c r="M3933">
        <f>VLOOKUP(D3933,DROPDOWN!B:C,2,0)</f>
        <v>12</v>
      </c>
      <c r="N3933" t="str">
        <f t="shared" si="198"/>
        <v>CO3:DG16</v>
      </c>
      <c r="O3933" s="4">
        <f t="shared" ca="1" si="196"/>
        <v>341774.95</v>
      </c>
    </row>
    <row r="3934" spans="1:15">
      <c r="A3934" s="2" t="s">
        <v>21</v>
      </c>
      <c r="B3934" t="s">
        <v>22</v>
      </c>
      <c r="D3934">
        <v>50</v>
      </c>
      <c r="E3934" t="s">
        <v>26</v>
      </c>
      <c r="F3934">
        <v>1</v>
      </c>
      <c r="G3934">
        <v>1</v>
      </c>
      <c r="H3934">
        <v>0</v>
      </c>
      <c r="I3934">
        <v>1</v>
      </c>
      <c r="J3934" s="4" t="s">
        <v>54</v>
      </c>
      <c r="K3934" t="str">
        <f t="shared" si="197"/>
        <v>1+0</v>
      </c>
      <c r="L3934">
        <f>VLOOKUP(A3934,'ZONE 1 PREMIUM'!$A$3:$M$16,13,0)</f>
        <v>14</v>
      </c>
      <c r="M3934">
        <f>VLOOKUP(D3934,DROPDOWN!B:C,2,0)</f>
        <v>12</v>
      </c>
      <c r="N3934" t="str">
        <f t="shared" si="198"/>
        <v>CO3:DG16</v>
      </c>
      <c r="O3934" s="4">
        <f t="shared" ca="1" si="196"/>
        <v>445746.78</v>
      </c>
    </row>
    <row r="3935" spans="1:15">
      <c r="A3935" s="2" t="s">
        <v>11</v>
      </c>
      <c r="B3935" t="s">
        <v>45</v>
      </c>
      <c r="C3935" t="s">
        <v>25</v>
      </c>
      <c r="D3935">
        <v>50</v>
      </c>
      <c r="E3935" t="s">
        <v>46</v>
      </c>
      <c r="F3935">
        <v>2</v>
      </c>
      <c r="G3935">
        <v>1</v>
      </c>
      <c r="H3935">
        <v>1</v>
      </c>
      <c r="I3935">
        <v>1</v>
      </c>
      <c r="J3935" s="4" t="s">
        <v>54</v>
      </c>
      <c r="K3935" t="str">
        <f t="shared" si="197"/>
        <v>1+1</v>
      </c>
      <c r="L3935">
        <f>VLOOKUP(A3935,'ZONE 1 PREMIUM'!$A$4:$N$16,14,0)</f>
        <v>2</v>
      </c>
      <c r="M3935">
        <f>VLOOKUP(D3935,DROPDOWN!B:C,2,0)</f>
        <v>12</v>
      </c>
      <c r="N3935" t="str">
        <f t="shared" si="198"/>
        <v>CO20:DG31</v>
      </c>
      <c r="O3935" s="4">
        <f t="shared" ca="1" si="196"/>
        <v>57295.850000000006</v>
      </c>
    </row>
    <row r="3936" spans="1:15">
      <c r="A3936" s="2" t="s">
        <v>12</v>
      </c>
      <c r="B3936" t="s">
        <v>27</v>
      </c>
      <c r="C3936" t="s">
        <v>28</v>
      </c>
      <c r="D3936">
        <v>50</v>
      </c>
      <c r="E3936" t="s">
        <v>46</v>
      </c>
      <c r="F3936">
        <v>2</v>
      </c>
      <c r="G3936">
        <v>1</v>
      </c>
      <c r="H3936">
        <v>1</v>
      </c>
      <c r="I3936">
        <v>1</v>
      </c>
      <c r="J3936" s="4" t="s">
        <v>54</v>
      </c>
      <c r="K3936" t="str">
        <f t="shared" si="197"/>
        <v>1+1</v>
      </c>
      <c r="L3936">
        <f>VLOOKUP(A3936,'ZONE 1 PREMIUM'!$A$4:$N$16,14,0)</f>
        <v>3</v>
      </c>
      <c r="M3936">
        <f>VLOOKUP(D3936,DROPDOWN!B:C,2,0)</f>
        <v>12</v>
      </c>
      <c r="N3936" t="str">
        <f t="shared" si="198"/>
        <v>CO20:DG31</v>
      </c>
      <c r="O3936" s="4">
        <f t="shared" ca="1" si="196"/>
        <v>63136.070000000007</v>
      </c>
    </row>
    <row r="3937" spans="1:15">
      <c r="A3937" s="2" t="s">
        <v>13</v>
      </c>
      <c r="B3937" t="s">
        <v>29</v>
      </c>
      <c r="C3937" t="s">
        <v>30</v>
      </c>
      <c r="D3937">
        <v>50</v>
      </c>
      <c r="E3937" t="s">
        <v>46</v>
      </c>
      <c r="F3937">
        <v>2</v>
      </c>
      <c r="G3937">
        <v>1</v>
      </c>
      <c r="H3937">
        <v>1</v>
      </c>
      <c r="I3937">
        <v>1</v>
      </c>
      <c r="J3937" s="4" t="s">
        <v>54</v>
      </c>
      <c r="K3937" t="str">
        <f t="shared" si="197"/>
        <v>1+1</v>
      </c>
      <c r="L3937">
        <f>VLOOKUP(A3937,'ZONE 1 PREMIUM'!$A$4:$N$16,14,0)</f>
        <v>4</v>
      </c>
      <c r="M3937">
        <f>VLOOKUP(D3937,DROPDOWN!B:C,2,0)</f>
        <v>12</v>
      </c>
      <c r="N3937" t="str">
        <f t="shared" si="198"/>
        <v>CO20:DG31</v>
      </c>
      <c r="O3937" s="4">
        <f t="shared" ca="1" si="196"/>
        <v>67456.83</v>
      </c>
    </row>
    <row r="3938" spans="1:15">
      <c r="A3938" s="2" t="s">
        <v>14</v>
      </c>
      <c r="B3938" t="s">
        <v>31</v>
      </c>
      <c r="C3938" t="s">
        <v>32</v>
      </c>
      <c r="D3938">
        <v>50</v>
      </c>
      <c r="E3938" t="s">
        <v>46</v>
      </c>
      <c r="F3938">
        <v>2</v>
      </c>
      <c r="G3938">
        <v>1</v>
      </c>
      <c r="H3938">
        <v>1</v>
      </c>
      <c r="I3938">
        <v>1</v>
      </c>
      <c r="J3938" s="4" t="s">
        <v>54</v>
      </c>
      <c r="K3938" t="str">
        <f t="shared" si="197"/>
        <v>1+1</v>
      </c>
      <c r="L3938">
        <f>VLOOKUP(A3938,'ZONE 1 PREMIUM'!$A$4:$N$16,14,0)</f>
        <v>5</v>
      </c>
      <c r="M3938">
        <f>VLOOKUP(D3938,DROPDOWN!B:C,2,0)</f>
        <v>12</v>
      </c>
      <c r="N3938" t="str">
        <f t="shared" si="198"/>
        <v>CO20:DG31</v>
      </c>
      <c r="O3938" s="4">
        <f t="shared" ca="1" si="196"/>
        <v>77930.64</v>
      </c>
    </row>
    <row r="3939" spans="1:15">
      <c r="A3939" s="2" t="s">
        <v>15</v>
      </c>
      <c r="B3939" t="s">
        <v>33</v>
      </c>
      <c r="C3939" t="s">
        <v>34</v>
      </c>
      <c r="D3939">
        <v>50</v>
      </c>
      <c r="E3939" t="s">
        <v>46</v>
      </c>
      <c r="F3939">
        <v>2</v>
      </c>
      <c r="G3939">
        <v>1</v>
      </c>
      <c r="H3939">
        <v>1</v>
      </c>
      <c r="I3939">
        <v>1</v>
      </c>
      <c r="J3939" s="4" t="s">
        <v>54</v>
      </c>
      <c r="K3939" t="str">
        <f t="shared" si="197"/>
        <v>1+1</v>
      </c>
      <c r="L3939">
        <f>VLOOKUP(A3939,'ZONE 1 PREMIUM'!$A$4:$N$16,14,0)</f>
        <v>6</v>
      </c>
      <c r="M3939">
        <f>VLOOKUP(D3939,DROPDOWN!B:C,2,0)</f>
        <v>12</v>
      </c>
      <c r="N3939" t="str">
        <f t="shared" si="198"/>
        <v>CO20:DG31</v>
      </c>
      <c r="O3939" s="4">
        <f t="shared" ca="1" si="196"/>
        <v>94150.930000000008</v>
      </c>
    </row>
    <row r="3940" spans="1:15">
      <c r="A3940" s="2" t="s">
        <v>16</v>
      </c>
      <c r="B3940" t="s">
        <v>35</v>
      </c>
      <c r="C3940" t="s">
        <v>36</v>
      </c>
      <c r="D3940">
        <v>50</v>
      </c>
      <c r="E3940" t="s">
        <v>46</v>
      </c>
      <c r="F3940">
        <v>2</v>
      </c>
      <c r="G3940">
        <v>1</v>
      </c>
      <c r="H3940">
        <v>1</v>
      </c>
      <c r="I3940">
        <v>1</v>
      </c>
      <c r="J3940" s="4" t="s">
        <v>54</v>
      </c>
      <c r="K3940" t="str">
        <f t="shared" si="197"/>
        <v>1+1</v>
      </c>
      <c r="L3940">
        <f>VLOOKUP(A3940,'ZONE 1 PREMIUM'!$A$4:$N$16,14,0)</f>
        <v>7</v>
      </c>
      <c r="M3940">
        <f>VLOOKUP(D3940,DROPDOWN!B:C,2,0)</f>
        <v>12</v>
      </c>
      <c r="N3940" t="str">
        <f t="shared" si="198"/>
        <v>CO20:DG31</v>
      </c>
      <c r="O3940" s="4">
        <f t="shared" ca="1" si="196"/>
        <v>128593.84000000001</v>
      </c>
    </row>
    <row r="3941" spans="1:15">
      <c r="A3941" s="2" t="s">
        <v>17</v>
      </c>
      <c r="B3941" t="s">
        <v>37</v>
      </c>
      <c r="C3941" t="s">
        <v>38</v>
      </c>
      <c r="D3941">
        <v>50</v>
      </c>
      <c r="E3941" t="s">
        <v>46</v>
      </c>
      <c r="F3941">
        <v>2</v>
      </c>
      <c r="G3941">
        <v>1</v>
      </c>
      <c r="H3941">
        <v>1</v>
      </c>
      <c r="I3941">
        <v>1</v>
      </c>
      <c r="J3941" s="4" t="s">
        <v>54</v>
      </c>
      <c r="K3941" t="str">
        <f t="shared" si="197"/>
        <v>1+1</v>
      </c>
      <c r="L3941">
        <f>VLOOKUP(A3941,'ZONE 1 PREMIUM'!$A$4:$N$16,14,0)</f>
        <v>8</v>
      </c>
      <c r="M3941">
        <f>VLOOKUP(D3941,DROPDOWN!B:C,2,0)</f>
        <v>12</v>
      </c>
      <c r="N3941" t="str">
        <f t="shared" si="198"/>
        <v>CO20:DG31</v>
      </c>
      <c r="O3941" s="4">
        <f t="shared" ca="1" si="196"/>
        <v>170751.77000000002</v>
      </c>
    </row>
    <row r="3942" spans="1:15">
      <c r="A3942" s="2" t="s">
        <v>18</v>
      </c>
      <c r="B3942" t="s">
        <v>39</v>
      </c>
      <c r="C3942" t="s">
        <v>40</v>
      </c>
      <c r="D3942">
        <v>50</v>
      </c>
      <c r="E3942" t="s">
        <v>46</v>
      </c>
      <c r="F3942">
        <v>2</v>
      </c>
      <c r="G3942">
        <v>1</v>
      </c>
      <c r="H3942">
        <v>1</v>
      </c>
      <c r="I3942">
        <v>1</v>
      </c>
      <c r="J3942" s="4" t="s">
        <v>54</v>
      </c>
      <c r="K3942" t="str">
        <f t="shared" si="197"/>
        <v>1+1</v>
      </c>
      <c r="L3942">
        <f>VLOOKUP(A3942,'ZONE 1 PREMIUM'!$A$4:$N$16,14,0)</f>
        <v>9</v>
      </c>
      <c r="M3942">
        <f>VLOOKUP(D3942,DROPDOWN!B:C,2,0)</f>
        <v>12</v>
      </c>
      <c r="N3942" t="str">
        <f t="shared" si="198"/>
        <v>CO20:DG31</v>
      </c>
      <c r="O3942" s="4">
        <f t="shared" ca="1" si="196"/>
        <v>235993.72000000003</v>
      </c>
    </row>
    <row r="3943" spans="1:15">
      <c r="A3943" s="2" t="s">
        <v>19</v>
      </c>
      <c r="B3943" t="s">
        <v>41</v>
      </c>
      <c r="C3943" t="s">
        <v>42</v>
      </c>
      <c r="D3943">
        <v>50</v>
      </c>
      <c r="E3943" t="s">
        <v>46</v>
      </c>
      <c r="F3943">
        <v>2</v>
      </c>
      <c r="G3943">
        <v>1</v>
      </c>
      <c r="H3943">
        <v>1</v>
      </c>
      <c r="I3943">
        <v>1</v>
      </c>
      <c r="J3943" s="4" t="s">
        <v>54</v>
      </c>
      <c r="K3943" t="str">
        <f t="shared" si="197"/>
        <v>1+1</v>
      </c>
      <c r="L3943">
        <f>VLOOKUP(A3943,'ZONE 1 PREMIUM'!$A$4:$N$16,14,0)</f>
        <v>10</v>
      </c>
      <c r="M3943">
        <f>VLOOKUP(D3943,DROPDOWN!B:C,2,0)</f>
        <v>12</v>
      </c>
      <c r="N3943" t="str">
        <f t="shared" si="198"/>
        <v>CO20:DG31</v>
      </c>
      <c r="O3943" s="4">
        <f t="shared" ca="1" si="196"/>
        <v>297996.19</v>
      </c>
    </row>
    <row r="3944" spans="1:15">
      <c r="A3944" s="2" t="s">
        <v>20</v>
      </c>
      <c r="B3944" t="s">
        <v>43</v>
      </c>
      <c r="C3944" t="s">
        <v>44</v>
      </c>
      <c r="D3944">
        <v>50</v>
      </c>
      <c r="E3944" t="s">
        <v>46</v>
      </c>
      <c r="F3944">
        <v>2</v>
      </c>
      <c r="G3944">
        <v>1</v>
      </c>
      <c r="H3944">
        <v>1</v>
      </c>
      <c r="I3944">
        <v>1</v>
      </c>
      <c r="J3944" s="4" t="s">
        <v>54</v>
      </c>
      <c r="K3944" t="str">
        <f t="shared" si="197"/>
        <v>1+1</v>
      </c>
      <c r="L3944">
        <f>VLOOKUP(A3944,'ZONE 1 PREMIUM'!$A$4:$N$16,14,0)</f>
        <v>11</v>
      </c>
      <c r="M3944">
        <f>VLOOKUP(D3944,DROPDOWN!B:C,2,0)</f>
        <v>12</v>
      </c>
      <c r="N3944" t="str">
        <f t="shared" si="198"/>
        <v>CO20:DG31</v>
      </c>
      <c r="O3944" s="4">
        <f t="shared" ca="1" si="196"/>
        <v>343707.52</v>
      </c>
    </row>
    <row r="3945" spans="1:15">
      <c r="A3945" s="2" t="s">
        <v>21</v>
      </c>
      <c r="B3945" t="s">
        <v>22</v>
      </c>
      <c r="D3945">
        <v>50</v>
      </c>
      <c r="E3945" t="s">
        <v>46</v>
      </c>
      <c r="F3945">
        <v>2</v>
      </c>
      <c r="G3945">
        <v>1</v>
      </c>
      <c r="H3945">
        <v>1</v>
      </c>
      <c r="I3945">
        <v>1</v>
      </c>
      <c r="J3945" s="4" t="s">
        <v>54</v>
      </c>
      <c r="K3945" t="str">
        <f t="shared" si="197"/>
        <v>1+1</v>
      </c>
      <c r="L3945">
        <f>VLOOKUP(A3945,'ZONE 1 PREMIUM'!$A$4:$N$16,14,0)</f>
        <v>12</v>
      </c>
      <c r="M3945">
        <f>VLOOKUP(D3945,DROPDOWN!B:C,2,0)</f>
        <v>12</v>
      </c>
      <c r="N3945" t="str">
        <f t="shared" si="198"/>
        <v>CO20:DG31</v>
      </c>
      <c r="O3945" s="4">
        <f t="shared" ca="1" si="196"/>
        <v>455066.28</v>
      </c>
    </row>
    <row r="3946" spans="1:15">
      <c r="A3946" s="2" t="s">
        <v>11</v>
      </c>
      <c r="B3946" t="s">
        <v>45</v>
      </c>
      <c r="C3946" t="s">
        <v>25</v>
      </c>
      <c r="D3946">
        <v>50</v>
      </c>
      <c r="E3946" t="s">
        <v>46</v>
      </c>
      <c r="F3946">
        <v>3</v>
      </c>
      <c r="G3946">
        <v>1</v>
      </c>
      <c r="H3946">
        <v>2</v>
      </c>
      <c r="I3946">
        <v>1</v>
      </c>
      <c r="J3946" s="4" t="s">
        <v>54</v>
      </c>
      <c r="K3946" t="str">
        <f t="shared" si="197"/>
        <v>1+2</v>
      </c>
      <c r="L3946">
        <f>VLOOKUP(A3946,'ZONE 1 PREMIUM'!$A$4:$N$16,14,0)</f>
        <v>2</v>
      </c>
      <c r="M3946">
        <f>VLOOKUP(D3946,DROPDOWN!B:C,2,0)</f>
        <v>12</v>
      </c>
      <c r="N3946" t="str">
        <f t="shared" si="198"/>
        <v>CO35:DG46</v>
      </c>
      <c r="O3946" s="4">
        <f t="shared" ca="1" si="196"/>
        <v>70885.97</v>
      </c>
    </row>
    <row r="3947" spans="1:15">
      <c r="A3947" s="2" t="s">
        <v>12</v>
      </c>
      <c r="B3947" t="s">
        <v>27</v>
      </c>
      <c r="C3947" t="s">
        <v>28</v>
      </c>
      <c r="D3947">
        <v>50</v>
      </c>
      <c r="E3947" t="s">
        <v>46</v>
      </c>
      <c r="F3947">
        <v>3</v>
      </c>
      <c r="G3947">
        <v>1</v>
      </c>
      <c r="H3947">
        <v>2</v>
      </c>
      <c r="I3947">
        <v>1</v>
      </c>
      <c r="J3947" s="4" t="s">
        <v>54</v>
      </c>
      <c r="K3947" t="str">
        <f t="shared" si="197"/>
        <v>1+2</v>
      </c>
      <c r="L3947">
        <f>VLOOKUP(A3947,'ZONE 1 PREMIUM'!$A$4:$N$16,14,0)</f>
        <v>3</v>
      </c>
      <c r="M3947">
        <f>VLOOKUP(D3947,DROPDOWN!B:C,2,0)</f>
        <v>12</v>
      </c>
      <c r="N3947" t="str">
        <f t="shared" si="198"/>
        <v>CO35:DG46</v>
      </c>
      <c r="O3947" s="4">
        <f t="shared" ca="1" si="196"/>
        <v>76223.700000000012</v>
      </c>
    </row>
    <row r="3948" spans="1:15">
      <c r="A3948" s="2" t="s">
        <v>13</v>
      </c>
      <c r="B3948" t="s">
        <v>29</v>
      </c>
      <c r="C3948" t="s">
        <v>30</v>
      </c>
      <c r="D3948">
        <v>50</v>
      </c>
      <c r="E3948" t="s">
        <v>46</v>
      </c>
      <c r="F3948">
        <v>3</v>
      </c>
      <c r="G3948">
        <v>1</v>
      </c>
      <c r="H3948">
        <v>2</v>
      </c>
      <c r="I3948">
        <v>1</v>
      </c>
      <c r="J3948" s="4" t="s">
        <v>54</v>
      </c>
      <c r="K3948" t="str">
        <f t="shared" si="197"/>
        <v>1+2</v>
      </c>
      <c r="L3948">
        <f>VLOOKUP(A3948,'ZONE 1 PREMIUM'!$A$4:$N$16,14,0)</f>
        <v>4</v>
      </c>
      <c r="M3948">
        <f>VLOOKUP(D3948,DROPDOWN!B:C,2,0)</f>
        <v>12</v>
      </c>
      <c r="N3948" t="str">
        <f t="shared" si="198"/>
        <v>CO35:DG46</v>
      </c>
      <c r="O3948" s="4">
        <f t="shared" ca="1" si="196"/>
        <v>82604.560000000012</v>
      </c>
    </row>
    <row r="3949" spans="1:15">
      <c r="A3949" s="2" t="s">
        <v>14</v>
      </c>
      <c r="B3949" t="s">
        <v>31</v>
      </c>
      <c r="C3949" t="s">
        <v>32</v>
      </c>
      <c r="D3949">
        <v>50</v>
      </c>
      <c r="E3949" t="s">
        <v>46</v>
      </c>
      <c r="F3949">
        <v>3</v>
      </c>
      <c r="G3949">
        <v>1</v>
      </c>
      <c r="H3949">
        <v>2</v>
      </c>
      <c r="I3949">
        <v>1</v>
      </c>
      <c r="J3949" s="4" t="s">
        <v>54</v>
      </c>
      <c r="K3949" t="str">
        <f t="shared" si="197"/>
        <v>1+2</v>
      </c>
      <c r="L3949">
        <f>VLOOKUP(A3949,'ZONE 1 PREMIUM'!$A$4:$N$16,14,0)</f>
        <v>5</v>
      </c>
      <c r="M3949">
        <f>VLOOKUP(D3949,DROPDOWN!B:C,2,0)</f>
        <v>12</v>
      </c>
      <c r="N3949" t="str">
        <f t="shared" si="198"/>
        <v>CO35:DG46</v>
      </c>
      <c r="O3949" s="4">
        <f t="shared" ca="1" si="196"/>
        <v>91501.140000000014</v>
      </c>
    </row>
    <row r="3950" spans="1:15">
      <c r="A3950" s="2" t="s">
        <v>15</v>
      </c>
      <c r="B3950" t="s">
        <v>33</v>
      </c>
      <c r="C3950" t="s">
        <v>34</v>
      </c>
      <c r="D3950">
        <v>50</v>
      </c>
      <c r="E3950" t="s">
        <v>46</v>
      </c>
      <c r="F3950">
        <v>3</v>
      </c>
      <c r="G3950">
        <v>1</v>
      </c>
      <c r="H3950">
        <v>2</v>
      </c>
      <c r="I3950">
        <v>1</v>
      </c>
      <c r="J3950" s="4" t="s">
        <v>54</v>
      </c>
      <c r="K3950" t="str">
        <f t="shared" si="197"/>
        <v>1+2</v>
      </c>
      <c r="L3950">
        <f>VLOOKUP(A3950,'ZONE 1 PREMIUM'!$A$4:$N$16,14,0)</f>
        <v>6</v>
      </c>
      <c r="M3950">
        <f>VLOOKUP(D3950,DROPDOWN!B:C,2,0)</f>
        <v>12</v>
      </c>
      <c r="N3950" t="str">
        <f t="shared" si="198"/>
        <v>CO35:DG46</v>
      </c>
      <c r="O3950" s="4">
        <f t="shared" ca="1" si="196"/>
        <v>112646.05</v>
      </c>
    </row>
    <row r="3951" spans="1:15">
      <c r="A3951" s="2" t="s">
        <v>16</v>
      </c>
      <c r="B3951" t="s">
        <v>35</v>
      </c>
      <c r="C3951" t="s">
        <v>36</v>
      </c>
      <c r="D3951">
        <v>50</v>
      </c>
      <c r="E3951" t="s">
        <v>46</v>
      </c>
      <c r="F3951">
        <v>3</v>
      </c>
      <c r="G3951">
        <v>1</v>
      </c>
      <c r="H3951">
        <v>2</v>
      </c>
      <c r="I3951">
        <v>1</v>
      </c>
      <c r="J3951" s="4" t="s">
        <v>54</v>
      </c>
      <c r="K3951" t="str">
        <f t="shared" si="197"/>
        <v>1+2</v>
      </c>
      <c r="L3951">
        <f>VLOOKUP(A3951,'ZONE 1 PREMIUM'!$A$4:$N$16,14,0)</f>
        <v>7</v>
      </c>
      <c r="M3951">
        <f>VLOOKUP(D3951,DROPDOWN!B:C,2,0)</f>
        <v>12</v>
      </c>
      <c r="N3951" t="str">
        <f t="shared" si="198"/>
        <v>CO35:DG46</v>
      </c>
      <c r="O3951" s="4">
        <f t="shared" ca="1" si="196"/>
        <v>151132.86000000002</v>
      </c>
    </row>
    <row r="3952" spans="1:15">
      <c r="A3952" s="2" t="s">
        <v>17</v>
      </c>
      <c r="B3952" t="s">
        <v>37</v>
      </c>
      <c r="C3952" t="s">
        <v>38</v>
      </c>
      <c r="D3952">
        <v>50</v>
      </c>
      <c r="E3952" t="s">
        <v>46</v>
      </c>
      <c r="F3952">
        <v>3</v>
      </c>
      <c r="G3952">
        <v>1</v>
      </c>
      <c r="H3952">
        <v>2</v>
      </c>
      <c r="I3952">
        <v>1</v>
      </c>
      <c r="J3952" s="4" t="s">
        <v>54</v>
      </c>
      <c r="K3952" t="str">
        <f t="shared" si="197"/>
        <v>1+2</v>
      </c>
      <c r="L3952">
        <f>VLOOKUP(A3952,'ZONE 1 PREMIUM'!$A$4:$N$16,14,0)</f>
        <v>8</v>
      </c>
      <c r="M3952">
        <f>VLOOKUP(D3952,DROPDOWN!B:C,2,0)</f>
        <v>12</v>
      </c>
      <c r="N3952" t="str">
        <f t="shared" si="198"/>
        <v>CO35:DG46</v>
      </c>
      <c r="O3952" s="4">
        <f t="shared" ca="1" si="196"/>
        <v>194908.35</v>
      </c>
    </row>
    <row r="3953" spans="1:15">
      <c r="A3953" s="2" t="s">
        <v>18</v>
      </c>
      <c r="B3953" t="s">
        <v>39</v>
      </c>
      <c r="C3953" t="s">
        <v>40</v>
      </c>
      <c r="D3953">
        <v>50</v>
      </c>
      <c r="E3953" t="s">
        <v>46</v>
      </c>
      <c r="F3953">
        <v>3</v>
      </c>
      <c r="G3953">
        <v>1</v>
      </c>
      <c r="H3953">
        <v>2</v>
      </c>
      <c r="I3953">
        <v>1</v>
      </c>
      <c r="J3953" s="4" t="s">
        <v>54</v>
      </c>
      <c r="K3953" t="str">
        <f t="shared" si="197"/>
        <v>1+2</v>
      </c>
      <c r="L3953">
        <f>VLOOKUP(A3953,'ZONE 1 PREMIUM'!$A$4:$N$16,14,0)</f>
        <v>9</v>
      </c>
      <c r="M3953">
        <f>VLOOKUP(D3953,DROPDOWN!B:C,2,0)</f>
        <v>12</v>
      </c>
      <c r="N3953" t="str">
        <f t="shared" si="198"/>
        <v>CO35:DG46</v>
      </c>
      <c r="O3953" s="4">
        <f t="shared" ca="1" si="196"/>
        <v>254798.40000000002</v>
      </c>
    </row>
    <row r="3954" spans="1:15">
      <c r="A3954" s="2" t="s">
        <v>19</v>
      </c>
      <c r="B3954" t="s">
        <v>41</v>
      </c>
      <c r="C3954" t="s">
        <v>42</v>
      </c>
      <c r="D3954">
        <v>50</v>
      </c>
      <c r="E3954" t="s">
        <v>46</v>
      </c>
      <c r="F3954">
        <v>3</v>
      </c>
      <c r="G3954">
        <v>1</v>
      </c>
      <c r="H3954">
        <v>2</v>
      </c>
      <c r="I3954">
        <v>1</v>
      </c>
      <c r="J3954" s="4" t="s">
        <v>54</v>
      </c>
      <c r="K3954" t="str">
        <f t="shared" si="197"/>
        <v>1+2</v>
      </c>
      <c r="L3954">
        <f>VLOOKUP(A3954,'ZONE 1 PREMIUM'!$A$4:$N$16,14,0)</f>
        <v>10</v>
      </c>
      <c r="M3954">
        <f>VLOOKUP(D3954,DROPDOWN!B:C,2,0)</f>
        <v>12</v>
      </c>
      <c r="N3954" t="str">
        <f t="shared" si="198"/>
        <v>CO35:DG46</v>
      </c>
      <c r="O3954" s="4">
        <f t="shared" ca="1" si="196"/>
        <v>321722.22000000003</v>
      </c>
    </row>
    <row r="3955" spans="1:15">
      <c r="A3955" s="2" t="s">
        <v>20</v>
      </c>
      <c r="B3955" t="s">
        <v>43</v>
      </c>
      <c r="C3955" t="s">
        <v>44</v>
      </c>
      <c r="D3955">
        <v>50</v>
      </c>
      <c r="E3955" t="s">
        <v>46</v>
      </c>
      <c r="F3955">
        <v>3</v>
      </c>
      <c r="G3955">
        <v>1</v>
      </c>
      <c r="H3955">
        <v>2</v>
      </c>
      <c r="I3955">
        <v>1</v>
      </c>
      <c r="J3955" s="4" t="s">
        <v>54</v>
      </c>
      <c r="K3955" t="str">
        <f t="shared" si="197"/>
        <v>1+2</v>
      </c>
      <c r="L3955">
        <f>VLOOKUP(A3955,'ZONE 1 PREMIUM'!$A$4:$N$16,14,0)</f>
        <v>11</v>
      </c>
      <c r="M3955">
        <f>VLOOKUP(D3955,DROPDOWN!B:C,2,0)</f>
        <v>12</v>
      </c>
      <c r="N3955" t="str">
        <f t="shared" si="198"/>
        <v>CO35:DG46</v>
      </c>
      <c r="O3955" s="4">
        <f t="shared" ca="1" si="196"/>
        <v>372289.5</v>
      </c>
    </row>
    <row r="3956" spans="1:15">
      <c r="A3956" s="2" t="s">
        <v>21</v>
      </c>
      <c r="B3956" t="s">
        <v>22</v>
      </c>
      <c r="D3956">
        <v>50</v>
      </c>
      <c r="E3956" t="s">
        <v>46</v>
      </c>
      <c r="F3956">
        <v>3</v>
      </c>
      <c r="G3956">
        <v>1</v>
      </c>
      <c r="H3956">
        <v>2</v>
      </c>
      <c r="I3956">
        <v>1</v>
      </c>
      <c r="J3956" s="4" t="s">
        <v>54</v>
      </c>
      <c r="K3956" t="str">
        <f t="shared" si="197"/>
        <v>1+2</v>
      </c>
      <c r="L3956">
        <f>VLOOKUP(A3956,'ZONE 1 PREMIUM'!$A$4:$N$16,14,0)</f>
        <v>12</v>
      </c>
      <c r="M3956">
        <f>VLOOKUP(D3956,DROPDOWN!B:C,2,0)</f>
        <v>12</v>
      </c>
      <c r="N3956" t="str">
        <f t="shared" si="198"/>
        <v>CO35:DG46</v>
      </c>
      <c r="O3956" s="4">
        <f t="shared" ca="1" si="196"/>
        <v>475628.04000000004</v>
      </c>
    </row>
    <row r="3957" spans="1:15">
      <c r="A3957" s="2" t="s">
        <v>11</v>
      </c>
      <c r="B3957" t="s">
        <v>45</v>
      </c>
      <c r="C3957" t="s">
        <v>25</v>
      </c>
      <c r="D3957">
        <v>50</v>
      </c>
      <c r="E3957" t="s">
        <v>46</v>
      </c>
      <c r="F3957">
        <v>4</v>
      </c>
      <c r="G3957">
        <v>1</v>
      </c>
      <c r="H3957">
        <v>3</v>
      </c>
      <c r="I3957">
        <v>1</v>
      </c>
      <c r="J3957" s="4" t="s">
        <v>54</v>
      </c>
      <c r="K3957" t="str">
        <f t="shared" si="197"/>
        <v>1+3</v>
      </c>
      <c r="L3957">
        <f>VLOOKUP(A3957,'ZONE 1 PREMIUM'!$A$4:$N$16,14,0)</f>
        <v>2</v>
      </c>
      <c r="M3957">
        <f>VLOOKUP(D3957,DROPDOWN!B:C,2,0)</f>
        <v>12</v>
      </c>
      <c r="N3957" t="str">
        <f t="shared" si="198"/>
        <v>CO50:DG61</v>
      </c>
      <c r="O3957" s="4">
        <f t="shared" ca="1" si="196"/>
        <v>84475</v>
      </c>
    </row>
    <row r="3958" spans="1:15">
      <c r="A3958" s="2" t="s">
        <v>12</v>
      </c>
      <c r="B3958" t="s">
        <v>27</v>
      </c>
      <c r="C3958" t="s">
        <v>28</v>
      </c>
      <c r="D3958">
        <v>50</v>
      </c>
      <c r="E3958" t="s">
        <v>46</v>
      </c>
      <c r="F3958">
        <v>4</v>
      </c>
      <c r="G3958">
        <v>1</v>
      </c>
      <c r="H3958">
        <v>3</v>
      </c>
      <c r="I3958">
        <v>1</v>
      </c>
      <c r="J3958" s="4" t="s">
        <v>54</v>
      </c>
      <c r="K3958" t="str">
        <f t="shared" si="197"/>
        <v>1+3</v>
      </c>
      <c r="L3958">
        <f>VLOOKUP(A3958,'ZONE 1 PREMIUM'!$A$4:$N$16,14,0)</f>
        <v>3</v>
      </c>
      <c r="M3958">
        <f>VLOOKUP(D3958,DROPDOWN!B:C,2,0)</f>
        <v>12</v>
      </c>
      <c r="N3958" t="str">
        <f t="shared" si="198"/>
        <v>CO50:DG61</v>
      </c>
      <c r="O3958" s="4">
        <f t="shared" ca="1" si="196"/>
        <v>89625.25</v>
      </c>
    </row>
    <row r="3959" spans="1:15">
      <c r="A3959" s="2" t="s">
        <v>13</v>
      </c>
      <c r="B3959" t="s">
        <v>29</v>
      </c>
      <c r="C3959" t="s">
        <v>30</v>
      </c>
      <c r="D3959">
        <v>50</v>
      </c>
      <c r="E3959" t="s">
        <v>46</v>
      </c>
      <c r="F3959">
        <v>4</v>
      </c>
      <c r="G3959">
        <v>1</v>
      </c>
      <c r="H3959">
        <v>3</v>
      </c>
      <c r="I3959">
        <v>1</v>
      </c>
      <c r="J3959" s="4" t="s">
        <v>54</v>
      </c>
      <c r="K3959" t="str">
        <f t="shared" si="197"/>
        <v>1+3</v>
      </c>
      <c r="L3959">
        <f>VLOOKUP(A3959,'ZONE 1 PREMIUM'!$A$4:$N$16,14,0)</f>
        <v>4</v>
      </c>
      <c r="M3959">
        <f>VLOOKUP(D3959,DROPDOWN!B:C,2,0)</f>
        <v>12</v>
      </c>
      <c r="N3959" t="str">
        <f t="shared" si="198"/>
        <v>CO50:DG61</v>
      </c>
      <c r="O3959" s="4">
        <f t="shared" ca="1" si="196"/>
        <v>98086.920000000013</v>
      </c>
    </row>
    <row r="3960" spans="1:15">
      <c r="A3960" s="2" t="s">
        <v>14</v>
      </c>
      <c r="B3960" t="s">
        <v>31</v>
      </c>
      <c r="C3960" t="s">
        <v>32</v>
      </c>
      <c r="D3960">
        <v>50</v>
      </c>
      <c r="E3960" t="s">
        <v>46</v>
      </c>
      <c r="F3960">
        <v>4</v>
      </c>
      <c r="G3960">
        <v>1</v>
      </c>
      <c r="H3960">
        <v>3</v>
      </c>
      <c r="I3960">
        <v>1</v>
      </c>
      <c r="J3960" s="4" t="s">
        <v>54</v>
      </c>
      <c r="K3960" t="str">
        <f t="shared" si="197"/>
        <v>1+3</v>
      </c>
      <c r="L3960">
        <f>VLOOKUP(A3960,'ZONE 1 PREMIUM'!$A$4:$N$16,14,0)</f>
        <v>5</v>
      </c>
      <c r="M3960">
        <f>VLOOKUP(D3960,DROPDOWN!B:C,2,0)</f>
        <v>12</v>
      </c>
      <c r="N3960" t="str">
        <f t="shared" si="198"/>
        <v>CO50:DG61</v>
      </c>
      <c r="O3960" s="4">
        <f t="shared" ca="1" si="196"/>
        <v>108069.14000000001</v>
      </c>
    </row>
    <row r="3961" spans="1:15">
      <c r="A3961" s="2" t="s">
        <v>15</v>
      </c>
      <c r="B3961" t="s">
        <v>33</v>
      </c>
      <c r="C3961" t="s">
        <v>34</v>
      </c>
      <c r="D3961">
        <v>50</v>
      </c>
      <c r="E3961" t="s">
        <v>46</v>
      </c>
      <c r="F3961">
        <v>4</v>
      </c>
      <c r="G3961">
        <v>1</v>
      </c>
      <c r="H3961">
        <v>3</v>
      </c>
      <c r="I3961">
        <v>1</v>
      </c>
      <c r="J3961" s="4" t="s">
        <v>54</v>
      </c>
      <c r="K3961" t="str">
        <f t="shared" si="197"/>
        <v>1+3</v>
      </c>
      <c r="L3961">
        <f>VLOOKUP(A3961,'ZONE 1 PREMIUM'!$A$4:$N$16,14,0)</f>
        <v>6</v>
      </c>
      <c r="M3961">
        <f>VLOOKUP(D3961,DROPDOWN!B:C,2,0)</f>
        <v>12</v>
      </c>
      <c r="N3961" t="str">
        <f t="shared" si="198"/>
        <v>CO50:DG61</v>
      </c>
      <c r="O3961" s="4">
        <f t="shared" ca="1" si="196"/>
        <v>131140.08000000002</v>
      </c>
    </row>
    <row r="3962" spans="1:15">
      <c r="A3962" s="2" t="s">
        <v>16</v>
      </c>
      <c r="B3962" t="s">
        <v>35</v>
      </c>
      <c r="C3962" t="s">
        <v>36</v>
      </c>
      <c r="D3962">
        <v>50</v>
      </c>
      <c r="E3962" t="s">
        <v>46</v>
      </c>
      <c r="F3962">
        <v>4</v>
      </c>
      <c r="G3962">
        <v>1</v>
      </c>
      <c r="H3962">
        <v>3</v>
      </c>
      <c r="I3962">
        <v>1</v>
      </c>
      <c r="J3962" s="4" t="s">
        <v>54</v>
      </c>
      <c r="K3962" t="str">
        <f t="shared" si="197"/>
        <v>1+3</v>
      </c>
      <c r="L3962">
        <f>VLOOKUP(A3962,'ZONE 1 PREMIUM'!$A$4:$N$16,14,0)</f>
        <v>7</v>
      </c>
      <c r="M3962">
        <f>VLOOKUP(D3962,DROPDOWN!B:C,2,0)</f>
        <v>12</v>
      </c>
      <c r="N3962" t="str">
        <f t="shared" si="198"/>
        <v>CO50:DG61</v>
      </c>
      <c r="O3962" s="4">
        <f t="shared" ca="1" si="196"/>
        <v>171065.69</v>
      </c>
    </row>
    <row r="3963" spans="1:15">
      <c r="A3963" s="2" t="s">
        <v>17</v>
      </c>
      <c r="B3963" t="s">
        <v>37</v>
      </c>
      <c r="C3963" t="s">
        <v>38</v>
      </c>
      <c r="D3963">
        <v>50</v>
      </c>
      <c r="E3963" t="s">
        <v>46</v>
      </c>
      <c r="F3963">
        <v>4</v>
      </c>
      <c r="G3963">
        <v>1</v>
      </c>
      <c r="H3963">
        <v>3</v>
      </c>
      <c r="I3963">
        <v>1</v>
      </c>
      <c r="J3963" s="4" t="s">
        <v>54</v>
      </c>
      <c r="K3963" t="str">
        <f t="shared" si="197"/>
        <v>1+3</v>
      </c>
      <c r="L3963">
        <f>VLOOKUP(A3963,'ZONE 1 PREMIUM'!$A$4:$N$16,14,0)</f>
        <v>8</v>
      </c>
      <c r="M3963">
        <f>VLOOKUP(D3963,DROPDOWN!B:C,2,0)</f>
        <v>12</v>
      </c>
      <c r="N3963" t="str">
        <f t="shared" si="198"/>
        <v>CO50:DG61</v>
      </c>
      <c r="O3963" s="4">
        <f t="shared" ca="1" si="196"/>
        <v>211945.05000000002</v>
      </c>
    </row>
    <row r="3964" spans="1:15">
      <c r="A3964" s="2" t="s">
        <v>18</v>
      </c>
      <c r="B3964" t="s">
        <v>39</v>
      </c>
      <c r="C3964" t="s">
        <v>40</v>
      </c>
      <c r="D3964">
        <v>50</v>
      </c>
      <c r="E3964" t="s">
        <v>46</v>
      </c>
      <c r="F3964">
        <v>4</v>
      </c>
      <c r="G3964">
        <v>1</v>
      </c>
      <c r="H3964">
        <v>3</v>
      </c>
      <c r="I3964">
        <v>1</v>
      </c>
      <c r="J3964" s="4" t="s">
        <v>54</v>
      </c>
      <c r="K3964" t="str">
        <f t="shared" si="197"/>
        <v>1+3</v>
      </c>
      <c r="L3964">
        <f>VLOOKUP(A3964,'ZONE 1 PREMIUM'!$A$4:$N$16,14,0)</f>
        <v>9</v>
      </c>
      <c r="M3964">
        <f>VLOOKUP(D3964,DROPDOWN!B:C,2,0)</f>
        <v>12</v>
      </c>
      <c r="N3964" t="str">
        <f t="shared" si="198"/>
        <v>CO50:DG61</v>
      </c>
      <c r="O3964" s="4">
        <f t="shared" ca="1" si="196"/>
        <v>273770.94</v>
      </c>
    </row>
    <row r="3965" spans="1:15">
      <c r="A3965" s="2" t="s">
        <v>19</v>
      </c>
      <c r="B3965" t="s">
        <v>41</v>
      </c>
      <c r="C3965" t="s">
        <v>42</v>
      </c>
      <c r="D3965">
        <v>50</v>
      </c>
      <c r="E3965" t="s">
        <v>46</v>
      </c>
      <c r="F3965">
        <v>4</v>
      </c>
      <c r="G3965">
        <v>1</v>
      </c>
      <c r="H3965">
        <v>3</v>
      </c>
      <c r="I3965">
        <v>1</v>
      </c>
      <c r="J3965" s="4" t="s">
        <v>54</v>
      </c>
      <c r="K3965" t="str">
        <f t="shared" si="197"/>
        <v>1+3</v>
      </c>
      <c r="L3965">
        <f>VLOOKUP(A3965,'ZONE 1 PREMIUM'!$A$4:$N$16,14,0)</f>
        <v>10</v>
      </c>
      <c r="M3965">
        <f>VLOOKUP(D3965,DROPDOWN!B:C,2,0)</f>
        <v>12</v>
      </c>
      <c r="N3965" t="str">
        <f t="shared" si="198"/>
        <v>CO50:DG61</v>
      </c>
      <c r="O3965" s="4">
        <f t="shared" ca="1" si="196"/>
        <v>336197.42000000004</v>
      </c>
    </row>
    <row r="3966" spans="1:15">
      <c r="A3966" s="2" t="s">
        <v>20</v>
      </c>
      <c r="B3966" t="s">
        <v>43</v>
      </c>
      <c r="C3966" t="s">
        <v>44</v>
      </c>
      <c r="D3966">
        <v>50</v>
      </c>
      <c r="E3966" t="s">
        <v>46</v>
      </c>
      <c r="F3966">
        <v>4</v>
      </c>
      <c r="G3966">
        <v>1</v>
      </c>
      <c r="H3966">
        <v>3</v>
      </c>
      <c r="I3966">
        <v>1</v>
      </c>
      <c r="J3966" s="4" t="s">
        <v>54</v>
      </c>
      <c r="K3966" t="str">
        <f t="shared" si="197"/>
        <v>1+3</v>
      </c>
      <c r="L3966">
        <f>VLOOKUP(A3966,'ZONE 1 PREMIUM'!$A$4:$N$16,14,0)</f>
        <v>11</v>
      </c>
      <c r="M3966">
        <f>VLOOKUP(D3966,DROPDOWN!B:C,2,0)</f>
        <v>12</v>
      </c>
      <c r="N3966" t="str">
        <f t="shared" si="198"/>
        <v>CO50:DG61</v>
      </c>
      <c r="O3966" s="4">
        <f t="shared" ca="1" si="196"/>
        <v>385954.83</v>
      </c>
    </row>
    <row r="3967" spans="1:15">
      <c r="A3967" s="2" t="s">
        <v>21</v>
      </c>
      <c r="B3967" t="s">
        <v>22</v>
      </c>
      <c r="D3967">
        <v>50</v>
      </c>
      <c r="E3967" t="s">
        <v>46</v>
      </c>
      <c r="F3967">
        <v>4</v>
      </c>
      <c r="G3967">
        <v>1</v>
      </c>
      <c r="H3967">
        <v>3</v>
      </c>
      <c r="I3967">
        <v>1</v>
      </c>
      <c r="J3967" s="4" t="s">
        <v>54</v>
      </c>
      <c r="K3967" t="str">
        <f t="shared" si="197"/>
        <v>1+3</v>
      </c>
      <c r="L3967">
        <f>VLOOKUP(A3967,'ZONE 1 PREMIUM'!$A$4:$N$16,14,0)</f>
        <v>12</v>
      </c>
      <c r="M3967">
        <f>VLOOKUP(D3967,DROPDOWN!B:C,2,0)</f>
        <v>12</v>
      </c>
      <c r="N3967" t="str">
        <f t="shared" si="198"/>
        <v>CO50:DG61</v>
      </c>
      <c r="O3967" s="4">
        <f t="shared" ca="1" si="196"/>
        <v>490443.32</v>
      </c>
    </row>
    <row r="3968" spans="1:15">
      <c r="A3968" s="2" t="s">
        <v>11</v>
      </c>
      <c r="B3968" t="s">
        <v>45</v>
      </c>
      <c r="C3968" t="s">
        <v>25</v>
      </c>
      <c r="D3968">
        <v>50</v>
      </c>
      <c r="E3968" t="s">
        <v>46</v>
      </c>
      <c r="F3968">
        <v>5</v>
      </c>
      <c r="G3968">
        <v>1</v>
      </c>
      <c r="H3968">
        <v>4</v>
      </c>
      <c r="I3968">
        <v>1</v>
      </c>
      <c r="J3968" s="4" t="s">
        <v>54</v>
      </c>
      <c r="K3968" t="str">
        <f t="shared" si="197"/>
        <v>1+4</v>
      </c>
      <c r="L3968">
        <f>VLOOKUP(A3968,'ZONE 1 PREMIUM'!$A$4:$N$16,14,0)</f>
        <v>2</v>
      </c>
      <c r="M3968">
        <f>VLOOKUP(D3968,DROPDOWN!B:C,2,0)</f>
        <v>12</v>
      </c>
      <c r="N3968" t="str">
        <f t="shared" si="198"/>
        <v>CO65:DG76</v>
      </c>
      <c r="O3968" s="4">
        <f t="shared" ca="1" si="196"/>
        <v>98064.030000000013</v>
      </c>
    </row>
    <row r="3969" spans="1:15">
      <c r="A3969" s="2" t="s">
        <v>12</v>
      </c>
      <c r="B3969" t="s">
        <v>27</v>
      </c>
      <c r="C3969" t="s">
        <v>28</v>
      </c>
      <c r="D3969">
        <v>50</v>
      </c>
      <c r="E3969" t="s">
        <v>46</v>
      </c>
      <c r="F3969">
        <v>5</v>
      </c>
      <c r="G3969">
        <v>1</v>
      </c>
      <c r="H3969">
        <v>4</v>
      </c>
      <c r="I3969">
        <v>1</v>
      </c>
      <c r="J3969" s="4" t="s">
        <v>54</v>
      </c>
      <c r="K3969" t="str">
        <f t="shared" si="197"/>
        <v>1+4</v>
      </c>
      <c r="L3969">
        <f>VLOOKUP(A3969,'ZONE 1 PREMIUM'!$A$4:$N$16,14,0)</f>
        <v>3</v>
      </c>
      <c r="M3969">
        <f>VLOOKUP(D3969,DROPDOWN!B:C,2,0)</f>
        <v>12</v>
      </c>
      <c r="N3969" t="str">
        <f t="shared" si="198"/>
        <v>CO65:DG76</v>
      </c>
      <c r="O3969" s="4">
        <f t="shared" ca="1" si="196"/>
        <v>103026.8</v>
      </c>
    </row>
    <row r="3970" spans="1:15">
      <c r="A3970" s="2" t="s">
        <v>13</v>
      </c>
      <c r="B3970" t="s">
        <v>29</v>
      </c>
      <c r="C3970" t="s">
        <v>30</v>
      </c>
      <c r="D3970">
        <v>50</v>
      </c>
      <c r="E3970" t="s">
        <v>46</v>
      </c>
      <c r="F3970">
        <v>5</v>
      </c>
      <c r="G3970">
        <v>1</v>
      </c>
      <c r="H3970">
        <v>4</v>
      </c>
      <c r="I3970">
        <v>1</v>
      </c>
      <c r="J3970" s="4" t="s">
        <v>54</v>
      </c>
      <c r="K3970" t="str">
        <f t="shared" si="197"/>
        <v>1+4</v>
      </c>
      <c r="L3970">
        <f>VLOOKUP(A3970,'ZONE 1 PREMIUM'!$A$4:$N$16,14,0)</f>
        <v>4</v>
      </c>
      <c r="M3970">
        <f>VLOOKUP(D3970,DROPDOWN!B:C,2,0)</f>
        <v>12</v>
      </c>
      <c r="N3970" t="str">
        <f t="shared" si="198"/>
        <v>CO65:DG76</v>
      </c>
      <c r="O3970" s="4">
        <f t="shared" ref="O3970:O4033" ca="1" si="199">INDEX(INDIRECT(N3970),L3970,M3970)</f>
        <v>113570.37000000001</v>
      </c>
    </row>
    <row r="3971" spans="1:15">
      <c r="A3971" s="2" t="s">
        <v>14</v>
      </c>
      <c r="B3971" t="s">
        <v>31</v>
      </c>
      <c r="C3971" t="s">
        <v>32</v>
      </c>
      <c r="D3971">
        <v>50</v>
      </c>
      <c r="E3971" t="s">
        <v>46</v>
      </c>
      <c r="F3971">
        <v>5</v>
      </c>
      <c r="G3971">
        <v>1</v>
      </c>
      <c r="H3971">
        <v>4</v>
      </c>
      <c r="I3971">
        <v>1</v>
      </c>
      <c r="J3971" s="4" t="s">
        <v>54</v>
      </c>
      <c r="K3971" t="str">
        <f t="shared" si="197"/>
        <v>1+4</v>
      </c>
      <c r="L3971">
        <f>VLOOKUP(A3971,'ZONE 1 PREMIUM'!$A$4:$N$16,14,0)</f>
        <v>5</v>
      </c>
      <c r="M3971">
        <f>VLOOKUP(D3971,DROPDOWN!B:C,2,0)</f>
        <v>12</v>
      </c>
      <c r="N3971" t="str">
        <f t="shared" si="198"/>
        <v>CO65:DG76</v>
      </c>
      <c r="O3971" s="4">
        <f t="shared" ca="1" si="199"/>
        <v>124637.14000000001</v>
      </c>
    </row>
    <row r="3972" spans="1:15">
      <c r="A3972" s="2" t="s">
        <v>15</v>
      </c>
      <c r="B3972" t="s">
        <v>33</v>
      </c>
      <c r="C3972" t="s">
        <v>34</v>
      </c>
      <c r="D3972">
        <v>50</v>
      </c>
      <c r="E3972" t="s">
        <v>46</v>
      </c>
      <c r="F3972">
        <v>5</v>
      </c>
      <c r="G3972">
        <v>1</v>
      </c>
      <c r="H3972">
        <v>4</v>
      </c>
      <c r="I3972">
        <v>1</v>
      </c>
      <c r="J3972" s="4" t="s">
        <v>54</v>
      </c>
      <c r="K3972" t="str">
        <f t="shared" ref="K3972:K4035" si="200">G3972&amp;"+"&amp;H3972</f>
        <v>1+4</v>
      </c>
      <c r="L3972">
        <f>VLOOKUP(A3972,'ZONE 1 PREMIUM'!$A$4:$N$16,14,0)</f>
        <v>6</v>
      </c>
      <c r="M3972">
        <f>VLOOKUP(D3972,DROPDOWN!B:C,2,0)</f>
        <v>12</v>
      </c>
      <c r="N3972" t="str">
        <f t="shared" si="198"/>
        <v>CO65:DG76</v>
      </c>
      <c r="O3972" s="4">
        <f t="shared" ca="1" si="199"/>
        <v>149635.20000000001</v>
      </c>
    </row>
    <row r="3973" spans="1:15">
      <c r="A3973" s="2" t="s">
        <v>16</v>
      </c>
      <c r="B3973" t="s">
        <v>35</v>
      </c>
      <c r="C3973" t="s">
        <v>36</v>
      </c>
      <c r="D3973">
        <v>50</v>
      </c>
      <c r="E3973" t="s">
        <v>46</v>
      </c>
      <c r="F3973">
        <v>5</v>
      </c>
      <c r="G3973">
        <v>1</v>
      </c>
      <c r="H3973">
        <v>4</v>
      </c>
      <c r="I3973">
        <v>1</v>
      </c>
      <c r="J3973" s="4" t="s">
        <v>54</v>
      </c>
      <c r="K3973" t="str">
        <f t="shared" si="200"/>
        <v>1+4</v>
      </c>
      <c r="L3973">
        <f>VLOOKUP(A3973,'ZONE 1 PREMIUM'!$A$4:$N$16,14,0)</f>
        <v>7</v>
      </c>
      <c r="M3973">
        <f>VLOOKUP(D3973,DROPDOWN!B:C,2,0)</f>
        <v>12</v>
      </c>
      <c r="N3973" t="str">
        <f t="shared" si="198"/>
        <v>CO65:DG76</v>
      </c>
      <c r="O3973" s="4">
        <f t="shared" ca="1" si="199"/>
        <v>187379.72</v>
      </c>
    </row>
    <row r="3974" spans="1:15">
      <c r="A3974" s="2" t="s">
        <v>17</v>
      </c>
      <c r="B3974" t="s">
        <v>37</v>
      </c>
      <c r="C3974" t="s">
        <v>38</v>
      </c>
      <c r="D3974">
        <v>50</v>
      </c>
      <c r="E3974" t="s">
        <v>46</v>
      </c>
      <c r="F3974">
        <v>5</v>
      </c>
      <c r="G3974">
        <v>1</v>
      </c>
      <c r="H3974">
        <v>4</v>
      </c>
      <c r="I3974">
        <v>1</v>
      </c>
      <c r="J3974" s="4" t="s">
        <v>54</v>
      </c>
      <c r="K3974" t="str">
        <f t="shared" si="200"/>
        <v>1+4</v>
      </c>
      <c r="L3974">
        <f>VLOOKUP(A3974,'ZONE 1 PREMIUM'!$A$4:$N$16,14,0)</f>
        <v>8</v>
      </c>
      <c r="M3974">
        <f>VLOOKUP(D3974,DROPDOWN!B:C,2,0)</f>
        <v>12</v>
      </c>
      <c r="N3974" t="str">
        <f t="shared" si="198"/>
        <v>CO65:DG76</v>
      </c>
      <c r="O3974" s="4">
        <f t="shared" ca="1" si="199"/>
        <v>227411.06000000003</v>
      </c>
    </row>
    <row r="3975" spans="1:15">
      <c r="A3975" s="2" t="s">
        <v>18</v>
      </c>
      <c r="B3975" t="s">
        <v>39</v>
      </c>
      <c r="C3975" t="s">
        <v>40</v>
      </c>
      <c r="D3975">
        <v>50</v>
      </c>
      <c r="E3975" t="s">
        <v>46</v>
      </c>
      <c r="F3975">
        <v>5</v>
      </c>
      <c r="G3975">
        <v>1</v>
      </c>
      <c r="H3975">
        <v>4</v>
      </c>
      <c r="I3975">
        <v>1</v>
      </c>
      <c r="J3975" s="4" t="s">
        <v>54</v>
      </c>
      <c r="K3975" t="str">
        <f t="shared" si="200"/>
        <v>1+4</v>
      </c>
      <c r="L3975">
        <f>VLOOKUP(A3975,'ZONE 1 PREMIUM'!$A$4:$N$16,14,0)</f>
        <v>9</v>
      </c>
      <c r="M3975">
        <f>VLOOKUP(D3975,DROPDOWN!B:C,2,0)</f>
        <v>12</v>
      </c>
      <c r="N3975" t="str">
        <f t="shared" si="198"/>
        <v>CO65:DG76</v>
      </c>
      <c r="O3975" s="4">
        <f t="shared" ca="1" si="199"/>
        <v>289483.29000000004</v>
      </c>
    </row>
    <row r="3976" spans="1:15">
      <c r="A3976" s="2" t="s">
        <v>19</v>
      </c>
      <c r="B3976" t="s">
        <v>41</v>
      </c>
      <c r="C3976" t="s">
        <v>42</v>
      </c>
      <c r="D3976">
        <v>50</v>
      </c>
      <c r="E3976" t="s">
        <v>46</v>
      </c>
      <c r="F3976">
        <v>5</v>
      </c>
      <c r="G3976">
        <v>1</v>
      </c>
      <c r="H3976">
        <v>4</v>
      </c>
      <c r="I3976">
        <v>1</v>
      </c>
      <c r="J3976" s="4" t="s">
        <v>54</v>
      </c>
      <c r="K3976" t="str">
        <f t="shared" si="200"/>
        <v>1+4</v>
      </c>
      <c r="L3976">
        <f>VLOOKUP(A3976,'ZONE 1 PREMIUM'!$A$4:$N$16,14,0)</f>
        <v>10</v>
      </c>
      <c r="M3976">
        <f>VLOOKUP(D3976,DROPDOWN!B:C,2,0)</f>
        <v>12</v>
      </c>
      <c r="N3976" t="str">
        <f t="shared" si="198"/>
        <v>CO65:DG76</v>
      </c>
      <c r="O3976" s="4">
        <f t="shared" ca="1" si="199"/>
        <v>351416</v>
      </c>
    </row>
    <row r="3977" spans="1:15">
      <c r="A3977" s="2" t="s">
        <v>20</v>
      </c>
      <c r="B3977" t="s">
        <v>43</v>
      </c>
      <c r="C3977" t="s">
        <v>44</v>
      </c>
      <c r="D3977">
        <v>50</v>
      </c>
      <c r="E3977" t="s">
        <v>46</v>
      </c>
      <c r="F3977">
        <v>5</v>
      </c>
      <c r="G3977">
        <v>1</v>
      </c>
      <c r="H3977">
        <v>4</v>
      </c>
      <c r="I3977">
        <v>1</v>
      </c>
      <c r="J3977" s="4" t="s">
        <v>54</v>
      </c>
      <c r="K3977" t="str">
        <f t="shared" si="200"/>
        <v>1+4</v>
      </c>
      <c r="L3977">
        <f>VLOOKUP(A3977,'ZONE 1 PREMIUM'!$A$4:$N$16,14,0)</f>
        <v>11</v>
      </c>
      <c r="M3977">
        <f>VLOOKUP(D3977,DROPDOWN!B:C,2,0)</f>
        <v>12</v>
      </c>
      <c r="N3977" t="str">
        <f t="shared" si="198"/>
        <v>CO65:DG76</v>
      </c>
      <c r="O3977" s="4">
        <f t="shared" ca="1" si="199"/>
        <v>401287.86000000004</v>
      </c>
    </row>
    <row r="3978" spans="1:15">
      <c r="A3978" s="2" t="s">
        <v>21</v>
      </c>
      <c r="B3978" t="s">
        <v>22</v>
      </c>
      <c r="D3978">
        <v>50</v>
      </c>
      <c r="E3978" t="s">
        <v>46</v>
      </c>
      <c r="F3978">
        <v>5</v>
      </c>
      <c r="G3978">
        <v>1</v>
      </c>
      <c r="H3978">
        <v>4</v>
      </c>
      <c r="I3978">
        <v>1</v>
      </c>
      <c r="J3978" s="4" t="s">
        <v>54</v>
      </c>
      <c r="K3978" t="str">
        <f t="shared" si="200"/>
        <v>1+4</v>
      </c>
      <c r="L3978">
        <f>VLOOKUP(A3978,'ZONE 1 PREMIUM'!$A$4:$N$16,14,0)</f>
        <v>12</v>
      </c>
      <c r="M3978">
        <f>VLOOKUP(D3978,DROPDOWN!B:C,2,0)</f>
        <v>12</v>
      </c>
      <c r="N3978" t="str">
        <f t="shared" si="198"/>
        <v>CO65:DG76</v>
      </c>
      <c r="O3978" s="4">
        <f t="shared" ca="1" si="199"/>
        <v>506468.50000000006</v>
      </c>
    </row>
    <row r="3979" spans="1:15">
      <c r="A3979" s="2" t="s">
        <v>11</v>
      </c>
      <c r="B3979" t="s">
        <v>45</v>
      </c>
      <c r="C3979" t="s">
        <v>25</v>
      </c>
      <c r="D3979">
        <v>50</v>
      </c>
      <c r="E3979" t="s">
        <v>46</v>
      </c>
      <c r="F3979">
        <v>2</v>
      </c>
      <c r="G3979">
        <v>2</v>
      </c>
      <c r="H3979">
        <v>0</v>
      </c>
      <c r="I3979">
        <v>1</v>
      </c>
      <c r="J3979" s="4" t="s">
        <v>54</v>
      </c>
      <c r="K3979" t="str">
        <f t="shared" si="200"/>
        <v>2+0</v>
      </c>
      <c r="L3979">
        <f>VLOOKUP(A3979,'ZONE 1 PREMIUM'!$A$4:$N$16,14,0)</f>
        <v>2</v>
      </c>
      <c r="M3979">
        <f>VLOOKUP(D3979,DROPDOWN!B:C,2,0)</f>
        <v>12</v>
      </c>
      <c r="N3979" t="str">
        <f t="shared" si="198"/>
        <v>CO81:DG92</v>
      </c>
      <c r="O3979" s="4">
        <f t="shared" ca="1" si="199"/>
        <v>87121.52</v>
      </c>
    </row>
    <row r="3980" spans="1:15">
      <c r="A3980" s="2" t="s">
        <v>12</v>
      </c>
      <c r="B3980" t="s">
        <v>27</v>
      </c>
      <c r="C3980" t="s">
        <v>28</v>
      </c>
      <c r="D3980">
        <v>50</v>
      </c>
      <c r="E3980" t="s">
        <v>46</v>
      </c>
      <c r="F3980">
        <v>2</v>
      </c>
      <c r="G3980">
        <v>2</v>
      </c>
      <c r="H3980">
        <v>0</v>
      </c>
      <c r="I3980">
        <v>1</v>
      </c>
      <c r="J3980" s="4" t="s">
        <v>54</v>
      </c>
      <c r="K3980" t="str">
        <f t="shared" si="200"/>
        <v>2+0</v>
      </c>
      <c r="L3980">
        <f>VLOOKUP(A3980,'ZONE 1 PREMIUM'!$A$4:$N$16,14,0)</f>
        <v>3</v>
      </c>
      <c r="M3980">
        <f>VLOOKUP(D3980,DROPDOWN!B:C,2,0)</f>
        <v>12</v>
      </c>
      <c r="N3980" t="str">
        <f t="shared" si="198"/>
        <v>CO81:DG92</v>
      </c>
      <c r="O3980" s="4">
        <f t="shared" ca="1" si="199"/>
        <v>97690.16</v>
      </c>
    </row>
    <row r="3981" spans="1:15">
      <c r="A3981" s="2" t="s">
        <v>13</v>
      </c>
      <c r="B3981" t="s">
        <v>29</v>
      </c>
      <c r="C3981" t="s">
        <v>30</v>
      </c>
      <c r="D3981">
        <v>50</v>
      </c>
      <c r="E3981" t="s">
        <v>46</v>
      </c>
      <c r="F3981">
        <v>2</v>
      </c>
      <c r="G3981">
        <v>2</v>
      </c>
      <c r="H3981">
        <v>0</v>
      </c>
      <c r="I3981">
        <v>1</v>
      </c>
      <c r="J3981" s="4" t="s">
        <v>54</v>
      </c>
      <c r="K3981" t="str">
        <f t="shared" si="200"/>
        <v>2+0</v>
      </c>
      <c r="L3981">
        <f>VLOOKUP(A3981,'ZONE 1 PREMIUM'!$A$4:$N$16,14,0)</f>
        <v>4</v>
      </c>
      <c r="M3981">
        <f>VLOOKUP(D3981,DROPDOWN!B:C,2,0)</f>
        <v>12</v>
      </c>
      <c r="N3981" t="str">
        <f t="shared" si="198"/>
        <v>CO81:DG92</v>
      </c>
      <c r="O3981" s="4">
        <f t="shared" ca="1" si="199"/>
        <v>101343.84000000001</v>
      </c>
    </row>
    <row r="3982" spans="1:15">
      <c r="A3982" s="2" t="s">
        <v>14</v>
      </c>
      <c r="B3982" t="s">
        <v>31</v>
      </c>
      <c r="C3982" t="s">
        <v>32</v>
      </c>
      <c r="D3982">
        <v>50</v>
      </c>
      <c r="E3982" t="s">
        <v>46</v>
      </c>
      <c r="F3982">
        <v>2</v>
      </c>
      <c r="G3982">
        <v>2</v>
      </c>
      <c r="H3982">
        <v>0</v>
      </c>
      <c r="I3982">
        <v>1</v>
      </c>
      <c r="J3982" s="4" t="s">
        <v>54</v>
      </c>
      <c r="K3982" t="str">
        <f t="shared" si="200"/>
        <v>2+0</v>
      </c>
      <c r="L3982">
        <f>VLOOKUP(A3982,'ZONE 1 PREMIUM'!$A$4:$N$16,14,0)</f>
        <v>5</v>
      </c>
      <c r="M3982">
        <f>VLOOKUP(D3982,DROPDOWN!B:C,2,0)</f>
        <v>12</v>
      </c>
      <c r="N3982" t="str">
        <f t="shared" si="198"/>
        <v>CO81:DG92</v>
      </c>
      <c r="O3982" s="4">
        <f t="shared" ca="1" si="199"/>
        <v>111532.07</v>
      </c>
    </row>
    <row r="3983" spans="1:15">
      <c r="A3983" s="2" t="s">
        <v>15</v>
      </c>
      <c r="B3983" t="s">
        <v>33</v>
      </c>
      <c r="C3983" t="s">
        <v>34</v>
      </c>
      <c r="D3983">
        <v>50</v>
      </c>
      <c r="E3983" t="s">
        <v>46</v>
      </c>
      <c r="F3983">
        <v>2</v>
      </c>
      <c r="G3983">
        <v>2</v>
      </c>
      <c r="H3983">
        <v>0</v>
      </c>
      <c r="I3983">
        <v>1</v>
      </c>
      <c r="J3983" s="4" t="s">
        <v>54</v>
      </c>
      <c r="K3983" t="str">
        <f t="shared" si="200"/>
        <v>2+0</v>
      </c>
      <c r="L3983">
        <f>VLOOKUP(A3983,'ZONE 1 PREMIUM'!$A$4:$N$16,14,0)</f>
        <v>6</v>
      </c>
      <c r="M3983">
        <f>VLOOKUP(D3983,DROPDOWN!B:C,2,0)</f>
        <v>12</v>
      </c>
      <c r="N3983" t="str">
        <f t="shared" si="198"/>
        <v>CO81:DG92</v>
      </c>
      <c r="O3983" s="4">
        <f t="shared" ca="1" si="199"/>
        <v>138612.03</v>
      </c>
    </row>
    <row r="3984" spans="1:15">
      <c r="A3984" s="2" t="s">
        <v>16</v>
      </c>
      <c r="B3984" t="s">
        <v>35</v>
      </c>
      <c r="C3984" t="s">
        <v>36</v>
      </c>
      <c r="D3984">
        <v>50</v>
      </c>
      <c r="E3984" t="s">
        <v>46</v>
      </c>
      <c r="F3984">
        <v>2</v>
      </c>
      <c r="G3984">
        <v>2</v>
      </c>
      <c r="H3984">
        <v>0</v>
      </c>
      <c r="I3984">
        <v>1</v>
      </c>
      <c r="J3984" s="4" t="s">
        <v>54</v>
      </c>
      <c r="K3984" t="str">
        <f t="shared" si="200"/>
        <v>2+0</v>
      </c>
      <c r="L3984">
        <f>VLOOKUP(A3984,'ZONE 1 PREMIUM'!$A$4:$N$16,14,0)</f>
        <v>7</v>
      </c>
      <c r="M3984">
        <f>VLOOKUP(D3984,DROPDOWN!B:C,2,0)</f>
        <v>12</v>
      </c>
      <c r="N3984" t="str">
        <f t="shared" si="198"/>
        <v>CO81:DG92</v>
      </c>
      <c r="O3984" s="4">
        <f t="shared" ca="1" si="199"/>
        <v>190069.84000000003</v>
      </c>
    </row>
    <row r="3985" spans="1:15">
      <c r="A3985" s="2" t="s">
        <v>17</v>
      </c>
      <c r="B3985" t="s">
        <v>37</v>
      </c>
      <c r="C3985" t="s">
        <v>38</v>
      </c>
      <c r="D3985">
        <v>50</v>
      </c>
      <c r="E3985" t="s">
        <v>46</v>
      </c>
      <c r="F3985">
        <v>2</v>
      </c>
      <c r="G3985">
        <v>2</v>
      </c>
      <c r="H3985">
        <v>0</v>
      </c>
      <c r="I3985">
        <v>1</v>
      </c>
      <c r="J3985" s="4" t="s">
        <v>54</v>
      </c>
      <c r="K3985" t="str">
        <f t="shared" si="200"/>
        <v>2+0</v>
      </c>
      <c r="L3985">
        <f>VLOOKUP(A3985,'ZONE 1 PREMIUM'!$A$4:$N$16,14,0)</f>
        <v>8</v>
      </c>
      <c r="M3985">
        <f>VLOOKUP(D3985,DROPDOWN!B:C,2,0)</f>
        <v>12</v>
      </c>
      <c r="N3985" t="str">
        <f t="shared" si="198"/>
        <v>CO81:DG92</v>
      </c>
      <c r="O3985" s="4">
        <f t="shared" ca="1" si="199"/>
        <v>263934.78000000003</v>
      </c>
    </row>
    <row r="3986" spans="1:15">
      <c r="A3986" s="2" t="s">
        <v>18</v>
      </c>
      <c r="B3986" t="s">
        <v>39</v>
      </c>
      <c r="C3986" t="s">
        <v>40</v>
      </c>
      <c r="D3986">
        <v>50</v>
      </c>
      <c r="E3986" t="s">
        <v>46</v>
      </c>
      <c r="F3986">
        <v>2</v>
      </c>
      <c r="G3986">
        <v>2</v>
      </c>
      <c r="H3986">
        <v>0</v>
      </c>
      <c r="I3986">
        <v>1</v>
      </c>
      <c r="J3986" s="4" t="s">
        <v>54</v>
      </c>
      <c r="K3986" t="str">
        <f t="shared" si="200"/>
        <v>2+0</v>
      </c>
      <c r="L3986">
        <f>VLOOKUP(A3986,'ZONE 1 PREMIUM'!$A$4:$N$16,14,0)</f>
        <v>9</v>
      </c>
      <c r="M3986">
        <f>VLOOKUP(D3986,DROPDOWN!B:C,2,0)</f>
        <v>12</v>
      </c>
      <c r="N3986" t="str">
        <f t="shared" ref="N3986:N4033" si="201">VLOOKUP(K3986,$DH$4:$DI$13,2,0)</f>
        <v>CO81:DG92</v>
      </c>
      <c r="O3986" s="4">
        <f t="shared" ca="1" si="199"/>
        <v>369079.45</v>
      </c>
    </row>
    <row r="3987" spans="1:15">
      <c r="A3987" s="2" t="s">
        <v>19</v>
      </c>
      <c r="B3987" t="s">
        <v>41</v>
      </c>
      <c r="C3987" t="s">
        <v>42</v>
      </c>
      <c r="D3987">
        <v>50</v>
      </c>
      <c r="E3987" t="s">
        <v>46</v>
      </c>
      <c r="F3987">
        <v>2</v>
      </c>
      <c r="G3987">
        <v>2</v>
      </c>
      <c r="H3987">
        <v>0</v>
      </c>
      <c r="I3987">
        <v>1</v>
      </c>
      <c r="J3987" s="4" t="s">
        <v>54</v>
      </c>
      <c r="K3987" t="str">
        <f t="shared" si="200"/>
        <v>2+0</v>
      </c>
      <c r="L3987">
        <f>VLOOKUP(A3987,'ZONE 1 PREMIUM'!$A$4:$N$16,14,0)</f>
        <v>10</v>
      </c>
      <c r="M3987">
        <f>VLOOKUP(D3987,DROPDOWN!B:C,2,0)</f>
        <v>12</v>
      </c>
      <c r="N3987" t="str">
        <f t="shared" si="201"/>
        <v>CO81:DG92</v>
      </c>
      <c r="O3987" s="4">
        <f t="shared" ca="1" si="199"/>
        <v>508091.51</v>
      </c>
    </row>
    <row r="3988" spans="1:15">
      <c r="A3988" s="2" t="s">
        <v>20</v>
      </c>
      <c r="B3988" t="s">
        <v>43</v>
      </c>
      <c r="C3988" t="s">
        <v>44</v>
      </c>
      <c r="D3988">
        <v>50</v>
      </c>
      <c r="E3988" t="s">
        <v>46</v>
      </c>
      <c r="F3988">
        <v>2</v>
      </c>
      <c r="G3988">
        <v>2</v>
      </c>
      <c r="H3988">
        <v>0</v>
      </c>
      <c r="I3988">
        <v>1</v>
      </c>
      <c r="J3988" s="4" t="s">
        <v>54</v>
      </c>
      <c r="K3988" t="str">
        <f t="shared" si="200"/>
        <v>2+0</v>
      </c>
      <c r="L3988">
        <f>VLOOKUP(A3988,'ZONE 1 PREMIUM'!$A$4:$N$16,14,0)</f>
        <v>11</v>
      </c>
      <c r="M3988">
        <f>VLOOKUP(D3988,DROPDOWN!B:C,2,0)</f>
        <v>12</v>
      </c>
      <c r="N3988" t="str">
        <f t="shared" si="201"/>
        <v>CO81:DG92</v>
      </c>
      <c r="O3988" s="4">
        <f t="shared" ca="1" si="199"/>
        <v>615196</v>
      </c>
    </row>
    <row r="3989" spans="1:15">
      <c r="A3989" s="2" t="s">
        <v>21</v>
      </c>
      <c r="B3989" t="s">
        <v>22</v>
      </c>
      <c r="D3989">
        <v>50</v>
      </c>
      <c r="E3989" t="s">
        <v>46</v>
      </c>
      <c r="F3989">
        <v>2</v>
      </c>
      <c r="G3989">
        <v>2</v>
      </c>
      <c r="H3989">
        <v>0</v>
      </c>
      <c r="I3989">
        <v>1</v>
      </c>
      <c r="J3989" s="4" t="s">
        <v>54</v>
      </c>
      <c r="K3989" t="str">
        <f t="shared" si="200"/>
        <v>2+0</v>
      </c>
      <c r="L3989">
        <f>VLOOKUP(A3989,'ZONE 1 PREMIUM'!$A$4:$N$16,14,0)</f>
        <v>12</v>
      </c>
      <c r="M3989">
        <f>VLOOKUP(D3989,DROPDOWN!B:C,2,0)</f>
        <v>12</v>
      </c>
      <c r="N3989" t="str">
        <f t="shared" si="201"/>
        <v>CO81:DG92</v>
      </c>
      <c r="O3989" s="4">
        <f t="shared" ca="1" si="199"/>
        <v>764461.69000000006</v>
      </c>
    </row>
    <row r="3990" spans="1:15">
      <c r="A3990" s="2" t="s">
        <v>11</v>
      </c>
      <c r="B3990" t="s">
        <v>45</v>
      </c>
      <c r="C3990" t="s">
        <v>25</v>
      </c>
      <c r="D3990">
        <v>50</v>
      </c>
      <c r="E3990" t="s">
        <v>46</v>
      </c>
      <c r="F3990">
        <v>3</v>
      </c>
      <c r="G3990">
        <v>2</v>
      </c>
      <c r="H3990">
        <v>1</v>
      </c>
      <c r="I3990">
        <v>1</v>
      </c>
      <c r="J3990" s="4" t="s">
        <v>54</v>
      </c>
      <c r="K3990" t="str">
        <f t="shared" si="200"/>
        <v>2+1</v>
      </c>
      <c r="L3990">
        <f>VLOOKUP(A3990,'ZONE 1 PREMIUM'!$A$4:$N$16,14,0)</f>
        <v>2</v>
      </c>
      <c r="M3990">
        <f>VLOOKUP(D3990,DROPDOWN!B:C,2,0)</f>
        <v>12</v>
      </c>
      <c r="N3990" t="str">
        <f t="shared" si="201"/>
        <v>CO98:DG109</v>
      </c>
      <c r="O3990" s="4">
        <f t="shared" ca="1" si="199"/>
        <v>101613.07</v>
      </c>
    </row>
    <row r="3991" spans="1:15">
      <c r="A3991" s="2" t="s">
        <v>12</v>
      </c>
      <c r="B3991" t="s">
        <v>27</v>
      </c>
      <c r="C3991" t="s">
        <v>28</v>
      </c>
      <c r="D3991">
        <v>50</v>
      </c>
      <c r="E3991" t="s">
        <v>46</v>
      </c>
      <c r="F3991">
        <v>3</v>
      </c>
      <c r="G3991">
        <v>2</v>
      </c>
      <c r="H3991">
        <v>1</v>
      </c>
      <c r="I3991">
        <v>1</v>
      </c>
      <c r="J3991" s="4" t="s">
        <v>54</v>
      </c>
      <c r="K3991" t="str">
        <f t="shared" si="200"/>
        <v>2+1</v>
      </c>
      <c r="L3991">
        <f>VLOOKUP(A3991,'ZONE 1 PREMIUM'!$A$4:$N$16,14,0)</f>
        <v>3</v>
      </c>
      <c r="M3991">
        <f>VLOOKUP(D3991,DROPDOWN!B:C,2,0)</f>
        <v>12</v>
      </c>
      <c r="N3991" t="str">
        <f t="shared" si="201"/>
        <v>CO98:DG109</v>
      </c>
      <c r="O3991" s="4">
        <f t="shared" ca="1" si="199"/>
        <v>112072.71</v>
      </c>
    </row>
    <row r="3992" spans="1:15">
      <c r="A3992" s="2" t="s">
        <v>13</v>
      </c>
      <c r="B3992" t="s">
        <v>29</v>
      </c>
      <c r="C3992" t="s">
        <v>30</v>
      </c>
      <c r="D3992">
        <v>50</v>
      </c>
      <c r="E3992" t="s">
        <v>46</v>
      </c>
      <c r="F3992">
        <v>3</v>
      </c>
      <c r="G3992">
        <v>2</v>
      </c>
      <c r="H3992">
        <v>1</v>
      </c>
      <c r="I3992">
        <v>1</v>
      </c>
      <c r="J3992" s="4" t="s">
        <v>54</v>
      </c>
      <c r="K3992" t="str">
        <f t="shared" si="200"/>
        <v>2+1</v>
      </c>
      <c r="L3992">
        <f>VLOOKUP(A3992,'ZONE 1 PREMIUM'!$A$4:$N$16,14,0)</f>
        <v>4</v>
      </c>
      <c r="M3992">
        <f>VLOOKUP(D3992,DROPDOWN!B:C,2,0)</f>
        <v>12</v>
      </c>
      <c r="N3992" t="str">
        <f t="shared" si="201"/>
        <v>CO98:DG109</v>
      </c>
      <c r="O3992" s="4">
        <f t="shared" ca="1" si="199"/>
        <v>117917.29000000001</v>
      </c>
    </row>
    <row r="3993" spans="1:15">
      <c r="A3993" s="2" t="s">
        <v>14</v>
      </c>
      <c r="B3993" t="s">
        <v>31</v>
      </c>
      <c r="C3993" t="s">
        <v>32</v>
      </c>
      <c r="D3993">
        <v>50</v>
      </c>
      <c r="E3993" t="s">
        <v>46</v>
      </c>
      <c r="F3993">
        <v>3</v>
      </c>
      <c r="G3993">
        <v>2</v>
      </c>
      <c r="H3993">
        <v>1</v>
      </c>
      <c r="I3993">
        <v>1</v>
      </c>
      <c r="J3993" s="4" t="s">
        <v>54</v>
      </c>
      <c r="K3993" t="str">
        <f t="shared" si="200"/>
        <v>2+1</v>
      </c>
      <c r="L3993">
        <f>VLOOKUP(A3993,'ZONE 1 PREMIUM'!$A$4:$N$16,14,0)</f>
        <v>5</v>
      </c>
      <c r="M3993">
        <f>VLOOKUP(D3993,DROPDOWN!B:C,2,0)</f>
        <v>12</v>
      </c>
      <c r="N3993" t="str">
        <f t="shared" si="201"/>
        <v>CO98:DG109</v>
      </c>
      <c r="O3993" s="4">
        <f t="shared" ca="1" si="199"/>
        <v>129324.14000000001</v>
      </c>
    </row>
    <row r="3994" spans="1:15">
      <c r="A3994" s="2" t="s">
        <v>15</v>
      </c>
      <c r="B3994" t="s">
        <v>33</v>
      </c>
      <c r="C3994" t="s">
        <v>34</v>
      </c>
      <c r="D3994">
        <v>50</v>
      </c>
      <c r="E3994" t="s">
        <v>46</v>
      </c>
      <c r="F3994">
        <v>3</v>
      </c>
      <c r="G3994">
        <v>2</v>
      </c>
      <c r="H3994">
        <v>1</v>
      </c>
      <c r="I3994">
        <v>1</v>
      </c>
      <c r="J3994" s="4" t="s">
        <v>54</v>
      </c>
      <c r="K3994" t="str">
        <f t="shared" si="200"/>
        <v>2+1</v>
      </c>
      <c r="L3994">
        <f>VLOOKUP(A3994,'ZONE 1 PREMIUM'!$A$4:$N$16,14,0)</f>
        <v>6</v>
      </c>
      <c r="M3994">
        <f>VLOOKUP(D3994,DROPDOWN!B:C,2,0)</f>
        <v>12</v>
      </c>
      <c r="N3994" t="str">
        <f t="shared" si="201"/>
        <v>CO98:DG109</v>
      </c>
      <c r="O3994" s="4">
        <f t="shared" ca="1" si="199"/>
        <v>158605.90000000002</v>
      </c>
    </row>
    <row r="3995" spans="1:15">
      <c r="A3995" s="2" t="s">
        <v>16</v>
      </c>
      <c r="B3995" t="s">
        <v>35</v>
      </c>
      <c r="C3995" t="s">
        <v>36</v>
      </c>
      <c r="D3995">
        <v>50</v>
      </c>
      <c r="E3995" t="s">
        <v>46</v>
      </c>
      <c r="F3995">
        <v>3</v>
      </c>
      <c r="G3995">
        <v>2</v>
      </c>
      <c r="H3995">
        <v>1</v>
      </c>
      <c r="I3995">
        <v>1</v>
      </c>
      <c r="J3995" s="4" t="s">
        <v>54</v>
      </c>
      <c r="K3995" t="str">
        <f t="shared" si="200"/>
        <v>2+1</v>
      </c>
      <c r="L3995">
        <f>VLOOKUP(A3995,'ZONE 1 PREMIUM'!$A$4:$N$16,14,0)</f>
        <v>7</v>
      </c>
      <c r="M3995">
        <f>VLOOKUP(D3995,DROPDOWN!B:C,2,0)</f>
        <v>12</v>
      </c>
      <c r="N3995" t="str">
        <f t="shared" si="201"/>
        <v>CO98:DG109</v>
      </c>
      <c r="O3995" s="4">
        <f t="shared" ca="1" si="199"/>
        <v>214619.91</v>
      </c>
    </row>
    <row r="3996" spans="1:15">
      <c r="A3996" s="2" t="s">
        <v>17</v>
      </c>
      <c r="B3996" t="s">
        <v>37</v>
      </c>
      <c r="C3996" t="s">
        <v>38</v>
      </c>
      <c r="D3996">
        <v>50</v>
      </c>
      <c r="E3996" t="s">
        <v>46</v>
      </c>
      <c r="F3996">
        <v>3</v>
      </c>
      <c r="G3996">
        <v>2</v>
      </c>
      <c r="H3996">
        <v>1</v>
      </c>
      <c r="I3996">
        <v>1</v>
      </c>
      <c r="J3996" s="4" t="s">
        <v>54</v>
      </c>
      <c r="K3996" t="str">
        <f t="shared" si="200"/>
        <v>2+1</v>
      </c>
      <c r="L3996">
        <f>VLOOKUP(A3996,'ZONE 1 PREMIUM'!$A$4:$N$16,14,0)</f>
        <v>8</v>
      </c>
      <c r="M3996">
        <f>VLOOKUP(D3996,DROPDOWN!B:C,2,0)</f>
        <v>12</v>
      </c>
      <c r="N3996" t="str">
        <f t="shared" si="201"/>
        <v>CO98:DG109</v>
      </c>
      <c r="O3996" s="4">
        <f t="shared" ca="1" si="199"/>
        <v>290707.36000000004</v>
      </c>
    </row>
    <row r="3997" spans="1:15">
      <c r="A3997" s="2" t="s">
        <v>18</v>
      </c>
      <c r="B3997" t="s">
        <v>39</v>
      </c>
      <c r="C3997" t="s">
        <v>40</v>
      </c>
      <c r="D3997">
        <v>50</v>
      </c>
      <c r="E3997" t="s">
        <v>46</v>
      </c>
      <c r="F3997">
        <v>3</v>
      </c>
      <c r="G3997">
        <v>2</v>
      </c>
      <c r="H3997">
        <v>1</v>
      </c>
      <c r="I3997">
        <v>1</v>
      </c>
      <c r="J3997" s="4" t="s">
        <v>54</v>
      </c>
      <c r="K3997" t="str">
        <f t="shared" si="200"/>
        <v>2+1</v>
      </c>
      <c r="L3997">
        <f>VLOOKUP(A3997,'ZONE 1 PREMIUM'!$A$4:$N$16,14,0)</f>
        <v>9</v>
      </c>
      <c r="M3997">
        <f>VLOOKUP(D3997,DROPDOWN!B:C,2,0)</f>
        <v>12</v>
      </c>
      <c r="N3997" t="str">
        <f t="shared" si="201"/>
        <v>CO98:DG109</v>
      </c>
      <c r="O3997" s="4">
        <f t="shared" ca="1" si="199"/>
        <v>397058.66000000003</v>
      </c>
    </row>
    <row r="3998" spans="1:15">
      <c r="A3998" s="2" t="s">
        <v>19</v>
      </c>
      <c r="B3998" t="s">
        <v>41</v>
      </c>
      <c r="C3998" t="s">
        <v>42</v>
      </c>
      <c r="D3998">
        <v>50</v>
      </c>
      <c r="E3998" t="s">
        <v>46</v>
      </c>
      <c r="F3998">
        <v>3</v>
      </c>
      <c r="G3998">
        <v>2</v>
      </c>
      <c r="H3998">
        <v>1</v>
      </c>
      <c r="I3998">
        <v>1</v>
      </c>
      <c r="J3998" s="4" t="s">
        <v>54</v>
      </c>
      <c r="K3998" t="str">
        <f t="shared" si="200"/>
        <v>2+1</v>
      </c>
      <c r="L3998">
        <f>VLOOKUP(A3998,'ZONE 1 PREMIUM'!$A$4:$N$16,14,0)</f>
        <v>10</v>
      </c>
      <c r="M3998">
        <f>VLOOKUP(D3998,DROPDOWN!B:C,2,0)</f>
        <v>12</v>
      </c>
      <c r="N3998" t="str">
        <f t="shared" si="201"/>
        <v>CO98:DG109</v>
      </c>
      <c r="O3998" s="4">
        <f t="shared" ca="1" si="199"/>
        <v>525311.33000000007</v>
      </c>
    </row>
    <row r="3999" spans="1:15">
      <c r="A3999" s="2" t="s">
        <v>20</v>
      </c>
      <c r="B3999" t="s">
        <v>43</v>
      </c>
      <c r="C3999" t="s">
        <v>44</v>
      </c>
      <c r="D3999">
        <v>50</v>
      </c>
      <c r="E3999" t="s">
        <v>46</v>
      </c>
      <c r="F3999">
        <v>3</v>
      </c>
      <c r="G3999">
        <v>2</v>
      </c>
      <c r="H3999">
        <v>1</v>
      </c>
      <c r="I3999">
        <v>1</v>
      </c>
      <c r="J3999" s="4" t="s">
        <v>54</v>
      </c>
      <c r="K3999" t="str">
        <f t="shared" si="200"/>
        <v>2+1</v>
      </c>
      <c r="L3999">
        <f>VLOOKUP(A3999,'ZONE 1 PREMIUM'!$A$4:$N$16,14,0)</f>
        <v>11</v>
      </c>
      <c r="M3999">
        <f>VLOOKUP(D3999,DROPDOWN!B:C,2,0)</f>
        <v>12</v>
      </c>
      <c r="N3999" t="str">
        <f t="shared" si="201"/>
        <v>CO98:DG109</v>
      </c>
      <c r="O3999" s="4">
        <f t="shared" ca="1" si="199"/>
        <v>629309.32000000007</v>
      </c>
    </row>
    <row r="4000" spans="1:15">
      <c r="A4000" s="2" t="s">
        <v>21</v>
      </c>
      <c r="B4000" t="s">
        <v>22</v>
      </c>
      <c r="D4000">
        <v>50</v>
      </c>
      <c r="E4000" t="s">
        <v>46</v>
      </c>
      <c r="F4000">
        <v>3</v>
      </c>
      <c r="G4000">
        <v>2</v>
      </c>
      <c r="H4000">
        <v>1</v>
      </c>
      <c r="I4000">
        <v>1</v>
      </c>
      <c r="J4000" s="4" t="s">
        <v>54</v>
      </c>
      <c r="K4000" t="str">
        <f t="shared" si="200"/>
        <v>2+1</v>
      </c>
      <c r="L4000">
        <f>VLOOKUP(A4000,'ZONE 1 PREMIUM'!$A$4:$N$16,14,0)</f>
        <v>12</v>
      </c>
      <c r="M4000">
        <f>VLOOKUP(D4000,DROPDOWN!B:C,2,0)</f>
        <v>12</v>
      </c>
      <c r="N4000" t="str">
        <f t="shared" si="201"/>
        <v>CO98:DG109</v>
      </c>
      <c r="O4000" s="4">
        <f t="shared" ca="1" si="199"/>
        <v>779547.29</v>
      </c>
    </row>
    <row r="4001" spans="1:15">
      <c r="A4001" s="2" t="s">
        <v>11</v>
      </c>
      <c r="B4001" t="s">
        <v>45</v>
      </c>
      <c r="C4001" t="s">
        <v>25</v>
      </c>
      <c r="D4001">
        <v>50</v>
      </c>
      <c r="E4001" t="s">
        <v>46</v>
      </c>
      <c r="F4001">
        <v>4</v>
      </c>
      <c r="G4001">
        <v>2</v>
      </c>
      <c r="H4001">
        <v>2</v>
      </c>
      <c r="I4001">
        <v>1</v>
      </c>
      <c r="J4001" s="4" t="s">
        <v>54</v>
      </c>
      <c r="K4001" t="str">
        <f t="shared" si="200"/>
        <v>2+2</v>
      </c>
      <c r="L4001">
        <f>VLOOKUP(A4001,'ZONE 1 PREMIUM'!$A$4:$N$16,14,0)</f>
        <v>2</v>
      </c>
      <c r="M4001">
        <f>VLOOKUP(D4001,DROPDOWN!B:C,2,0)</f>
        <v>12</v>
      </c>
      <c r="N4001" t="str">
        <f t="shared" si="201"/>
        <v>CO113:DG124</v>
      </c>
      <c r="O4001" s="4">
        <f t="shared" ca="1" si="199"/>
        <v>114446.73000000001</v>
      </c>
    </row>
    <row r="4002" spans="1:15">
      <c r="A4002" s="2" t="s">
        <v>12</v>
      </c>
      <c r="B4002" t="s">
        <v>27</v>
      </c>
      <c r="C4002" t="s">
        <v>28</v>
      </c>
      <c r="D4002">
        <v>50</v>
      </c>
      <c r="E4002" t="s">
        <v>46</v>
      </c>
      <c r="F4002">
        <v>4</v>
      </c>
      <c r="G4002">
        <v>2</v>
      </c>
      <c r="H4002">
        <v>2</v>
      </c>
      <c r="I4002">
        <v>1</v>
      </c>
      <c r="J4002" s="4" t="s">
        <v>54</v>
      </c>
      <c r="K4002" t="str">
        <f t="shared" si="200"/>
        <v>2+2</v>
      </c>
      <c r="L4002">
        <f>VLOOKUP(A4002,'ZONE 1 PREMIUM'!$A$4:$N$16,14,0)</f>
        <v>3</v>
      </c>
      <c r="M4002">
        <f>VLOOKUP(D4002,DROPDOWN!B:C,2,0)</f>
        <v>12</v>
      </c>
      <c r="N4002" t="str">
        <f t="shared" si="201"/>
        <v>CO113:DG124</v>
      </c>
      <c r="O4002" s="4">
        <f t="shared" ca="1" si="199"/>
        <v>124640.41</v>
      </c>
    </row>
    <row r="4003" spans="1:15">
      <c r="A4003" s="2" t="s">
        <v>13</v>
      </c>
      <c r="B4003" t="s">
        <v>29</v>
      </c>
      <c r="C4003" t="s">
        <v>30</v>
      </c>
      <c r="D4003">
        <v>50</v>
      </c>
      <c r="E4003" t="s">
        <v>46</v>
      </c>
      <c r="F4003">
        <v>4</v>
      </c>
      <c r="G4003">
        <v>2</v>
      </c>
      <c r="H4003">
        <v>2</v>
      </c>
      <c r="I4003">
        <v>1</v>
      </c>
      <c r="J4003" s="4" t="s">
        <v>54</v>
      </c>
      <c r="K4003" t="str">
        <f t="shared" si="200"/>
        <v>2+2</v>
      </c>
      <c r="L4003">
        <f>VLOOKUP(A4003,'ZONE 1 PREMIUM'!$A$4:$N$16,14,0)</f>
        <v>4</v>
      </c>
      <c r="M4003">
        <f>VLOOKUP(D4003,DROPDOWN!B:C,2,0)</f>
        <v>12</v>
      </c>
      <c r="N4003" t="str">
        <f t="shared" si="201"/>
        <v>CO113:DG124</v>
      </c>
      <c r="O4003" s="4">
        <f t="shared" ca="1" si="199"/>
        <v>132523.29</v>
      </c>
    </row>
    <row r="4004" spans="1:15">
      <c r="A4004" s="2" t="s">
        <v>14</v>
      </c>
      <c r="B4004" t="s">
        <v>31</v>
      </c>
      <c r="C4004" t="s">
        <v>32</v>
      </c>
      <c r="D4004">
        <v>50</v>
      </c>
      <c r="E4004" t="s">
        <v>46</v>
      </c>
      <c r="F4004">
        <v>4</v>
      </c>
      <c r="G4004">
        <v>2</v>
      </c>
      <c r="H4004">
        <v>2</v>
      </c>
      <c r="I4004">
        <v>1</v>
      </c>
      <c r="J4004" s="4" t="s">
        <v>54</v>
      </c>
      <c r="K4004" t="str">
        <f t="shared" si="200"/>
        <v>2+2</v>
      </c>
      <c r="L4004">
        <f>VLOOKUP(A4004,'ZONE 1 PREMIUM'!$A$4:$N$16,14,0)</f>
        <v>5</v>
      </c>
      <c r="M4004">
        <f>VLOOKUP(D4004,DROPDOWN!B:C,2,0)</f>
        <v>12</v>
      </c>
      <c r="N4004" t="str">
        <f t="shared" si="201"/>
        <v>CO113:DG124</v>
      </c>
      <c r="O4004" s="4">
        <f t="shared" ca="1" si="199"/>
        <v>144929.67000000001</v>
      </c>
    </row>
    <row r="4005" spans="1:15">
      <c r="A4005" s="2" t="s">
        <v>15</v>
      </c>
      <c r="B4005" t="s">
        <v>33</v>
      </c>
      <c r="C4005" t="s">
        <v>34</v>
      </c>
      <c r="D4005">
        <v>50</v>
      </c>
      <c r="E4005" t="s">
        <v>46</v>
      </c>
      <c r="F4005">
        <v>4</v>
      </c>
      <c r="G4005">
        <v>2</v>
      </c>
      <c r="H4005">
        <v>2</v>
      </c>
      <c r="I4005">
        <v>1</v>
      </c>
      <c r="J4005" s="4" t="s">
        <v>54</v>
      </c>
      <c r="K4005" t="str">
        <f t="shared" si="200"/>
        <v>2+2</v>
      </c>
      <c r="L4005">
        <f>VLOOKUP(A4005,'ZONE 1 PREMIUM'!$A$4:$N$16,14,0)</f>
        <v>6</v>
      </c>
      <c r="M4005">
        <f>VLOOKUP(D4005,DROPDOWN!B:C,2,0)</f>
        <v>12</v>
      </c>
      <c r="N4005" t="str">
        <f t="shared" si="201"/>
        <v>CO113:DG124</v>
      </c>
      <c r="O4005" s="4">
        <f t="shared" ca="1" si="199"/>
        <v>175919.46000000002</v>
      </c>
    </row>
    <row r="4006" spans="1:15">
      <c r="A4006" s="2" t="s">
        <v>16</v>
      </c>
      <c r="B4006" t="s">
        <v>35</v>
      </c>
      <c r="C4006" t="s">
        <v>36</v>
      </c>
      <c r="D4006">
        <v>50</v>
      </c>
      <c r="E4006" t="s">
        <v>46</v>
      </c>
      <c r="F4006">
        <v>4</v>
      </c>
      <c r="G4006">
        <v>2</v>
      </c>
      <c r="H4006">
        <v>2</v>
      </c>
      <c r="I4006">
        <v>1</v>
      </c>
      <c r="J4006" s="4" t="s">
        <v>54</v>
      </c>
      <c r="K4006" t="str">
        <f t="shared" si="200"/>
        <v>2+2</v>
      </c>
      <c r="L4006">
        <f>VLOOKUP(A4006,'ZONE 1 PREMIUM'!$A$4:$N$16,14,0)</f>
        <v>7</v>
      </c>
      <c r="M4006">
        <f>VLOOKUP(D4006,DROPDOWN!B:C,2,0)</f>
        <v>12</v>
      </c>
      <c r="N4006" t="str">
        <f t="shared" si="201"/>
        <v>CO113:DG124</v>
      </c>
      <c r="O4006" s="4">
        <f t="shared" ca="1" si="199"/>
        <v>235560.99000000002</v>
      </c>
    </row>
    <row r="4007" spans="1:15">
      <c r="A4007" s="2" t="s">
        <v>17</v>
      </c>
      <c r="B4007" t="s">
        <v>37</v>
      </c>
      <c r="C4007" t="s">
        <v>38</v>
      </c>
      <c r="D4007">
        <v>50</v>
      </c>
      <c r="E4007" t="s">
        <v>46</v>
      </c>
      <c r="F4007">
        <v>4</v>
      </c>
      <c r="G4007">
        <v>2</v>
      </c>
      <c r="H4007">
        <v>2</v>
      </c>
      <c r="I4007">
        <v>1</v>
      </c>
      <c r="J4007" s="4" t="s">
        <v>54</v>
      </c>
      <c r="K4007" t="str">
        <f t="shared" si="200"/>
        <v>2+2</v>
      </c>
      <c r="L4007">
        <f>VLOOKUP(A4007,'ZONE 1 PREMIUM'!$A$4:$N$16,14,0)</f>
        <v>8</v>
      </c>
      <c r="M4007">
        <f>VLOOKUP(D4007,DROPDOWN!B:C,2,0)</f>
        <v>12</v>
      </c>
      <c r="N4007" t="str">
        <f t="shared" si="201"/>
        <v>CO113:DG124</v>
      </c>
      <c r="O4007" s="4">
        <f t="shared" ca="1" si="199"/>
        <v>309103.29000000004</v>
      </c>
    </row>
    <row r="4008" spans="1:15">
      <c r="A4008" s="2" t="s">
        <v>18</v>
      </c>
      <c r="B4008" t="s">
        <v>39</v>
      </c>
      <c r="C4008" t="s">
        <v>40</v>
      </c>
      <c r="D4008">
        <v>50</v>
      </c>
      <c r="E4008" t="s">
        <v>46</v>
      </c>
      <c r="F4008">
        <v>4</v>
      </c>
      <c r="G4008">
        <v>2</v>
      </c>
      <c r="H4008">
        <v>2</v>
      </c>
      <c r="I4008">
        <v>1</v>
      </c>
      <c r="J4008" s="4" t="s">
        <v>54</v>
      </c>
      <c r="K4008" t="str">
        <f t="shared" si="200"/>
        <v>2+2</v>
      </c>
      <c r="L4008">
        <f>VLOOKUP(A4008,'ZONE 1 PREMIUM'!$A$4:$N$16,14,0)</f>
        <v>9</v>
      </c>
      <c r="M4008">
        <f>VLOOKUP(D4008,DROPDOWN!B:C,2,0)</f>
        <v>12</v>
      </c>
      <c r="N4008" t="str">
        <f t="shared" si="201"/>
        <v>CO113:DG124</v>
      </c>
      <c r="O4008" s="4">
        <f t="shared" ca="1" si="199"/>
        <v>409661.24000000005</v>
      </c>
    </row>
    <row r="4009" spans="1:15">
      <c r="A4009" s="2" t="s">
        <v>19</v>
      </c>
      <c r="B4009" t="s">
        <v>41</v>
      </c>
      <c r="C4009" t="s">
        <v>42</v>
      </c>
      <c r="D4009">
        <v>50</v>
      </c>
      <c r="E4009" t="s">
        <v>46</v>
      </c>
      <c r="F4009">
        <v>4</v>
      </c>
      <c r="G4009">
        <v>2</v>
      </c>
      <c r="H4009">
        <v>2</v>
      </c>
      <c r="I4009">
        <v>1</v>
      </c>
      <c r="J4009" s="4" t="s">
        <v>54</v>
      </c>
      <c r="K4009" t="str">
        <f t="shared" si="200"/>
        <v>2+2</v>
      </c>
      <c r="L4009">
        <f>VLOOKUP(A4009,'ZONE 1 PREMIUM'!$A$4:$N$16,14,0)</f>
        <v>10</v>
      </c>
      <c r="M4009">
        <f>VLOOKUP(D4009,DROPDOWN!B:C,2,0)</f>
        <v>12</v>
      </c>
      <c r="N4009" t="str">
        <f t="shared" si="201"/>
        <v>CO113:DG124</v>
      </c>
      <c r="O4009" s="4">
        <f t="shared" ca="1" si="199"/>
        <v>525887.94000000006</v>
      </c>
    </row>
    <row r="4010" spans="1:15">
      <c r="A4010" s="2" t="s">
        <v>20</v>
      </c>
      <c r="B4010" t="s">
        <v>43</v>
      </c>
      <c r="C4010" t="s">
        <v>44</v>
      </c>
      <c r="D4010">
        <v>50</v>
      </c>
      <c r="E4010" t="s">
        <v>46</v>
      </c>
      <c r="F4010">
        <v>4</v>
      </c>
      <c r="G4010">
        <v>2</v>
      </c>
      <c r="H4010">
        <v>2</v>
      </c>
      <c r="I4010">
        <v>1</v>
      </c>
      <c r="J4010" s="4" t="s">
        <v>54</v>
      </c>
      <c r="K4010" t="str">
        <f t="shared" si="200"/>
        <v>2+2</v>
      </c>
      <c r="L4010">
        <f>VLOOKUP(A4010,'ZONE 1 PREMIUM'!$A$4:$N$16,14,0)</f>
        <v>11</v>
      </c>
      <c r="M4010">
        <f>VLOOKUP(D4010,DROPDOWN!B:C,2,0)</f>
        <v>12</v>
      </c>
      <c r="N4010" t="str">
        <f t="shared" si="201"/>
        <v>CO113:DG124</v>
      </c>
      <c r="O4010" s="4">
        <f t="shared" ca="1" si="199"/>
        <v>630410.22000000009</v>
      </c>
    </row>
    <row r="4011" spans="1:15">
      <c r="A4011" s="2" t="s">
        <v>21</v>
      </c>
      <c r="B4011" t="s">
        <v>22</v>
      </c>
      <c r="D4011">
        <v>50</v>
      </c>
      <c r="E4011" t="s">
        <v>46</v>
      </c>
      <c r="F4011">
        <v>4</v>
      </c>
      <c r="G4011">
        <v>2</v>
      </c>
      <c r="H4011">
        <v>2</v>
      </c>
      <c r="I4011">
        <v>1</v>
      </c>
      <c r="J4011" s="4" t="s">
        <v>54</v>
      </c>
      <c r="K4011" t="str">
        <f t="shared" si="200"/>
        <v>2+2</v>
      </c>
      <c r="L4011">
        <f>VLOOKUP(A4011,'ZONE 1 PREMIUM'!$A$4:$N$16,14,0)</f>
        <v>12</v>
      </c>
      <c r="M4011">
        <f>VLOOKUP(D4011,DROPDOWN!B:C,2,0)</f>
        <v>12</v>
      </c>
      <c r="N4011" t="str">
        <f t="shared" si="201"/>
        <v>CO113:DG124</v>
      </c>
      <c r="O4011" s="4">
        <f t="shared" ca="1" si="199"/>
        <v>780502.13</v>
      </c>
    </row>
    <row r="4012" spans="1:15">
      <c r="A4012" s="2" t="s">
        <v>11</v>
      </c>
      <c r="B4012" t="s">
        <v>45</v>
      </c>
      <c r="C4012" t="s">
        <v>25</v>
      </c>
      <c r="D4012">
        <v>50</v>
      </c>
      <c r="E4012" t="s">
        <v>46</v>
      </c>
      <c r="F4012">
        <v>5</v>
      </c>
      <c r="G4012">
        <v>2</v>
      </c>
      <c r="H4012">
        <v>3</v>
      </c>
      <c r="I4012">
        <v>1</v>
      </c>
      <c r="J4012" s="4" t="s">
        <v>54</v>
      </c>
      <c r="K4012" t="str">
        <f t="shared" si="200"/>
        <v>2+3</v>
      </c>
      <c r="L4012">
        <f>VLOOKUP(A4012,'ZONE 1 PREMIUM'!$A$4:$N$16,14,0)</f>
        <v>2</v>
      </c>
      <c r="M4012">
        <f>VLOOKUP(D4012,DROPDOWN!B:C,2,0)</f>
        <v>12</v>
      </c>
      <c r="N4012" t="str">
        <f t="shared" si="201"/>
        <v>CO128:DG139</v>
      </c>
      <c r="O4012" s="4">
        <f t="shared" ca="1" si="199"/>
        <v>128035.76000000001</v>
      </c>
    </row>
    <row r="4013" spans="1:15">
      <c r="A4013" s="2" t="s">
        <v>12</v>
      </c>
      <c r="B4013" t="s">
        <v>27</v>
      </c>
      <c r="C4013" t="s">
        <v>28</v>
      </c>
      <c r="D4013">
        <v>50</v>
      </c>
      <c r="E4013" t="s">
        <v>46</v>
      </c>
      <c r="F4013">
        <v>5</v>
      </c>
      <c r="G4013">
        <v>2</v>
      </c>
      <c r="H4013">
        <v>3</v>
      </c>
      <c r="I4013">
        <v>1</v>
      </c>
      <c r="J4013" s="4" t="s">
        <v>54</v>
      </c>
      <c r="K4013" t="str">
        <f t="shared" si="200"/>
        <v>2+3</v>
      </c>
      <c r="L4013">
        <f>VLOOKUP(A4013,'ZONE 1 PREMIUM'!$A$4:$N$16,14,0)</f>
        <v>3</v>
      </c>
      <c r="M4013">
        <f>VLOOKUP(D4013,DROPDOWN!B:C,2,0)</f>
        <v>12</v>
      </c>
      <c r="N4013" t="str">
        <f t="shared" si="201"/>
        <v>CO128:DG139</v>
      </c>
      <c r="O4013" s="4">
        <f t="shared" ca="1" si="199"/>
        <v>138041.96000000002</v>
      </c>
    </row>
    <row r="4014" spans="1:15">
      <c r="A4014" s="2" t="s">
        <v>13</v>
      </c>
      <c r="B4014" t="s">
        <v>29</v>
      </c>
      <c r="C4014" t="s">
        <v>30</v>
      </c>
      <c r="D4014">
        <v>50</v>
      </c>
      <c r="E4014" t="s">
        <v>46</v>
      </c>
      <c r="F4014">
        <v>5</v>
      </c>
      <c r="G4014">
        <v>2</v>
      </c>
      <c r="H4014">
        <v>3</v>
      </c>
      <c r="I4014">
        <v>1</v>
      </c>
      <c r="J4014" s="4" t="s">
        <v>54</v>
      </c>
      <c r="K4014" t="str">
        <f t="shared" si="200"/>
        <v>2+3</v>
      </c>
      <c r="L4014">
        <f>VLOOKUP(A4014,'ZONE 1 PREMIUM'!$A$4:$N$16,14,0)</f>
        <v>4</v>
      </c>
      <c r="M4014">
        <f>VLOOKUP(D4014,DROPDOWN!B:C,2,0)</f>
        <v>12</v>
      </c>
      <c r="N4014" t="str">
        <f t="shared" si="201"/>
        <v>CO128:DG139</v>
      </c>
      <c r="O4014" s="4">
        <f t="shared" ca="1" si="199"/>
        <v>148005.65000000002</v>
      </c>
    </row>
    <row r="4015" spans="1:15">
      <c r="A4015" s="2" t="s">
        <v>14</v>
      </c>
      <c r="B4015" t="s">
        <v>31</v>
      </c>
      <c r="C4015" t="s">
        <v>32</v>
      </c>
      <c r="D4015">
        <v>50</v>
      </c>
      <c r="E4015" t="s">
        <v>46</v>
      </c>
      <c r="F4015">
        <v>5</v>
      </c>
      <c r="G4015">
        <v>2</v>
      </c>
      <c r="H4015">
        <v>3</v>
      </c>
      <c r="I4015">
        <v>1</v>
      </c>
      <c r="J4015" s="4" t="s">
        <v>54</v>
      </c>
      <c r="K4015" t="str">
        <f t="shared" si="200"/>
        <v>2+3</v>
      </c>
      <c r="L4015">
        <f>VLOOKUP(A4015,'ZONE 1 PREMIUM'!$A$4:$N$16,14,0)</f>
        <v>5</v>
      </c>
      <c r="M4015">
        <f>VLOOKUP(D4015,DROPDOWN!B:C,2,0)</f>
        <v>12</v>
      </c>
      <c r="N4015" t="str">
        <f t="shared" si="201"/>
        <v>CO128:DG139</v>
      </c>
      <c r="O4015" s="4">
        <f t="shared" ca="1" si="199"/>
        <v>161497.67000000001</v>
      </c>
    </row>
    <row r="4016" spans="1:15">
      <c r="A4016" s="2" t="s">
        <v>15</v>
      </c>
      <c r="B4016" t="s">
        <v>33</v>
      </c>
      <c r="C4016" t="s">
        <v>34</v>
      </c>
      <c r="D4016">
        <v>50</v>
      </c>
      <c r="E4016" t="s">
        <v>46</v>
      </c>
      <c r="F4016">
        <v>5</v>
      </c>
      <c r="G4016">
        <v>2</v>
      </c>
      <c r="H4016">
        <v>3</v>
      </c>
      <c r="I4016">
        <v>1</v>
      </c>
      <c r="J4016" s="4" t="s">
        <v>54</v>
      </c>
      <c r="K4016" t="str">
        <f t="shared" si="200"/>
        <v>2+3</v>
      </c>
      <c r="L4016">
        <f>VLOOKUP(A4016,'ZONE 1 PREMIUM'!$A$4:$N$16,14,0)</f>
        <v>6</v>
      </c>
      <c r="M4016">
        <f>VLOOKUP(D4016,DROPDOWN!B:C,2,0)</f>
        <v>12</v>
      </c>
      <c r="N4016" t="str">
        <f t="shared" si="201"/>
        <v>CO128:DG139</v>
      </c>
      <c r="O4016" s="4">
        <f t="shared" ca="1" si="199"/>
        <v>194414.58000000002</v>
      </c>
    </row>
    <row r="4017" spans="1:15">
      <c r="A4017" s="2" t="s">
        <v>16</v>
      </c>
      <c r="B4017" t="s">
        <v>35</v>
      </c>
      <c r="C4017" t="s">
        <v>36</v>
      </c>
      <c r="D4017">
        <v>50</v>
      </c>
      <c r="E4017" t="s">
        <v>46</v>
      </c>
      <c r="F4017">
        <v>5</v>
      </c>
      <c r="G4017">
        <v>2</v>
      </c>
      <c r="H4017">
        <v>3</v>
      </c>
      <c r="I4017">
        <v>1</v>
      </c>
      <c r="J4017" s="4" t="s">
        <v>54</v>
      </c>
      <c r="K4017" t="str">
        <f t="shared" si="200"/>
        <v>2+3</v>
      </c>
      <c r="L4017">
        <f>VLOOKUP(A4017,'ZONE 1 PREMIUM'!$A$4:$N$16,14,0)</f>
        <v>7</v>
      </c>
      <c r="M4017">
        <f>VLOOKUP(D4017,DROPDOWN!B:C,2,0)</f>
        <v>12</v>
      </c>
      <c r="N4017" t="str">
        <f t="shared" si="201"/>
        <v>CO128:DG139</v>
      </c>
      <c r="O4017" s="4">
        <f t="shared" ca="1" si="199"/>
        <v>253453.34000000003</v>
      </c>
    </row>
    <row r="4018" spans="1:15">
      <c r="A4018" s="2" t="s">
        <v>17</v>
      </c>
      <c r="B4018" t="s">
        <v>37</v>
      </c>
      <c r="C4018" t="s">
        <v>38</v>
      </c>
      <c r="D4018">
        <v>50</v>
      </c>
      <c r="E4018" t="s">
        <v>46</v>
      </c>
      <c r="F4018">
        <v>5</v>
      </c>
      <c r="G4018">
        <v>2</v>
      </c>
      <c r="H4018">
        <v>3</v>
      </c>
      <c r="I4018">
        <v>1</v>
      </c>
      <c r="J4018" s="4" t="s">
        <v>54</v>
      </c>
      <c r="K4018" t="str">
        <f t="shared" si="200"/>
        <v>2+3</v>
      </c>
      <c r="L4018">
        <f>VLOOKUP(A4018,'ZONE 1 PREMIUM'!$A$4:$N$16,14,0)</f>
        <v>8</v>
      </c>
      <c r="M4018">
        <f>VLOOKUP(D4018,DROPDOWN!B:C,2,0)</f>
        <v>12</v>
      </c>
      <c r="N4018" t="str">
        <f t="shared" si="201"/>
        <v>CO128:DG139</v>
      </c>
      <c r="O4018" s="4">
        <f t="shared" ca="1" si="199"/>
        <v>324729.53000000003</v>
      </c>
    </row>
    <row r="4019" spans="1:15">
      <c r="A4019" s="2" t="s">
        <v>18</v>
      </c>
      <c r="B4019" t="s">
        <v>39</v>
      </c>
      <c r="C4019" t="s">
        <v>40</v>
      </c>
      <c r="D4019">
        <v>50</v>
      </c>
      <c r="E4019" t="s">
        <v>46</v>
      </c>
      <c r="F4019">
        <v>5</v>
      </c>
      <c r="G4019">
        <v>2</v>
      </c>
      <c r="H4019">
        <v>3</v>
      </c>
      <c r="I4019">
        <v>1</v>
      </c>
      <c r="J4019" s="4" t="s">
        <v>54</v>
      </c>
      <c r="K4019" t="str">
        <f t="shared" si="200"/>
        <v>2+3</v>
      </c>
      <c r="L4019">
        <f>VLOOKUP(A4019,'ZONE 1 PREMIUM'!$A$4:$N$16,14,0)</f>
        <v>9</v>
      </c>
      <c r="M4019">
        <f>VLOOKUP(D4019,DROPDOWN!B:C,2,0)</f>
        <v>12</v>
      </c>
      <c r="N4019" t="str">
        <f t="shared" si="201"/>
        <v>CO128:DG139</v>
      </c>
      <c r="O4019" s="4">
        <f t="shared" ca="1" si="199"/>
        <v>425050.95</v>
      </c>
    </row>
    <row r="4020" spans="1:15">
      <c r="A4020" s="2" t="s">
        <v>19</v>
      </c>
      <c r="B4020" t="s">
        <v>41</v>
      </c>
      <c r="C4020" t="s">
        <v>42</v>
      </c>
      <c r="D4020">
        <v>50</v>
      </c>
      <c r="E4020" t="s">
        <v>46</v>
      </c>
      <c r="F4020">
        <v>5</v>
      </c>
      <c r="G4020">
        <v>2</v>
      </c>
      <c r="H4020">
        <v>3</v>
      </c>
      <c r="I4020">
        <v>1</v>
      </c>
      <c r="J4020" s="4" t="s">
        <v>54</v>
      </c>
      <c r="K4020" t="str">
        <f t="shared" si="200"/>
        <v>2+3</v>
      </c>
      <c r="L4020">
        <f>VLOOKUP(A4020,'ZONE 1 PREMIUM'!$A$4:$N$16,14,0)</f>
        <v>10</v>
      </c>
      <c r="M4020">
        <f>VLOOKUP(D4020,DROPDOWN!B:C,2,0)</f>
        <v>12</v>
      </c>
      <c r="N4020" t="str">
        <f t="shared" si="201"/>
        <v>CO128:DG139</v>
      </c>
      <c r="O4020" s="4">
        <f t="shared" ca="1" si="199"/>
        <v>540156.04</v>
      </c>
    </row>
    <row r="4021" spans="1:15">
      <c r="A4021" s="2" t="s">
        <v>20</v>
      </c>
      <c r="B4021" t="s">
        <v>43</v>
      </c>
      <c r="C4021" t="s">
        <v>44</v>
      </c>
      <c r="D4021">
        <v>50</v>
      </c>
      <c r="E4021" t="s">
        <v>46</v>
      </c>
      <c r="F4021">
        <v>5</v>
      </c>
      <c r="G4021">
        <v>2</v>
      </c>
      <c r="H4021">
        <v>3</v>
      </c>
      <c r="I4021">
        <v>1</v>
      </c>
      <c r="J4021" s="4" t="s">
        <v>54</v>
      </c>
      <c r="K4021" t="str">
        <f t="shared" si="200"/>
        <v>2+3</v>
      </c>
      <c r="L4021">
        <f>VLOOKUP(A4021,'ZONE 1 PREMIUM'!$A$4:$N$16,14,0)</f>
        <v>11</v>
      </c>
      <c r="M4021">
        <f>VLOOKUP(D4021,DROPDOWN!B:C,2,0)</f>
        <v>12</v>
      </c>
      <c r="N4021" t="str">
        <f t="shared" si="201"/>
        <v>CO128:DG139</v>
      </c>
      <c r="O4021" s="4">
        <f t="shared" ca="1" si="199"/>
        <v>646771.12</v>
      </c>
    </row>
    <row r="4022" spans="1:15">
      <c r="A4022" s="2" t="s">
        <v>21</v>
      </c>
      <c r="B4022" t="s">
        <v>22</v>
      </c>
      <c r="D4022">
        <v>50</v>
      </c>
      <c r="E4022" t="s">
        <v>46</v>
      </c>
      <c r="F4022">
        <v>5</v>
      </c>
      <c r="G4022">
        <v>2</v>
      </c>
      <c r="H4022">
        <v>3</v>
      </c>
      <c r="I4022">
        <v>1</v>
      </c>
      <c r="J4022" s="4" t="s">
        <v>54</v>
      </c>
      <c r="K4022" t="str">
        <f t="shared" si="200"/>
        <v>2+3</v>
      </c>
      <c r="L4022">
        <f>VLOOKUP(A4022,'ZONE 1 PREMIUM'!$A$4:$N$16,14,0)</f>
        <v>12</v>
      </c>
      <c r="M4022">
        <f>VLOOKUP(D4022,DROPDOWN!B:C,2,0)</f>
        <v>12</v>
      </c>
      <c r="N4022" t="str">
        <f t="shared" si="201"/>
        <v>CO128:DG139</v>
      </c>
      <c r="O4022" s="4">
        <f t="shared" ca="1" si="199"/>
        <v>798259.32000000007</v>
      </c>
    </row>
    <row r="4023" spans="1:15">
      <c r="A4023" s="2" t="s">
        <v>11</v>
      </c>
      <c r="B4023" t="s">
        <v>45</v>
      </c>
      <c r="C4023" t="s">
        <v>25</v>
      </c>
      <c r="D4023">
        <v>50</v>
      </c>
      <c r="E4023" t="s">
        <v>46</v>
      </c>
      <c r="F4023">
        <v>6</v>
      </c>
      <c r="G4023">
        <v>2</v>
      </c>
      <c r="H4023">
        <v>4</v>
      </c>
      <c r="I4023">
        <v>1</v>
      </c>
      <c r="J4023" s="4" t="s">
        <v>54</v>
      </c>
      <c r="K4023" t="str">
        <f t="shared" si="200"/>
        <v>2+4</v>
      </c>
      <c r="L4023">
        <f>VLOOKUP(A4023,'ZONE 1 PREMIUM'!$A$4:$N$16,14,0)</f>
        <v>2</v>
      </c>
      <c r="M4023">
        <f>VLOOKUP(D4023,DROPDOWN!B:C,2,0)</f>
        <v>12</v>
      </c>
      <c r="N4023" t="str">
        <f t="shared" si="201"/>
        <v>CO143:DG154</v>
      </c>
      <c r="O4023" s="4">
        <f t="shared" ca="1" si="199"/>
        <v>141624.79</v>
      </c>
    </row>
    <row r="4024" spans="1:15">
      <c r="A4024" s="2" t="s">
        <v>12</v>
      </c>
      <c r="B4024" t="s">
        <v>27</v>
      </c>
      <c r="C4024" t="s">
        <v>28</v>
      </c>
      <c r="D4024">
        <v>50</v>
      </c>
      <c r="E4024" t="s">
        <v>46</v>
      </c>
      <c r="F4024">
        <v>6</v>
      </c>
      <c r="G4024">
        <v>2</v>
      </c>
      <c r="H4024">
        <v>4</v>
      </c>
      <c r="I4024">
        <v>1</v>
      </c>
      <c r="J4024" s="4" t="s">
        <v>54</v>
      </c>
      <c r="K4024" t="str">
        <f t="shared" si="200"/>
        <v>2+4</v>
      </c>
      <c r="L4024">
        <f>VLOOKUP(A4024,'ZONE 1 PREMIUM'!$A$4:$N$16,14,0)</f>
        <v>3</v>
      </c>
      <c r="M4024">
        <f>VLOOKUP(D4024,DROPDOWN!B:C,2,0)</f>
        <v>12</v>
      </c>
      <c r="N4024" t="str">
        <f t="shared" si="201"/>
        <v>CO143:DG154</v>
      </c>
      <c r="O4024" s="4">
        <f t="shared" ca="1" si="199"/>
        <v>151443.51</v>
      </c>
    </row>
    <row r="4025" spans="1:15">
      <c r="A4025" s="2" t="s">
        <v>13</v>
      </c>
      <c r="B4025" t="s">
        <v>29</v>
      </c>
      <c r="C4025" t="s">
        <v>30</v>
      </c>
      <c r="D4025">
        <v>50</v>
      </c>
      <c r="E4025" t="s">
        <v>46</v>
      </c>
      <c r="F4025">
        <v>6</v>
      </c>
      <c r="G4025">
        <v>2</v>
      </c>
      <c r="H4025">
        <v>4</v>
      </c>
      <c r="I4025">
        <v>1</v>
      </c>
      <c r="J4025" s="4" t="s">
        <v>54</v>
      </c>
      <c r="K4025" t="str">
        <f t="shared" si="200"/>
        <v>2+4</v>
      </c>
      <c r="L4025">
        <f>VLOOKUP(A4025,'ZONE 1 PREMIUM'!$A$4:$N$16,14,0)</f>
        <v>4</v>
      </c>
      <c r="M4025">
        <f>VLOOKUP(D4025,DROPDOWN!B:C,2,0)</f>
        <v>12</v>
      </c>
      <c r="N4025" t="str">
        <f t="shared" si="201"/>
        <v>CO143:DG154</v>
      </c>
      <c r="O4025" s="4">
        <f t="shared" ca="1" si="199"/>
        <v>163489.1</v>
      </c>
    </row>
    <row r="4026" spans="1:15">
      <c r="A4026" s="2" t="s">
        <v>14</v>
      </c>
      <c r="B4026" t="s">
        <v>31</v>
      </c>
      <c r="C4026" t="s">
        <v>32</v>
      </c>
      <c r="D4026">
        <v>50</v>
      </c>
      <c r="E4026" t="s">
        <v>46</v>
      </c>
      <c r="F4026">
        <v>6</v>
      </c>
      <c r="G4026">
        <v>2</v>
      </c>
      <c r="H4026">
        <v>4</v>
      </c>
      <c r="I4026">
        <v>1</v>
      </c>
      <c r="J4026" s="4" t="s">
        <v>54</v>
      </c>
      <c r="K4026" t="str">
        <f t="shared" si="200"/>
        <v>2+4</v>
      </c>
      <c r="L4026">
        <f>VLOOKUP(A4026,'ZONE 1 PREMIUM'!$A$4:$N$16,14,0)</f>
        <v>5</v>
      </c>
      <c r="M4026">
        <f>VLOOKUP(D4026,DROPDOWN!B:C,2,0)</f>
        <v>12</v>
      </c>
      <c r="N4026" t="str">
        <f t="shared" si="201"/>
        <v>CO143:DG154</v>
      </c>
      <c r="O4026" s="4">
        <f t="shared" ca="1" si="199"/>
        <v>178065.67</v>
      </c>
    </row>
    <row r="4027" spans="1:15">
      <c r="A4027" s="2" t="s">
        <v>15</v>
      </c>
      <c r="B4027" t="s">
        <v>33</v>
      </c>
      <c r="C4027" t="s">
        <v>34</v>
      </c>
      <c r="D4027">
        <v>50</v>
      </c>
      <c r="E4027" t="s">
        <v>46</v>
      </c>
      <c r="F4027">
        <v>6</v>
      </c>
      <c r="G4027">
        <v>2</v>
      </c>
      <c r="H4027">
        <v>4</v>
      </c>
      <c r="I4027">
        <v>1</v>
      </c>
      <c r="J4027" s="4" t="s">
        <v>54</v>
      </c>
      <c r="K4027" t="str">
        <f t="shared" si="200"/>
        <v>2+4</v>
      </c>
      <c r="L4027">
        <f>VLOOKUP(A4027,'ZONE 1 PREMIUM'!$A$4:$N$16,14,0)</f>
        <v>6</v>
      </c>
      <c r="M4027">
        <f>VLOOKUP(D4027,DROPDOWN!B:C,2,0)</f>
        <v>12</v>
      </c>
      <c r="N4027" t="str">
        <f t="shared" si="201"/>
        <v>CO143:DG154</v>
      </c>
      <c r="O4027" s="4">
        <f t="shared" ca="1" si="199"/>
        <v>212908.61000000002</v>
      </c>
    </row>
    <row r="4028" spans="1:15">
      <c r="A4028" s="2" t="s">
        <v>16</v>
      </c>
      <c r="B4028" t="s">
        <v>35</v>
      </c>
      <c r="C4028" t="s">
        <v>36</v>
      </c>
      <c r="D4028">
        <v>50</v>
      </c>
      <c r="E4028" t="s">
        <v>46</v>
      </c>
      <c r="F4028">
        <v>6</v>
      </c>
      <c r="G4028">
        <v>2</v>
      </c>
      <c r="H4028">
        <v>4</v>
      </c>
      <c r="I4028">
        <v>1</v>
      </c>
      <c r="J4028" s="4" t="s">
        <v>54</v>
      </c>
      <c r="K4028" t="str">
        <f t="shared" si="200"/>
        <v>2+4</v>
      </c>
      <c r="L4028">
        <f>VLOOKUP(A4028,'ZONE 1 PREMIUM'!$A$4:$N$16,14,0)</f>
        <v>7</v>
      </c>
      <c r="M4028">
        <f>VLOOKUP(D4028,DROPDOWN!B:C,2,0)</f>
        <v>12</v>
      </c>
      <c r="N4028" t="str">
        <f t="shared" si="201"/>
        <v>CO143:DG154</v>
      </c>
      <c r="O4028" s="4">
        <f t="shared" ca="1" si="199"/>
        <v>269413.12</v>
      </c>
    </row>
    <row r="4029" spans="1:15">
      <c r="A4029" s="2" t="s">
        <v>17</v>
      </c>
      <c r="B4029" t="s">
        <v>37</v>
      </c>
      <c r="C4029" t="s">
        <v>38</v>
      </c>
      <c r="D4029">
        <v>50</v>
      </c>
      <c r="E4029" t="s">
        <v>46</v>
      </c>
      <c r="F4029">
        <v>6</v>
      </c>
      <c r="G4029">
        <v>2</v>
      </c>
      <c r="H4029">
        <v>4</v>
      </c>
      <c r="I4029">
        <v>1</v>
      </c>
      <c r="J4029" s="4" t="s">
        <v>54</v>
      </c>
      <c r="K4029" t="str">
        <f t="shared" si="200"/>
        <v>2+4</v>
      </c>
      <c r="L4029">
        <f>VLOOKUP(A4029,'ZONE 1 PREMIUM'!$A$4:$N$16,14,0)</f>
        <v>8</v>
      </c>
      <c r="M4029">
        <f>VLOOKUP(D4029,DROPDOWN!B:C,2,0)</f>
        <v>12</v>
      </c>
      <c r="N4029" t="str">
        <f t="shared" si="201"/>
        <v>CO143:DG154</v>
      </c>
      <c r="O4029" s="4">
        <f t="shared" ca="1" si="199"/>
        <v>340254.4</v>
      </c>
    </row>
    <row r="4030" spans="1:15">
      <c r="A4030" s="2" t="s">
        <v>18</v>
      </c>
      <c r="B4030" t="s">
        <v>39</v>
      </c>
      <c r="C4030" t="s">
        <v>40</v>
      </c>
      <c r="D4030">
        <v>50</v>
      </c>
      <c r="E4030" t="s">
        <v>46</v>
      </c>
      <c r="F4030">
        <v>6</v>
      </c>
      <c r="G4030">
        <v>2</v>
      </c>
      <c r="H4030">
        <v>4</v>
      </c>
      <c r="I4030">
        <v>1</v>
      </c>
      <c r="J4030" s="4" t="s">
        <v>54</v>
      </c>
      <c r="K4030" t="str">
        <f t="shared" si="200"/>
        <v>2+4</v>
      </c>
      <c r="L4030">
        <f>VLOOKUP(A4030,'ZONE 1 PREMIUM'!$A$4:$N$16,14,0)</f>
        <v>9</v>
      </c>
      <c r="M4030">
        <f>VLOOKUP(D4030,DROPDOWN!B:C,2,0)</f>
        <v>12</v>
      </c>
      <c r="N4030" t="str">
        <f t="shared" si="201"/>
        <v>CO143:DG154</v>
      </c>
      <c r="O4030" s="4">
        <f t="shared" ca="1" si="199"/>
        <v>439716.9</v>
      </c>
    </row>
    <row r="4031" spans="1:15">
      <c r="A4031" s="2" t="s">
        <v>19</v>
      </c>
      <c r="B4031" t="s">
        <v>41</v>
      </c>
      <c r="C4031" t="s">
        <v>42</v>
      </c>
      <c r="D4031">
        <v>50</v>
      </c>
      <c r="E4031" t="s">
        <v>46</v>
      </c>
      <c r="F4031">
        <v>6</v>
      </c>
      <c r="G4031">
        <v>2</v>
      </c>
      <c r="H4031">
        <v>4</v>
      </c>
      <c r="I4031">
        <v>1</v>
      </c>
      <c r="J4031" s="4" t="s">
        <v>54</v>
      </c>
      <c r="K4031" t="str">
        <f t="shared" si="200"/>
        <v>2+4</v>
      </c>
      <c r="L4031">
        <f>VLOOKUP(A4031,'ZONE 1 PREMIUM'!$A$4:$N$16,14,0)</f>
        <v>10</v>
      </c>
      <c r="M4031">
        <f>VLOOKUP(D4031,DROPDOWN!B:C,2,0)</f>
        <v>12</v>
      </c>
      <c r="N4031" t="str">
        <f t="shared" si="201"/>
        <v>CO143:DG154</v>
      </c>
      <c r="O4031" s="4">
        <f t="shared" ca="1" si="199"/>
        <v>556573.62</v>
      </c>
    </row>
    <row r="4032" spans="1:15">
      <c r="A4032" s="2" t="s">
        <v>20</v>
      </c>
      <c r="B4032" t="s">
        <v>43</v>
      </c>
      <c r="C4032" t="s">
        <v>44</v>
      </c>
      <c r="D4032">
        <v>50</v>
      </c>
      <c r="E4032" t="s">
        <v>46</v>
      </c>
      <c r="F4032">
        <v>6</v>
      </c>
      <c r="G4032">
        <v>2</v>
      </c>
      <c r="H4032">
        <v>4</v>
      </c>
      <c r="I4032">
        <v>1</v>
      </c>
      <c r="J4032" s="4" t="s">
        <v>54</v>
      </c>
      <c r="K4032" t="str">
        <f t="shared" si="200"/>
        <v>2+4</v>
      </c>
      <c r="L4032">
        <f>VLOOKUP(A4032,'ZONE 1 PREMIUM'!$A$4:$N$16,14,0)</f>
        <v>11</v>
      </c>
      <c r="M4032">
        <f>VLOOKUP(D4032,DROPDOWN!B:C,2,0)</f>
        <v>12</v>
      </c>
      <c r="N4032" t="str">
        <f t="shared" si="201"/>
        <v>CO143:DG154</v>
      </c>
      <c r="O4032" s="4">
        <f t="shared" ca="1" si="199"/>
        <v>661745.54</v>
      </c>
    </row>
    <row r="4033" spans="1:15">
      <c r="A4033" s="2" t="s">
        <v>21</v>
      </c>
      <c r="B4033" t="s">
        <v>22</v>
      </c>
      <c r="D4033">
        <v>50</v>
      </c>
      <c r="E4033" t="s">
        <v>46</v>
      </c>
      <c r="F4033">
        <v>6</v>
      </c>
      <c r="G4033">
        <v>2</v>
      </c>
      <c r="H4033">
        <v>4</v>
      </c>
      <c r="I4033">
        <v>1</v>
      </c>
      <c r="J4033" s="4" t="s">
        <v>54</v>
      </c>
      <c r="K4033" t="str">
        <f t="shared" si="200"/>
        <v>2+4</v>
      </c>
      <c r="L4033">
        <f>VLOOKUP(A4033,'ZONE 1 PREMIUM'!$A$4:$N$16,14,0)</f>
        <v>12</v>
      </c>
      <c r="M4033">
        <f>VLOOKUP(D4033,DROPDOWN!B:C,2,0)</f>
        <v>12</v>
      </c>
      <c r="N4033" t="str">
        <f t="shared" si="201"/>
        <v>CO143:DG154</v>
      </c>
      <c r="O4033" s="4">
        <f t="shared" ca="1" si="199"/>
        <v>810310.3600000001</v>
      </c>
    </row>
    <row r="4034" spans="1:15">
      <c r="A4034" s="2" t="s">
        <v>9</v>
      </c>
      <c r="B4034" t="s">
        <v>47</v>
      </c>
      <c r="C4034" t="s">
        <v>48</v>
      </c>
      <c r="D4034">
        <v>60</v>
      </c>
      <c r="E4034" t="s">
        <v>26</v>
      </c>
      <c r="F4034">
        <v>1</v>
      </c>
      <c r="H4034">
        <v>1</v>
      </c>
      <c r="I4034">
        <v>1</v>
      </c>
      <c r="J4034" s="4" t="s">
        <v>52</v>
      </c>
      <c r="K4034" t="str">
        <f t="shared" si="200"/>
        <v>+1</v>
      </c>
      <c r="L4034">
        <f>VLOOKUP(A4034,'ZONE 1 PREMIUM'!$A$3:$M$16,13,0)</f>
        <v>2</v>
      </c>
      <c r="M4034">
        <f>VLOOKUP(D4034,DROPDOWN!B:C,2,0)</f>
        <v>13</v>
      </c>
      <c r="N4034" t="e">
        <f t="shared" ref="N4034:N4097" si="202">VLOOKUP(K4034,$AQ$3:$AR$12,2,0)</f>
        <v>#N/A</v>
      </c>
      <c r="O4034" s="13">
        <v>14255.913793575031</v>
      </c>
    </row>
    <row r="4035" spans="1:15">
      <c r="A4035" s="2" t="s">
        <v>10</v>
      </c>
      <c r="B4035" t="s">
        <v>49</v>
      </c>
      <c r="C4035" t="s">
        <v>50</v>
      </c>
      <c r="D4035">
        <v>60</v>
      </c>
      <c r="E4035" t="s">
        <v>26</v>
      </c>
      <c r="F4035">
        <v>1</v>
      </c>
      <c r="G4035">
        <v>1</v>
      </c>
      <c r="H4035">
        <v>0</v>
      </c>
      <c r="I4035">
        <v>1</v>
      </c>
      <c r="J4035" s="4" t="s">
        <v>52</v>
      </c>
      <c r="K4035" t="str">
        <f t="shared" si="200"/>
        <v>1+0</v>
      </c>
      <c r="L4035">
        <f>VLOOKUP(A4035,'ZONE 1 PREMIUM'!$A$3:$M$16,13,0)</f>
        <v>3</v>
      </c>
      <c r="M4035">
        <f>VLOOKUP(D4035,DROPDOWN!B:C,2,0)</f>
        <v>13</v>
      </c>
      <c r="N4035" t="str">
        <f t="shared" si="202"/>
        <v>X3:AP16</v>
      </c>
      <c r="O4035" s="4">
        <f t="shared" ref="O4035:O4097" ca="1" si="203">INDEX(INDIRECT(N4035),L4035,M4035)</f>
        <v>26569.599999999999</v>
      </c>
    </row>
    <row r="4036" spans="1:15">
      <c r="A4036" s="2" t="s">
        <v>11</v>
      </c>
      <c r="B4036" t="s">
        <v>45</v>
      </c>
      <c r="C4036" t="s">
        <v>25</v>
      </c>
      <c r="D4036">
        <v>60</v>
      </c>
      <c r="E4036" t="s">
        <v>26</v>
      </c>
      <c r="F4036">
        <v>1</v>
      </c>
      <c r="G4036">
        <v>1</v>
      </c>
      <c r="H4036">
        <v>0</v>
      </c>
      <c r="I4036">
        <v>1</v>
      </c>
      <c r="J4036" s="4" t="s">
        <v>52</v>
      </c>
      <c r="K4036" t="str">
        <f t="shared" ref="K4036:K4099" si="204">G4036&amp;"+"&amp;H4036</f>
        <v>1+0</v>
      </c>
      <c r="L4036">
        <f>VLOOKUP(A4036,'ZONE 1 PREMIUM'!$A$3:$M$16,13,0)</f>
        <v>4</v>
      </c>
      <c r="M4036">
        <f>VLOOKUP(D4036,DROPDOWN!B:C,2,0)</f>
        <v>13</v>
      </c>
      <c r="N4036" t="str">
        <f t="shared" si="202"/>
        <v>X3:AP16</v>
      </c>
      <c r="O4036" s="4">
        <f t="shared" ca="1" si="203"/>
        <v>88767.349999999991</v>
      </c>
    </row>
    <row r="4037" spans="1:15">
      <c r="A4037" s="2" t="s">
        <v>12</v>
      </c>
      <c r="B4037" t="s">
        <v>27</v>
      </c>
      <c r="C4037" t="s">
        <v>28</v>
      </c>
      <c r="D4037">
        <v>60</v>
      </c>
      <c r="E4037" t="s">
        <v>26</v>
      </c>
      <c r="F4037">
        <v>1</v>
      </c>
      <c r="G4037">
        <v>1</v>
      </c>
      <c r="H4037">
        <v>0</v>
      </c>
      <c r="I4037">
        <v>1</v>
      </c>
      <c r="J4037" s="4" t="s">
        <v>52</v>
      </c>
      <c r="K4037" t="str">
        <f t="shared" si="204"/>
        <v>1+0</v>
      </c>
      <c r="L4037">
        <f>VLOOKUP(A4037,'ZONE 1 PREMIUM'!$A$3:$M$16,13,0)</f>
        <v>5</v>
      </c>
      <c r="M4037">
        <f>VLOOKUP(D4037,DROPDOWN!B:C,2,0)</f>
        <v>13</v>
      </c>
      <c r="N4037" t="str">
        <f t="shared" si="202"/>
        <v>X3:AP16</v>
      </c>
      <c r="O4037" s="4">
        <f t="shared" ca="1" si="203"/>
        <v>101433.45</v>
      </c>
    </row>
    <row r="4038" spans="1:15">
      <c r="A4038" s="2" t="s">
        <v>13</v>
      </c>
      <c r="B4038" t="s">
        <v>29</v>
      </c>
      <c r="C4038" t="s">
        <v>30</v>
      </c>
      <c r="D4038">
        <v>60</v>
      </c>
      <c r="E4038" t="s">
        <v>26</v>
      </c>
      <c r="F4038">
        <v>1</v>
      </c>
      <c r="G4038">
        <v>1</v>
      </c>
      <c r="H4038">
        <v>0</v>
      </c>
      <c r="I4038">
        <v>1</v>
      </c>
      <c r="J4038" s="4" t="s">
        <v>52</v>
      </c>
      <c r="K4038" t="str">
        <f t="shared" si="204"/>
        <v>1+0</v>
      </c>
      <c r="L4038">
        <f>VLOOKUP(A4038,'ZONE 1 PREMIUM'!$A$3:$M$16,13,0)</f>
        <v>6</v>
      </c>
      <c r="M4038">
        <f>VLOOKUP(D4038,DROPDOWN!B:C,2,0)</f>
        <v>13</v>
      </c>
      <c r="N4038" t="str">
        <f t="shared" si="202"/>
        <v>X3:AP16</v>
      </c>
      <c r="O4038" s="4">
        <f t="shared" ca="1" si="203"/>
        <v>108177.04999999999</v>
      </c>
    </row>
    <row r="4039" spans="1:15">
      <c r="A4039" s="2" t="s">
        <v>14</v>
      </c>
      <c r="B4039" t="s">
        <v>31</v>
      </c>
      <c r="C4039" t="s">
        <v>32</v>
      </c>
      <c r="D4039">
        <v>60</v>
      </c>
      <c r="E4039" t="s">
        <v>26</v>
      </c>
      <c r="F4039">
        <v>1</v>
      </c>
      <c r="G4039">
        <v>1</v>
      </c>
      <c r="H4039">
        <v>0</v>
      </c>
      <c r="I4039">
        <v>1</v>
      </c>
      <c r="J4039" s="4" t="s">
        <v>52</v>
      </c>
      <c r="K4039" t="str">
        <f t="shared" si="204"/>
        <v>1+0</v>
      </c>
      <c r="L4039">
        <f>VLOOKUP(A4039,'ZONE 1 PREMIUM'!$A$3:$M$16,13,0)</f>
        <v>7</v>
      </c>
      <c r="M4039">
        <f>VLOOKUP(D4039,DROPDOWN!B:C,2,0)</f>
        <v>13</v>
      </c>
      <c r="N4039" t="str">
        <f t="shared" si="202"/>
        <v>X3:AP16</v>
      </c>
      <c r="O4039" s="4">
        <f t="shared" ca="1" si="203"/>
        <v>123391.54999999999</v>
      </c>
    </row>
    <row r="4040" spans="1:15">
      <c r="A4040" s="2" t="s">
        <v>15</v>
      </c>
      <c r="B4040" t="s">
        <v>33</v>
      </c>
      <c r="C4040" t="s">
        <v>34</v>
      </c>
      <c r="D4040">
        <v>60</v>
      </c>
      <c r="E4040" t="s">
        <v>26</v>
      </c>
      <c r="F4040">
        <v>1</v>
      </c>
      <c r="G4040">
        <v>1</v>
      </c>
      <c r="H4040">
        <v>0</v>
      </c>
      <c r="I4040">
        <v>1</v>
      </c>
      <c r="J4040" s="4" t="s">
        <v>52</v>
      </c>
      <c r="K4040" t="str">
        <f t="shared" si="204"/>
        <v>1+0</v>
      </c>
      <c r="L4040">
        <f>VLOOKUP(A4040,'ZONE 1 PREMIUM'!$A$3:$M$16,13,0)</f>
        <v>8</v>
      </c>
      <c r="M4040">
        <f>VLOOKUP(D4040,DROPDOWN!B:C,2,0)</f>
        <v>13</v>
      </c>
      <c r="N4040" t="str">
        <f t="shared" si="202"/>
        <v>X3:AP16</v>
      </c>
      <c r="O4040" s="4">
        <f t="shared" ca="1" si="203"/>
        <v>150173.9</v>
      </c>
    </row>
    <row r="4041" spans="1:15">
      <c r="A4041" s="2" t="s">
        <v>16</v>
      </c>
      <c r="B4041" t="s">
        <v>35</v>
      </c>
      <c r="C4041" t="s">
        <v>36</v>
      </c>
      <c r="D4041">
        <v>60</v>
      </c>
      <c r="E4041" t="s">
        <v>26</v>
      </c>
      <c r="F4041">
        <v>1</v>
      </c>
      <c r="G4041">
        <v>1</v>
      </c>
      <c r="H4041">
        <v>0</v>
      </c>
      <c r="I4041">
        <v>1</v>
      </c>
      <c r="J4041" s="4" t="s">
        <v>52</v>
      </c>
      <c r="K4041" t="str">
        <f t="shared" si="204"/>
        <v>1+0</v>
      </c>
      <c r="L4041">
        <f>VLOOKUP(A4041,'ZONE 1 PREMIUM'!$A$3:$M$16,13,0)</f>
        <v>9</v>
      </c>
      <c r="M4041">
        <f>VLOOKUP(D4041,DROPDOWN!B:C,2,0)</f>
        <v>13</v>
      </c>
      <c r="N4041" t="str">
        <f t="shared" si="202"/>
        <v>X3:AP16</v>
      </c>
      <c r="O4041" s="4">
        <f t="shared" ca="1" si="203"/>
        <v>209187.3</v>
      </c>
    </row>
    <row r="4042" spans="1:15">
      <c r="A4042" s="2" t="s">
        <v>17</v>
      </c>
      <c r="B4042" t="s">
        <v>37</v>
      </c>
      <c r="C4042" t="s">
        <v>38</v>
      </c>
      <c r="D4042">
        <v>60</v>
      </c>
      <c r="E4042" t="s">
        <v>26</v>
      </c>
      <c r="F4042">
        <v>1</v>
      </c>
      <c r="G4042">
        <v>1</v>
      </c>
      <c r="H4042">
        <v>0</v>
      </c>
      <c r="I4042">
        <v>1</v>
      </c>
      <c r="J4042" s="4" t="s">
        <v>52</v>
      </c>
      <c r="K4042" t="str">
        <f t="shared" si="204"/>
        <v>1+0</v>
      </c>
      <c r="L4042">
        <f>VLOOKUP(A4042,'ZONE 1 PREMIUM'!$A$3:$M$16,13,0)</f>
        <v>10</v>
      </c>
      <c r="M4042">
        <f>VLOOKUP(D4042,DROPDOWN!B:C,2,0)</f>
        <v>13</v>
      </c>
      <c r="N4042" t="str">
        <f t="shared" si="202"/>
        <v>X3:AP16</v>
      </c>
      <c r="O4042" s="4">
        <f t="shared" ca="1" si="203"/>
        <v>280053.75</v>
      </c>
    </row>
    <row r="4043" spans="1:15">
      <c r="A4043" s="2" t="s">
        <v>18</v>
      </c>
      <c r="B4043" t="s">
        <v>39</v>
      </c>
      <c r="C4043" t="s">
        <v>40</v>
      </c>
      <c r="D4043">
        <v>60</v>
      </c>
      <c r="E4043" t="s">
        <v>26</v>
      </c>
      <c r="F4043">
        <v>1</v>
      </c>
      <c r="G4043">
        <v>1</v>
      </c>
      <c r="H4043">
        <v>0</v>
      </c>
      <c r="I4043">
        <v>1</v>
      </c>
      <c r="J4043" s="4" t="s">
        <v>52</v>
      </c>
      <c r="K4043" t="str">
        <f t="shared" si="204"/>
        <v>1+0</v>
      </c>
      <c r="L4043">
        <f>VLOOKUP(A4043,'ZONE 1 PREMIUM'!$A$3:$M$16,13,0)</f>
        <v>11</v>
      </c>
      <c r="M4043">
        <f>VLOOKUP(D4043,DROPDOWN!B:C,2,0)</f>
        <v>13</v>
      </c>
      <c r="N4043" t="str">
        <f t="shared" si="202"/>
        <v>X3:AP16</v>
      </c>
      <c r="O4043" s="4">
        <f t="shared" ca="1" si="203"/>
        <v>385914.69999999995</v>
      </c>
    </row>
    <row r="4044" spans="1:15">
      <c r="A4044" s="2" t="s">
        <v>19</v>
      </c>
      <c r="B4044" t="s">
        <v>41</v>
      </c>
      <c r="C4044" t="s">
        <v>42</v>
      </c>
      <c r="D4044">
        <v>60</v>
      </c>
      <c r="E4044" t="s">
        <v>26</v>
      </c>
      <c r="F4044">
        <v>1</v>
      </c>
      <c r="G4044">
        <v>1</v>
      </c>
      <c r="H4044">
        <v>0</v>
      </c>
      <c r="I4044">
        <v>1</v>
      </c>
      <c r="J4044" s="4" t="s">
        <v>52</v>
      </c>
      <c r="K4044" t="str">
        <f t="shared" si="204"/>
        <v>1+0</v>
      </c>
      <c r="L4044">
        <f>VLOOKUP(A4044,'ZONE 1 PREMIUM'!$A$3:$M$16,13,0)</f>
        <v>12</v>
      </c>
      <c r="M4044">
        <f>VLOOKUP(D4044,DROPDOWN!B:C,2,0)</f>
        <v>13</v>
      </c>
      <c r="N4044" t="str">
        <f t="shared" si="202"/>
        <v>X3:AP16</v>
      </c>
      <c r="O4044" s="4">
        <f t="shared" ca="1" si="203"/>
        <v>492314.99999999994</v>
      </c>
    </row>
    <row r="4045" spans="1:15">
      <c r="A4045" s="2" t="s">
        <v>20</v>
      </c>
      <c r="B4045" t="s">
        <v>43</v>
      </c>
      <c r="C4045" t="s">
        <v>44</v>
      </c>
      <c r="D4045">
        <v>60</v>
      </c>
      <c r="E4045" t="s">
        <v>26</v>
      </c>
      <c r="F4045">
        <v>1</v>
      </c>
      <c r="G4045">
        <v>1</v>
      </c>
      <c r="H4045">
        <v>0</v>
      </c>
      <c r="I4045">
        <v>1</v>
      </c>
      <c r="J4045" s="4" t="s">
        <v>52</v>
      </c>
      <c r="K4045" t="str">
        <f t="shared" si="204"/>
        <v>1+0</v>
      </c>
      <c r="L4045">
        <f>VLOOKUP(A4045,'ZONE 1 PREMIUM'!$A$3:$M$16,13,0)</f>
        <v>13</v>
      </c>
      <c r="M4045">
        <f>VLOOKUP(D4045,DROPDOWN!B:C,2,0)</f>
        <v>13</v>
      </c>
      <c r="N4045" t="str">
        <f t="shared" si="202"/>
        <v>X3:AP16</v>
      </c>
      <c r="O4045" s="4">
        <f t="shared" ca="1" si="203"/>
        <v>579790.89999999991</v>
      </c>
    </row>
    <row r="4046" spans="1:15">
      <c r="A4046" s="2" t="s">
        <v>21</v>
      </c>
      <c r="B4046" t="s">
        <v>22</v>
      </c>
      <c r="D4046">
        <v>60</v>
      </c>
      <c r="E4046" t="s">
        <v>26</v>
      </c>
      <c r="F4046">
        <v>1</v>
      </c>
      <c r="G4046">
        <v>1</v>
      </c>
      <c r="H4046">
        <v>0</v>
      </c>
      <c r="I4046">
        <v>1</v>
      </c>
      <c r="J4046" s="4" t="s">
        <v>52</v>
      </c>
      <c r="K4046" t="str">
        <f t="shared" si="204"/>
        <v>1+0</v>
      </c>
      <c r="L4046">
        <f>VLOOKUP(A4046,'ZONE 1 PREMIUM'!$A$3:$M$16,13,0)</f>
        <v>14</v>
      </c>
      <c r="M4046">
        <f>VLOOKUP(D4046,DROPDOWN!B:C,2,0)</f>
        <v>13</v>
      </c>
      <c r="N4046" t="str">
        <f t="shared" si="202"/>
        <v>X3:AP16</v>
      </c>
      <c r="O4046" s="4">
        <f t="shared" ca="1" si="203"/>
        <v>761879.6</v>
      </c>
    </row>
    <row r="4047" spans="1:15">
      <c r="A4047" s="2" t="s">
        <v>11</v>
      </c>
      <c r="B4047" t="s">
        <v>45</v>
      </c>
      <c r="C4047" t="s">
        <v>25</v>
      </c>
      <c r="D4047">
        <v>60</v>
      </c>
      <c r="E4047" t="s">
        <v>46</v>
      </c>
      <c r="F4047">
        <v>2</v>
      </c>
      <c r="G4047">
        <v>1</v>
      </c>
      <c r="H4047">
        <v>1</v>
      </c>
      <c r="I4047">
        <v>1</v>
      </c>
      <c r="J4047" s="4" t="s">
        <v>52</v>
      </c>
      <c r="K4047" t="str">
        <f t="shared" si="204"/>
        <v>1+1</v>
      </c>
      <c r="L4047">
        <f>VLOOKUP(A4047,'ZONE 1 PREMIUM'!$A$4:$N$16,14,0)</f>
        <v>2</v>
      </c>
      <c r="M4047">
        <f>VLOOKUP(D4047,DROPDOWN!B:C,2,0)</f>
        <v>13</v>
      </c>
      <c r="N4047" t="str">
        <f t="shared" si="202"/>
        <v>X20:AP31</v>
      </c>
      <c r="O4047" s="4">
        <f t="shared" ca="1" si="203"/>
        <v>92630.2</v>
      </c>
    </row>
    <row r="4048" spans="1:15">
      <c r="A4048" s="2" t="s">
        <v>12</v>
      </c>
      <c r="B4048" t="s">
        <v>27</v>
      </c>
      <c r="C4048" t="s">
        <v>28</v>
      </c>
      <c r="D4048">
        <v>60</v>
      </c>
      <c r="E4048" t="s">
        <v>46</v>
      </c>
      <c r="F4048">
        <v>2</v>
      </c>
      <c r="G4048">
        <v>1</v>
      </c>
      <c r="H4048">
        <v>1</v>
      </c>
      <c r="I4048">
        <v>1</v>
      </c>
      <c r="J4048" s="4" t="s">
        <v>52</v>
      </c>
      <c r="K4048" t="str">
        <f t="shared" si="204"/>
        <v>1+1</v>
      </c>
      <c r="L4048">
        <f>VLOOKUP(A4048,'ZONE 1 PREMIUM'!$A$4:$N$16,14,0)</f>
        <v>3</v>
      </c>
      <c r="M4048">
        <f>VLOOKUP(D4048,DROPDOWN!B:C,2,0)</f>
        <v>13</v>
      </c>
      <c r="N4048" t="str">
        <f t="shared" si="202"/>
        <v>X20:AP31</v>
      </c>
      <c r="O4048" s="4">
        <f t="shared" ca="1" si="203"/>
        <v>102738.7</v>
      </c>
    </row>
    <row r="4049" spans="1:15">
      <c r="A4049" s="2" t="s">
        <v>13</v>
      </c>
      <c r="B4049" t="s">
        <v>29</v>
      </c>
      <c r="C4049" t="s">
        <v>30</v>
      </c>
      <c r="D4049">
        <v>60</v>
      </c>
      <c r="E4049" t="s">
        <v>46</v>
      </c>
      <c r="F4049">
        <v>2</v>
      </c>
      <c r="G4049">
        <v>1</v>
      </c>
      <c r="H4049">
        <v>1</v>
      </c>
      <c r="I4049">
        <v>1</v>
      </c>
      <c r="J4049" s="4" t="s">
        <v>52</v>
      </c>
      <c r="K4049" t="str">
        <f t="shared" si="204"/>
        <v>1+1</v>
      </c>
      <c r="L4049">
        <f>VLOOKUP(A4049,'ZONE 1 PREMIUM'!$A$4:$N$16,14,0)</f>
        <v>4</v>
      </c>
      <c r="M4049">
        <f>VLOOKUP(D4049,DROPDOWN!B:C,2,0)</f>
        <v>13</v>
      </c>
      <c r="N4049" t="str">
        <f t="shared" si="202"/>
        <v>X20:AP31</v>
      </c>
      <c r="O4049" s="4">
        <f t="shared" ca="1" si="203"/>
        <v>111702.95</v>
      </c>
    </row>
    <row r="4050" spans="1:15">
      <c r="A4050" s="2" t="s">
        <v>14</v>
      </c>
      <c r="B4050" t="s">
        <v>31</v>
      </c>
      <c r="C4050" t="s">
        <v>32</v>
      </c>
      <c r="D4050">
        <v>60</v>
      </c>
      <c r="E4050" t="s">
        <v>46</v>
      </c>
      <c r="F4050">
        <v>2</v>
      </c>
      <c r="G4050">
        <v>1</v>
      </c>
      <c r="H4050">
        <v>1</v>
      </c>
      <c r="I4050">
        <v>1</v>
      </c>
      <c r="J4050" s="4" t="s">
        <v>52</v>
      </c>
      <c r="K4050" t="str">
        <f t="shared" si="204"/>
        <v>1+1</v>
      </c>
      <c r="L4050">
        <f>VLOOKUP(A4050,'ZONE 1 PREMIUM'!$A$4:$N$16,14,0)</f>
        <v>5</v>
      </c>
      <c r="M4050">
        <f>VLOOKUP(D4050,DROPDOWN!B:C,2,0)</f>
        <v>13</v>
      </c>
      <c r="N4050" t="str">
        <f t="shared" si="202"/>
        <v>X20:AP31</v>
      </c>
      <c r="O4050" s="4">
        <f t="shared" ca="1" si="203"/>
        <v>129909.74999999999</v>
      </c>
    </row>
    <row r="4051" spans="1:15">
      <c r="A4051" s="2" t="s">
        <v>15</v>
      </c>
      <c r="B4051" t="s">
        <v>33</v>
      </c>
      <c r="C4051" t="s">
        <v>34</v>
      </c>
      <c r="D4051">
        <v>60</v>
      </c>
      <c r="E4051" t="s">
        <v>46</v>
      </c>
      <c r="F4051">
        <v>2</v>
      </c>
      <c r="G4051">
        <v>1</v>
      </c>
      <c r="H4051">
        <v>1</v>
      </c>
      <c r="I4051">
        <v>1</v>
      </c>
      <c r="J4051" s="4" t="s">
        <v>52</v>
      </c>
      <c r="K4051" t="str">
        <f t="shared" si="204"/>
        <v>1+1</v>
      </c>
      <c r="L4051">
        <f>VLOOKUP(A4051,'ZONE 1 PREMIUM'!$A$4:$N$16,14,0)</f>
        <v>6</v>
      </c>
      <c r="M4051">
        <f>VLOOKUP(D4051,DROPDOWN!B:C,2,0)</f>
        <v>13</v>
      </c>
      <c r="N4051" t="str">
        <f t="shared" si="202"/>
        <v>X20:AP31</v>
      </c>
      <c r="O4051" s="4">
        <f t="shared" ca="1" si="203"/>
        <v>158191.69999999998</v>
      </c>
    </row>
    <row r="4052" spans="1:15">
      <c r="A4052" s="2" t="s">
        <v>16</v>
      </c>
      <c r="B4052" t="s">
        <v>35</v>
      </c>
      <c r="C4052" t="s">
        <v>36</v>
      </c>
      <c r="D4052">
        <v>60</v>
      </c>
      <c r="E4052" t="s">
        <v>46</v>
      </c>
      <c r="F4052">
        <v>2</v>
      </c>
      <c r="G4052">
        <v>1</v>
      </c>
      <c r="H4052">
        <v>1</v>
      </c>
      <c r="I4052">
        <v>1</v>
      </c>
      <c r="J4052" s="4" t="s">
        <v>52</v>
      </c>
      <c r="K4052" t="str">
        <f t="shared" si="204"/>
        <v>1+1</v>
      </c>
      <c r="L4052">
        <f>VLOOKUP(A4052,'ZONE 1 PREMIUM'!$A$4:$N$16,14,0)</f>
        <v>7</v>
      </c>
      <c r="M4052">
        <f>VLOOKUP(D4052,DROPDOWN!B:C,2,0)</f>
        <v>13</v>
      </c>
      <c r="N4052" t="str">
        <f t="shared" si="202"/>
        <v>X20:AP31</v>
      </c>
      <c r="O4052" s="4">
        <f t="shared" ca="1" si="203"/>
        <v>214895.9</v>
      </c>
    </row>
    <row r="4053" spans="1:15">
      <c r="A4053" s="2" t="s">
        <v>17</v>
      </c>
      <c r="B4053" t="s">
        <v>37</v>
      </c>
      <c r="C4053" t="s">
        <v>38</v>
      </c>
      <c r="D4053">
        <v>60</v>
      </c>
      <c r="E4053" t="s">
        <v>46</v>
      </c>
      <c r="F4053">
        <v>2</v>
      </c>
      <c r="G4053">
        <v>1</v>
      </c>
      <c r="H4053">
        <v>1</v>
      </c>
      <c r="I4053">
        <v>1</v>
      </c>
      <c r="J4053" s="4" t="s">
        <v>52</v>
      </c>
      <c r="K4053" t="str">
        <f t="shared" si="204"/>
        <v>1+1</v>
      </c>
      <c r="L4053">
        <f>VLOOKUP(A4053,'ZONE 1 PREMIUM'!$A$4:$N$16,14,0)</f>
        <v>8</v>
      </c>
      <c r="M4053">
        <f>VLOOKUP(D4053,DROPDOWN!B:C,2,0)</f>
        <v>13</v>
      </c>
      <c r="N4053" t="str">
        <f t="shared" si="202"/>
        <v>X20:AP31</v>
      </c>
      <c r="O4053" s="4">
        <f t="shared" ca="1" si="203"/>
        <v>285693.34999999998</v>
      </c>
    </row>
    <row r="4054" spans="1:15">
      <c r="A4054" s="2" t="s">
        <v>18</v>
      </c>
      <c r="B4054" t="s">
        <v>39</v>
      </c>
      <c r="C4054" t="s">
        <v>40</v>
      </c>
      <c r="D4054">
        <v>60</v>
      </c>
      <c r="E4054" t="s">
        <v>46</v>
      </c>
      <c r="F4054">
        <v>2</v>
      </c>
      <c r="G4054">
        <v>1</v>
      </c>
      <c r="H4054">
        <v>1</v>
      </c>
      <c r="I4054">
        <v>1</v>
      </c>
      <c r="J4054" s="4" t="s">
        <v>52</v>
      </c>
      <c r="K4054" t="str">
        <f t="shared" si="204"/>
        <v>1+1</v>
      </c>
      <c r="L4054">
        <f>VLOOKUP(A4054,'ZONE 1 PREMIUM'!$A$4:$N$16,14,0)</f>
        <v>9</v>
      </c>
      <c r="M4054">
        <f>VLOOKUP(D4054,DROPDOWN!B:C,2,0)</f>
        <v>13</v>
      </c>
      <c r="N4054" t="str">
        <f t="shared" si="202"/>
        <v>X20:AP31</v>
      </c>
      <c r="O4054" s="4">
        <f t="shared" ca="1" si="203"/>
        <v>395849.55</v>
      </c>
    </row>
    <row r="4055" spans="1:15">
      <c r="A4055" s="2" t="s">
        <v>19</v>
      </c>
      <c r="B4055" t="s">
        <v>41</v>
      </c>
      <c r="C4055" t="s">
        <v>42</v>
      </c>
      <c r="D4055">
        <v>60</v>
      </c>
      <c r="E4055" t="s">
        <v>46</v>
      </c>
      <c r="F4055">
        <v>2</v>
      </c>
      <c r="G4055">
        <v>1</v>
      </c>
      <c r="H4055">
        <v>1</v>
      </c>
      <c r="I4055">
        <v>1</v>
      </c>
      <c r="J4055" s="4" t="s">
        <v>52</v>
      </c>
      <c r="K4055" t="str">
        <f t="shared" si="204"/>
        <v>1+1</v>
      </c>
      <c r="L4055">
        <f>VLOOKUP(A4055,'ZONE 1 PREMIUM'!$A$4:$N$16,14,0)</f>
        <v>10</v>
      </c>
      <c r="M4055">
        <f>VLOOKUP(D4055,DROPDOWN!B:C,2,0)</f>
        <v>13</v>
      </c>
      <c r="N4055" t="str">
        <f t="shared" si="202"/>
        <v>X20:AP31</v>
      </c>
      <c r="O4055" s="4">
        <f t="shared" ca="1" si="203"/>
        <v>502570.69999999995</v>
      </c>
    </row>
    <row r="4056" spans="1:15">
      <c r="A4056" s="2" t="s">
        <v>20</v>
      </c>
      <c r="B4056" t="s">
        <v>43</v>
      </c>
      <c r="C4056" t="s">
        <v>44</v>
      </c>
      <c r="D4056">
        <v>60</v>
      </c>
      <c r="E4056" t="s">
        <v>46</v>
      </c>
      <c r="F4056">
        <v>2</v>
      </c>
      <c r="G4056">
        <v>1</v>
      </c>
      <c r="H4056">
        <v>1</v>
      </c>
      <c r="I4056">
        <v>1</v>
      </c>
      <c r="J4056" s="4" t="s">
        <v>52</v>
      </c>
      <c r="K4056" t="str">
        <f t="shared" si="204"/>
        <v>1+1</v>
      </c>
      <c r="L4056">
        <f>VLOOKUP(A4056,'ZONE 1 PREMIUM'!$A$4:$N$16,14,0)</f>
        <v>11</v>
      </c>
      <c r="M4056">
        <f>VLOOKUP(D4056,DROPDOWN!B:C,2,0)</f>
        <v>13</v>
      </c>
      <c r="N4056" t="str">
        <f t="shared" si="202"/>
        <v>X20:AP31</v>
      </c>
      <c r="O4056" s="4">
        <f t="shared" ca="1" si="203"/>
        <v>583213.29999999993</v>
      </c>
    </row>
    <row r="4057" spans="1:15">
      <c r="A4057" s="2" t="s">
        <v>21</v>
      </c>
      <c r="B4057" t="s">
        <v>22</v>
      </c>
      <c r="D4057">
        <v>60</v>
      </c>
      <c r="E4057" t="s">
        <v>46</v>
      </c>
      <c r="F4057">
        <v>2</v>
      </c>
      <c r="G4057">
        <v>1</v>
      </c>
      <c r="H4057">
        <v>1</v>
      </c>
      <c r="I4057">
        <v>1</v>
      </c>
      <c r="J4057" s="4" t="s">
        <v>52</v>
      </c>
      <c r="K4057" t="str">
        <f t="shared" si="204"/>
        <v>1+1</v>
      </c>
      <c r="L4057">
        <f>VLOOKUP(A4057,'ZONE 1 PREMIUM'!$A$4:$N$16,14,0)</f>
        <v>12</v>
      </c>
      <c r="M4057">
        <f>VLOOKUP(D4057,DROPDOWN!B:C,2,0)</f>
        <v>13</v>
      </c>
      <c r="N4057" t="str">
        <f t="shared" si="202"/>
        <v>X20:AP31</v>
      </c>
      <c r="O4057" s="4">
        <f t="shared" ca="1" si="203"/>
        <v>777609.29999999993</v>
      </c>
    </row>
    <row r="4058" spans="1:15">
      <c r="A4058" s="2" t="s">
        <v>11</v>
      </c>
      <c r="B4058" t="s">
        <v>45</v>
      </c>
      <c r="C4058" t="s">
        <v>25</v>
      </c>
      <c r="D4058">
        <v>60</v>
      </c>
      <c r="E4058" t="s">
        <v>46</v>
      </c>
      <c r="F4058">
        <v>3</v>
      </c>
      <c r="G4058">
        <v>1</v>
      </c>
      <c r="H4058">
        <v>2</v>
      </c>
      <c r="I4058">
        <v>1</v>
      </c>
      <c r="J4058" s="4" t="s">
        <v>52</v>
      </c>
      <c r="K4058" t="str">
        <f t="shared" si="204"/>
        <v>1+2</v>
      </c>
      <c r="L4058">
        <f>VLOOKUP(A4058,'ZONE 1 PREMIUM'!$A$4:$N$16,14,0)</f>
        <v>2</v>
      </c>
      <c r="M4058">
        <f>VLOOKUP(D4058,DROPDOWN!B:C,2,0)</f>
        <v>13</v>
      </c>
      <c r="N4058" t="str">
        <f t="shared" si="202"/>
        <v>X35:AP46</v>
      </c>
      <c r="O4058" s="4">
        <f t="shared" ca="1" si="203"/>
        <v>115729.09999999999</v>
      </c>
    </row>
    <row r="4059" spans="1:15">
      <c r="A4059" s="2" t="s">
        <v>12</v>
      </c>
      <c r="B4059" t="s">
        <v>27</v>
      </c>
      <c r="C4059" t="s">
        <v>28</v>
      </c>
      <c r="D4059">
        <v>60</v>
      </c>
      <c r="E4059" t="s">
        <v>46</v>
      </c>
      <c r="F4059">
        <v>3</v>
      </c>
      <c r="G4059">
        <v>1</v>
      </c>
      <c r="H4059">
        <v>2</v>
      </c>
      <c r="I4059">
        <v>1</v>
      </c>
      <c r="J4059" s="4" t="s">
        <v>52</v>
      </c>
      <c r="K4059" t="str">
        <f t="shared" si="204"/>
        <v>1+2</v>
      </c>
      <c r="L4059">
        <f>VLOOKUP(A4059,'ZONE 1 PREMIUM'!$A$4:$N$16,14,0)</f>
        <v>3</v>
      </c>
      <c r="M4059">
        <f>VLOOKUP(D4059,DROPDOWN!B:C,2,0)</f>
        <v>13</v>
      </c>
      <c r="N4059" t="str">
        <f t="shared" si="202"/>
        <v>X35:AP46</v>
      </c>
      <c r="O4059" s="4">
        <f t="shared" ca="1" si="203"/>
        <v>124993.49999999999</v>
      </c>
    </row>
    <row r="4060" spans="1:15">
      <c r="A4060" s="2" t="s">
        <v>13</v>
      </c>
      <c r="B4060" t="s">
        <v>29</v>
      </c>
      <c r="C4060" t="s">
        <v>30</v>
      </c>
      <c r="D4060">
        <v>60</v>
      </c>
      <c r="E4060" t="s">
        <v>46</v>
      </c>
      <c r="F4060">
        <v>3</v>
      </c>
      <c r="G4060">
        <v>1</v>
      </c>
      <c r="H4060">
        <v>2</v>
      </c>
      <c r="I4060">
        <v>1</v>
      </c>
      <c r="J4060" s="4" t="s">
        <v>52</v>
      </c>
      <c r="K4060" t="str">
        <f t="shared" si="204"/>
        <v>1+2</v>
      </c>
      <c r="L4060">
        <f>VLOOKUP(A4060,'ZONE 1 PREMIUM'!$A$4:$N$16,14,0)</f>
        <v>4</v>
      </c>
      <c r="M4060">
        <f>VLOOKUP(D4060,DROPDOWN!B:C,2,0)</f>
        <v>13</v>
      </c>
      <c r="N4060" t="str">
        <f t="shared" si="202"/>
        <v>X35:AP46</v>
      </c>
      <c r="O4060" s="4">
        <f t="shared" ca="1" si="203"/>
        <v>137497.44999999998</v>
      </c>
    </row>
    <row r="4061" spans="1:15">
      <c r="A4061" s="2" t="s">
        <v>14</v>
      </c>
      <c r="B4061" t="s">
        <v>31</v>
      </c>
      <c r="C4061" t="s">
        <v>32</v>
      </c>
      <c r="D4061">
        <v>60</v>
      </c>
      <c r="E4061" t="s">
        <v>46</v>
      </c>
      <c r="F4061">
        <v>3</v>
      </c>
      <c r="G4061">
        <v>1</v>
      </c>
      <c r="H4061">
        <v>2</v>
      </c>
      <c r="I4061">
        <v>1</v>
      </c>
      <c r="J4061" s="4" t="s">
        <v>52</v>
      </c>
      <c r="K4061" t="str">
        <f t="shared" si="204"/>
        <v>1+2</v>
      </c>
      <c r="L4061">
        <f>VLOOKUP(A4061,'ZONE 1 PREMIUM'!$A$4:$N$16,14,0)</f>
        <v>5</v>
      </c>
      <c r="M4061">
        <f>VLOOKUP(D4061,DROPDOWN!B:C,2,0)</f>
        <v>13</v>
      </c>
      <c r="N4061" t="str">
        <f t="shared" si="202"/>
        <v>X35:AP46</v>
      </c>
      <c r="O4061" s="4">
        <f t="shared" ca="1" si="203"/>
        <v>153109.84999999998</v>
      </c>
    </row>
    <row r="4062" spans="1:15">
      <c r="A4062" s="2" t="s">
        <v>15</v>
      </c>
      <c r="B4062" t="s">
        <v>33</v>
      </c>
      <c r="C4062" t="s">
        <v>34</v>
      </c>
      <c r="D4062">
        <v>60</v>
      </c>
      <c r="E4062" t="s">
        <v>46</v>
      </c>
      <c r="F4062">
        <v>3</v>
      </c>
      <c r="G4062">
        <v>1</v>
      </c>
      <c r="H4062">
        <v>2</v>
      </c>
      <c r="I4062">
        <v>1</v>
      </c>
      <c r="J4062" s="4" t="s">
        <v>52</v>
      </c>
      <c r="K4062" t="str">
        <f t="shared" si="204"/>
        <v>1+2</v>
      </c>
      <c r="L4062">
        <f>VLOOKUP(A4062,'ZONE 1 PREMIUM'!$A$4:$N$16,14,0)</f>
        <v>6</v>
      </c>
      <c r="M4062">
        <f>VLOOKUP(D4062,DROPDOWN!B:C,2,0)</f>
        <v>13</v>
      </c>
      <c r="N4062" t="str">
        <f t="shared" si="202"/>
        <v>X35:AP46</v>
      </c>
      <c r="O4062" s="4">
        <f t="shared" ca="1" si="203"/>
        <v>189715.49999999997</v>
      </c>
    </row>
    <row r="4063" spans="1:15">
      <c r="A4063" s="2" t="s">
        <v>16</v>
      </c>
      <c r="B4063" t="s">
        <v>35</v>
      </c>
      <c r="C4063" t="s">
        <v>36</v>
      </c>
      <c r="D4063">
        <v>60</v>
      </c>
      <c r="E4063" t="s">
        <v>46</v>
      </c>
      <c r="F4063">
        <v>3</v>
      </c>
      <c r="G4063">
        <v>1</v>
      </c>
      <c r="H4063">
        <v>2</v>
      </c>
      <c r="I4063">
        <v>1</v>
      </c>
      <c r="J4063" s="4" t="s">
        <v>52</v>
      </c>
      <c r="K4063" t="str">
        <f t="shared" si="204"/>
        <v>1+2</v>
      </c>
      <c r="L4063">
        <f>VLOOKUP(A4063,'ZONE 1 PREMIUM'!$A$4:$N$16,14,0)</f>
        <v>7</v>
      </c>
      <c r="M4063">
        <f>VLOOKUP(D4063,DROPDOWN!B:C,2,0)</f>
        <v>13</v>
      </c>
      <c r="N4063" t="str">
        <f t="shared" si="202"/>
        <v>X35:AP46</v>
      </c>
      <c r="O4063" s="4">
        <f t="shared" ca="1" si="203"/>
        <v>253445.05</v>
      </c>
    </row>
    <row r="4064" spans="1:15">
      <c r="A4064" s="2" t="s">
        <v>17</v>
      </c>
      <c r="B4064" t="s">
        <v>37</v>
      </c>
      <c r="C4064" t="s">
        <v>38</v>
      </c>
      <c r="D4064">
        <v>60</v>
      </c>
      <c r="E4064" t="s">
        <v>46</v>
      </c>
      <c r="F4064">
        <v>3</v>
      </c>
      <c r="G4064">
        <v>1</v>
      </c>
      <c r="H4064">
        <v>2</v>
      </c>
      <c r="I4064">
        <v>1</v>
      </c>
      <c r="J4064" s="4" t="s">
        <v>52</v>
      </c>
      <c r="K4064" t="str">
        <f t="shared" si="204"/>
        <v>1+2</v>
      </c>
      <c r="L4064">
        <f>VLOOKUP(A4064,'ZONE 1 PREMIUM'!$A$4:$N$16,14,0)</f>
        <v>8</v>
      </c>
      <c r="M4064">
        <f>VLOOKUP(D4064,DROPDOWN!B:C,2,0)</f>
        <v>13</v>
      </c>
      <c r="N4064" t="str">
        <f t="shared" si="202"/>
        <v>X35:AP46</v>
      </c>
      <c r="O4064" s="4">
        <f t="shared" ca="1" si="203"/>
        <v>327053.09999999998</v>
      </c>
    </row>
    <row r="4065" spans="1:15">
      <c r="A4065" s="2" t="s">
        <v>18</v>
      </c>
      <c r="B4065" t="s">
        <v>39</v>
      </c>
      <c r="C4065" t="s">
        <v>40</v>
      </c>
      <c r="D4065">
        <v>60</v>
      </c>
      <c r="E4065" t="s">
        <v>46</v>
      </c>
      <c r="F4065">
        <v>3</v>
      </c>
      <c r="G4065">
        <v>1</v>
      </c>
      <c r="H4065">
        <v>2</v>
      </c>
      <c r="I4065">
        <v>1</v>
      </c>
      <c r="J4065" s="4" t="s">
        <v>52</v>
      </c>
      <c r="K4065" t="str">
        <f t="shared" si="204"/>
        <v>1+2</v>
      </c>
      <c r="L4065">
        <f>VLOOKUP(A4065,'ZONE 1 PREMIUM'!$A$4:$N$16,14,0)</f>
        <v>9</v>
      </c>
      <c r="M4065">
        <f>VLOOKUP(D4065,DROPDOWN!B:C,2,0)</f>
        <v>13</v>
      </c>
      <c r="N4065" t="str">
        <f t="shared" si="202"/>
        <v>X35:AP46</v>
      </c>
      <c r="O4065" s="4">
        <f t="shared" ca="1" si="203"/>
        <v>428257.69999999995</v>
      </c>
    </row>
    <row r="4066" spans="1:15">
      <c r="A4066" s="2" t="s">
        <v>19</v>
      </c>
      <c r="B4066" t="s">
        <v>41</v>
      </c>
      <c r="C4066" t="s">
        <v>42</v>
      </c>
      <c r="D4066">
        <v>60</v>
      </c>
      <c r="E4066" t="s">
        <v>46</v>
      </c>
      <c r="F4066">
        <v>3</v>
      </c>
      <c r="G4066">
        <v>1</v>
      </c>
      <c r="H4066">
        <v>2</v>
      </c>
      <c r="I4066">
        <v>1</v>
      </c>
      <c r="J4066" s="4" t="s">
        <v>52</v>
      </c>
      <c r="K4066" t="str">
        <f t="shared" si="204"/>
        <v>1+2</v>
      </c>
      <c r="L4066">
        <f>VLOOKUP(A4066,'ZONE 1 PREMIUM'!$A$4:$N$16,14,0)</f>
        <v>10</v>
      </c>
      <c r="M4066">
        <f>VLOOKUP(D4066,DROPDOWN!B:C,2,0)</f>
        <v>13</v>
      </c>
      <c r="N4066" t="str">
        <f t="shared" si="202"/>
        <v>X35:AP46</v>
      </c>
      <c r="O4066" s="4">
        <f t="shared" ca="1" si="203"/>
        <v>543283</v>
      </c>
    </row>
    <row r="4067" spans="1:15">
      <c r="A4067" s="2" t="s">
        <v>20</v>
      </c>
      <c r="B4067" t="s">
        <v>43</v>
      </c>
      <c r="C4067" t="s">
        <v>44</v>
      </c>
      <c r="D4067">
        <v>60</v>
      </c>
      <c r="E4067" t="s">
        <v>46</v>
      </c>
      <c r="F4067">
        <v>3</v>
      </c>
      <c r="G4067">
        <v>1</v>
      </c>
      <c r="H4067">
        <v>2</v>
      </c>
      <c r="I4067">
        <v>1</v>
      </c>
      <c r="J4067" s="4" t="s">
        <v>52</v>
      </c>
      <c r="K4067" t="str">
        <f t="shared" si="204"/>
        <v>1+2</v>
      </c>
      <c r="L4067">
        <f>VLOOKUP(A4067,'ZONE 1 PREMIUM'!$A$4:$N$16,14,0)</f>
        <v>11</v>
      </c>
      <c r="M4067">
        <f>VLOOKUP(D4067,DROPDOWN!B:C,2,0)</f>
        <v>13</v>
      </c>
      <c r="N4067" t="str">
        <f t="shared" si="202"/>
        <v>X35:AP46</v>
      </c>
      <c r="O4067" s="4">
        <f t="shared" ca="1" si="203"/>
        <v>632171.1</v>
      </c>
    </row>
    <row r="4068" spans="1:15">
      <c r="A4068" s="2" t="s">
        <v>21</v>
      </c>
      <c r="B4068" t="s">
        <v>22</v>
      </c>
      <c r="D4068">
        <v>60</v>
      </c>
      <c r="E4068" t="s">
        <v>46</v>
      </c>
      <c r="F4068">
        <v>3</v>
      </c>
      <c r="G4068">
        <v>1</v>
      </c>
      <c r="H4068">
        <v>2</v>
      </c>
      <c r="I4068">
        <v>1</v>
      </c>
      <c r="J4068" s="4" t="s">
        <v>52</v>
      </c>
      <c r="K4068" t="str">
        <f t="shared" si="204"/>
        <v>1+2</v>
      </c>
      <c r="L4068">
        <f>VLOOKUP(A4068,'ZONE 1 PREMIUM'!$A$4:$N$16,14,0)</f>
        <v>12</v>
      </c>
      <c r="M4068">
        <f>VLOOKUP(D4068,DROPDOWN!B:C,2,0)</f>
        <v>13</v>
      </c>
      <c r="N4068" t="str">
        <f t="shared" si="202"/>
        <v>X35:AP46</v>
      </c>
      <c r="O4068" s="4">
        <f t="shared" ca="1" si="203"/>
        <v>812895.89999999991</v>
      </c>
    </row>
    <row r="4069" spans="1:15">
      <c r="A4069" s="2" t="s">
        <v>11</v>
      </c>
      <c r="B4069" t="s">
        <v>45</v>
      </c>
      <c r="C4069" t="s">
        <v>25</v>
      </c>
      <c r="D4069">
        <v>60</v>
      </c>
      <c r="E4069" t="s">
        <v>46</v>
      </c>
      <c r="F4069">
        <v>4</v>
      </c>
      <c r="G4069">
        <v>1</v>
      </c>
      <c r="H4069">
        <v>3</v>
      </c>
      <c r="I4069">
        <v>1</v>
      </c>
      <c r="J4069" s="4" t="s">
        <v>52</v>
      </c>
      <c r="K4069" t="str">
        <f t="shared" si="204"/>
        <v>1+3</v>
      </c>
      <c r="L4069">
        <f>VLOOKUP(A4069,'ZONE 1 PREMIUM'!$A$4:$N$16,14,0)</f>
        <v>2</v>
      </c>
      <c r="M4069">
        <f>VLOOKUP(D4069,DROPDOWN!B:C,2,0)</f>
        <v>13</v>
      </c>
      <c r="N4069" t="str">
        <f t="shared" si="202"/>
        <v>X50:AP61</v>
      </c>
      <c r="O4069" s="4">
        <f t="shared" ca="1" si="203"/>
        <v>138828</v>
      </c>
    </row>
    <row r="4070" spans="1:15">
      <c r="A4070" s="2" t="s">
        <v>12</v>
      </c>
      <c r="B4070" t="s">
        <v>27</v>
      </c>
      <c r="C4070" t="s">
        <v>28</v>
      </c>
      <c r="D4070">
        <v>60</v>
      </c>
      <c r="E4070" t="s">
        <v>46</v>
      </c>
      <c r="F4070">
        <v>4</v>
      </c>
      <c r="G4070">
        <v>1</v>
      </c>
      <c r="H4070">
        <v>3</v>
      </c>
      <c r="I4070">
        <v>1</v>
      </c>
      <c r="J4070" s="4" t="s">
        <v>52</v>
      </c>
      <c r="K4070" t="str">
        <f t="shared" si="204"/>
        <v>1+3</v>
      </c>
      <c r="L4070">
        <f>VLOOKUP(A4070,'ZONE 1 PREMIUM'!$A$4:$N$16,14,0)</f>
        <v>3</v>
      </c>
      <c r="M4070">
        <f>VLOOKUP(D4070,DROPDOWN!B:C,2,0)</f>
        <v>13</v>
      </c>
      <c r="N4070" t="str">
        <f t="shared" si="202"/>
        <v>X50:AP61</v>
      </c>
      <c r="O4070" s="4">
        <f t="shared" ca="1" si="203"/>
        <v>147758.9</v>
      </c>
    </row>
    <row r="4071" spans="1:15">
      <c r="A4071" s="2" t="s">
        <v>13</v>
      </c>
      <c r="B4071" t="s">
        <v>29</v>
      </c>
      <c r="C4071" t="s">
        <v>30</v>
      </c>
      <c r="D4071">
        <v>60</v>
      </c>
      <c r="E4071" t="s">
        <v>46</v>
      </c>
      <c r="F4071">
        <v>4</v>
      </c>
      <c r="G4071">
        <v>1</v>
      </c>
      <c r="H4071">
        <v>3</v>
      </c>
      <c r="I4071">
        <v>1</v>
      </c>
      <c r="J4071" s="4" t="s">
        <v>52</v>
      </c>
      <c r="K4071" t="str">
        <f t="shared" si="204"/>
        <v>1+3</v>
      </c>
      <c r="L4071">
        <f>VLOOKUP(A4071,'ZONE 1 PREMIUM'!$A$4:$N$16,14,0)</f>
        <v>4</v>
      </c>
      <c r="M4071">
        <f>VLOOKUP(D4071,DROPDOWN!B:C,2,0)</f>
        <v>13</v>
      </c>
      <c r="N4071" t="str">
        <f t="shared" si="202"/>
        <v>X50:AP61</v>
      </c>
      <c r="O4071" s="4">
        <f t="shared" ca="1" si="203"/>
        <v>163848.54999999999</v>
      </c>
    </row>
    <row r="4072" spans="1:15">
      <c r="A4072" s="2" t="s">
        <v>14</v>
      </c>
      <c r="B4072" t="s">
        <v>31</v>
      </c>
      <c r="C4072" t="s">
        <v>32</v>
      </c>
      <c r="D4072">
        <v>60</v>
      </c>
      <c r="E4072" t="s">
        <v>46</v>
      </c>
      <c r="F4072">
        <v>4</v>
      </c>
      <c r="G4072">
        <v>1</v>
      </c>
      <c r="H4072">
        <v>3</v>
      </c>
      <c r="I4072">
        <v>1</v>
      </c>
      <c r="J4072" s="4" t="s">
        <v>52</v>
      </c>
      <c r="K4072" t="str">
        <f t="shared" si="204"/>
        <v>1+3</v>
      </c>
      <c r="L4072">
        <f>VLOOKUP(A4072,'ZONE 1 PREMIUM'!$A$4:$N$16,14,0)</f>
        <v>5</v>
      </c>
      <c r="M4072">
        <f>VLOOKUP(D4072,DROPDOWN!B:C,2,0)</f>
        <v>13</v>
      </c>
      <c r="N4072" t="str">
        <f t="shared" si="202"/>
        <v>X50:AP61</v>
      </c>
      <c r="O4072" s="4">
        <f t="shared" ca="1" si="203"/>
        <v>181306.69999999998</v>
      </c>
    </row>
    <row r="4073" spans="1:15">
      <c r="A4073" s="2" t="s">
        <v>15</v>
      </c>
      <c r="B4073" t="s">
        <v>33</v>
      </c>
      <c r="C4073" t="s">
        <v>34</v>
      </c>
      <c r="D4073">
        <v>60</v>
      </c>
      <c r="E4073" t="s">
        <v>46</v>
      </c>
      <c r="F4073">
        <v>4</v>
      </c>
      <c r="G4073">
        <v>1</v>
      </c>
      <c r="H4073">
        <v>3</v>
      </c>
      <c r="I4073">
        <v>1</v>
      </c>
      <c r="J4073" s="4" t="s">
        <v>52</v>
      </c>
      <c r="K4073" t="str">
        <f t="shared" si="204"/>
        <v>1+3</v>
      </c>
      <c r="L4073">
        <f>VLOOKUP(A4073,'ZONE 1 PREMIUM'!$A$4:$N$16,14,0)</f>
        <v>6</v>
      </c>
      <c r="M4073">
        <f>VLOOKUP(D4073,DROPDOWN!B:C,2,0)</f>
        <v>13</v>
      </c>
      <c r="N4073" t="str">
        <f t="shared" si="202"/>
        <v>X50:AP61</v>
      </c>
      <c r="O4073" s="4">
        <f t="shared" ca="1" si="203"/>
        <v>221238.15</v>
      </c>
    </row>
    <row r="4074" spans="1:15">
      <c r="A4074" s="2" t="s">
        <v>16</v>
      </c>
      <c r="B4074" t="s">
        <v>35</v>
      </c>
      <c r="C4074" t="s">
        <v>36</v>
      </c>
      <c r="D4074">
        <v>60</v>
      </c>
      <c r="E4074" t="s">
        <v>46</v>
      </c>
      <c r="F4074">
        <v>4</v>
      </c>
      <c r="G4074">
        <v>1</v>
      </c>
      <c r="H4074">
        <v>3</v>
      </c>
      <c r="I4074">
        <v>1</v>
      </c>
      <c r="J4074" s="4" t="s">
        <v>52</v>
      </c>
      <c r="K4074" t="str">
        <f t="shared" si="204"/>
        <v>1+3</v>
      </c>
      <c r="L4074">
        <f>VLOOKUP(A4074,'ZONE 1 PREMIUM'!$A$4:$N$16,14,0)</f>
        <v>7</v>
      </c>
      <c r="M4074">
        <f>VLOOKUP(D4074,DROPDOWN!B:C,2,0)</f>
        <v>13</v>
      </c>
      <c r="N4074" t="str">
        <f t="shared" si="202"/>
        <v>X50:AP61</v>
      </c>
      <c r="O4074" s="4">
        <f t="shared" ca="1" si="203"/>
        <v>287615</v>
      </c>
    </row>
    <row r="4075" spans="1:15">
      <c r="A4075" s="2" t="s">
        <v>17</v>
      </c>
      <c r="B4075" t="s">
        <v>37</v>
      </c>
      <c r="C4075" t="s">
        <v>38</v>
      </c>
      <c r="D4075">
        <v>60</v>
      </c>
      <c r="E4075" t="s">
        <v>46</v>
      </c>
      <c r="F4075">
        <v>4</v>
      </c>
      <c r="G4075">
        <v>1</v>
      </c>
      <c r="H4075">
        <v>3</v>
      </c>
      <c r="I4075">
        <v>1</v>
      </c>
      <c r="J4075" s="4" t="s">
        <v>52</v>
      </c>
      <c r="K4075" t="str">
        <f t="shared" si="204"/>
        <v>1+3</v>
      </c>
      <c r="L4075">
        <f>VLOOKUP(A4075,'ZONE 1 PREMIUM'!$A$4:$N$16,14,0)</f>
        <v>8</v>
      </c>
      <c r="M4075">
        <f>VLOOKUP(D4075,DROPDOWN!B:C,2,0)</f>
        <v>13</v>
      </c>
      <c r="N4075" t="str">
        <f t="shared" si="202"/>
        <v>X50:AP61</v>
      </c>
      <c r="O4075" s="4">
        <f t="shared" ca="1" si="203"/>
        <v>356440.19999999995</v>
      </c>
    </row>
    <row r="4076" spans="1:15">
      <c r="A4076" s="2" t="s">
        <v>18</v>
      </c>
      <c r="B4076" t="s">
        <v>39</v>
      </c>
      <c r="C4076" t="s">
        <v>40</v>
      </c>
      <c r="D4076">
        <v>60</v>
      </c>
      <c r="E4076" t="s">
        <v>46</v>
      </c>
      <c r="F4076">
        <v>4</v>
      </c>
      <c r="G4076">
        <v>1</v>
      </c>
      <c r="H4076">
        <v>3</v>
      </c>
      <c r="I4076">
        <v>1</v>
      </c>
      <c r="J4076" s="4" t="s">
        <v>52</v>
      </c>
      <c r="K4076" t="str">
        <f t="shared" si="204"/>
        <v>1+3</v>
      </c>
      <c r="L4076">
        <f>VLOOKUP(A4076,'ZONE 1 PREMIUM'!$A$4:$N$16,14,0)</f>
        <v>9</v>
      </c>
      <c r="M4076">
        <f>VLOOKUP(D4076,DROPDOWN!B:C,2,0)</f>
        <v>13</v>
      </c>
      <c r="N4076" t="str">
        <f t="shared" si="202"/>
        <v>X50:AP61</v>
      </c>
      <c r="O4076" s="4">
        <f t="shared" ca="1" si="203"/>
        <v>460914.24999999994</v>
      </c>
    </row>
    <row r="4077" spans="1:15">
      <c r="A4077" s="2" t="s">
        <v>19</v>
      </c>
      <c r="B4077" t="s">
        <v>41</v>
      </c>
      <c r="C4077" t="s">
        <v>42</v>
      </c>
      <c r="D4077">
        <v>60</v>
      </c>
      <c r="E4077" t="s">
        <v>46</v>
      </c>
      <c r="F4077">
        <v>4</v>
      </c>
      <c r="G4077">
        <v>1</v>
      </c>
      <c r="H4077">
        <v>3</v>
      </c>
      <c r="I4077">
        <v>1</v>
      </c>
      <c r="J4077" s="4" t="s">
        <v>52</v>
      </c>
      <c r="K4077" t="str">
        <f t="shared" si="204"/>
        <v>1+3</v>
      </c>
      <c r="L4077">
        <f>VLOOKUP(A4077,'ZONE 1 PREMIUM'!$A$4:$N$16,14,0)</f>
        <v>10</v>
      </c>
      <c r="M4077">
        <f>VLOOKUP(D4077,DROPDOWN!B:C,2,0)</f>
        <v>13</v>
      </c>
      <c r="N4077" t="str">
        <f t="shared" si="202"/>
        <v>X50:AP61</v>
      </c>
      <c r="O4077" s="4">
        <f t="shared" ca="1" si="203"/>
        <v>568350.69999999995</v>
      </c>
    </row>
    <row r="4078" spans="1:15">
      <c r="A4078" s="2" t="s">
        <v>20</v>
      </c>
      <c r="B4078" t="s">
        <v>43</v>
      </c>
      <c r="C4078" t="s">
        <v>44</v>
      </c>
      <c r="D4078">
        <v>60</v>
      </c>
      <c r="E4078" t="s">
        <v>46</v>
      </c>
      <c r="F4078">
        <v>4</v>
      </c>
      <c r="G4078">
        <v>1</v>
      </c>
      <c r="H4078">
        <v>3</v>
      </c>
      <c r="I4078">
        <v>1</v>
      </c>
      <c r="J4078" s="4" t="s">
        <v>52</v>
      </c>
      <c r="K4078" t="str">
        <f t="shared" si="204"/>
        <v>1+3</v>
      </c>
      <c r="L4078">
        <f>VLOOKUP(A4078,'ZONE 1 PREMIUM'!$A$4:$N$16,14,0)</f>
        <v>11</v>
      </c>
      <c r="M4078">
        <f>VLOOKUP(D4078,DROPDOWN!B:C,2,0)</f>
        <v>13</v>
      </c>
      <c r="N4078" t="str">
        <f t="shared" si="202"/>
        <v>X50:AP61</v>
      </c>
      <c r="O4078" s="4">
        <f t="shared" ca="1" si="203"/>
        <v>655788.64999999991</v>
      </c>
    </row>
    <row r="4079" spans="1:15">
      <c r="A4079" s="2" t="s">
        <v>21</v>
      </c>
      <c r="B4079" t="s">
        <v>22</v>
      </c>
      <c r="D4079">
        <v>60</v>
      </c>
      <c r="E4079" t="s">
        <v>46</v>
      </c>
      <c r="F4079">
        <v>4</v>
      </c>
      <c r="G4079">
        <v>1</v>
      </c>
      <c r="H4079">
        <v>3</v>
      </c>
      <c r="I4079">
        <v>1</v>
      </c>
      <c r="J4079" s="4" t="s">
        <v>52</v>
      </c>
      <c r="K4079" t="str">
        <f t="shared" si="204"/>
        <v>1+3</v>
      </c>
      <c r="L4079">
        <f>VLOOKUP(A4079,'ZONE 1 PREMIUM'!$A$4:$N$16,14,0)</f>
        <v>12</v>
      </c>
      <c r="M4079">
        <f>VLOOKUP(D4079,DROPDOWN!B:C,2,0)</f>
        <v>13</v>
      </c>
      <c r="N4079" t="str">
        <f t="shared" si="202"/>
        <v>X50:AP61</v>
      </c>
      <c r="O4079" s="4">
        <f t="shared" ca="1" si="203"/>
        <v>838354.6</v>
      </c>
    </row>
    <row r="4080" spans="1:15">
      <c r="A4080" s="2" t="s">
        <v>11</v>
      </c>
      <c r="B4080" t="s">
        <v>45</v>
      </c>
      <c r="C4080" t="s">
        <v>25</v>
      </c>
      <c r="D4080">
        <v>60</v>
      </c>
      <c r="E4080" t="s">
        <v>46</v>
      </c>
      <c r="F4080">
        <v>5</v>
      </c>
      <c r="G4080">
        <v>1</v>
      </c>
      <c r="H4080">
        <v>4</v>
      </c>
      <c r="I4080">
        <v>1</v>
      </c>
      <c r="J4080" s="4" t="s">
        <v>52</v>
      </c>
      <c r="K4080" t="str">
        <f t="shared" si="204"/>
        <v>1+4</v>
      </c>
      <c r="L4080">
        <f>VLOOKUP(A4080,'ZONE 1 PREMIUM'!$A$4:$N$16,14,0)</f>
        <v>2</v>
      </c>
      <c r="M4080">
        <f>VLOOKUP(D4080,DROPDOWN!B:C,2,0)</f>
        <v>13</v>
      </c>
      <c r="N4080" t="str">
        <f t="shared" si="202"/>
        <v>X65:AP76</v>
      </c>
      <c r="O4080" s="4">
        <f t="shared" ca="1" si="203"/>
        <v>161928.04999999999</v>
      </c>
    </row>
    <row r="4081" spans="1:15">
      <c r="A4081" s="2" t="s">
        <v>12</v>
      </c>
      <c r="B4081" t="s">
        <v>27</v>
      </c>
      <c r="C4081" t="s">
        <v>28</v>
      </c>
      <c r="D4081">
        <v>60</v>
      </c>
      <c r="E4081" t="s">
        <v>46</v>
      </c>
      <c r="F4081">
        <v>5</v>
      </c>
      <c r="G4081">
        <v>1</v>
      </c>
      <c r="H4081">
        <v>4</v>
      </c>
      <c r="I4081">
        <v>1</v>
      </c>
      <c r="J4081" s="4" t="s">
        <v>52</v>
      </c>
      <c r="K4081" t="str">
        <f t="shared" si="204"/>
        <v>1+4</v>
      </c>
      <c r="L4081">
        <f>VLOOKUP(A4081,'ZONE 1 PREMIUM'!$A$4:$N$16,14,0)</f>
        <v>3</v>
      </c>
      <c r="M4081">
        <f>VLOOKUP(D4081,DROPDOWN!B:C,2,0)</f>
        <v>13</v>
      </c>
      <c r="N4081" t="str">
        <f t="shared" si="202"/>
        <v>X65:AP76</v>
      </c>
      <c r="O4081" s="4">
        <f t="shared" ca="1" si="203"/>
        <v>170525.44999999998</v>
      </c>
    </row>
    <row r="4082" spans="1:15">
      <c r="A4082" s="2" t="s">
        <v>13</v>
      </c>
      <c r="B4082" t="s">
        <v>29</v>
      </c>
      <c r="C4082" t="s">
        <v>30</v>
      </c>
      <c r="D4082">
        <v>60</v>
      </c>
      <c r="E4082" t="s">
        <v>46</v>
      </c>
      <c r="F4082">
        <v>5</v>
      </c>
      <c r="G4082">
        <v>1</v>
      </c>
      <c r="H4082">
        <v>4</v>
      </c>
      <c r="I4082">
        <v>1</v>
      </c>
      <c r="J4082" s="4" t="s">
        <v>52</v>
      </c>
      <c r="K4082" t="str">
        <f t="shared" si="204"/>
        <v>1+4</v>
      </c>
      <c r="L4082">
        <f>VLOOKUP(A4082,'ZONE 1 PREMIUM'!$A$4:$N$16,14,0)</f>
        <v>4</v>
      </c>
      <c r="M4082">
        <f>VLOOKUP(D4082,DROPDOWN!B:C,2,0)</f>
        <v>13</v>
      </c>
      <c r="N4082" t="str">
        <f t="shared" si="202"/>
        <v>X65:AP76</v>
      </c>
      <c r="O4082" s="4">
        <f t="shared" ca="1" si="203"/>
        <v>190198.49999999997</v>
      </c>
    </row>
    <row r="4083" spans="1:15">
      <c r="A4083" s="2" t="s">
        <v>14</v>
      </c>
      <c r="B4083" t="s">
        <v>31</v>
      </c>
      <c r="C4083" t="s">
        <v>32</v>
      </c>
      <c r="D4083">
        <v>60</v>
      </c>
      <c r="E4083" t="s">
        <v>46</v>
      </c>
      <c r="F4083">
        <v>5</v>
      </c>
      <c r="G4083">
        <v>1</v>
      </c>
      <c r="H4083">
        <v>4</v>
      </c>
      <c r="I4083">
        <v>1</v>
      </c>
      <c r="J4083" s="4" t="s">
        <v>52</v>
      </c>
      <c r="K4083" t="str">
        <f t="shared" si="204"/>
        <v>1+4</v>
      </c>
      <c r="L4083">
        <f>VLOOKUP(A4083,'ZONE 1 PREMIUM'!$A$4:$N$16,14,0)</f>
        <v>5</v>
      </c>
      <c r="M4083">
        <f>VLOOKUP(D4083,DROPDOWN!B:C,2,0)</f>
        <v>13</v>
      </c>
      <c r="N4083" t="str">
        <f t="shared" si="202"/>
        <v>X65:AP76</v>
      </c>
      <c r="O4083" s="4">
        <f t="shared" ca="1" si="203"/>
        <v>209502.4</v>
      </c>
    </row>
    <row r="4084" spans="1:15">
      <c r="A4084" s="2" t="s">
        <v>15</v>
      </c>
      <c r="B4084" t="s">
        <v>33</v>
      </c>
      <c r="C4084" t="s">
        <v>34</v>
      </c>
      <c r="D4084">
        <v>60</v>
      </c>
      <c r="E4084" t="s">
        <v>46</v>
      </c>
      <c r="F4084">
        <v>5</v>
      </c>
      <c r="G4084">
        <v>1</v>
      </c>
      <c r="H4084">
        <v>4</v>
      </c>
      <c r="I4084">
        <v>1</v>
      </c>
      <c r="J4084" s="4" t="s">
        <v>52</v>
      </c>
      <c r="K4084" t="str">
        <f t="shared" si="204"/>
        <v>1+4</v>
      </c>
      <c r="L4084">
        <f>VLOOKUP(A4084,'ZONE 1 PREMIUM'!$A$4:$N$16,14,0)</f>
        <v>6</v>
      </c>
      <c r="M4084">
        <f>VLOOKUP(D4084,DROPDOWN!B:C,2,0)</f>
        <v>13</v>
      </c>
      <c r="N4084" t="str">
        <f t="shared" si="202"/>
        <v>X65:AP76</v>
      </c>
      <c r="O4084" s="4">
        <f t="shared" ca="1" si="203"/>
        <v>252761.94999999998</v>
      </c>
    </row>
    <row r="4085" spans="1:15">
      <c r="A4085" s="2" t="s">
        <v>16</v>
      </c>
      <c r="B4085" t="s">
        <v>35</v>
      </c>
      <c r="C4085" t="s">
        <v>36</v>
      </c>
      <c r="D4085">
        <v>60</v>
      </c>
      <c r="E4085" t="s">
        <v>46</v>
      </c>
      <c r="F4085">
        <v>5</v>
      </c>
      <c r="G4085">
        <v>1</v>
      </c>
      <c r="H4085">
        <v>4</v>
      </c>
      <c r="I4085">
        <v>1</v>
      </c>
      <c r="J4085" s="4" t="s">
        <v>52</v>
      </c>
      <c r="K4085" t="str">
        <f t="shared" si="204"/>
        <v>1+4</v>
      </c>
      <c r="L4085">
        <f>VLOOKUP(A4085,'ZONE 1 PREMIUM'!$A$4:$N$16,14,0)</f>
        <v>7</v>
      </c>
      <c r="M4085">
        <f>VLOOKUP(D4085,DROPDOWN!B:C,2,0)</f>
        <v>13</v>
      </c>
      <c r="N4085" t="str">
        <f t="shared" si="202"/>
        <v>X65:AP76</v>
      </c>
      <c r="O4085" s="4">
        <f t="shared" ca="1" si="203"/>
        <v>315670.39999999997</v>
      </c>
    </row>
    <row r="4086" spans="1:15">
      <c r="A4086" s="2" t="s">
        <v>17</v>
      </c>
      <c r="B4086" t="s">
        <v>37</v>
      </c>
      <c r="C4086" t="s">
        <v>38</v>
      </c>
      <c r="D4086">
        <v>60</v>
      </c>
      <c r="E4086" t="s">
        <v>46</v>
      </c>
      <c r="F4086">
        <v>5</v>
      </c>
      <c r="G4086">
        <v>1</v>
      </c>
      <c r="H4086">
        <v>4</v>
      </c>
      <c r="I4086">
        <v>1</v>
      </c>
      <c r="J4086" s="4" t="s">
        <v>52</v>
      </c>
      <c r="K4086" t="str">
        <f t="shared" si="204"/>
        <v>1+4</v>
      </c>
      <c r="L4086">
        <f>VLOOKUP(A4086,'ZONE 1 PREMIUM'!$A$4:$N$16,14,0)</f>
        <v>8</v>
      </c>
      <c r="M4086">
        <f>VLOOKUP(D4086,DROPDOWN!B:C,2,0)</f>
        <v>13</v>
      </c>
      <c r="N4086" t="str">
        <f t="shared" si="202"/>
        <v>X65:AP76</v>
      </c>
      <c r="O4086" s="4">
        <f t="shared" ca="1" si="203"/>
        <v>383138.6</v>
      </c>
    </row>
    <row r="4087" spans="1:15">
      <c r="A4087" s="2" t="s">
        <v>18</v>
      </c>
      <c r="B4087" t="s">
        <v>39</v>
      </c>
      <c r="C4087" t="s">
        <v>40</v>
      </c>
      <c r="D4087">
        <v>60</v>
      </c>
      <c r="E4087" t="s">
        <v>46</v>
      </c>
      <c r="F4087">
        <v>5</v>
      </c>
      <c r="G4087">
        <v>1</v>
      </c>
      <c r="H4087">
        <v>4</v>
      </c>
      <c r="I4087">
        <v>1</v>
      </c>
      <c r="J4087" s="4" t="s">
        <v>52</v>
      </c>
      <c r="K4087" t="str">
        <f t="shared" si="204"/>
        <v>1+4</v>
      </c>
      <c r="L4087">
        <f>VLOOKUP(A4087,'ZONE 1 PREMIUM'!$A$4:$N$16,14,0)</f>
        <v>9</v>
      </c>
      <c r="M4087">
        <f>VLOOKUP(D4087,DROPDOWN!B:C,2,0)</f>
        <v>13</v>
      </c>
      <c r="N4087" t="str">
        <f t="shared" si="202"/>
        <v>X65:AP76</v>
      </c>
      <c r="O4087" s="4">
        <f t="shared" ca="1" si="203"/>
        <v>488045.05</v>
      </c>
    </row>
    <row r="4088" spans="1:15">
      <c r="A4088" s="2" t="s">
        <v>19</v>
      </c>
      <c r="B4088" t="s">
        <v>41</v>
      </c>
      <c r="C4088" t="s">
        <v>42</v>
      </c>
      <c r="D4088">
        <v>60</v>
      </c>
      <c r="E4088" t="s">
        <v>46</v>
      </c>
      <c r="F4088">
        <v>5</v>
      </c>
      <c r="G4088">
        <v>1</v>
      </c>
      <c r="H4088">
        <v>4</v>
      </c>
      <c r="I4088">
        <v>1</v>
      </c>
      <c r="J4088" s="4" t="s">
        <v>52</v>
      </c>
      <c r="K4088" t="str">
        <f t="shared" si="204"/>
        <v>1+4</v>
      </c>
      <c r="L4088">
        <f>VLOOKUP(A4088,'ZONE 1 PREMIUM'!$A$4:$N$16,14,0)</f>
        <v>10</v>
      </c>
      <c r="M4088">
        <f>VLOOKUP(D4088,DROPDOWN!B:C,2,0)</f>
        <v>13</v>
      </c>
      <c r="N4088" t="str">
        <f t="shared" si="202"/>
        <v>X65:AP76</v>
      </c>
      <c r="O4088" s="4">
        <f t="shared" ca="1" si="203"/>
        <v>594640.85</v>
      </c>
    </row>
    <row r="4089" spans="1:15">
      <c r="A4089" s="2" t="s">
        <v>20</v>
      </c>
      <c r="B4089" t="s">
        <v>43</v>
      </c>
      <c r="C4089" t="s">
        <v>44</v>
      </c>
      <c r="D4089">
        <v>60</v>
      </c>
      <c r="E4089" t="s">
        <v>46</v>
      </c>
      <c r="F4089">
        <v>5</v>
      </c>
      <c r="G4089">
        <v>1</v>
      </c>
      <c r="H4089">
        <v>4</v>
      </c>
      <c r="I4089">
        <v>1</v>
      </c>
      <c r="J4089" s="4" t="s">
        <v>52</v>
      </c>
      <c r="K4089" t="str">
        <f t="shared" si="204"/>
        <v>1+4</v>
      </c>
      <c r="L4089">
        <f>VLOOKUP(A4089,'ZONE 1 PREMIUM'!$A$4:$N$16,14,0)</f>
        <v>11</v>
      </c>
      <c r="M4089">
        <f>VLOOKUP(D4089,DROPDOWN!B:C,2,0)</f>
        <v>13</v>
      </c>
      <c r="N4089" t="str">
        <f t="shared" si="202"/>
        <v>X65:AP76</v>
      </c>
      <c r="O4089" s="4">
        <f t="shared" ca="1" si="203"/>
        <v>682219.1</v>
      </c>
    </row>
    <row r="4090" spans="1:15">
      <c r="A4090" s="2" t="s">
        <v>21</v>
      </c>
      <c r="B4090" t="s">
        <v>22</v>
      </c>
      <c r="D4090">
        <v>60</v>
      </c>
      <c r="E4090" t="s">
        <v>46</v>
      </c>
      <c r="F4090">
        <v>5</v>
      </c>
      <c r="G4090">
        <v>1</v>
      </c>
      <c r="H4090">
        <v>4</v>
      </c>
      <c r="I4090">
        <v>1</v>
      </c>
      <c r="J4090" s="4" t="s">
        <v>52</v>
      </c>
      <c r="K4090" t="str">
        <f t="shared" si="204"/>
        <v>1+4</v>
      </c>
      <c r="L4090">
        <f>VLOOKUP(A4090,'ZONE 1 PREMIUM'!$A$4:$N$16,14,0)</f>
        <v>12</v>
      </c>
      <c r="M4090">
        <f>VLOOKUP(D4090,DROPDOWN!B:C,2,0)</f>
        <v>13</v>
      </c>
      <c r="N4090" t="str">
        <f t="shared" si="202"/>
        <v>X65:AP76</v>
      </c>
      <c r="O4090" s="4">
        <f t="shared" ca="1" si="203"/>
        <v>865877.54999999993</v>
      </c>
    </row>
    <row r="4091" spans="1:15">
      <c r="A4091" s="2" t="s">
        <v>11</v>
      </c>
      <c r="B4091" t="s">
        <v>45</v>
      </c>
      <c r="C4091" t="s">
        <v>25</v>
      </c>
      <c r="D4091">
        <v>60</v>
      </c>
      <c r="E4091" t="s">
        <v>46</v>
      </c>
      <c r="F4091">
        <v>2</v>
      </c>
      <c r="G4091">
        <v>2</v>
      </c>
      <c r="H4091">
        <v>0</v>
      </c>
      <c r="I4091">
        <v>1</v>
      </c>
      <c r="J4091" s="4" t="s">
        <v>52</v>
      </c>
      <c r="K4091" t="str">
        <f t="shared" si="204"/>
        <v>2+0</v>
      </c>
      <c r="L4091">
        <f>VLOOKUP(A4091,'ZONE 1 PREMIUM'!$A$4:$N$16,14,0)</f>
        <v>2</v>
      </c>
      <c r="M4091">
        <f>VLOOKUP(D4091,DROPDOWN!B:C,2,0)</f>
        <v>13</v>
      </c>
      <c r="N4091" t="str">
        <f t="shared" si="202"/>
        <v>X81:AP92</v>
      </c>
      <c r="O4091" s="4">
        <f t="shared" ca="1" si="203"/>
        <v>138736</v>
      </c>
    </row>
    <row r="4092" spans="1:15">
      <c r="A4092" s="2" t="s">
        <v>12</v>
      </c>
      <c r="B4092" t="s">
        <v>27</v>
      </c>
      <c r="C4092" t="s">
        <v>28</v>
      </c>
      <c r="D4092">
        <v>60</v>
      </c>
      <c r="E4092" t="s">
        <v>46</v>
      </c>
      <c r="F4092">
        <v>2</v>
      </c>
      <c r="G4092">
        <v>2</v>
      </c>
      <c r="H4092">
        <v>0</v>
      </c>
      <c r="I4092">
        <v>1</v>
      </c>
      <c r="J4092" s="4" t="s">
        <v>52</v>
      </c>
      <c r="K4092" t="str">
        <f t="shared" si="204"/>
        <v>2+0</v>
      </c>
      <c r="L4092">
        <f>VLOOKUP(A4092,'ZONE 1 PREMIUM'!$A$4:$N$16,14,0)</f>
        <v>3</v>
      </c>
      <c r="M4092">
        <f>VLOOKUP(D4092,DROPDOWN!B:C,2,0)</f>
        <v>13</v>
      </c>
      <c r="N4092" t="str">
        <f t="shared" si="202"/>
        <v>X81:AP92</v>
      </c>
      <c r="O4092" s="4">
        <f t="shared" ca="1" si="203"/>
        <v>157108.4</v>
      </c>
    </row>
    <row r="4093" spans="1:15">
      <c r="A4093" s="2" t="s">
        <v>13</v>
      </c>
      <c r="B4093" t="s">
        <v>29</v>
      </c>
      <c r="C4093" t="s">
        <v>30</v>
      </c>
      <c r="D4093">
        <v>60</v>
      </c>
      <c r="E4093" t="s">
        <v>46</v>
      </c>
      <c r="F4093">
        <v>2</v>
      </c>
      <c r="G4093">
        <v>2</v>
      </c>
      <c r="H4093">
        <v>0</v>
      </c>
      <c r="I4093">
        <v>1</v>
      </c>
      <c r="J4093" s="4" t="s">
        <v>52</v>
      </c>
      <c r="K4093" t="str">
        <f t="shared" si="204"/>
        <v>2+0</v>
      </c>
      <c r="L4093">
        <f>VLOOKUP(A4093,'ZONE 1 PREMIUM'!$A$4:$N$16,14,0)</f>
        <v>4</v>
      </c>
      <c r="M4093">
        <f>VLOOKUP(D4093,DROPDOWN!B:C,2,0)</f>
        <v>13</v>
      </c>
      <c r="N4093" t="str">
        <f t="shared" si="202"/>
        <v>X81:AP92</v>
      </c>
      <c r="O4093" s="4">
        <f t="shared" ca="1" si="203"/>
        <v>165436.69999999998</v>
      </c>
    </row>
    <row r="4094" spans="1:15">
      <c r="A4094" s="2" t="s">
        <v>14</v>
      </c>
      <c r="B4094" t="s">
        <v>31</v>
      </c>
      <c r="C4094" t="s">
        <v>32</v>
      </c>
      <c r="D4094">
        <v>60</v>
      </c>
      <c r="E4094" t="s">
        <v>46</v>
      </c>
      <c r="F4094">
        <v>2</v>
      </c>
      <c r="G4094">
        <v>2</v>
      </c>
      <c r="H4094">
        <v>0</v>
      </c>
      <c r="I4094">
        <v>1</v>
      </c>
      <c r="J4094" s="4" t="s">
        <v>52</v>
      </c>
      <c r="K4094" t="str">
        <f t="shared" si="204"/>
        <v>2+0</v>
      </c>
      <c r="L4094">
        <f>VLOOKUP(A4094,'ZONE 1 PREMIUM'!$A$4:$N$16,14,0)</f>
        <v>5</v>
      </c>
      <c r="M4094">
        <f>VLOOKUP(D4094,DROPDOWN!B:C,2,0)</f>
        <v>13</v>
      </c>
      <c r="N4094" t="str">
        <f t="shared" si="202"/>
        <v>X81:AP92</v>
      </c>
      <c r="O4094" s="4">
        <f t="shared" ca="1" si="203"/>
        <v>184546.25</v>
      </c>
    </row>
    <row r="4095" spans="1:15">
      <c r="A4095" s="2" t="s">
        <v>15</v>
      </c>
      <c r="B4095" t="s">
        <v>33</v>
      </c>
      <c r="C4095" t="s">
        <v>34</v>
      </c>
      <c r="D4095">
        <v>60</v>
      </c>
      <c r="E4095" t="s">
        <v>46</v>
      </c>
      <c r="F4095">
        <v>2</v>
      </c>
      <c r="G4095">
        <v>2</v>
      </c>
      <c r="H4095">
        <v>0</v>
      </c>
      <c r="I4095">
        <v>1</v>
      </c>
      <c r="J4095" s="4" t="s">
        <v>52</v>
      </c>
      <c r="K4095" t="str">
        <f t="shared" si="204"/>
        <v>2+0</v>
      </c>
      <c r="L4095">
        <f>VLOOKUP(A4095,'ZONE 1 PREMIUM'!$A$4:$N$16,14,0)</f>
        <v>6</v>
      </c>
      <c r="M4095">
        <f>VLOOKUP(D4095,DROPDOWN!B:C,2,0)</f>
        <v>13</v>
      </c>
      <c r="N4095" t="str">
        <f t="shared" si="202"/>
        <v>X81:AP92</v>
      </c>
      <c r="O4095" s="4">
        <f t="shared" ca="1" si="203"/>
        <v>231707.74999999997</v>
      </c>
    </row>
    <row r="4096" spans="1:15">
      <c r="A4096" s="2" t="s">
        <v>16</v>
      </c>
      <c r="B4096" t="s">
        <v>35</v>
      </c>
      <c r="C4096" t="s">
        <v>36</v>
      </c>
      <c r="D4096">
        <v>60</v>
      </c>
      <c r="E4096" t="s">
        <v>46</v>
      </c>
      <c r="F4096">
        <v>2</v>
      </c>
      <c r="G4096">
        <v>2</v>
      </c>
      <c r="H4096">
        <v>0</v>
      </c>
      <c r="I4096">
        <v>1</v>
      </c>
      <c r="J4096" s="4" t="s">
        <v>52</v>
      </c>
      <c r="K4096" t="str">
        <f t="shared" si="204"/>
        <v>2+0</v>
      </c>
      <c r="L4096">
        <f>VLOOKUP(A4096,'ZONE 1 PREMIUM'!$A$4:$N$16,14,0)</f>
        <v>7</v>
      </c>
      <c r="M4096">
        <f>VLOOKUP(D4096,DROPDOWN!B:C,2,0)</f>
        <v>13</v>
      </c>
      <c r="N4096" t="str">
        <f t="shared" si="202"/>
        <v>X81:AP92</v>
      </c>
      <c r="O4096" s="4">
        <f t="shared" ca="1" si="203"/>
        <v>317072.25</v>
      </c>
    </row>
    <row r="4097" spans="1:15">
      <c r="A4097" s="2" t="s">
        <v>17</v>
      </c>
      <c r="B4097" t="s">
        <v>37</v>
      </c>
      <c r="C4097" t="s">
        <v>38</v>
      </c>
      <c r="D4097">
        <v>60</v>
      </c>
      <c r="E4097" t="s">
        <v>46</v>
      </c>
      <c r="F4097">
        <v>2</v>
      </c>
      <c r="G4097">
        <v>2</v>
      </c>
      <c r="H4097">
        <v>0</v>
      </c>
      <c r="I4097">
        <v>1</v>
      </c>
      <c r="J4097" s="4" t="s">
        <v>52</v>
      </c>
      <c r="K4097" t="str">
        <f t="shared" si="204"/>
        <v>2+0</v>
      </c>
      <c r="L4097">
        <f>VLOOKUP(A4097,'ZONE 1 PREMIUM'!$A$4:$N$16,14,0)</f>
        <v>8</v>
      </c>
      <c r="M4097">
        <f>VLOOKUP(D4097,DROPDOWN!B:C,2,0)</f>
        <v>13</v>
      </c>
      <c r="N4097" t="str">
        <f t="shared" si="202"/>
        <v>X81:AP92</v>
      </c>
      <c r="O4097" s="4">
        <f t="shared" ca="1" si="203"/>
        <v>440099.24999999994</v>
      </c>
    </row>
    <row r="4098" spans="1:15">
      <c r="A4098" s="2" t="s">
        <v>18</v>
      </c>
      <c r="B4098" t="s">
        <v>39</v>
      </c>
      <c r="C4098" t="s">
        <v>40</v>
      </c>
      <c r="D4098">
        <v>60</v>
      </c>
      <c r="E4098" t="s">
        <v>46</v>
      </c>
      <c r="F4098">
        <v>2</v>
      </c>
      <c r="G4098">
        <v>2</v>
      </c>
      <c r="H4098">
        <v>0</v>
      </c>
      <c r="I4098">
        <v>1</v>
      </c>
      <c r="J4098" s="4" t="s">
        <v>52</v>
      </c>
      <c r="K4098" t="str">
        <f t="shared" si="204"/>
        <v>2+0</v>
      </c>
      <c r="L4098">
        <f>VLOOKUP(A4098,'ZONE 1 PREMIUM'!$A$4:$N$16,14,0)</f>
        <v>9</v>
      </c>
      <c r="M4098">
        <f>VLOOKUP(D4098,DROPDOWN!B:C,2,0)</f>
        <v>13</v>
      </c>
      <c r="N4098" t="str">
        <f t="shared" ref="N4098:N4145" si="205">VLOOKUP(K4098,$AQ$3:$AR$12,2,0)</f>
        <v>X81:AP92</v>
      </c>
      <c r="O4098" s="4">
        <f t="shared" ref="O4098:O4161" ca="1" si="206">INDEX(INDIRECT(N4098),L4098,M4098)</f>
        <v>617386.69999999995</v>
      </c>
    </row>
    <row r="4099" spans="1:15">
      <c r="A4099" s="2" t="s">
        <v>19</v>
      </c>
      <c r="B4099" t="s">
        <v>41</v>
      </c>
      <c r="C4099" t="s">
        <v>42</v>
      </c>
      <c r="D4099">
        <v>60</v>
      </c>
      <c r="E4099" t="s">
        <v>46</v>
      </c>
      <c r="F4099">
        <v>2</v>
      </c>
      <c r="G4099">
        <v>2</v>
      </c>
      <c r="H4099">
        <v>0</v>
      </c>
      <c r="I4099">
        <v>1</v>
      </c>
      <c r="J4099" s="4" t="s">
        <v>52</v>
      </c>
      <c r="K4099" t="str">
        <f t="shared" si="204"/>
        <v>2+0</v>
      </c>
      <c r="L4099">
        <f>VLOOKUP(A4099,'ZONE 1 PREMIUM'!$A$4:$N$16,14,0)</f>
        <v>10</v>
      </c>
      <c r="M4099">
        <f>VLOOKUP(D4099,DROPDOWN!B:C,2,0)</f>
        <v>13</v>
      </c>
      <c r="N4099" t="str">
        <f t="shared" si="205"/>
        <v>X81:AP92</v>
      </c>
      <c r="O4099" s="4">
        <f t="shared" ca="1" si="206"/>
        <v>854597.2</v>
      </c>
    </row>
    <row r="4100" spans="1:15">
      <c r="A4100" s="2" t="s">
        <v>20</v>
      </c>
      <c r="B4100" t="s">
        <v>43</v>
      </c>
      <c r="C4100" t="s">
        <v>44</v>
      </c>
      <c r="D4100">
        <v>60</v>
      </c>
      <c r="E4100" t="s">
        <v>46</v>
      </c>
      <c r="F4100">
        <v>2</v>
      </c>
      <c r="G4100">
        <v>2</v>
      </c>
      <c r="H4100">
        <v>0</v>
      </c>
      <c r="I4100">
        <v>1</v>
      </c>
      <c r="J4100" s="4" t="s">
        <v>52</v>
      </c>
      <c r="K4100" t="str">
        <f t="shared" ref="K4100:K4163" si="207">G4100&amp;"+"&amp;H4100</f>
        <v>2+0</v>
      </c>
      <c r="L4100">
        <f>VLOOKUP(A4100,'ZONE 1 PREMIUM'!$A$4:$N$16,14,0)</f>
        <v>11</v>
      </c>
      <c r="M4100">
        <f>VLOOKUP(D4100,DROPDOWN!B:C,2,0)</f>
        <v>13</v>
      </c>
      <c r="N4100" t="str">
        <f t="shared" si="205"/>
        <v>X81:AP92</v>
      </c>
      <c r="O4100" s="4">
        <f t="shared" ca="1" si="206"/>
        <v>1041359.4999999999</v>
      </c>
    </row>
    <row r="4101" spans="1:15">
      <c r="A4101" s="2" t="s">
        <v>21</v>
      </c>
      <c r="B4101" t="s">
        <v>22</v>
      </c>
      <c r="D4101">
        <v>60</v>
      </c>
      <c r="E4101" t="s">
        <v>46</v>
      </c>
      <c r="F4101">
        <v>2</v>
      </c>
      <c r="G4101">
        <v>2</v>
      </c>
      <c r="H4101">
        <v>0</v>
      </c>
      <c r="I4101">
        <v>1</v>
      </c>
      <c r="J4101" s="4" t="s">
        <v>52</v>
      </c>
      <c r="K4101" t="str">
        <f t="shared" si="207"/>
        <v>2+0</v>
      </c>
      <c r="L4101">
        <f>VLOOKUP(A4101,'ZONE 1 PREMIUM'!$A$4:$N$16,14,0)</f>
        <v>12</v>
      </c>
      <c r="M4101">
        <f>VLOOKUP(D4101,DROPDOWN!B:C,2,0)</f>
        <v>13</v>
      </c>
      <c r="N4101" t="str">
        <f t="shared" si="205"/>
        <v>X81:AP92</v>
      </c>
      <c r="O4101" s="4">
        <f t="shared" ca="1" si="206"/>
        <v>1303705.5499999998</v>
      </c>
    </row>
    <row r="4102" spans="1:15">
      <c r="A4102" s="2" t="s">
        <v>11</v>
      </c>
      <c r="B4102" t="s">
        <v>45</v>
      </c>
      <c r="C4102" t="s">
        <v>25</v>
      </c>
      <c r="D4102">
        <v>60</v>
      </c>
      <c r="E4102" t="s">
        <v>46</v>
      </c>
      <c r="F4102">
        <v>3</v>
      </c>
      <c r="G4102">
        <v>2</v>
      </c>
      <c r="H4102">
        <v>1</v>
      </c>
      <c r="I4102">
        <v>1</v>
      </c>
      <c r="J4102" s="4" t="s">
        <v>52</v>
      </c>
      <c r="K4102" t="str">
        <f t="shared" si="207"/>
        <v>2+1</v>
      </c>
      <c r="L4102">
        <f>VLOOKUP(A4102,'ZONE 1 PREMIUM'!$A$4:$N$16,14,0)</f>
        <v>2</v>
      </c>
      <c r="M4102">
        <f>VLOOKUP(D4102,DROPDOWN!B:C,2,0)</f>
        <v>13</v>
      </c>
      <c r="N4102" t="str">
        <f t="shared" si="205"/>
        <v>X98:AP109</v>
      </c>
      <c r="O4102" s="4">
        <f t="shared" ca="1" si="206"/>
        <v>161998.19999999998</v>
      </c>
    </row>
    <row r="4103" spans="1:15">
      <c r="A4103" s="2" t="s">
        <v>12</v>
      </c>
      <c r="B4103" t="s">
        <v>27</v>
      </c>
      <c r="C4103" t="s">
        <v>28</v>
      </c>
      <c r="D4103">
        <v>60</v>
      </c>
      <c r="E4103" t="s">
        <v>46</v>
      </c>
      <c r="F4103">
        <v>3</v>
      </c>
      <c r="G4103">
        <v>2</v>
      </c>
      <c r="H4103">
        <v>1</v>
      </c>
      <c r="I4103">
        <v>1</v>
      </c>
      <c r="J4103" s="4" t="s">
        <v>52</v>
      </c>
      <c r="K4103" t="str">
        <f t="shared" si="207"/>
        <v>2+1</v>
      </c>
      <c r="L4103">
        <f>VLOOKUP(A4103,'ZONE 1 PREMIUM'!$A$4:$N$16,14,0)</f>
        <v>3</v>
      </c>
      <c r="M4103">
        <f>VLOOKUP(D4103,DROPDOWN!B:C,2,0)</f>
        <v>13</v>
      </c>
      <c r="N4103" t="str">
        <f t="shared" si="205"/>
        <v>X98:AP109</v>
      </c>
      <c r="O4103" s="4">
        <f t="shared" ca="1" si="206"/>
        <v>180037.09999999998</v>
      </c>
    </row>
    <row r="4104" spans="1:15">
      <c r="A4104" s="2" t="s">
        <v>13</v>
      </c>
      <c r="B4104" t="s">
        <v>29</v>
      </c>
      <c r="C4104" t="s">
        <v>30</v>
      </c>
      <c r="D4104">
        <v>60</v>
      </c>
      <c r="E4104" t="s">
        <v>46</v>
      </c>
      <c r="F4104">
        <v>3</v>
      </c>
      <c r="G4104">
        <v>2</v>
      </c>
      <c r="H4104">
        <v>1</v>
      </c>
      <c r="I4104">
        <v>1</v>
      </c>
      <c r="J4104" s="4" t="s">
        <v>52</v>
      </c>
      <c r="K4104" t="str">
        <f t="shared" si="207"/>
        <v>2+1</v>
      </c>
      <c r="L4104">
        <f>VLOOKUP(A4104,'ZONE 1 PREMIUM'!$A$4:$N$16,14,0)</f>
        <v>4</v>
      </c>
      <c r="M4104">
        <f>VLOOKUP(D4104,DROPDOWN!B:C,2,0)</f>
        <v>13</v>
      </c>
      <c r="N4104" t="str">
        <f t="shared" si="205"/>
        <v>X98:AP109</v>
      </c>
      <c r="O4104" s="4">
        <f t="shared" ca="1" si="206"/>
        <v>192024.69999999998</v>
      </c>
    </row>
    <row r="4105" spans="1:15">
      <c r="A4105" s="2" t="s">
        <v>14</v>
      </c>
      <c r="B4105" t="s">
        <v>31</v>
      </c>
      <c r="C4105" t="s">
        <v>32</v>
      </c>
      <c r="D4105">
        <v>60</v>
      </c>
      <c r="E4105" t="s">
        <v>46</v>
      </c>
      <c r="F4105">
        <v>3</v>
      </c>
      <c r="G4105">
        <v>2</v>
      </c>
      <c r="H4105">
        <v>1</v>
      </c>
      <c r="I4105">
        <v>1</v>
      </c>
      <c r="J4105" s="4" t="s">
        <v>52</v>
      </c>
      <c r="K4105" t="str">
        <f t="shared" si="207"/>
        <v>2+1</v>
      </c>
      <c r="L4105">
        <f>VLOOKUP(A4105,'ZONE 1 PREMIUM'!$A$4:$N$16,14,0)</f>
        <v>5</v>
      </c>
      <c r="M4105">
        <f>VLOOKUP(D4105,DROPDOWN!B:C,2,0)</f>
        <v>13</v>
      </c>
      <c r="N4105" t="str">
        <f t="shared" si="205"/>
        <v>X98:AP109</v>
      </c>
      <c r="O4105" s="4">
        <f t="shared" ca="1" si="206"/>
        <v>213032.9</v>
      </c>
    </row>
    <row r="4106" spans="1:15">
      <c r="A4106" s="2" t="s">
        <v>15</v>
      </c>
      <c r="B4106" t="s">
        <v>33</v>
      </c>
      <c r="C4106" t="s">
        <v>34</v>
      </c>
      <c r="D4106">
        <v>60</v>
      </c>
      <c r="E4106" t="s">
        <v>46</v>
      </c>
      <c r="F4106">
        <v>3</v>
      </c>
      <c r="G4106">
        <v>2</v>
      </c>
      <c r="H4106">
        <v>1</v>
      </c>
      <c r="I4106">
        <v>1</v>
      </c>
      <c r="J4106" s="4" t="s">
        <v>52</v>
      </c>
      <c r="K4106" t="str">
        <f t="shared" si="207"/>
        <v>2+1</v>
      </c>
      <c r="L4106">
        <f>VLOOKUP(A4106,'ZONE 1 PREMIUM'!$A$4:$N$16,14,0)</f>
        <v>6</v>
      </c>
      <c r="M4106">
        <f>VLOOKUP(D4106,DROPDOWN!B:C,2,0)</f>
        <v>13</v>
      </c>
      <c r="N4106" t="str">
        <f t="shared" si="205"/>
        <v>X98:AP109</v>
      </c>
      <c r="O4106" s="4">
        <f t="shared" ca="1" si="206"/>
        <v>263584.59999999998</v>
      </c>
    </row>
    <row r="4107" spans="1:15">
      <c r="A4107" s="2" t="s">
        <v>16</v>
      </c>
      <c r="B4107" t="s">
        <v>35</v>
      </c>
      <c r="C4107" t="s">
        <v>36</v>
      </c>
      <c r="D4107">
        <v>60</v>
      </c>
      <c r="E4107" t="s">
        <v>46</v>
      </c>
      <c r="F4107">
        <v>3</v>
      </c>
      <c r="G4107">
        <v>2</v>
      </c>
      <c r="H4107">
        <v>1</v>
      </c>
      <c r="I4107">
        <v>1</v>
      </c>
      <c r="J4107" s="4" t="s">
        <v>52</v>
      </c>
      <c r="K4107" t="str">
        <f t="shared" si="207"/>
        <v>2+1</v>
      </c>
      <c r="L4107">
        <f>VLOOKUP(A4107,'ZONE 1 PREMIUM'!$A$4:$N$16,14,0)</f>
        <v>7</v>
      </c>
      <c r="M4107">
        <f>VLOOKUP(D4107,DROPDOWN!B:C,2,0)</f>
        <v>13</v>
      </c>
      <c r="N4107" t="str">
        <f t="shared" si="205"/>
        <v>X98:AP109</v>
      </c>
      <c r="O4107" s="4">
        <f t="shared" ca="1" si="206"/>
        <v>356082.55</v>
      </c>
    </row>
    <row r="4108" spans="1:15">
      <c r="A4108" s="2" t="s">
        <v>17</v>
      </c>
      <c r="B4108" t="s">
        <v>37</v>
      </c>
      <c r="C4108" t="s">
        <v>38</v>
      </c>
      <c r="D4108">
        <v>60</v>
      </c>
      <c r="E4108" t="s">
        <v>46</v>
      </c>
      <c r="F4108">
        <v>3</v>
      </c>
      <c r="G4108">
        <v>2</v>
      </c>
      <c r="H4108">
        <v>1</v>
      </c>
      <c r="I4108">
        <v>1</v>
      </c>
      <c r="J4108" s="4" t="s">
        <v>52</v>
      </c>
      <c r="K4108" t="str">
        <f t="shared" si="207"/>
        <v>2+1</v>
      </c>
      <c r="L4108">
        <f>VLOOKUP(A4108,'ZONE 1 PREMIUM'!$A$4:$N$16,14,0)</f>
        <v>8</v>
      </c>
      <c r="M4108">
        <f>VLOOKUP(D4108,DROPDOWN!B:C,2,0)</f>
        <v>13</v>
      </c>
      <c r="N4108" t="str">
        <f t="shared" si="205"/>
        <v>X98:AP109</v>
      </c>
      <c r="O4108" s="4">
        <f t="shared" ca="1" si="206"/>
        <v>481962.69999999995</v>
      </c>
    </row>
    <row r="4109" spans="1:15">
      <c r="A4109" s="2" t="s">
        <v>18</v>
      </c>
      <c r="B4109" t="s">
        <v>39</v>
      </c>
      <c r="C4109" t="s">
        <v>40</v>
      </c>
      <c r="D4109">
        <v>60</v>
      </c>
      <c r="E4109" t="s">
        <v>46</v>
      </c>
      <c r="F4109">
        <v>3</v>
      </c>
      <c r="G4109">
        <v>2</v>
      </c>
      <c r="H4109">
        <v>1</v>
      </c>
      <c r="I4109">
        <v>1</v>
      </c>
      <c r="J4109" s="4" t="s">
        <v>52</v>
      </c>
      <c r="K4109" t="str">
        <f t="shared" si="207"/>
        <v>2+1</v>
      </c>
      <c r="L4109">
        <f>VLOOKUP(A4109,'ZONE 1 PREMIUM'!$A$4:$N$16,14,0)</f>
        <v>9</v>
      </c>
      <c r="M4109">
        <f>VLOOKUP(D4109,DROPDOWN!B:C,2,0)</f>
        <v>13</v>
      </c>
      <c r="N4109" t="str">
        <f t="shared" si="205"/>
        <v>X98:AP109</v>
      </c>
      <c r="O4109" s="4">
        <f t="shared" ca="1" si="206"/>
        <v>659962</v>
      </c>
    </row>
    <row r="4110" spans="1:15">
      <c r="A4110" s="2" t="s">
        <v>19</v>
      </c>
      <c r="B4110" t="s">
        <v>41</v>
      </c>
      <c r="C4110" t="s">
        <v>42</v>
      </c>
      <c r="D4110">
        <v>60</v>
      </c>
      <c r="E4110" t="s">
        <v>46</v>
      </c>
      <c r="F4110">
        <v>3</v>
      </c>
      <c r="G4110">
        <v>2</v>
      </c>
      <c r="H4110">
        <v>1</v>
      </c>
      <c r="I4110">
        <v>1</v>
      </c>
      <c r="J4110" s="4" t="s">
        <v>52</v>
      </c>
      <c r="K4110" t="str">
        <f t="shared" si="207"/>
        <v>2+1</v>
      </c>
      <c r="L4110">
        <f>VLOOKUP(A4110,'ZONE 1 PREMIUM'!$A$4:$N$16,14,0)</f>
        <v>10</v>
      </c>
      <c r="M4110">
        <f>VLOOKUP(D4110,DROPDOWN!B:C,2,0)</f>
        <v>13</v>
      </c>
      <c r="N4110" t="str">
        <f t="shared" si="205"/>
        <v>X98:AP109</v>
      </c>
      <c r="O4110" s="4">
        <f t="shared" ca="1" si="206"/>
        <v>877525.89999999991</v>
      </c>
    </row>
    <row r="4111" spans="1:15">
      <c r="A4111" s="2" t="s">
        <v>20</v>
      </c>
      <c r="B4111" t="s">
        <v>43</v>
      </c>
      <c r="C4111" t="s">
        <v>44</v>
      </c>
      <c r="D4111">
        <v>60</v>
      </c>
      <c r="E4111" t="s">
        <v>46</v>
      </c>
      <c r="F4111">
        <v>3</v>
      </c>
      <c r="G4111">
        <v>2</v>
      </c>
      <c r="H4111">
        <v>1</v>
      </c>
      <c r="I4111">
        <v>1</v>
      </c>
      <c r="J4111" s="4" t="s">
        <v>52</v>
      </c>
      <c r="K4111" t="str">
        <f t="shared" si="207"/>
        <v>2+1</v>
      </c>
      <c r="L4111">
        <f>VLOOKUP(A4111,'ZONE 1 PREMIUM'!$A$4:$N$16,14,0)</f>
        <v>11</v>
      </c>
      <c r="M4111">
        <f>VLOOKUP(D4111,DROPDOWN!B:C,2,0)</f>
        <v>13</v>
      </c>
      <c r="N4111" t="str">
        <f t="shared" si="205"/>
        <v>X98:AP109</v>
      </c>
      <c r="O4111" s="4">
        <f t="shared" ca="1" si="206"/>
        <v>1057595.2</v>
      </c>
    </row>
    <row r="4112" spans="1:15">
      <c r="A4112" s="2" t="s">
        <v>21</v>
      </c>
      <c r="B4112" t="s">
        <v>22</v>
      </c>
      <c r="D4112">
        <v>60</v>
      </c>
      <c r="E4112" t="s">
        <v>46</v>
      </c>
      <c r="F4112">
        <v>3</v>
      </c>
      <c r="G4112">
        <v>2</v>
      </c>
      <c r="H4112">
        <v>1</v>
      </c>
      <c r="I4112">
        <v>1</v>
      </c>
      <c r="J4112" s="4" t="s">
        <v>52</v>
      </c>
      <c r="K4112" t="str">
        <f t="shared" si="207"/>
        <v>2+1</v>
      </c>
      <c r="L4112">
        <f>VLOOKUP(A4112,'ZONE 1 PREMIUM'!$A$4:$N$16,14,0)</f>
        <v>12</v>
      </c>
      <c r="M4112">
        <f>VLOOKUP(D4112,DROPDOWN!B:C,2,0)</f>
        <v>13</v>
      </c>
      <c r="N4112" t="str">
        <f t="shared" si="205"/>
        <v>X98:AP109</v>
      </c>
      <c r="O4112" s="4">
        <f t="shared" ca="1" si="206"/>
        <v>1319476.6499999999</v>
      </c>
    </row>
    <row r="4113" spans="1:15">
      <c r="A4113" s="2" t="s">
        <v>11</v>
      </c>
      <c r="B4113" t="s">
        <v>45</v>
      </c>
      <c r="C4113" t="s">
        <v>25</v>
      </c>
      <c r="D4113">
        <v>60</v>
      </c>
      <c r="E4113" t="s">
        <v>46</v>
      </c>
      <c r="F4113">
        <v>4</v>
      </c>
      <c r="G4113">
        <v>2</v>
      </c>
      <c r="H4113">
        <v>2</v>
      </c>
      <c r="I4113">
        <v>1</v>
      </c>
      <c r="J4113" s="4" t="s">
        <v>52</v>
      </c>
      <c r="K4113" t="str">
        <f t="shared" si="207"/>
        <v>2+2</v>
      </c>
      <c r="L4113">
        <f>VLOOKUP(A4113,'ZONE 1 PREMIUM'!$A$4:$N$16,14,0)</f>
        <v>2</v>
      </c>
      <c r="M4113">
        <f>VLOOKUP(D4113,DROPDOWN!B:C,2,0)</f>
        <v>13</v>
      </c>
      <c r="N4113" t="str">
        <f t="shared" si="205"/>
        <v>X113:AP124</v>
      </c>
      <c r="O4113" s="4">
        <f t="shared" ca="1" si="206"/>
        <v>185097.09999999998</v>
      </c>
    </row>
    <row r="4114" spans="1:15">
      <c r="A4114" s="2" t="s">
        <v>12</v>
      </c>
      <c r="B4114" t="s">
        <v>27</v>
      </c>
      <c r="C4114" t="s">
        <v>28</v>
      </c>
      <c r="D4114">
        <v>60</v>
      </c>
      <c r="E4114" t="s">
        <v>46</v>
      </c>
      <c r="F4114">
        <v>4</v>
      </c>
      <c r="G4114">
        <v>2</v>
      </c>
      <c r="H4114">
        <v>2</v>
      </c>
      <c r="I4114">
        <v>1</v>
      </c>
      <c r="J4114" s="4" t="s">
        <v>52</v>
      </c>
      <c r="K4114" t="str">
        <f t="shared" si="207"/>
        <v>2+2</v>
      </c>
      <c r="L4114">
        <f>VLOOKUP(A4114,'ZONE 1 PREMIUM'!$A$4:$N$16,14,0)</f>
        <v>3</v>
      </c>
      <c r="M4114">
        <f>VLOOKUP(D4114,DROPDOWN!B:C,2,0)</f>
        <v>13</v>
      </c>
      <c r="N4114" t="str">
        <f t="shared" si="205"/>
        <v>X113:AP124</v>
      </c>
      <c r="O4114" s="4">
        <f t="shared" ca="1" si="206"/>
        <v>202802.49999999997</v>
      </c>
    </row>
    <row r="4115" spans="1:15">
      <c r="A4115" s="2" t="s">
        <v>13</v>
      </c>
      <c r="B4115" t="s">
        <v>29</v>
      </c>
      <c r="C4115" t="s">
        <v>30</v>
      </c>
      <c r="D4115">
        <v>60</v>
      </c>
      <c r="E4115" t="s">
        <v>46</v>
      </c>
      <c r="F4115">
        <v>4</v>
      </c>
      <c r="G4115">
        <v>2</v>
      </c>
      <c r="H4115">
        <v>2</v>
      </c>
      <c r="I4115">
        <v>1</v>
      </c>
      <c r="J4115" s="4" t="s">
        <v>52</v>
      </c>
      <c r="K4115" t="str">
        <f t="shared" si="207"/>
        <v>2+2</v>
      </c>
      <c r="L4115">
        <f>VLOOKUP(A4115,'ZONE 1 PREMIUM'!$A$4:$N$16,14,0)</f>
        <v>4</v>
      </c>
      <c r="M4115">
        <f>VLOOKUP(D4115,DROPDOWN!B:C,2,0)</f>
        <v>13</v>
      </c>
      <c r="N4115" t="str">
        <f t="shared" si="205"/>
        <v>X113:AP124</v>
      </c>
      <c r="O4115" s="4">
        <f t="shared" ca="1" si="206"/>
        <v>218374.65</v>
      </c>
    </row>
    <row r="4116" spans="1:15">
      <c r="A4116" s="2" t="s">
        <v>14</v>
      </c>
      <c r="B4116" t="s">
        <v>31</v>
      </c>
      <c r="C4116" t="s">
        <v>32</v>
      </c>
      <c r="D4116">
        <v>60</v>
      </c>
      <c r="E4116" t="s">
        <v>46</v>
      </c>
      <c r="F4116">
        <v>4</v>
      </c>
      <c r="G4116">
        <v>2</v>
      </c>
      <c r="H4116">
        <v>2</v>
      </c>
      <c r="I4116">
        <v>1</v>
      </c>
      <c r="J4116" s="4" t="s">
        <v>52</v>
      </c>
      <c r="K4116" t="str">
        <f t="shared" si="207"/>
        <v>2+2</v>
      </c>
      <c r="L4116">
        <f>VLOOKUP(A4116,'ZONE 1 PREMIUM'!$A$4:$N$16,14,0)</f>
        <v>5</v>
      </c>
      <c r="M4116">
        <f>VLOOKUP(D4116,DROPDOWN!B:C,2,0)</f>
        <v>13</v>
      </c>
      <c r="N4116" t="str">
        <f t="shared" si="205"/>
        <v>X113:AP124</v>
      </c>
      <c r="O4116" s="4">
        <f t="shared" ca="1" si="206"/>
        <v>241228.59999999998</v>
      </c>
    </row>
    <row r="4117" spans="1:15">
      <c r="A4117" s="2" t="s">
        <v>15</v>
      </c>
      <c r="B4117" t="s">
        <v>33</v>
      </c>
      <c r="C4117" t="s">
        <v>34</v>
      </c>
      <c r="D4117">
        <v>60</v>
      </c>
      <c r="E4117" t="s">
        <v>46</v>
      </c>
      <c r="F4117">
        <v>4</v>
      </c>
      <c r="G4117">
        <v>2</v>
      </c>
      <c r="H4117">
        <v>2</v>
      </c>
      <c r="I4117">
        <v>1</v>
      </c>
      <c r="J4117" s="4" t="s">
        <v>52</v>
      </c>
      <c r="K4117" t="str">
        <f t="shared" si="207"/>
        <v>2+2</v>
      </c>
      <c r="L4117">
        <f>VLOOKUP(A4117,'ZONE 1 PREMIUM'!$A$4:$N$16,14,0)</f>
        <v>6</v>
      </c>
      <c r="M4117">
        <f>VLOOKUP(D4117,DROPDOWN!B:C,2,0)</f>
        <v>13</v>
      </c>
      <c r="N4117" t="str">
        <f t="shared" si="205"/>
        <v>X113:AP124</v>
      </c>
      <c r="O4117" s="4">
        <f t="shared" ca="1" si="206"/>
        <v>295108.39999999997</v>
      </c>
    </row>
    <row r="4118" spans="1:15">
      <c r="A4118" s="2" t="s">
        <v>16</v>
      </c>
      <c r="B4118" t="s">
        <v>35</v>
      </c>
      <c r="C4118" t="s">
        <v>36</v>
      </c>
      <c r="D4118">
        <v>60</v>
      </c>
      <c r="E4118" t="s">
        <v>46</v>
      </c>
      <c r="F4118">
        <v>4</v>
      </c>
      <c r="G4118">
        <v>2</v>
      </c>
      <c r="H4118">
        <v>2</v>
      </c>
      <c r="I4118">
        <v>1</v>
      </c>
      <c r="J4118" s="4" t="s">
        <v>52</v>
      </c>
      <c r="K4118" t="str">
        <f t="shared" si="207"/>
        <v>2+2</v>
      </c>
      <c r="L4118">
        <f>VLOOKUP(A4118,'ZONE 1 PREMIUM'!$A$4:$N$16,14,0)</f>
        <v>7</v>
      </c>
      <c r="M4118">
        <f>VLOOKUP(D4118,DROPDOWN!B:C,2,0)</f>
        <v>13</v>
      </c>
      <c r="N4118" t="str">
        <f t="shared" si="205"/>
        <v>X113:AP124</v>
      </c>
      <c r="O4118" s="4">
        <f t="shared" ca="1" si="206"/>
        <v>394631.69999999995</v>
      </c>
    </row>
    <row r="4119" spans="1:15">
      <c r="A4119" s="2" t="s">
        <v>17</v>
      </c>
      <c r="B4119" t="s">
        <v>37</v>
      </c>
      <c r="C4119" t="s">
        <v>38</v>
      </c>
      <c r="D4119">
        <v>60</v>
      </c>
      <c r="E4119" t="s">
        <v>46</v>
      </c>
      <c r="F4119">
        <v>4</v>
      </c>
      <c r="G4119">
        <v>2</v>
      </c>
      <c r="H4119">
        <v>2</v>
      </c>
      <c r="I4119">
        <v>1</v>
      </c>
      <c r="J4119" s="4" t="s">
        <v>52</v>
      </c>
      <c r="K4119" t="str">
        <f t="shared" si="207"/>
        <v>2+2</v>
      </c>
      <c r="L4119">
        <f>VLOOKUP(A4119,'ZONE 1 PREMIUM'!$A$4:$N$16,14,0)</f>
        <v>8</v>
      </c>
      <c r="M4119">
        <f>VLOOKUP(D4119,DROPDOWN!B:C,2,0)</f>
        <v>13</v>
      </c>
      <c r="N4119" t="str">
        <f t="shared" si="205"/>
        <v>X113:AP124</v>
      </c>
      <c r="O4119" s="4">
        <f t="shared" ca="1" si="206"/>
        <v>517304.49999999994</v>
      </c>
    </row>
    <row r="4120" spans="1:15">
      <c r="A4120" s="2" t="s">
        <v>18</v>
      </c>
      <c r="B4120" t="s">
        <v>39</v>
      </c>
      <c r="C4120" t="s">
        <v>40</v>
      </c>
      <c r="D4120">
        <v>60</v>
      </c>
      <c r="E4120" t="s">
        <v>46</v>
      </c>
      <c r="F4120">
        <v>4</v>
      </c>
      <c r="G4120">
        <v>2</v>
      </c>
      <c r="H4120">
        <v>2</v>
      </c>
      <c r="I4120">
        <v>1</v>
      </c>
      <c r="J4120" s="4" t="s">
        <v>52</v>
      </c>
      <c r="K4120" t="str">
        <f t="shared" si="207"/>
        <v>2+2</v>
      </c>
      <c r="L4120">
        <f>VLOOKUP(A4120,'ZONE 1 PREMIUM'!$A$4:$N$16,14,0)</f>
        <v>9</v>
      </c>
      <c r="M4120">
        <f>VLOOKUP(D4120,DROPDOWN!B:C,2,0)</f>
        <v>13</v>
      </c>
      <c r="N4120" t="str">
        <f t="shared" si="205"/>
        <v>X113:AP124</v>
      </c>
      <c r="O4120" s="4">
        <f t="shared" ca="1" si="206"/>
        <v>686931.79999999993</v>
      </c>
    </row>
    <row r="4121" spans="1:15">
      <c r="A4121" s="2" t="s">
        <v>19</v>
      </c>
      <c r="B4121" t="s">
        <v>41</v>
      </c>
      <c r="C4121" t="s">
        <v>42</v>
      </c>
      <c r="D4121">
        <v>60</v>
      </c>
      <c r="E4121" t="s">
        <v>46</v>
      </c>
      <c r="F4121">
        <v>4</v>
      </c>
      <c r="G4121">
        <v>2</v>
      </c>
      <c r="H4121">
        <v>2</v>
      </c>
      <c r="I4121">
        <v>1</v>
      </c>
      <c r="J4121" s="4" t="s">
        <v>52</v>
      </c>
      <c r="K4121" t="str">
        <f t="shared" si="207"/>
        <v>2+2</v>
      </c>
      <c r="L4121">
        <f>VLOOKUP(A4121,'ZONE 1 PREMIUM'!$A$4:$N$16,14,0)</f>
        <v>10</v>
      </c>
      <c r="M4121">
        <f>VLOOKUP(D4121,DROPDOWN!B:C,2,0)</f>
        <v>13</v>
      </c>
      <c r="N4121" t="str">
        <f t="shared" si="205"/>
        <v>X113:AP124</v>
      </c>
      <c r="O4121" s="4">
        <f t="shared" ca="1" si="206"/>
        <v>885843.85</v>
      </c>
    </row>
    <row r="4122" spans="1:15">
      <c r="A4122" s="2" t="s">
        <v>20</v>
      </c>
      <c r="B4122" t="s">
        <v>43</v>
      </c>
      <c r="C4122" t="s">
        <v>44</v>
      </c>
      <c r="D4122">
        <v>60</v>
      </c>
      <c r="E4122" t="s">
        <v>46</v>
      </c>
      <c r="F4122">
        <v>4</v>
      </c>
      <c r="G4122">
        <v>2</v>
      </c>
      <c r="H4122">
        <v>2</v>
      </c>
      <c r="I4122">
        <v>1</v>
      </c>
      <c r="J4122" s="4" t="s">
        <v>52</v>
      </c>
      <c r="K4122" t="str">
        <f t="shared" si="207"/>
        <v>2+2</v>
      </c>
      <c r="L4122">
        <f>VLOOKUP(A4122,'ZONE 1 PREMIUM'!$A$4:$N$16,14,0)</f>
        <v>11</v>
      </c>
      <c r="M4122">
        <f>VLOOKUP(D4122,DROPDOWN!B:C,2,0)</f>
        <v>13</v>
      </c>
      <c r="N4122" t="str">
        <f t="shared" si="205"/>
        <v>X113:AP124</v>
      </c>
      <c r="O4122" s="4">
        <f t="shared" ca="1" si="206"/>
        <v>1067925.6499999999</v>
      </c>
    </row>
    <row r="4123" spans="1:15">
      <c r="A4123" s="2" t="s">
        <v>21</v>
      </c>
      <c r="B4123" t="s">
        <v>22</v>
      </c>
      <c r="D4123">
        <v>60</v>
      </c>
      <c r="E4123" t="s">
        <v>46</v>
      </c>
      <c r="F4123">
        <v>4</v>
      </c>
      <c r="G4123">
        <v>2</v>
      </c>
      <c r="H4123">
        <v>2</v>
      </c>
      <c r="I4123">
        <v>1</v>
      </c>
      <c r="J4123" s="4" t="s">
        <v>52</v>
      </c>
      <c r="K4123" t="str">
        <f t="shared" si="207"/>
        <v>2+2</v>
      </c>
      <c r="L4123">
        <f>VLOOKUP(A4123,'ZONE 1 PREMIUM'!$A$4:$N$16,14,0)</f>
        <v>12</v>
      </c>
      <c r="M4123">
        <f>VLOOKUP(D4123,DROPDOWN!B:C,2,0)</f>
        <v>13</v>
      </c>
      <c r="N4123" t="str">
        <f t="shared" si="205"/>
        <v>X113:AP124</v>
      </c>
      <c r="O4123" s="4">
        <f t="shared" ca="1" si="206"/>
        <v>1331234.25</v>
      </c>
    </row>
    <row r="4124" spans="1:15">
      <c r="A4124" s="2" t="s">
        <v>11</v>
      </c>
      <c r="B4124" t="s">
        <v>45</v>
      </c>
      <c r="C4124" t="s">
        <v>25</v>
      </c>
      <c r="D4124">
        <v>60</v>
      </c>
      <c r="E4124" t="s">
        <v>46</v>
      </c>
      <c r="F4124">
        <v>5</v>
      </c>
      <c r="G4124">
        <v>2</v>
      </c>
      <c r="H4124">
        <v>3</v>
      </c>
      <c r="I4124">
        <v>1</v>
      </c>
      <c r="J4124" s="4" t="s">
        <v>52</v>
      </c>
      <c r="K4124" t="str">
        <f t="shared" si="207"/>
        <v>2+3</v>
      </c>
      <c r="L4124">
        <f>VLOOKUP(A4124,'ZONE 1 PREMIUM'!$A$4:$N$16,14,0)</f>
        <v>2</v>
      </c>
      <c r="M4124">
        <f>VLOOKUP(D4124,DROPDOWN!B:C,2,0)</f>
        <v>13</v>
      </c>
      <c r="N4124" t="str">
        <f t="shared" si="205"/>
        <v>X128:AP139</v>
      </c>
      <c r="O4124" s="4">
        <f t="shared" ca="1" si="206"/>
        <v>208195.99999999997</v>
      </c>
    </row>
    <row r="4125" spans="1:15">
      <c r="A4125" s="2" t="s">
        <v>12</v>
      </c>
      <c r="B4125" t="s">
        <v>27</v>
      </c>
      <c r="C4125" t="s">
        <v>28</v>
      </c>
      <c r="D4125">
        <v>60</v>
      </c>
      <c r="E4125" t="s">
        <v>46</v>
      </c>
      <c r="F4125">
        <v>5</v>
      </c>
      <c r="G4125">
        <v>2</v>
      </c>
      <c r="H4125">
        <v>3</v>
      </c>
      <c r="I4125">
        <v>1</v>
      </c>
      <c r="J4125" s="4" t="s">
        <v>52</v>
      </c>
      <c r="K4125" t="str">
        <f t="shared" si="207"/>
        <v>2+3</v>
      </c>
      <c r="L4125">
        <f>VLOOKUP(A4125,'ZONE 1 PREMIUM'!$A$4:$N$16,14,0)</f>
        <v>3</v>
      </c>
      <c r="M4125">
        <f>VLOOKUP(D4125,DROPDOWN!B:C,2,0)</f>
        <v>13</v>
      </c>
      <c r="N4125" t="str">
        <f t="shared" si="205"/>
        <v>X128:AP139</v>
      </c>
      <c r="O4125" s="4">
        <f t="shared" ca="1" si="206"/>
        <v>225569.05</v>
      </c>
    </row>
    <row r="4126" spans="1:15">
      <c r="A4126" s="2" t="s">
        <v>13</v>
      </c>
      <c r="B4126" t="s">
        <v>29</v>
      </c>
      <c r="C4126" t="s">
        <v>30</v>
      </c>
      <c r="D4126">
        <v>60</v>
      </c>
      <c r="E4126" t="s">
        <v>46</v>
      </c>
      <c r="F4126">
        <v>5</v>
      </c>
      <c r="G4126">
        <v>2</v>
      </c>
      <c r="H4126">
        <v>3</v>
      </c>
      <c r="I4126">
        <v>1</v>
      </c>
      <c r="J4126" s="4" t="s">
        <v>52</v>
      </c>
      <c r="K4126" t="str">
        <f t="shared" si="207"/>
        <v>2+3</v>
      </c>
      <c r="L4126">
        <f>VLOOKUP(A4126,'ZONE 1 PREMIUM'!$A$4:$N$16,14,0)</f>
        <v>4</v>
      </c>
      <c r="M4126">
        <f>VLOOKUP(D4126,DROPDOWN!B:C,2,0)</f>
        <v>13</v>
      </c>
      <c r="N4126" t="str">
        <f t="shared" si="205"/>
        <v>X128:AP139</v>
      </c>
      <c r="O4126" s="4">
        <f t="shared" ca="1" si="206"/>
        <v>244725.74999999997</v>
      </c>
    </row>
    <row r="4127" spans="1:15">
      <c r="A4127" s="2" t="s">
        <v>14</v>
      </c>
      <c r="B4127" t="s">
        <v>31</v>
      </c>
      <c r="C4127" t="s">
        <v>32</v>
      </c>
      <c r="D4127">
        <v>60</v>
      </c>
      <c r="E4127" t="s">
        <v>46</v>
      </c>
      <c r="F4127">
        <v>5</v>
      </c>
      <c r="G4127">
        <v>2</v>
      </c>
      <c r="H4127">
        <v>3</v>
      </c>
      <c r="I4127">
        <v>1</v>
      </c>
      <c r="J4127" s="4" t="s">
        <v>52</v>
      </c>
      <c r="K4127" t="str">
        <f t="shared" si="207"/>
        <v>2+3</v>
      </c>
      <c r="L4127">
        <f>VLOOKUP(A4127,'ZONE 1 PREMIUM'!$A$4:$N$16,14,0)</f>
        <v>5</v>
      </c>
      <c r="M4127">
        <f>VLOOKUP(D4127,DROPDOWN!B:C,2,0)</f>
        <v>13</v>
      </c>
      <c r="N4127" t="str">
        <f t="shared" si="205"/>
        <v>X128:AP139</v>
      </c>
      <c r="O4127" s="4">
        <f t="shared" ca="1" si="206"/>
        <v>269425.44999999995</v>
      </c>
    </row>
    <row r="4128" spans="1:15">
      <c r="A4128" s="2" t="s">
        <v>15</v>
      </c>
      <c r="B4128" t="s">
        <v>33</v>
      </c>
      <c r="C4128" t="s">
        <v>34</v>
      </c>
      <c r="D4128">
        <v>60</v>
      </c>
      <c r="E4128" t="s">
        <v>46</v>
      </c>
      <c r="F4128">
        <v>5</v>
      </c>
      <c r="G4128">
        <v>2</v>
      </c>
      <c r="H4128">
        <v>3</v>
      </c>
      <c r="I4128">
        <v>1</v>
      </c>
      <c r="J4128" s="4" t="s">
        <v>52</v>
      </c>
      <c r="K4128" t="str">
        <f t="shared" si="207"/>
        <v>2+3</v>
      </c>
      <c r="L4128">
        <f>VLOOKUP(A4128,'ZONE 1 PREMIUM'!$A$4:$N$16,14,0)</f>
        <v>6</v>
      </c>
      <c r="M4128">
        <f>VLOOKUP(D4128,DROPDOWN!B:C,2,0)</f>
        <v>13</v>
      </c>
      <c r="N4128" t="str">
        <f t="shared" si="205"/>
        <v>X128:AP139</v>
      </c>
      <c r="O4128" s="4">
        <f t="shared" ca="1" si="206"/>
        <v>326631.05</v>
      </c>
    </row>
    <row r="4129" spans="1:15">
      <c r="A4129" s="2" t="s">
        <v>16</v>
      </c>
      <c r="B4129" t="s">
        <v>35</v>
      </c>
      <c r="C4129" t="s">
        <v>36</v>
      </c>
      <c r="D4129">
        <v>60</v>
      </c>
      <c r="E4129" t="s">
        <v>46</v>
      </c>
      <c r="F4129">
        <v>5</v>
      </c>
      <c r="G4129">
        <v>2</v>
      </c>
      <c r="H4129">
        <v>3</v>
      </c>
      <c r="I4129">
        <v>1</v>
      </c>
      <c r="J4129" s="4" t="s">
        <v>52</v>
      </c>
      <c r="K4129" t="str">
        <f t="shared" si="207"/>
        <v>2+3</v>
      </c>
      <c r="L4129">
        <f>VLOOKUP(A4129,'ZONE 1 PREMIUM'!$A$4:$N$16,14,0)</f>
        <v>7</v>
      </c>
      <c r="M4129">
        <f>VLOOKUP(D4129,DROPDOWN!B:C,2,0)</f>
        <v>13</v>
      </c>
      <c r="N4129" t="str">
        <f t="shared" si="205"/>
        <v>X128:AP139</v>
      </c>
      <c r="O4129" s="4">
        <f t="shared" ca="1" si="206"/>
        <v>425383.85</v>
      </c>
    </row>
    <row r="4130" spans="1:15">
      <c r="A4130" s="2" t="s">
        <v>17</v>
      </c>
      <c r="B4130" t="s">
        <v>37</v>
      </c>
      <c r="C4130" t="s">
        <v>38</v>
      </c>
      <c r="D4130">
        <v>60</v>
      </c>
      <c r="E4130" t="s">
        <v>46</v>
      </c>
      <c r="F4130">
        <v>5</v>
      </c>
      <c r="G4130">
        <v>2</v>
      </c>
      <c r="H4130">
        <v>3</v>
      </c>
      <c r="I4130">
        <v>1</v>
      </c>
      <c r="J4130" s="4" t="s">
        <v>52</v>
      </c>
      <c r="K4130" t="str">
        <f t="shared" si="207"/>
        <v>2+3</v>
      </c>
      <c r="L4130">
        <f>VLOOKUP(A4130,'ZONE 1 PREMIUM'!$A$4:$N$16,14,0)</f>
        <v>8</v>
      </c>
      <c r="M4130">
        <f>VLOOKUP(D4130,DROPDOWN!B:C,2,0)</f>
        <v>13</v>
      </c>
      <c r="N4130" t="str">
        <f t="shared" si="205"/>
        <v>X128:AP139</v>
      </c>
      <c r="O4130" s="4">
        <f t="shared" ca="1" si="206"/>
        <v>544353.64999999991</v>
      </c>
    </row>
    <row r="4131" spans="1:15">
      <c r="A4131" s="2" t="s">
        <v>18</v>
      </c>
      <c r="B4131" t="s">
        <v>39</v>
      </c>
      <c r="C4131" t="s">
        <v>40</v>
      </c>
      <c r="D4131">
        <v>60</v>
      </c>
      <c r="E4131" t="s">
        <v>46</v>
      </c>
      <c r="F4131">
        <v>5</v>
      </c>
      <c r="G4131">
        <v>2</v>
      </c>
      <c r="H4131">
        <v>3</v>
      </c>
      <c r="I4131">
        <v>1</v>
      </c>
      <c r="J4131" s="4" t="s">
        <v>52</v>
      </c>
      <c r="K4131" t="str">
        <f t="shared" si="207"/>
        <v>2+3</v>
      </c>
      <c r="L4131">
        <f>VLOOKUP(A4131,'ZONE 1 PREMIUM'!$A$4:$N$16,14,0)</f>
        <v>9</v>
      </c>
      <c r="M4131">
        <f>VLOOKUP(D4131,DROPDOWN!B:C,2,0)</f>
        <v>13</v>
      </c>
      <c r="N4131" t="str">
        <f t="shared" si="205"/>
        <v>X128:AP139</v>
      </c>
      <c r="O4131" s="4">
        <f t="shared" ca="1" si="206"/>
        <v>713580.75</v>
      </c>
    </row>
    <row r="4132" spans="1:15">
      <c r="A4132" s="2" t="s">
        <v>19</v>
      </c>
      <c r="B4132" t="s">
        <v>41</v>
      </c>
      <c r="C4132" t="s">
        <v>42</v>
      </c>
      <c r="D4132">
        <v>60</v>
      </c>
      <c r="E4132" t="s">
        <v>46</v>
      </c>
      <c r="F4132">
        <v>5</v>
      </c>
      <c r="G4132">
        <v>2</v>
      </c>
      <c r="H4132">
        <v>3</v>
      </c>
      <c r="I4132">
        <v>1</v>
      </c>
      <c r="J4132" s="4" t="s">
        <v>52</v>
      </c>
      <c r="K4132" t="str">
        <f t="shared" si="207"/>
        <v>2+3</v>
      </c>
      <c r="L4132">
        <f>VLOOKUP(A4132,'ZONE 1 PREMIUM'!$A$4:$N$16,14,0)</f>
        <v>10</v>
      </c>
      <c r="M4132">
        <f>VLOOKUP(D4132,DROPDOWN!B:C,2,0)</f>
        <v>13</v>
      </c>
      <c r="N4132" t="str">
        <f t="shared" si="205"/>
        <v>X128:AP139</v>
      </c>
      <c r="O4132" s="4">
        <f t="shared" ca="1" si="206"/>
        <v>910590.7</v>
      </c>
    </row>
    <row r="4133" spans="1:15">
      <c r="A4133" s="2" t="s">
        <v>20</v>
      </c>
      <c r="B4133" t="s">
        <v>43</v>
      </c>
      <c r="C4133" t="s">
        <v>44</v>
      </c>
      <c r="D4133">
        <v>60</v>
      </c>
      <c r="E4133" t="s">
        <v>46</v>
      </c>
      <c r="F4133">
        <v>5</v>
      </c>
      <c r="G4133">
        <v>2</v>
      </c>
      <c r="H4133">
        <v>3</v>
      </c>
      <c r="I4133">
        <v>1</v>
      </c>
      <c r="J4133" s="4" t="s">
        <v>52</v>
      </c>
      <c r="K4133" t="str">
        <f t="shared" si="207"/>
        <v>2+3</v>
      </c>
      <c r="L4133">
        <f>VLOOKUP(A4133,'ZONE 1 PREMIUM'!$A$4:$N$16,14,0)</f>
        <v>11</v>
      </c>
      <c r="M4133">
        <f>VLOOKUP(D4133,DROPDOWN!B:C,2,0)</f>
        <v>13</v>
      </c>
      <c r="N4133" t="str">
        <f t="shared" si="205"/>
        <v>X128:AP139</v>
      </c>
      <c r="O4133" s="4">
        <f t="shared" ca="1" si="206"/>
        <v>1096147.7999999998</v>
      </c>
    </row>
    <row r="4134" spans="1:15">
      <c r="A4134" s="2" t="s">
        <v>21</v>
      </c>
      <c r="B4134" t="s">
        <v>22</v>
      </c>
      <c r="D4134">
        <v>60</v>
      </c>
      <c r="E4134" t="s">
        <v>46</v>
      </c>
      <c r="F4134">
        <v>5</v>
      </c>
      <c r="G4134">
        <v>2</v>
      </c>
      <c r="H4134">
        <v>3</v>
      </c>
      <c r="I4134">
        <v>1</v>
      </c>
      <c r="J4134" s="4" t="s">
        <v>52</v>
      </c>
      <c r="K4134" t="str">
        <f t="shared" si="207"/>
        <v>2+3</v>
      </c>
      <c r="L4134">
        <f>VLOOKUP(A4134,'ZONE 1 PREMIUM'!$A$4:$N$16,14,0)</f>
        <v>12</v>
      </c>
      <c r="M4134">
        <f>VLOOKUP(D4134,DROPDOWN!B:C,2,0)</f>
        <v>13</v>
      </c>
      <c r="N4134" t="str">
        <f t="shared" si="205"/>
        <v>X128:AP139</v>
      </c>
      <c r="O4134" s="4">
        <f t="shared" ca="1" si="206"/>
        <v>1361744.9</v>
      </c>
    </row>
    <row r="4135" spans="1:15">
      <c r="A4135" s="2" t="s">
        <v>11</v>
      </c>
      <c r="B4135" t="s">
        <v>45</v>
      </c>
      <c r="C4135" t="s">
        <v>25</v>
      </c>
      <c r="D4135">
        <v>60</v>
      </c>
      <c r="E4135" t="s">
        <v>46</v>
      </c>
      <c r="F4135">
        <v>6</v>
      </c>
      <c r="G4135">
        <v>2</v>
      </c>
      <c r="H4135">
        <v>4</v>
      </c>
      <c r="I4135">
        <v>1</v>
      </c>
      <c r="J4135" s="4" t="s">
        <v>52</v>
      </c>
      <c r="K4135" t="str">
        <f t="shared" si="207"/>
        <v>2+4</v>
      </c>
      <c r="L4135">
        <f>VLOOKUP(A4135,'ZONE 1 PREMIUM'!$A$4:$N$16,14,0)</f>
        <v>2</v>
      </c>
      <c r="M4135">
        <f>VLOOKUP(D4135,DROPDOWN!B:C,2,0)</f>
        <v>13</v>
      </c>
      <c r="N4135" t="str">
        <f t="shared" si="205"/>
        <v>X143:AP154</v>
      </c>
      <c r="O4135" s="4">
        <f t="shared" ca="1" si="206"/>
        <v>231296.05</v>
      </c>
    </row>
    <row r="4136" spans="1:15">
      <c r="A4136" s="2" t="s">
        <v>12</v>
      </c>
      <c r="B4136" t="s">
        <v>27</v>
      </c>
      <c r="C4136" t="s">
        <v>28</v>
      </c>
      <c r="D4136">
        <v>60</v>
      </c>
      <c r="E4136" t="s">
        <v>46</v>
      </c>
      <c r="F4136">
        <v>6</v>
      </c>
      <c r="G4136">
        <v>2</v>
      </c>
      <c r="H4136">
        <v>4</v>
      </c>
      <c r="I4136">
        <v>1</v>
      </c>
      <c r="J4136" s="4" t="s">
        <v>52</v>
      </c>
      <c r="K4136" t="str">
        <f t="shared" si="207"/>
        <v>2+4</v>
      </c>
      <c r="L4136">
        <f>VLOOKUP(A4136,'ZONE 1 PREMIUM'!$A$4:$N$16,14,0)</f>
        <v>3</v>
      </c>
      <c r="M4136">
        <f>VLOOKUP(D4136,DROPDOWN!B:C,2,0)</f>
        <v>13</v>
      </c>
      <c r="N4136" t="str">
        <f t="shared" si="205"/>
        <v>X143:AP154</v>
      </c>
      <c r="O4136" s="4">
        <f t="shared" ca="1" si="206"/>
        <v>248334.44999999998</v>
      </c>
    </row>
    <row r="4137" spans="1:15">
      <c r="A4137" s="2" t="s">
        <v>13</v>
      </c>
      <c r="B4137" t="s">
        <v>29</v>
      </c>
      <c r="C4137" t="s">
        <v>30</v>
      </c>
      <c r="D4137">
        <v>60</v>
      </c>
      <c r="E4137" t="s">
        <v>46</v>
      </c>
      <c r="F4137">
        <v>6</v>
      </c>
      <c r="G4137">
        <v>2</v>
      </c>
      <c r="H4137">
        <v>4</v>
      </c>
      <c r="I4137">
        <v>1</v>
      </c>
      <c r="J4137" s="4" t="s">
        <v>52</v>
      </c>
      <c r="K4137" t="str">
        <f t="shared" si="207"/>
        <v>2+4</v>
      </c>
      <c r="L4137">
        <f>VLOOKUP(A4137,'ZONE 1 PREMIUM'!$A$4:$N$16,14,0)</f>
        <v>4</v>
      </c>
      <c r="M4137">
        <f>VLOOKUP(D4137,DROPDOWN!B:C,2,0)</f>
        <v>13</v>
      </c>
      <c r="N4137" t="str">
        <f t="shared" si="205"/>
        <v>X143:AP154</v>
      </c>
      <c r="O4137" s="4">
        <f t="shared" ca="1" si="206"/>
        <v>271075.69999999995</v>
      </c>
    </row>
    <row r="4138" spans="1:15">
      <c r="A4138" s="2" t="s">
        <v>14</v>
      </c>
      <c r="B4138" t="s">
        <v>31</v>
      </c>
      <c r="C4138" t="s">
        <v>32</v>
      </c>
      <c r="D4138">
        <v>60</v>
      </c>
      <c r="E4138" t="s">
        <v>46</v>
      </c>
      <c r="F4138">
        <v>6</v>
      </c>
      <c r="G4138">
        <v>2</v>
      </c>
      <c r="H4138">
        <v>4</v>
      </c>
      <c r="I4138">
        <v>1</v>
      </c>
      <c r="J4138" s="4" t="s">
        <v>52</v>
      </c>
      <c r="K4138" t="str">
        <f t="shared" si="207"/>
        <v>2+4</v>
      </c>
      <c r="L4138">
        <f>VLOOKUP(A4138,'ZONE 1 PREMIUM'!$A$4:$N$16,14,0)</f>
        <v>5</v>
      </c>
      <c r="M4138">
        <f>VLOOKUP(D4138,DROPDOWN!B:C,2,0)</f>
        <v>13</v>
      </c>
      <c r="N4138" t="str">
        <f t="shared" si="205"/>
        <v>X143:AP154</v>
      </c>
      <c r="O4138" s="4">
        <f t="shared" ca="1" si="206"/>
        <v>297622.3</v>
      </c>
    </row>
    <row r="4139" spans="1:15">
      <c r="A4139" s="2" t="s">
        <v>15</v>
      </c>
      <c r="B4139" t="s">
        <v>33</v>
      </c>
      <c r="C4139" t="s">
        <v>34</v>
      </c>
      <c r="D4139">
        <v>60</v>
      </c>
      <c r="E4139" t="s">
        <v>46</v>
      </c>
      <c r="F4139">
        <v>6</v>
      </c>
      <c r="G4139">
        <v>2</v>
      </c>
      <c r="H4139">
        <v>4</v>
      </c>
      <c r="I4139">
        <v>1</v>
      </c>
      <c r="J4139" s="4" t="s">
        <v>52</v>
      </c>
      <c r="K4139" t="str">
        <f t="shared" si="207"/>
        <v>2+4</v>
      </c>
      <c r="L4139">
        <f>VLOOKUP(A4139,'ZONE 1 PREMIUM'!$A$4:$N$16,14,0)</f>
        <v>6</v>
      </c>
      <c r="M4139">
        <f>VLOOKUP(D4139,DROPDOWN!B:C,2,0)</f>
        <v>13</v>
      </c>
      <c r="N4139" t="str">
        <f t="shared" si="205"/>
        <v>X143:AP154</v>
      </c>
      <c r="O4139" s="4">
        <f t="shared" ca="1" si="206"/>
        <v>358154.85</v>
      </c>
    </row>
    <row r="4140" spans="1:15">
      <c r="A4140" s="2" t="s">
        <v>16</v>
      </c>
      <c r="B4140" t="s">
        <v>35</v>
      </c>
      <c r="C4140" t="s">
        <v>36</v>
      </c>
      <c r="D4140">
        <v>60</v>
      </c>
      <c r="E4140" t="s">
        <v>46</v>
      </c>
      <c r="F4140">
        <v>6</v>
      </c>
      <c r="G4140">
        <v>2</v>
      </c>
      <c r="H4140">
        <v>4</v>
      </c>
      <c r="I4140">
        <v>1</v>
      </c>
      <c r="J4140" s="4" t="s">
        <v>52</v>
      </c>
      <c r="K4140" t="str">
        <f t="shared" si="207"/>
        <v>2+4</v>
      </c>
      <c r="L4140">
        <f>VLOOKUP(A4140,'ZONE 1 PREMIUM'!$A$4:$N$16,14,0)</f>
        <v>7</v>
      </c>
      <c r="M4140">
        <f>VLOOKUP(D4140,DROPDOWN!B:C,2,0)</f>
        <v>13</v>
      </c>
      <c r="N4140" t="str">
        <f t="shared" si="205"/>
        <v>X143:AP154</v>
      </c>
      <c r="O4140" s="4">
        <f t="shared" ca="1" si="206"/>
        <v>452861.94999999995</v>
      </c>
    </row>
    <row r="4141" spans="1:15">
      <c r="A4141" s="2" t="s">
        <v>17</v>
      </c>
      <c r="B4141" t="s">
        <v>37</v>
      </c>
      <c r="C4141" t="s">
        <v>38</v>
      </c>
      <c r="D4141">
        <v>60</v>
      </c>
      <c r="E4141" t="s">
        <v>46</v>
      </c>
      <c r="F4141">
        <v>6</v>
      </c>
      <c r="G4141">
        <v>2</v>
      </c>
      <c r="H4141">
        <v>4</v>
      </c>
      <c r="I4141">
        <v>1</v>
      </c>
      <c r="J4141" s="4" t="s">
        <v>52</v>
      </c>
      <c r="K4141" t="str">
        <f t="shared" si="207"/>
        <v>2+4</v>
      </c>
      <c r="L4141">
        <f>VLOOKUP(A4141,'ZONE 1 PREMIUM'!$A$4:$N$16,14,0)</f>
        <v>8</v>
      </c>
      <c r="M4141">
        <f>VLOOKUP(D4141,DROPDOWN!B:C,2,0)</f>
        <v>13</v>
      </c>
      <c r="N4141" t="str">
        <f t="shared" si="205"/>
        <v>X143:AP154</v>
      </c>
      <c r="O4141" s="4">
        <f t="shared" ca="1" si="206"/>
        <v>571195.79999999993</v>
      </c>
    </row>
    <row r="4142" spans="1:15">
      <c r="A4142" s="2" t="s">
        <v>18</v>
      </c>
      <c r="B4142" t="s">
        <v>39</v>
      </c>
      <c r="C4142" t="s">
        <v>40</v>
      </c>
      <c r="D4142">
        <v>60</v>
      </c>
      <c r="E4142" t="s">
        <v>46</v>
      </c>
      <c r="F4142">
        <v>6</v>
      </c>
      <c r="G4142">
        <v>2</v>
      </c>
      <c r="H4142">
        <v>4</v>
      </c>
      <c r="I4142">
        <v>1</v>
      </c>
      <c r="J4142" s="4" t="s">
        <v>52</v>
      </c>
      <c r="K4142" t="str">
        <f t="shared" si="207"/>
        <v>2+4</v>
      </c>
      <c r="L4142">
        <f>VLOOKUP(A4142,'ZONE 1 PREMIUM'!$A$4:$N$16,14,0)</f>
        <v>9</v>
      </c>
      <c r="M4142">
        <f>VLOOKUP(D4142,DROPDOWN!B:C,2,0)</f>
        <v>13</v>
      </c>
      <c r="N4142" t="str">
        <f t="shared" si="205"/>
        <v>X143:AP154</v>
      </c>
      <c r="O4142" s="4">
        <f t="shared" ca="1" si="206"/>
        <v>738981.95</v>
      </c>
    </row>
    <row r="4143" spans="1:15">
      <c r="A4143" s="2" t="s">
        <v>19</v>
      </c>
      <c r="B4143" t="s">
        <v>41</v>
      </c>
      <c r="C4143" t="s">
        <v>42</v>
      </c>
      <c r="D4143">
        <v>60</v>
      </c>
      <c r="E4143" t="s">
        <v>46</v>
      </c>
      <c r="F4143">
        <v>6</v>
      </c>
      <c r="G4143">
        <v>2</v>
      </c>
      <c r="H4143">
        <v>4</v>
      </c>
      <c r="I4143">
        <v>1</v>
      </c>
      <c r="J4143" s="4" t="s">
        <v>52</v>
      </c>
      <c r="K4143" t="str">
        <f t="shared" si="207"/>
        <v>2+4</v>
      </c>
      <c r="L4143">
        <f>VLOOKUP(A4143,'ZONE 1 PREMIUM'!$A$4:$N$16,14,0)</f>
        <v>10</v>
      </c>
      <c r="M4143">
        <f>VLOOKUP(D4143,DROPDOWN!B:C,2,0)</f>
        <v>13</v>
      </c>
      <c r="N4143" t="str">
        <f t="shared" si="205"/>
        <v>X143:AP154</v>
      </c>
      <c r="O4143" s="4">
        <f t="shared" ca="1" si="206"/>
        <v>938941.64999999991</v>
      </c>
    </row>
    <row r="4144" spans="1:15">
      <c r="A4144" s="2" t="s">
        <v>20</v>
      </c>
      <c r="B4144" t="s">
        <v>43</v>
      </c>
      <c r="C4144" t="s">
        <v>44</v>
      </c>
      <c r="D4144">
        <v>60</v>
      </c>
      <c r="E4144" t="s">
        <v>46</v>
      </c>
      <c r="F4144">
        <v>6</v>
      </c>
      <c r="G4144">
        <v>2</v>
      </c>
      <c r="H4144">
        <v>4</v>
      </c>
      <c r="I4144">
        <v>1</v>
      </c>
      <c r="J4144" s="4" t="s">
        <v>52</v>
      </c>
      <c r="K4144" t="str">
        <f t="shared" si="207"/>
        <v>2+4</v>
      </c>
      <c r="L4144">
        <f>VLOOKUP(A4144,'ZONE 1 PREMIUM'!$A$4:$N$16,14,0)</f>
        <v>11</v>
      </c>
      <c r="M4144">
        <f>VLOOKUP(D4144,DROPDOWN!B:C,2,0)</f>
        <v>13</v>
      </c>
      <c r="N4144" t="str">
        <f t="shared" si="205"/>
        <v>X143:AP154</v>
      </c>
      <c r="O4144" s="4">
        <f t="shared" ca="1" si="206"/>
        <v>1122006.7</v>
      </c>
    </row>
    <row r="4145" spans="1:15">
      <c r="A4145" s="2" t="s">
        <v>21</v>
      </c>
      <c r="B4145" t="s">
        <v>22</v>
      </c>
      <c r="D4145">
        <v>60</v>
      </c>
      <c r="E4145" t="s">
        <v>46</v>
      </c>
      <c r="F4145">
        <v>6</v>
      </c>
      <c r="G4145">
        <v>2</v>
      </c>
      <c r="H4145">
        <v>4</v>
      </c>
      <c r="I4145">
        <v>1</v>
      </c>
      <c r="J4145" s="4" t="s">
        <v>52</v>
      </c>
      <c r="K4145" t="str">
        <f t="shared" si="207"/>
        <v>2+4</v>
      </c>
      <c r="L4145">
        <f>VLOOKUP(A4145,'ZONE 1 PREMIUM'!$A$4:$N$16,14,0)</f>
        <v>12</v>
      </c>
      <c r="M4145">
        <f>VLOOKUP(D4145,DROPDOWN!B:C,2,0)</f>
        <v>13</v>
      </c>
      <c r="N4145" t="str">
        <f t="shared" si="205"/>
        <v>X143:AP154</v>
      </c>
      <c r="O4145" s="4">
        <f t="shared" ca="1" si="206"/>
        <v>1382516.2</v>
      </c>
    </row>
    <row r="4146" spans="1:15">
      <c r="A4146" s="2" t="s">
        <v>9</v>
      </c>
      <c r="B4146" t="s">
        <v>47</v>
      </c>
      <c r="C4146" t="s">
        <v>48</v>
      </c>
      <c r="D4146">
        <v>60</v>
      </c>
      <c r="E4146" t="s">
        <v>26</v>
      </c>
      <c r="F4146">
        <v>1</v>
      </c>
      <c r="H4146">
        <v>1</v>
      </c>
      <c r="I4146">
        <v>1</v>
      </c>
      <c r="J4146" s="4" t="s">
        <v>55</v>
      </c>
      <c r="K4146" t="str">
        <f t="shared" si="207"/>
        <v>+1</v>
      </c>
      <c r="N4146" t="e">
        <f t="shared" ref="N4146:N4209" si="208">VLOOKUP(K4146,$BN$3:$BO$12,2,0)</f>
        <v>#N/A</v>
      </c>
      <c r="O4146" s="7">
        <v>13073.814116634097</v>
      </c>
    </row>
    <row r="4147" spans="1:15">
      <c r="A4147" s="2" t="s">
        <v>10</v>
      </c>
      <c r="B4147" t="s">
        <v>49</v>
      </c>
      <c r="C4147" t="s">
        <v>50</v>
      </c>
      <c r="D4147">
        <v>60</v>
      </c>
      <c r="E4147" t="s">
        <v>26</v>
      </c>
      <c r="F4147">
        <v>1</v>
      </c>
      <c r="G4147">
        <v>1</v>
      </c>
      <c r="H4147">
        <v>0</v>
      </c>
      <c r="I4147">
        <v>1</v>
      </c>
      <c r="J4147" s="4" t="s">
        <v>55</v>
      </c>
      <c r="K4147" t="str">
        <f t="shared" si="207"/>
        <v>1+0</v>
      </c>
      <c r="L4147">
        <f>VLOOKUP(A4147,'ZONE 1 PREMIUM'!$A$3:$M$16,13,0)</f>
        <v>3</v>
      </c>
      <c r="M4147">
        <f>VLOOKUP(D4147,DROPDOWN!B:C,2,0)</f>
        <v>13</v>
      </c>
      <c r="N4147" t="str">
        <f t="shared" si="208"/>
        <v>AU3:BM16</v>
      </c>
      <c r="O4147" s="4">
        <f t="shared" ca="1" si="206"/>
        <v>23540.625</v>
      </c>
    </row>
    <row r="4148" spans="1:15">
      <c r="A4148" s="2" t="s">
        <v>11</v>
      </c>
      <c r="B4148" t="s">
        <v>45</v>
      </c>
      <c r="C4148" t="s">
        <v>25</v>
      </c>
      <c r="D4148">
        <v>60</v>
      </c>
      <c r="E4148" t="s">
        <v>26</v>
      </c>
      <c r="F4148">
        <v>1</v>
      </c>
      <c r="G4148">
        <v>1</v>
      </c>
      <c r="H4148">
        <v>0</v>
      </c>
      <c r="I4148">
        <v>1</v>
      </c>
      <c r="J4148" s="4" t="s">
        <v>55</v>
      </c>
      <c r="K4148" t="str">
        <f t="shared" si="207"/>
        <v>1+0</v>
      </c>
      <c r="L4148">
        <f>VLOOKUP(A4148,'ZONE 1 PREMIUM'!$A$3:$M$16,13,0)</f>
        <v>4</v>
      </c>
      <c r="M4148">
        <f>VLOOKUP(D4148,DROPDOWN!B:C,2,0)</f>
        <v>13</v>
      </c>
      <c r="N4148" t="str">
        <f t="shared" si="208"/>
        <v>AU3:BM16</v>
      </c>
      <c r="O4148" s="4">
        <f t="shared" ca="1" si="206"/>
        <v>78654.375</v>
      </c>
    </row>
    <row r="4149" spans="1:15">
      <c r="A4149" s="2" t="s">
        <v>12</v>
      </c>
      <c r="B4149" t="s">
        <v>27</v>
      </c>
      <c r="C4149" t="s">
        <v>28</v>
      </c>
      <c r="D4149">
        <v>60</v>
      </c>
      <c r="E4149" t="s">
        <v>26</v>
      </c>
      <c r="F4149">
        <v>1</v>
      </c>
      <c r="G4149">
        <v>1</v>
      </c>
      <c r="H4149">
        <v>0</v>
      </c>
      <c r="I4149">
        <v>1</v>
      </c>
      <c r="J4149" s="4" t="s">
        <v>55</v>
      </c>
      <c r="K4149" t="str">
        <f t="shared" si="207"/>
        <v>1+0</v>
      </c>
      <c r="L4149">
        <f>VLOOKUP(A4149,'ZONE 1 PREMIUM'!$A$3:$M$16,13,0)</f>
        <v>5</v>
      </c>
      <c r="M4149">
        <f>VLOOKUP(D4149,DROPDOWN!B:C,2,0)</f>
        <v>13</v>
      </c>
      <c r="N4149" t="str">
        <f t="shared" si="208"/>
        <v>AU3:BM16</v>
      </c>
      <c r="O4149" s="4">
        <f t="shared" ca="1" si="206"/>
        <v>89888.625</v>
      </c>
    </row>
    <row r="4150" spans="1:15">
      <c r="A4150" s="2" t="s">
        <v>13</v>
      </c>
      <c r="B4150" t="s">
        <v>29</v>
      </c>
      <c r="C4150" t="s">
        <v>30</v>
      </c>
      <c r="D4150">
        <v>60</v>
      </c>
      <c r="E4150" t="s">
        <v>26</v>
      </c>
      <c r="F4150">
        <v>1</v>
      </c>
      <c r="G4150">
        <v>1</v>
      </c>
      <c r="H4150">
        <v>0</v>
      </c>
      <c r="I4150">
        <v>1</v>
      </c>
      <c r="J4150" s="4" t="s">
        <v>55</v>
      </c>
      <c r="K4150" t="str">
        <f t="shared" si="207"/>
        <v>1+0</v>
      </c>
      <c r="L4150">
        <f>VLOOKUP(A4150,'ZONE 1 PREMIUM'!$A$3:$M$16,13,0)</f>
        <v>6</v>
      </c>
      <c r="M4150">
        <f>VLOOKUP(D4150,DROPDOWN!B:C,2,0)</f>
        <v>13</v>
      </c>
      <c r="N4150" t="str">
        <f t="shared" si="208"/>
        <v>AU3:BM16</v>
      </c>
      <c r="O4150" s="4">
        <f t="shared" ca="1" si="206"/>
        <v>95860.125</v>
      </c>
    </row>
    <row r="4151" spans="1:15">
      <c r="A4151" s="2" t="s">
        <v>14</v>
      </c>
      <c r="B4151" t="s">
        <v>31</v>
      </c>
      <c r="C4151" t="s">
        <v>32</v>
      </c>
      <c r="D4151">
        <v>60</v>
      </c>
      <c r="E4151" t="s">
        <v>26</v>
      </c>
      <c r="F4151">
        <v>1</v>
      </c>
      <c r="G4151">
        <v>1</v>
      </c>
      <c r="H4151">
        <v>0</v>
      </c>
      <c r="I4151">
        <v>1</v>
      </c>
      <c r="J4151" s="4" t="s">
        <v>55</v>
      </c>
      <c r="K4151" t="str">
        <f t="shared" si="207"/>
        <v>1+0</v>
      </c>
      <c r="L4151">
        <f>VLOOKUP(A4151,'ZONE 1 PREMIUM'!$A$3:$M$16,13,0)</f>
        <v>7</v>
      </c>
      <c r="M4151">
        <f>VLOOKUP(D4151,DROPDOWN!B:C,2,0)</f>
        <v>13</v>
      </c>
      <c r="N4151" t="str">
        <f t="shared" si="208"/>
        <v>AU3:BM16</v>
      </c>
      <c r="O4151" s="4">
        <f t="shared" ca="1" si="206"/>
        <v>109333.125</v>
      </c>
    </row>
    <row r="4152" spans="1:15">
      <c r="A4152" s="2" t="s">
        <v>15</v>
      </c>
      <c r="B4152" t="s">
        <v>33</v>
      </c>
      <c r="C4152" t="s">
        <v>34</v>
      </c>
      <c r="D4152">
        <v>60</v>
      </c>
      <c r="E4152" t="s">
        <v>26</v>
      </c>
      <c r="F4152">
        <v>1</v>
      </c>
      <c r="G4152">
        <v>1</v>
      </c>
      <c r="H4152">
        <v>0</v>
      </c>
      <c r="I4152">
        <v>1</v>
      </c>
      <c r="J4152" s="4" t="s">
        <v>55</v>
      </c>
      <c r="K4152" t="str">
        <f t="shared" si="207"/>
        <v>1+0</v>
      </c>
      <c r="L4152">
        <f>VLOOKUP(A4152,'ZONE 1 PREMIUM'!$A$3:$M$16,13,0)</f>
        <v>8</v>
      </c>
      <c r="M4152">
        <f>VLOOKUP(D4152,DROPDOWN!B:C,2,0)</f>
        <v>13</v>
      </c>
      <c r="N4152" t="str">
        <f t="shared" si="208"/>
        <v>AU3:BM16</v>
      </c>
      <c r="O4152" s="4">
        <f t="shared" ca="1" si="206"/>
        <v>133068.375</v>
      </c>
    </row>
    <row r="4153" spans="1:15">
      <c r="A4153" s="2" t="s">
        <v>16</v>
      </c>
      <c r="B4153" t="s">
        <v>35</v>
      </c>
      <c r="C4153" t="s">
        <v>36</v>
      </c>
      <c r="D4153">
        <v>60</v>
      </c>
      <c r="E4153" t="s">
        <v>26</v>
      </c>
      <c r="F4153">
        <v>1</v>
      </c>
      <c r="G4153">
        <v>1</v>
      </c>
      <c r="H4153">
        <v>0</v>
      </c>
      <c r="I4153">
        <v>1</v>
      </c>
      <c r="J4153" s="4" t="s">
        <v>55</v>
      </c>
      <c r="K4153" t="str">
        <f t="shared" si="207"/>
        <v>1+0</v>
      </c>
      <c r="L4153">
        <f>VLOOKUP(A4153,'ZONE 1 PREMIUM'!$A$3:$M$16,13,0)</f>
        <v>9</v>
      </c>
      <c r="M4153">
        <f>VLOOKUP(D4153,DROPDOWN!B:C,2,0)</f>
        <v>13</v>
      </c>
      <c r="N4153" t="str">
        <f t="shared" si="208"/>
        <v>AU3:BM16</v>
      </c>
      <c r="O4153" s="4">
        <f t="shared" ca="1" si="206"/>
        <v>185326.875</v>
      </c>
    </row>
    <row r="4154" spans="1:15">
      <c r="A4154" s="2" t="s">
        <v>17</v>
      </c>
      <c r="B4154" t="s">
        <v>37</v>
      </c>
      <c r="C4154" t="s">
        <v>38</v>
      </c>
      <c r="D4154">
        <v>60</v>
      </c>
      <c r="E4154" t="s">
        <v>26</v>
      </c>
      <c r="F4154">
        <v>1</v>
      </c>
      <c r="G4154">
        <v>1</v>
      </c>
      <c r="H4154">
        <v>0</v>
      </c>
      <c r="I4154">
        <v>1</v>
      </c>
      <c r="J4154" s="4" t="s">
        <v>55</v>
      </c>
      <c r="K4154" t="str">
        <f t="shared" si="207"/>
        <v>1+0</v>
      </c>
      <c r="L4154">
        <f>VLOOKUP(A4154,'ZONE 1 PREMIUM'!$A$3:$M$16,13,0)</f>
        <v>10</v>
      </c>
      <c r="M4154">
        <f>VLOOKUP(D4154,DROPDOWN!B:C,2,0)</f>
        <v>13</v>
      </c>
      <c r="N4154" t="str">
        <f t="shared" si="208"/>
        <v>AU3:BM16</v>
      </c>
      <c r="O4154" s="4">
        <f t="shared" ca="1" si="206"/>
        <v>248109.75</v>
      </c>
    </row>
    <row r="4155" spans="1:15">
      <c r="A4155" s="2" t="s">
        <v>18</v>
      </c>
      <c r="B4155" t="s">
        <v>39</v>
      </c>
      <c r="C4155" t="s">
        <v>40</v>
      </c>
      <c r="D4155">
        <v>60</v>
      </c>
      <c r="E4155" t="s">
        <v>26</v>
      </c>
      <c r="F4155">
        <v>1</v>
      </c>
      <c r="G4155">
        <v>1</v>
      </c>
      <c r="H4155">
        <v>0</v>
      </c>
      <c r="I4155">
        <v>1</v>
      </c>
      <c r="J4155" s="4" t="s">
        <v>55</v>
      </c>
      <c r="K4155" t="str">
        <f t="shared" si="207"/>
        <v>1+0</v>
      </c>
      <c r="L4155">
        <f>VLOOKUP(A4155,'ZONE 1 PREMIUM'!$A$3:$M$16,13,0)</f>
        <v>11</v>
      </c>
      <c r="M4155">
        <f>VLOOKUP(D4155,DROPDOWN!B:C,2,0)</f>
        <v>13</v>
      </c>
      <c r="N4155" t="str">
        <f t="shared" si="208"/>
        <v>AU3:BM16</v>
      </c>
      <c r="O4155" s="4">
        <f t="shared" ca="1" si="206"/>
        <v>341852.625</v>
      </c>
    </row>
    <row r="4156" spans="1:15">
      <c r="A4156" s="2" t="s">
        <v>19</v>
      </c>
      <c r="B4156" t="s">
        <v>41</v>
      </c>
      <c r="C4156" t="s">
        <v>42</v>
      </c>
      <c r="D4156">
        <v>60</v>
      </c>
      <c r="E4156" t="s">
        <v>26</v>
      </c>
      <c r="F4156">
        <v>1</v>
      </c>
      <c r="G4156">
        <v>1</v>
      </c>
      <c r="H4156">
        <v>0</v>
      </c>
      <c r="I4156">
        <v>1</v>
      </c>
      <c r="J4156" s="4" t="s">
        <v>55</v>
      </c>
      <c r="K4156" t="str">
        <f t="shared" si="207"/>
        <v>1+0</v>
      </c>
      <c r="L4156">
        <f>VLOOKUP(A4156,'ZONE 1 PREMIUM'!$A$3:$M$16,13,0)</f>
        <v>12</v>
      </c>
      <c r="M4156">
        <f>VLOOKUP(D4156,DROPDOWN!B:C,2,0)</f>
        <v>13</v>
      </c>
      <c r="N4156" t="str">
        <f t="shared" si="208"/>
        <v>AU3:BM16</v>
      </c>
      <c r="O4156" s="4">
        <f t="shared" ca="1" si="206"/>
        <v>436087.125</v>
      </c>
    </row>
    <row r="4157" spans="1:15">
      <c r="A4157" s="2" t="s">
        <v>20</v>
      </c>
      <c r="B4157" t="s">
        <v>43</v>
      </c>
      <c r="C4157" t="s">
        <v>44</v>
      </c>
      <c r="D4157">
        <v>60</v>
      </c>
      <c r="E4157" t="s">
        <v>26</v>
      </c>
      <c r="F4157">
        <v>1</v>
      </c>
      <c r="G4157">
        <v>1</v>
      </c>
      <c r="H4157">
        <v>0</v>
      </c>
      <c r="I4157">
        <v>1</v>
      </c>
      <c r="J4157" s="4" t="s">
        <v>55</v>
      </c>
      <c r="K4157" t="str">
        <f t="shared" si="207"/>
        <v>1+0</v>
      </c>
      <c r="L4157">
        <f>VLOOKUP(A4157,'ZONE 1 PREMIUM'!$A$3:$M$16,13,0)</f>
        <v>13</v>
      </c>
      <c r="M4157">
        <f>VLOOKUP(D4157,DROPDOWN!B:C,2,0)</f>
        <v>13</v>
      </c>
      <c r="N4157" t="str">
        <f t="shared" si="208"/>
        <v>AU3:BM16</v>
      </c>
      <c r="O4157" s="4">
        <f t="shared" ca="1" si="206"/>
        <v>513550.125</v>
      </c>
    </row>
    <row r="4158" spans="1:15">
      <c r="A4158" s="2" t="s">
        <v>21</v>
      </c>
      <c r="B4158" t="s">
        <v>22</v>
      </c>
      <c r="D4158">
        <v>60</v>
      </c>
      <c r="E4158" t="s">
        <v>26</v>
      </c>
      <c r="F4158">
        <v>1</v>
      </c>
      <c r="G4158">
        <v>1</v>
      </c>
      <c r="H4158">
        <v>0</v>
      </c>
      <c r="I4158">
        <v>1</v>
      </c>
      <c r="J4158" s="4" t="s">
        <v>55</v>
      </c>
      <c r="K4158" t="str">
        <f t="shared" si="207"/>
        <v>1+0</v>
      </c>
      <c r="L4158">
        <f>VLOOKUP(A4158,'ZONE 1 PREMIUM'!$A$3:$M$16,13,0)</f>
        <v>14</v>
      </c>
      <c r="M4158">
        <f>VLOOKUP(D4158,DROPDOWN!B:C,2,0)</f>
        <v>13</v>
      </c>
      <c r="N4158" t="str">
        <f t="shared" si="208"/>
        <v>AU3:BM16</v>
      </c>
      <c r="O4158" s="4">
        <f t="shared" ca="1" si="206"/>
        <v>674794.125</v>
      </c>
    </row>
    <row r="4159" spans="1:15">
      <c r="A4159" s="2" t="s">
        <v>11</v>
      </c>
      <c r="B4159" t="s">
        <v>45</v>
      </c>
      <c r="C4159" t="s">
        <v>25</v>
      </c>
      <c r="D4159">
        <v>60</v>
      </c>
      <c r="E4159" t="s">
        <v>46</v>
      </c>
      <c r="F4159">
        <v>2</v>
      </c>
      <c r="G4159">
        <v>1</v>
      </c>
      <c r="H4159">
        <v>1</v>
      </c>
      <c r="I4159">
        <v>1</v>
      </c>
      <c r="J4159" s="4" t="s">
        <v>55</v>
      </c>
      <c r="K4159" t="str">
        <f t="shared" si="207"/>
        <v>1+1</v>
      </c>
      <c r="L4159">
        <f>VLOOKUP(A4159,'ZONE 1 PREMIUM'!$A$4:$N$16,14,0)</f>
        <v>2</v>
      </c>
      <c r="M4159">
        <f>VLOOKUP(D4159,DROPDOWN!B:C,2,0)</f>
        <v>13</v>
      </c>
      <c r="N4159" t="str">
        <f t="shared" si="208"/>
        <v>AU20:BM31</v>
      </c>
      <c r="O4159" s="4">
        <f t="shared" ca="1" si="206"/>
        <v>82086.75</v>
      </c>
    </row>
    <row r="4160" spans="1:15">
      <c r="A4160" s="2" t="s">
        <v>12</v>
      </c>
      <c r="B4160" t="s">
        <v>27</v>
      </c>
      <c r="C4160" t="s">
        <v>28</v>
      </c>
      <c r="D4160">
        <v>60</v>
      </c>
      <c r="E4160" t="s">
        <v>46</v>
      </c>
      <c r="F4160">
        <v>2</v>
      </c>
      <c r="G4160">
        <v>1</v>
      </c>
      <c r="H4160">
        <v>1</v>
      </c>
      <c r="I4160">
        <v>1</v>
      </c>
      <c r="J4160" s="4" t="s">
        <v>55</v>
      </c>
      <c r="K4160" t="str">
        <f t="shared" si="207"/>
        <v>1+1</v>
      </c>
      <c r="L4160">
        <f>VLOOKUP(A4160,'ZONE 1 PREMIUM'!$A$4:$N$16,14,0)</f>
        <v>3</v>
      </c>
      <c r="M4160">
        <f>VLOOKUP(D4160,DROPDOWN!B:C,2,0)</f>
        <v>13</v>
      </c>
      <c r="N4160" t="str">
        <f t="shared" si="208"/>
        <v>AU20:BM31</v>
      </c>
      <c r="O4160" s="4">
        <f t="shared" ca="1" si="206"/>
        <v>91057.5</v>
      </c>
    </row>
    <row r="4161" spans="1:15">
      <c r="A4161" s="2" t="s">
        <v>13</v>
      </c>
      <c r="B4161" t="s">
        <v>29</v>
      </c>
      <c r="C4161" t="s">
        <v>30</v>
      </c>
      <c r="D4161">
        <v>60</v>
      </c>
      <c r="E4161" t="s">
        <v>46</v>
      </c>
      <c r="F4161">
        <v>2</v>
      </c>
      <c r="G4161">
        <v>1</v>
      </c>
      <c r="H4161">
        <v>1</v>
      </c>
      <c r="I4161">
        <v>1</v>
      </c>
      <c r="J4161" s="4" t="s">
        <v>55</v>
      </c>
      <c r="K4161" t="str">
        <f t="shared" si="207"/>
        <v>1+1</v>
      </c>
      <c r="L4161">
        <f>VLOOKUP(A4161,'ZONE 1 PREMIUM'!$A$4:$N$16,14,0)</f>
        <v>4</v>
      </c>
      <c r="M4161">
        <f>VLOOKUP(D4161,DROPDOWN!B:C,2,0)</f>
        <v>13</v>
      </c>
      <c r="N4161" t="str">
        <f t="shared" si="208"/>
        <v>AU20:BM31</v>
      </c>
      <c r="O4161" s="4">
        <f t="shared" ca="1" si="206"/>
        <v>99002.25</v>
      </c>
    </row>
    <row r="4162" spans="1:15">
      <c r="A4162" s="2" t="s">
        <v>14</v>
      </c>
      <c r="B4162" t="s">
        <v>31</v>
      </c>
      <c r="C4162" t="s">
        <v>32</v>
      </c>
      <c r="D4162">
        <v>60</v>
      </c>
      <c r="E4162" t="s">
        <v>46</v>
      </c>
      <c r="F4162">
        <v>2</v>
      </c>
      <c r="G4162">
        <v>1</v>
      </c>
      <c r="H4162">
        <v>1</v>
      </c>
      <c r="I4162">
        <v>1</v>
      </c>
      <c r="J4162" s="4" t="s">
        <v>55</v>
      </c>
      <c r="K4162" t="str">
        <f t="shared" si="207"/>
        <v>1+1</v>
      </c>
      <c r="L4162">
        <f>VLOOKUP(A4162,'ZONE 1 PREMIUM'!$A$4:$N$16,14,0)</f>
        <v>5</v>
      </c>
      <c r="M4162">
        <f>VLOOKUP(D4162,DROPDOWN!B:C,2,0)</f>
        <v>13</v>
      </c>
      <c r="N4162" t="str">
        <f t="shared" si="208"/>
        <v>AU20:BM31</v>
      </c>
      <c r="O4162" s="4">
        <f t="shared" ref="O4162:O4225" ca="1" si="209">INDEX(INDIRECT(N4162),L4162,M4162)</f>
        <v>115131.375</v>
      </c>
    </row>
    <row r="4163" spans="1:15">
      <c r="A4163" s="2" t="s">
        <v>15</v>
      </c>
      <c r="B4163" t="s">
        <v>33</v>
      </c>
      <c r="C4163" t="s">
        <v>34</v>
      </c>
      <c r="D4163">
        <v>60</v>
      </c>
      <c r="E4163" t="s">
        <v>46</v>
      </c>
      <c r="F4163">
        <v>2</v>
      </c>
      <c r="G4163">
        <v>1</v>
      </c>
      <c r="H4163">
        <v>1</v>
      </c>
      <c r="I4163">
        <v>1</v>
      </c>
      <c r="J4163" s="4" t="s">
        <v>55</v>
      </c>
      <c r="K4163" t="str">
        <f t="shared" si="207"/>
        <v>1+1</v>
      </c>
      <c r="L4163">
        <f>VLOOKUP(A4163,'ZONE 1 PREMIUM'!$A$4:$N$16,14,0)</f>
        <v>6</v>
      </c>
      <c r="M4163">
        <f>VLOOKUP(D4163,DROPDOWN!B:C,2,0)</f>
        <v>13</v>
      </c>
      <c r="N4163" t="str">
        <f t="shared" si="208"/>
        <v>AU20:BM31</v>
      </c>
      <c r="O4163" s="4">
        <f t="shared" ca="1" si="209"/>
        <v>140197.5</v>
      </c>
    </row>
    <row r="4164" spans="1:15">
      <c r="A4164" s="2" t="s">
        <v>16</v>
      </c>
      <c r="B4164" t="s">
        <v>35</v>
      </c>
      <c r="C4164" t="s">
        <v>36</v>
      </c>
      <c r="D4164">
        <v>60</v>
      </c>
      <c r="E4164" t="s">
        <v>46</v>
      </c>
      <c r="F4164">
        <v>2</v>
      </c>
      <c r="G4164">
        <v>1</v>
      </c>
      <c r="H4164">
        <v>1</v>
      </c>
      <c r="I4164">
        <v>1</v>
      </c>
      <c r="J4164" s="4" t="s">
        <v>55</v>
      </c>
      <c r="K4164" t="str">
        <f t="shared" ref="K4164:K4227" si="210">G4164&amp;"+"&amp;H4164</f>
        <v>1+1</v>
      </c>
      <c r="L4164">
        <f>VLOOKUP(A4164,'ZONE 1 PREMIUM'!$A$4:$N$16,14,0)</f>
        <v>7</v>
      </c>
      <c r="M4164">
        <f>VLOOKUP(D4164,DROPDOWN!B:C,2,0)</f>
        <v>13</v>
      </c>
      <c r="N4164" t="str">
        <f t="shared" si="208"/>
        <v>AU20:BM31</v>
      </c>
      <c r="O4164" s="4">
        <f t="shared" ca="1" si="209"/>
        <v>190418.625</v>
      </c>
    </row>
    <row r="4165" spans="1:15">
      <c r="A4165" s="2" t="s">
        <v>17</v>
      </c>
      <c r="B4165" t="s">
        <v>37</v>
      </c>
      <c r="C4165" t="s">
        <v>38</v>
      </c>
      <c r="D4165">
        <v>60</v>
      </c>
      <c r="E4165" t="s">
        <v>46</v>
      </c>
      <c r="F4165">
        <v>2</v>
      </c>
      <c r="G4165">
        <v>1</v>
      </c>
      <c r="H4165">
        <v>1</v>
      </c>
      <c r="I4165">
        <v>1</v>
      </c>
      <c r="J4165" s="4" t="s">
        <v>55</v>
      </c>
      <c r="K4165" t="str">
        <f t="shared" si="210"/>
        <v>1+1</v>
      </c>
      <c r="L4165">
        <f>VLOOKUP(A4165,'ZONE 1 PREMIUM'!$A$4:$N$16,14,0)</f>
        <v>8</v>
      </c>
      <c r="M4165">
        <f>VLOOKUP(D4165,DROPDOWN!B:C,2,0)</f>
        <v>13</v>
      </c>
      <c r="N4165" t="str">
        <f t="shared" si="208"/>
        <v>AU20:BM31</v>
      </c>
      <c r="O4165" s="4">
        <f t="shared" ca="1" si="209"/>
        <v>253143</v>
      </c>
    </row>
    <row r="4166" spans="1:15">
      <c r="A4166" s="2" t="s">
        <v>18</v>
      </c>
      <c r="B4166" t="s">
        <v>39</v>
      </c>
      <c r="C4166" t="s">
        <v>40</v>
      </c>
      <c r="D4166">
        <v>60</v>
      </c>
      <c r="E4166" t="s">
        <v>46</v>
      </c>
      <c r="F4166">
        <v>2</v>
      </c>
      <c r="G4166">
        <v>1</v>
      </c>
      <c r="H4166">
        <v>1</v>
      </c>
      <c r="I4166">
        <v>1</v>
      </c>
      <c r="J4166" s="4" t="s">
        <v>55</v>
      </c>
      <c r="K4166" t="str">
        <f t="shared" si="210"/>
        <v>1+1</v>
      </c>
      <c r="L4166">
        <f>VLOOKUP(A4166,'ZONE 1 PREMIUM'!$A$4:$N$16,14,0)</f>
        <v>9</v>
      </c>
      <c r="M4166">
        <f>VLOOKUP(D4166,DROPDOWN!B:C,2,0)</f>
        <v>13</v>
      </c>
      <c r="N4166" t="str">
        <f t="shared" si="208"/>
        <v>AU20:BM31</v>
      </c>
      <c r="O4166" s="4">
        <f t="shared" ca="1" si="209"/>
        <v>350696.25</v>
      </c>
    </row>
    <row r="4167" spans="1:15">
      <c r="A4167" s="2" t="s">
        <v>19</v>
      </c>
      <c r="B4167" t="s">
        <v>41</v>
      </c>
      <c r="C4167" t="s">
        <v>42</v>
      </c>
      <c r="D4167">
        <v>60</v>
      </c>
      <c r="E4167" t="s">
        <v>46</v>
      </c>
      <c r="F4167">
        <v>2</v>
      </c>
      <c r="G4167">
        <v>1</v>
      </c>
      <c r="H4167">
        <v>1</v>
      </c>
      <c r="I4167">
        <v>1</v>
      </c>
      <c r="J4167" s="4" t="s">
        <v>55</v>
      </c>
      <c r="K4167" t="str">
        <f t="shared" si="210"/>
        <v>1+1</v>
      </c>
      <c r="L4167">
        <f>VLOOKUP(A4167,'ZONE 1 PREMIUM'!$A$4:$N$16,14,0)</f>
        <v>10</v>
      </c>
      <c r="M4167">
        <f>VLOOKUP(D4167,DROPDOWN!B:C,2,0)</f>
        <v>13</v>
      </c>
      <c r="N4167" t="str">
        <f t="shared" si="208"/>
        <v>AU20:BM31</v>
      </c>
      <c r="O4167" s="4">
        <f t="shared" ca="1" si="209"/>
        <v>445208.625</v>
      </c>
    </row>
    <row r="4168" spans="1:15">
      <c r="A4168" s="2" t="s">
        <v>20</v>
      </c>
      <c r="B4168" t="s">
        <v>43</v>
      </c>
      <c r="C4168" t="s">
        <v>44</v>
      </c>
      <c r="D4168">
        <v>60</v>
      </c>
      <c r="E4168" t="s">
        <v>46</v>
      </c>
      <c r="F4168">
        <v>2</v>
      </c>
      <c r="G4168">
        <v>1</v>
      </c>
      <c r="H4168">
        <v>1</v>
      </c>
      <c r="I4168">
        <v>1</v>
      </c>
      <c r="J4168" s="4" t="s">
        <v>55</v>
      </c>
      <c r="K4168" t="str">
        <f t="shared" si="210"/>
        <v>1+1</v>
      </c>
      <c r="L4168">
        <f>VLOOKUP(A4168,'ZONE 1 PREMIUM'!$A$4:$N$16,14,0)</f>
        <v>11</v>
      </c>
      <c r="M4168">
        <f>VLOOKUP(D4168,DROPDOWN!B:C,2,0)</f>
        <v>13</v>
      </c>
      <c r="N4168" t="str">
        <f t="shared" si="208"/>
        <v>AU20:BM31</v>
      </c>
      <c r="O4168" s="4">
        <f t="shared" ca="1" si="209"/>
        <v>516621.375</v>
      </c>
    </row>
    <row r="4169" spans="1:15">
      <c r="A4169" s="2" t="s">
        <v>21</v>
      </c>
      <c r="B4169" t="s">
        <v>22</v>
      </c>
      <c r="D4169">
        <v>60</v>
      </c>
      <c r="E4169" t="s">
        <v>46</v>
      </c>
      <c r="F4169">
        <v>2</v>
      </c>
      <c r="G4169">
        <v>1</v>
      </c>
      <c r="H4169">
        <v>1</v>
      </c>
      <c r="I4169">
        <v>1</v>
      </c>
      <c r="J4169" s="4" t="s">
        <v>55</v>
      </c>
      <c r="K4169" t="str">
        <f t="shared" si="210"/>
        <v>1+1</v>
      </c>
      <c r="L4169">
        <f>VLOOKUP(A4169,'ZONE 1 PREMIUM'!$A$4:$N$16,14,0)</f>
        <v>12</v>
      </c>
      <c r="M4169">
        <f>VLOOKUP(D4169,DROPDOWN!B:C,2,0)</f>
        <v>13</v>
      </c>
      <c r="N4169" t="str">
        <f t="shared" si="208"/>
        <v>AU20:BM31</v>
      </c>
      <c r="O4169" s="4">
        <f t="shared" ca="1" si="209"/>
        <v>688770</v>
      </c>
    </row>
    <row r="4170" spans="1:15">
      <c r="A4170" s="2" t="s">
        <v>11</v>
      </c>
      <c r="B4170" t="s">
        <v>45</v>
      </c>
      <c r="C4170" t="s">
        <v>25</v>
      </c>
      <c r="D4170">
        <v>60</v>
      </c>
      <c r="E4170" t="s">
        <v>46</v>
      </c>
      <c r="F4170">
        <v>3</v>
      </c>
      <c r="G4170">
        <v>1</v>
      </c>
      <c r="H4170">
        <v>2</v>
      </c>
      <c r="I4170">
        <v>1</v>
      </c>
      <c r="J4170" s="4" t="s">
        <v>55</v>
      </c>
      <c r="K4170" t="str">
        <f t="shared" si="210"/>
        <v>1+2</v>
      </c>
      <c r="L4170">
        <f>VLOOKUP(A4170,'ZONE 1 PREMIUM'!$A$4:$N$16,14,0)</f>
        <v>2</v>
      </c>
      <c r="M4170">
        <f>VLOOKUP(D4170,DROPDOWN!B:C,2,0)</f>
        <v>13</v>
      </c>
      <c r="N4170" t="str">
        <f t="shared" si="208"/>
        <v>AU35:BM46</v>
      </c>
      <c r="O4170" s="4">
        <f t="shared" ca="1" si="209"/>
        <v>102541.5</v>
      </c>
    </row>
    <row r="4171" spans="1:15">
      <c r="A4171" s="2" t="s">
        <v>12</v>
      </c>
      <c r="B4171" t="s">
        <v>27</v>
      </c>
      <c r="C4171" t="s">
        <v>28</v>
      </c>
      <c r="D4171">
        <v>60</v>
      </c>
      <c r="E4171" t="s">
        <v>46</v>
      </c>
      <c r="F4171">
        <v>3</v>
      </c>
      <c r="G4171">
        <v>1</v>
      </c>
      <c r="H4171">
        <v>2</v>
      </c>
      <c r="I4171">
        <v>1</v>
      </c>
      <c r="J4171" s="4" t="s">
        <v>55</v>
      </c>
      <c r="K4171" t="str">
        <f t="shared" si="210"/>
        <v>1+2</v>
      </c>
      <c r="L4171">
        <f>VLOOKUP(A4171,'ZONE 1 PREMIUM'!$A$4:$N$16,14,0)</f>
        <v>3</v>
      </c>
      <c r="M4171">
        <f>VLOOKUP(D4171,DROPDOWN!B:C,2,0)</f>
        <v>13</v>
      </c>
      <c r="N4171" t="str">
        <f t="shared" si="208"/>
        <v>AU35:BM46</v>
      </c>
      <c r="O4171" s="4">
        <f t="shared" ca="1" si="209"/>
        <v>110765.25</v>
      </c>
    </row>
    <row r="4172" spans="1:15">
      <c r="A4172" s="2" t="s">
        <v>13</v>
      </c>
      <c r="B4172" t="s">
        <v>29</v>
      </c>
      <c r="C4172" t="s">
        <v>30</v>
      </c>
      <c r="D4172">
        <v>60</v>
      </c>
      <c r="E4172" t="s">
        <v>46</v>
      </c>
      <c r="F4172">
        <v>3</v>
      </c>
      <c r="G4172">
        <v>1</v>
      </c>
      <c r="H4172">
        <v>2</v>
      </c>
      <c r="I4172">
        <v>1</v>
      </c>
      <c r="J4172" s="4" t="s">
        <v>55</v>
      </c>
      <c r="K4172" t="str">
        <f t="shared" si="210"/>
        <v>1+2</v>
      </c>
      <c r="L4172">
        <f>VLOOKUP(A4172,'ZONE 1 PREMIUM'!$A$4:$N$16,14,0)</f>
        <v>4</v>
      </c>
      <c r="M4172">
        <f>VLOOKUP(D4172,DROPDOWN!B:C,2,0)</f>
        <v>13</v>
      </c>
      <c r="N4172" t="str">
        <f t="shared" si="208"/>
        <v>AU35:BM46</v>
      </c>
      <c r="O4172" s="4">
        <f t="shared" ca="1" si="209"/>
        <v>121843.125</v>
      </c>
    </row>
    <row r="4173" spans="1:15">
      <c r="A4173" s="2" t="s">
        <v>14</v>
      </c>
      <c r="B4173" t="s">
        <v>31</v>
      </c>
      <c r="C4173" t="s">
        <v>32</v>
      </c>
      <c r="D4173">
        <v>60</v>
      </c>
      <c r="E4173" t="s">
        <v>46</v>
      </c>
      <c r="F4173">
        <v>3</v>
      </c>
      <c r="G4173">
        <v>1</v>
      </c>
      <c r="H4173">
        <v>2</v>
      </c>
      <c r="I4173">
        <v>1</v>
      </c>
      <c r="J4173" s="4" t="s">
        <v>55</v>
      </c>
      <c r="K4173" t="str">
        <f t="shared" si="210"/>
        <v>1+2</v>
      </c>
      <c r="L4173">
        <f>VLOOKUP(A4173,'ZONE 1 PREMIUM'!$A$4:$N$16,14,0)</f>
        <v>5</v>
      </c>
      <c r="M4173">
        <f>VLOOKUP(D4173,DROPDOWN!B:C,2,0)</f>
        <v>13</v>
      </c>
      <c r="N4173" t="str">
        <f t="shared" si="208"/>
        <v>AU35:BM46</v>
      </c>
      <c r="O4173" s="4">
        <f t="shared" ca="1" si="209"/>
        <v>135672.75</v>
      </c>
    </row>
    <row r="4174" spans="1:15">
      <c r="A4174" s="2" t="s">
        <v>15</v>
      </c>
      <c r="B4174" t="s">
        <v>33</v>
      </c>
      <c r="C4174" t="s">
        <v>34</v>
      </c>
      <c r="D4174">
        <v>60</v>
      </c>
      <c r="E4174" t="s">
        <v>46</v>
      </c>
      <c r="F4174">
        <v>3</v>
      </c>
      <c r="G4174">
        <v>1</v>
      </c>
      <c r="H4174">
        <v>2</v>
      </c>
      <c r="I4174">
        <v>1</v>
      </c>
      <c r="J4174" s="4" t="s">
        <v>55</v>
      </c>
      <c r="K4174" t="str">
        <f t="shared" si="210"/>
        <v>1+2</v>
      </c>
      <c r="L4174">
        <f>VLOOKUP(A4174,'ZONE 1 PREMIUM'!$A$4:$N$16,14,0)</f>
        <v>6</v>
      </c>
      <c r="M4174">
        <f>VLOOKUP(D4174,DROPDOWN!B:C,2,0)</f>
        <v>13</v>
      </c>
      <c r="N4174" t="str">
        <f t="shared" si="208"/>
        <v>AU35:BM46</v>
      </c>
      <c r="O4174" s="4">
        <f t="shared" ca="1" si="209"/>
        <v>168112.125</v>
      </c>
    </row>
    <row r="4175" spans="1:15">
      <c r="A4175" s="2" t="s">
        <v>16</v>
      </c>
      <c r="B4175" t="s">
        <v>35</v>
      </c>
      <c r="C4175" t="s">
        <v>36</v>
      </c>
      <c r="D4175">
        <v>60</v>
      </c>
      <c r="E4175" t="s">
        <v>46</v>
      </c>
      <c r="F4175">
        <v>3</v>
      </c>
      <c r="G4175">
        <v>1</v>
      </c>
      <c r="H4175">
        <v>2</v>
      </c>
      <c r="I4175">
        <v>1</v>
      </c>
      <c r="J4175" s="4" t="s">
        <v>55</v>
      </c>
      <c r="K4175" t="str">
        <f t="shared" si="210"/>
        <v>1+2</v>
      </c>
      <c r="L4175">
        <f>VLOOKUP(A4175,'ZONE 1 PREMIUM'!$A$4:$N$16,14,0)</f>
        <v>7</v>
      </c>
      <c r="M4175">
        <f>VLOOKUP(D4175,DROPDOWN!B:C,2,0)</f>
        <v>13</v>
      </c>
      <c r="N4175" t="str">
        <f t="shared" si="208"/>
        <v>AU35:BM46</v>
      </c>
      <c r="O4175" s="4">
        <f t="shared" ca="1" si="209"/>
        <v>224555.625</v>
      </c>
    </row>
    <row r="4176" spans="1:15">
      <c r="A4176" s="2" t="s">
        <v>17</v>
      </c>
      <c r="B4176" t="s">
        <v>37</v>
      </c>
      <c r="C4176" t="s">
        <v>38</v>
      </c>
      <c r="D4176">
        <v>60</v>
      </c>
      <c r="E4176" t="s">
        <v>46</v>
      </c>
      <c r="F4176">
        <v>3</v>
      </c>
      <c r="G4176">
        <v>1</v>
      </c>
      <c r="H4176">
        <v>2</v>
      </c>
      <c r="I4176">
        <v>1</v>
      </c>
      <c r="J4176" s="4" t="s">
        <v>55</v>
      </c>
      <c r="K4176" t="str">
        <f t="shared" si="210"/>
        <v>1+2</v>
      </c>
      <c r="L4176">
        <f>VLOOKUP(A4176,'ZONE 1 PREMIUM'!$A$4:$N$16,14,0)</f>
        <v>8</v>
      </c>
      <c r="M4176">
        <f>VLOOKUP(D4176,DROPDOWN!B:C,2,0)</f>
        <v>13</v>
      </c>
      <c r="N4176" t="str">
        <f t="shared" si="208"/>
        <v>AU35:BM46</v>
      </c>
      <c r="O4176" s="4">
        <f t="shared" ca="1" si="209"/>
        <v>289769.625</v>
      </c>
    </row>
    <row r="4177" spans="1:15">
      <c r="A4177" s="2" t="s">
        <v>18</v>
      </c>
      <c r="B4177" t="s">
        <v>39</v>
      </c>
      <c r="C4177" t="s">
        <v>40</v>
      </c>
      <c r="D4177">
        <v>60</v>
      </c>
      <c r="E4177" t="s">
        <v>46</v>
      </c>
      <c r="F4177">
        <v>3</v>
      </c>
      <c r="G4177">
        <v>1</v>
      </c>
      <c r="H4177">
        <v>2</v>
      </c>
      <c r="I4177">
        <v>1</v>
      </c>
      <c r="J4177" s="4" t="s">
        <v>55</v>
      </c>
      <c r="K4177" t="str">
        <f t="shared" si="210"/>
        <v>1+2</v>
      </c>
      <c r="L4177">
        <f>VLOOKUP(A4177,'ZONE 1 PREMIUM'!$A$4:$N$16,14,0)</f>
        <v>9</v>
      </c>
      <c r="M4177">
        <f>VLOOKUP(D4177,DROPDOWN!B:C,2,0)</f>
        <v>13</v>
      </c>
      <c r="N4177" t="str">
        <f t="shared" si="208"/>
        <v>AU35:BM46</v>
      </c>
      <c r="O4177" s="4">
        <f t="shared" ca="1" si="209"/>
        <v>379390.5</v>
      </c>
    </row>
    <row r="4178" spans="1:15">
      <c r="A4178" s="2" t="s">
        <v>19</v>
      </c>
      <c r="B4178" t="s">
        <v>41</v>
      </c>
      <c r="C4178" t="s">
        <v>42</v>
      </c>
      <c r="D4178">
        <v>60</v>
      </c>
      <c r="E4178" t="s">
        <v>46</v>
      </c>
      <c r="F4178">
        <v>3</v>
      </c>
      <c r="G4178">
        <v>1</v>
      </c>
      <c r="H4178">
        <v>2</v>
      </c>
      <c r="I4178">
        <v>1</v>
      </c>
      <c r="J4178" s="4" t="s">
        <v>55</v>
      </c>
      <c r="K4178" t="str">
        <f t="shared" si="210"/>
        <v>1+2</v>
      </c>
      <c r="L4178">
        <f>VLOOKUP(A4178,'ZONE 1 PREMIUM'!$A$4:$N$16,14,0)</f>
        <v>10</v>
      </c>
      <c r="M4178">
        <f>VLOOKUP(D4178,DROPDOWN!B:C,2,0)</f>
        <v>13</v>
      </c>
      <c r="N4178" t="str">
        <f t="shared" si="208"/>
        <v>AU35:BM46</v>
      </c>
      <c r="O4178" s="4">
        <f t="shared" ca="1" si="209"/>
        <v>481260.375</v>
      </c>
    </row>
    <row r="4179" spans="1:15">
      <c r="A4179" s="2" t="s">
        <v>20</v>
      </c>
      <c r="B4179" t="s">
        <v>43</v>
      </c>
      <c r="C4179" t="s">
        <v>44</v>
      </c>
      <c r="D4179">
        <v>60</v>
      </c>
      <c r="E4179" t="s">
        <v>46</v>
      </c>
      <c r="F4179">
        <v>3</v>
      </c>
      <c r="G4179">
        <v>1</v>
      </c>
      <c r="H4179">
        <v>2</v>
      </c>
      <c r="I4179">
        <v>1</v>
      </c>
      <c r="J4179" s="4" t="s">
        <v>55</v>
      </c>
      <c r="K4179" t="str">
        <f t="shared" si="210"/>
        <v>1+2</v>
      </c>
      <c r="L4179">
        <f>VLOOKUP(A4179,'ZONE 1 PREMIUM'!$A$4:$N$16,14,0)</f>
        <v>11</v>
      </c>
      <c r="M4179">
        <f>VLOOKUP(D4179,DROPDOWN!B:C,2,0)</f>
        <v>13</v>
      </c>
      <c r="N4179" t="str">
        <f t="shared" si="208"/>
        <v>AU35:BM46</v>
      </c>
      <c r="O4179" s="4">
        <f t="shared" ca="1" si="209"/>
        <v>559975.5</v>
      </c>
    </row>
    <row r="4180" spans="1:15">
      <c r="A4180" s="2" t="s">
        <v>21</v>
      </c>
      <c r="B4180" t="s">
        <v>22</v>
      </c>
      <c r="D4180">
        <v>60</v>
      </c>
      <c r="E4180" t="s">
        <v>46</v>
      </c>
      <c r="F4180">
        <v>3</v>
      </c>
      <c r="G4180">
        <v>1</v>
      </c>
      <c r="H4180">
        <v>2</v>
      </c>
      <c r="I4180">
        <v>1</v>
      </c>
      <c r="J4180" s="4" t="s">
        <v>55</v>
      </c>
      <c r="K4180" t="str">
        <f t="shared" si="210"/>
        <v>1+2</v>
      </c>
      <c r="L4180">
        <f>VLOOKUP(A4180,'ZONE 1 PREMIUM'!$A$4:$N$16,14,0)</f>
        <v>12</v>
      </c>
      <c r="M4180">
        <f>VLOOKUP(D4180,DROPDOWN!B:C,2,0)</f>
        <v>13</v>
      </c>
      <c r="N4180" t="str">
        <f t="shared" si="208"/>
        <v>AU35:BM46</v>
      </c>
      <c r="O4180" s="4">
        <f t="shared" ca="1" si="209"/>
        <v>720014.625</v>
      </c>
    </row>
    <row r="4181" spans="1:15">
      <c r="A4181" s="2" t="s">
        <v>11</v>
      </c>
      <c r="B4181" t="s">
        <v>45</v>
      </c>
      <c r="C4181" t="s">
        <v>25</v>
      </c>
      <c r="D4181">
        <v>60</v>
      </c>
      <c r="E4181" t="s">
        <v>46</v>
      </c>
      <c r="F4181">
        <v>4</v>
      </c>
      <c r="G4181">
        <v>1</v>
      </c>
      <c r="H4181">
        <v>3</v>
      </c>
      <c r="I4181">
        <v>1</v>
      </c>
      <c r="J4181" s="4" t="s">
        <v>55</v>
      </c>
      <c r="K4181" t="str">
        <f t="shared" si="210"/>
        <v>1+3</v>
      </c>
      <c r="L4181">
        <f>VLOOKUP(A4181,'ZONE 1 PREMIUM'!$A$4:$N$16,14,0)</f>
        <v>2</v>
      </c>
      <c r="M4181">
        <f>VLOOKUP(D4181,DROPDOWN!B:C,2,0)</f>
        <v>13</v>
      </c>
      <c r="N4181" t="str">
        <f t="shared" si="208"/>
        <v>AU50:BM61</v>
      </c>
      <c r="O4181" s="4">
        <f t="shared" ca="1" si="209"/>
        <v>122997.375</v>
      </c>
    </row>
    <row r="4182" spans="1:15">
      <c r="A4182" s="2" t="s">
        <v>12</v>
      </c>
      <c r="B4182" t="s">
        <v>27</v>
      </c>
      <c r="C4182" t="s">
        <v>28</v>
      </c>
      <c r="D4182">
        <v>60</v>
      </c>
      <c r="E4182" t="s">
        <v>46</v>
      </c>
      <c r="F4182">
        <v>4</v>
      </c>
      <c r="G4182">
        <v>1</v>
      </c>
      <c r="H4182">
        <v>3</v>
      </c>
      <c r="I4182">
        <v>1</v>
      </c>
      <c r="J4182" s="4" t="s">
        <v>55</v>
      </c>
      <c r="K4182" t="str">
        <f t="shared" si="210"/>
        <v>1+3</v>
      </c>
      <c r="L4182">
        <f>VLOOKUP(A4182,'ZONE 1 PREMIUM'!$A$4:$N$16,14,0)</f>
        <v>3</v>
      </c>
      <c r="M4182">
        <f>VLOOKUP(D4182,DROPDOWN!B:C,2,0)</f>
        <v>13</v>
      </c>
      <c r="N4182" t="str">
        <f t="shared" si="208"/>
        <v>AU50:BM61</v>
      </c>
      <c r="O4182" s="4">
        <f t="shared" ca="1" si="209"/>
        <v>130924.125</v>
      </c>
    </row>
    <row r="4183" spans="1:15">
      <c r="A4183" s="2" t="s">
        <v>13</v>
      </c>
      <c r="B4183" t="s">
        <v>29</v>
      </c>
      <c r="C4183" t="s">
        <v>30</v>
      </c>
      <c r="D4183">
        <v>60</v>
      </c>
      <c r="E4183" t="s">
        <v>46</v>
      </c>
      <c r="F4183">
        <v>4</v>
      </c>
      <c r="G4183">
        <v>1</v>
      </c>
      <c r="H4183">
        <v>3</v>
      </c>
      <c r="I4183">
        <v>1</v>
      </c>
      <c r="J4183" s="4" t="s">
        <v>55</v>
      </c>
      <c r="K4183" t="str">
        <f t="shared" si="210"/>
        <v>1+3</v>
      </c>
      <c r="L4183">
        <f>VLOOKUP(A4183,'ZONE 1 PREMIUM'!$A$4:$N$16,14,0)</f>
        <v>4</v>
      </c>
      <c r="M4183">
        <f>VLOOKUP(D4183,DROPDOWN!B:C,2,0)</f>
        <v>13</v>
      </c>
      <c r="N4183" t="str">
        <f t="shared" si="208"/>
        <v>AU50:BM61</v>
      </c>
      <c r="O4183" s="4">
        <f t="shared" ca="1" si="209"/>
        <v>145177.875</v>
      </c>
    </row>
    <row r="4184" spans="1:15">
      <c r="A4184" s="2" t="s">
        <v>14</v>
      </c>
      <c r="B4184" t="s">
        <v>31</v>
      </c>
      <c r="C4184" t="s">
        <v>32</v>
      </c>
      <c r="D4184">
        <v>60</v>
      </c>
      <c r="E4184" t="s">
        <v>46</v>
      </c>
      <c r="F4184">
        <v>4</v>
      </c>
      <c r="G4184">
        <v>1</v>
      </c>
      <c r="H4184">
        <v>3</v>
      </c>
      <c r="I4184">
        <v>1</v>
      </c>
      <c r="J4184" s="4" t="s">
        <v>55</v>
      </c>
      <c r="K4184" t="str">
        <f t="shared" si="210"/>
        <v>1+3</v>
      </c>
      <c r="L4184">
        <f>VLOOKUP(A4184,'ZONE 1 PREMIUM'!$A$4:$N$16,14,0)</f>
        <v>5</v>
      </c>
      <c r="M4184">
        <f>VLOOKUP(D4184,DROPDOWN!B:C,2,0)</f>
        <v>13</v>
      </c>
      <c r="N4184" t="str">
        <f t="shared" si="208"/>
        <v>AU50:BM61</v>
      </c>
      <c r="O4184" s="4">
        <f t="shared" ca="1" si="209"/>
        <v>160642.125</v>
      </c>
    </row>
    <row r="4185" spans="1:15">
      <c r="A4185" s="2" t="s">
        <v>15</v>
      </c>
      <c r="B4185" t="s">
        <v>33</v>
      </c>
      <c r="C4185" t="s">
        <v>34</v>
      </c>
      <c r="D4185">
        <v>60</v>
      </c>
      <c r="E4185" t="s">
        <v>46</v>
      </c>
      <c r="F4185">
        <v>4</v>
      </c>
      <c r="G4185">
        <v>1</v>
      </c>
      <c r="H4185">
        <v>3</v>
      </c>
      <c r="I4185">
        <v>1</v>
      </c>
      <c r="J4185" s="4" t="s">
        <v>55</v>
      </c>
      <c r="K4185" t="str">
        <f t="shared" si="210"/>
        <v>1+3</v>
      </c>
      <c r="L4185">
        <f>VLOOKUP(A4185,'ZONE 1 PREMIUM'!$A$4:$N$16,14,0)</f>
        <v>6</v>
      </c>
      <c r="M4185">
        <f>VLOOKUP(D4185,DROPDOWN!B:C,2,0)</f>
        <v>13</v>
      </c>
      <c r="N4185" t="str">
        <f t="shared" si="208"/>
        <v>AU50:BM61</v>
      </c>
      <c r="O4185" s="4">
        <f t="shared" ca="1" si="209"/>
        <v>196026.75</v>
      </c>
    </row>
    <row r="4186" spans="1:15">
      <c r="A4186" s="2" t="s">
        <v>16</v>
      </c>
      <c r="B4186" t="s">
        <v>35</v>
      </c>
      <c r="C4186" t="s">
        <v>36</v>
      </c>
      <c r="D4186">
        <v>60</v>
      </c>
      <c r="E4186" t="s">
        <v>46</v>
      </c>
      <c r="F4186">
        <v>4</v>
      </c>
      <c r="G4186">
        <v>1</v>
      </c>
      <c r="H4186">
        <v>3</v>
      </c>
      <c r="I4186">
        <v>1</v>
      </c>
      <c r="J4186" s="4" t="s">
        <v>55</v>
      </c>
      <c r="K4186" t="str">
        <f t="shared" si="210"/>
        <v>1+3</v>
      </c>
      <c r="L4186">
        <f>VLOOKUP(A4186,'ZONE 1 PREMIUM'!$A$4:$N$16,14,0)</f>
        <v>7</v>
      </c>
      <c r="M4186">
        <f>VLOOKUP(D4186,DROPDOWN!B:C,2,0)</f>
        <v>13</v>
      </c>
      <c r="N4186" t="str">
        <f t="shared" si="208"/>
        <v>AU50:BM61</v>
      </c>
      <c r="O4186" s="4">
        <f t="shared" ca="1" si="209"/>
        <v>254812.5</v>
      </c>
    </row>
    <row r="4187" spans="1:15">
      <c r="A4187" s="2" t="s">
        <v>17</v>
      </c>
      <c r="B4187" t="s">
        <v>37</v>
      </c>
      <c r="C4187" t="s">
        <v>38</v>
      </c>
      <c r="D4187">
        <v>60</v>
      </c>
      <c r="E4187" t="s">
        <v>46</v>
      </c>
      <c r="F4187">
        <v>4</v>
      </c>
      <c r="G4187">
        <v>1</v>
      </c>
      <c r="H4187">
        <v>3</v>
      </c>
      <c r="I4187">
        <v>1</v>
      </c>
      <c r="J4187" s="4" t="s">
        <v>55</v>
      </c>
      <c r="K4187" t="str">
        <f t="shared" si="210"/>
        <v>1+3</v>
      </c>
      <c r="L4187">
        <f>VLOOKUP(A4187,'ZONE 1 PREMIUM'!$A$4:$N$16,14,0)</f>
        <v>8</v>
      </c>
      <c r="M4187">
        <f>VLOOKUP(D4187,DROPDOWN!B:C,2,0)</f>
        <v>13</v>
      </c>
      <c r="N4187" t="str">
        <f t="shared" si="208"/>
        <v>AU50:BM61</v>
      </c>
      <c r="O4187" s="4">
        <f t="shared" ca="1" si="209"/>
        <v>315787.5</v>
      </c>
    </row>
    <row r="4188" spans="1:15">
      <c r="A4188" s="2" t="s">
        <v>18</v>
      </c>
      <c r="B4188" t="s">
        <v>39</v>
      </c>
      <c r="C4188" t="s">
        <v>40</v>
      </c>
      <c r="D4188">
        <v>60</v>
      </c>
      <c r="E4188" t="s">
        <v>46</v>
      </c>
      <c r="F4188">
        <v>4</v>
      </c>
      <c r="G4188">
        <v>1</v>
      </c>
      <c r="H4188">
        <v>3</v>
      </c>
      <c r="I4188">
        <v>1</v>
      </c>
      <c r="J4188" s="4" t="s">
        <v>55</v>
      </c>
      <c r="K4188" t="str">
        <f t="shared" si="210"/>
        <v>1+3</v>
      </c>
      <c r="L4188">
        <f>VLOOKUP(A4188,'ZONE 1 PREMIUM'!$A$4:$N$16,14,0)</f>
        <v>9</v>
      </c>
      <c r="M4188">
        <f>VLOOKUP(D4188,DROPDOWN!B:C,2,0)</f>
        <v>13</v>
      </c>
      <c r="N4188" t="str">
        <f t="shared" si="208"/>
        <v>AU50:BM61</v>
      </c>
      <c r="O4188" s="4">
        <f t="shared" ca="1" si="209"/>
        <v>408305.25</v>
      </c>
    </row>
    <row r="4189" spans="1:15">
      <c r="A4189" s="2" t="s">
        <v>19</v>
      </c>
      <c r="B4189" t="s">
        <v>41</v>
      </c>
      <c r="C4189" t="s">
        <v>42</v>
      </c>
      <c r="D4189">
        <v>60</v>
      </c>
      <c r="E4189" t="s">
        <v>46</v>
      </c>
      <c r="F4189">
        <v>4</v>
      </c>
      <c r="G4189">
        <v>1</v>
      </c>
      <c r="H4189">
        <v>3</v>
      </c>
      <c r="I4189">
        <v>1</v>
      </c>
      <c r="J4189" s="4" t="s">
        <v>55</v>
      </c>
      <c r="K4189" t="str">
        <f t="shared" si="210"/>
        <v>1+3</v>
      </c>
      <c r="L4189">
        <f>VLOOKUP(A4189,'ZONE 1 PREMIUM'!$A$4:$N$16,14,0)</f>
        <v>10</v>
      </c>
      <c r="M4189">
        <f>VLOOKUP(D4189,DROPDOWN!B:C,2,0)</f>
        <v>13</v>
      </c>
      <c r="N4189" t="str">
        <f t="shared" si="208"/>
        <v>AU50:BM61</v>
      </c>
      <c r="O4189" s="4">
        <f t="shared" ca="1" si="209"/>
        <v>503452.125</v>
      </c>
    </row>
    <row r="4190" spans="1:15">
      <c r="A4190" s="2" t="s">
        <v>20</v>
      </c>
      <c r="B4190" t="s">
        <v>43</v>
      </c>
      <c r="C4190" t="s">
        <v>44</v>
      </c>
      <c r="D4190">
        <v>60</v>
      </c>
      <c r="E4190" t="s">
        <v>46</v>
      </c>
      <c r="F4190">
        <v>4</v>
      </c>
      <c r="G4190">
        <v>1</v>
      </c>
      <c r="H4190">
        <v>3</v>
      </c>
      <c r="I4190">
        <v>1</v>
      </c>
      <c r="J4190" s="4" t="s">
        <v>55</v>
      </c>
      <c r="K4190" t="str">
        <f t="shared" si="210"/>
        <v>1+3</v>
      </c>
      <c r="L4190">
        <f>VLOOKUP(A4190,'ZONE 1 PREMIUM'!$A$4:$N$16,14,0)</f>
        <v>11</v>
      </c>
      <c r="M4190">
        <f>VLOOKUP(D4190,DROPDOWN!B:C,2,0)</f>
        <v>13</v>
      </c>
      <c r="N4190" t="str">
        <f t="shared" si="208"/>
        <v>AU50:BM61</v>
      </c>
      <c r="O4190" s="4">
        <f t="shared" ca="1" si="209"/>
        <v>580884.75</v>
      </c>
    </row>
    <row r="4191" spans="1:15">
      <c r="A4191" s="2" t="s">
        <v>21</v>
      </c>
      <c r="B4191" t="s">
        <v>22</v>
      </c>
      <c r="D4191">
        <v>60</v>
      </c>
      <c r="E4191" t="s">
        <v>46</v>
      </c>
      <c r="F4191">
        <v>4</v>
      </c>
      <c r="G4191">
        <v>1</v>
      </c>
      <c r="H4191">
        <v>3</v>
      </c>
      <c r="I4191">
        <v>1</v>
      </c>
      <c r="J4191" s="4" t="s">
        <v>55</v>
      </c>
      <c r="K4191" t="str">
        <f t="shared" si="210"/>
        <v>1+3</v>
      </c>
      <c r="L4191">
        <f>VLOOKUP(A4191,'ZONE 1 PREMIUM'!$A$4:$N$16,14,0)</f>
        <v>12</v>
      </c>
      <c r="M4191">
        <f>VLOOKUP(D4191,DROPDOWN!B:C,2,0)</f>
        <v>13</v>
      </c>
      <c r="N4191" t="str">
        <f t="shared" si="208"/>
        <v>AU50:BM61</v>
      </c>
      <c r="O4191" s="4">
        <f t="shared" ca="1" si="209"/>
        <v>742556.25</v>
      </c>
    </row>
    <row r="4192" spans="1:15">
      <c r="A4192" s="2" t="s">
        <v>11</v>
      </c>
      <c r="B4192" t="s">
        <v>45</v>
      </c>
      <c r="C4192" t="s">
        <v>25</v>
      </c>
      <c r="D4192">
        <v>60</v>
      </c>
      <c r="E4192" t="s">
        <v>46</v>
      </c>
      <c r="F4192">
        <v>5</v>
      </c>
      <c r="G4192">
        <v>1</v>
      </c>
      <c r="H4192">
        <v>4</v>
      </c>
      <c r="I4192">
        <v>1</v>
      </c>
      <c r="J4192" s="4" t="s">
        <v>55</v>
      </c>
      <c r="K4192" t="str">
        <f t="shared" si="210"/>
        <v>1+4</v>
      </c>
      <c r="L4192">
        <f>VLOOKUP(A4192,'ZONE 1 PREMIUM'!$A$4:$N$16,14,0)</f>
        <v>2</v>
      </c>
      <c r="M4192">
        <f>VLOOKUP(D4192,DROPDOWN!B:C,2,0)</f>
        <v>13</v>
      </c>
      <c r="N4192" t="str">
        <f t="shared" si="208"/>
        <v>AU65:BM76</v>
      </c>
      <c r="O4192" s="4">
        <f t="shared" ca="1" si="209"/>
        <v>143452.125</v>
      </c>
    </row>
    <row r="4193" spans="1:15">
      <c r="A4193" s="2" t="s">
        <v>12</v>
      </c>
      <c r="B4193" t="s">
        <v>27</v>
      </c>
      <c r="C4193" t="s">
        <v>28</v>
      </c>
      <c r="D4193">
        <v>60</v>
      </c>
      <c r="E4193" t="s">
        <v>46</v>
      </c>
      <c r="F4193">
        <v>5</v>
      </c>
      <c r="G4193">
        <v>1</v>
      </c>
      <c r="H4193">
        <v>4</v>
      </c>
      <c r="I4193">
        <v>1</v>
      </c>
      <c r="J4193" s="4" t="s">
        <v>55</v>
      </c>
      <c r="K4193" t="str">
        <f t="shared" si="210"/>
        <v>1+4</v>
      </c>
      <c r="L4193">
        <f>VLOOKUP(A4193,'ZONE 1 PREMIUM'!$A$4:$N$16,14,0)</f>
        <v>3</v>
      </c>
      <c r="M4193">
        <f>VLOOKUP(D4193,DROPDOWN!B:C,2,0)</f>
        <v>13</v>
      </c>
      <c r="N4193" t="str">
        <f t="shared" si="208"/>
        <v>AU65:BM76</v>
      </c>
      <c r="O4193" s="4">
        <f t="shared" ca="1" si="209"/>
        <v>151084.125</v>
      </c>
    </row>
    <row r="4194" spans="1:15">
      <c r="A4194" s="2" t="s">
        <v>13</v>
      </c>
      <c r="B4194" t="s">
        <v>29</v>
      </c>
      <c r="C4194" t="s">
        <v>30</v>
      </c>
      <c r="D4194">
        <v>60</v>
      </c>
      <c r="E4194" t="s">
        <v>46</v>
      </c>
      <c r="F4194">
        <v>5</v>
      </c>
      <c r="G4194">
        <v>1</v>
      </c>
      <c r="H4194">
        <v>4</v>
      </c>
      <c r="I4194">
        <v>1</v>
      </c>
      <c r="J4194" s="4" t="s">
        <v>55</v>
      </c>
      <c r="K4194" t="str">
        <f t="shared" si="210"/>
        <v>1+4</v>
      </c>
      <c r="L4194">
        <f>VLOOKUP(A4194,'ZONE 1 PREMIUM'!$A$4:$N$16,14,0)</f>
        <v>4</v>
      </c>
      <c r="M4194">
        <f>VLOOKUP(D4194,DROPDOWN!B:C,2,0)</f>
        <v>13</v>
      </c>
      <c r="N4194" t="str">
        <f t="shared" si="208"/>
        <v>AU65:BM76</v>
      </c>
      <c r="O4194" s="4">
        <f t="shared" ca="1" si="209"/>
        <v>168511.5</v>
      </c>
    </row>
    <row r="4195" spans="1:15">
      <c r="A4195" s="2" t="s">
        <v>14</v>
      </c>
      <c r="B4195" t="s">
        <v>31</v>
      </c>
      <c r="C4195" t="s">
        <v>32</v>
      </c>
      <c r="D4195">
        <v>60</v>
      </c>
      <c r="E4195" t="s">
        <v>46</v>
      </c>
      <c r="F4195">
        <v>5</v>
      </c>
      <c r="G4195">
        <v>1</v>
      </c>
      <c r="H4195">
        <v>4</v>
      </c>
      <c r="I4195">
        <v>1</v>
      </c>
      <c r="J4195" s="4" t="s">
        <v>55</v>
      </c>
      <c r="K4195" t="str">
        <f t="shared" si="210"/>
        <v>1+4</v>
      </c>
      <c r="L4195">
        <f>VLOOKUP(A4195,'ZONE 1 PREMIUM'!$A$4:$N$16,14,0)</f>
        <v>5</v>
      </c>
      <c r="M4195">
        <f>VLOOKUP(D4195,DROPDOWN!B:C,2,0)</f>
        <v>13</v>
      </c>
      <c r="N4195" t="str">
        <f t="shared" si="208"/>
        <v>AU65:BM76</v>
      </c>
      <c r="O4195" s="4">
        <f t="shared" ca="1" si="209"/>
        <v>185610.375</v>
      </c>
    </row>
    <row r="4196" spans="1:15">
      <c r="A4196" s="2" t="s">
        <v>15</v>
      </c>
      <c r="B4196" t="s">
        <v>33</v>
      </c>
      <c r="C4196" t="s">
        <v>34</v>
      </c>
      <c r="D4196">
        <v>60</v>
      </c>
      <c r="E4196" t="s">
        <v>46</v>
      </c>
      <c r="F4196">
        <v>5</v>
      </c>
      <c r="G4196">
        <v>1</v>
      </c>
      <c r="H4196">
        <v>4</v>
      </c>
      <c r="I4196">
        <v>1</v>
      </c>
      <c r="J4196" s="4" t="s">
        <v>55</v>
      </c>
      <c r="K4196" t="str">
        <f t="shared" si="210"/>
        <v>1+4</v>
      </c>
      <c r="L4196">
        <f>VLOOKUP(A4196,'ZONE 1 PREMIUM'!$A$4:$N$16,14,0)</f>
        <v>6</v>
      </c>
      <c r="M4196">
        <f>VLOOKUP(D4196,DROPDOWN!B:C,2,0)</f>
        <v>13</v>
      </c>
      <c r="N4196" t="str">
        <f t="shared" si="208"/>
        <v>AU65:BM76</v>
      </c>
      <c r="O4196" s="4">
        <f t="shared" ca="1" si="209"/>
        <v>223941.375</v>
      </c>
    </row>
    <row r="4197" spans="1:15">
      <c r="A4197" s="2" t="s">
        <v>16</v>
      </c>
      <c r="B4197" t="s">
        <v>35</v>
      </c>
      <c r="C4197" t="s">
        <v>36</v>
      </c>
      <c r="D4197">
        <v>60</v>
      </c>
      <c r="E4197" t="s">
        <v>46</v>
      </c>
      <c r="F4197">
        <v>5</v>
      </c>
      <c r="G4197">
        <v>1</v>
      </c>
      <c r="H4197">
        <v>4</v>
      </c>
      <c r="I4197">
        <v>1</v>
      </c>
      <c r="J4197" s="4" t="s">
        <v>55</v>
      </c>
      <c r="K4197" t="str">
        <f t="shared" si="210"/>
        <v>1+4</v>
      </c>
      <c r="L4197">
        <f>VLOOKUP(A4197,'ZONE 1 PREMIUM'!$A$4:$N$16,14,0)</f>
        <v>7</v>
      </c>
      <c r="M4197">
        <f>VLOOKUP(D4197,DROPDOWN!B:C,2,0)</f>
        <v>13</v>
      </c>
      <c r="N4197" t="str">
        <f t="shared" si="208"/>
        <v>AU65:BM76</v>
      </c>
      <c r="O4197" s="4">
        <f t="shared" ca="1" si="209"/>
        <v>279652.5</v>
      </c>
    </row>
    <row r="4198" spans="1:15">
      <c r="A4198" s="2" t="s">
        <v>17</v>
      </c>
      <c r="B4198" t="s">
        <v>37</v>
      </c>
      <c r="C4198" t="s">
        <v>38</v>
      </c>
      <c r="D4198">
        <v>60</v>
      </c>
      <c r="E4198" t="s">
        <v>46</v>
      </c>
      <c r="F4198">
        <v>5</v>
      </c>
      <c r="G4198">
        <v>1</v>
      </c>
      <c r="H4198">
        <v>4</v>
      </c>
      <c r="I4198">
        <v>1</v>
      </c>
      <c r="J4198" s="4" t="s">
        <v>55</v>
      </c>
      <c r="K4198" t="str">
        <f t="shared" si="210"/>
        <v>1+4</v>
      </c>
      <c r="L4198">
        <f>VLOOKUP(A4198,'ZONE 1 PREMIUM'!$A$4:$N$16,14,0)</f>
        <v>8</v>
      </c>
      <c r="M4198">
        <f>VLOOKUP(D4198,DROPDOWN!B:C,2,0)</f>
        <v>13</v>
      </c>
      <c r="N4198" t="str">
        <f t="shared" si="208"/>
        <v>AU65:BM76</v>
      </c>
      <c r="O4198" s="4">
        <f t="shared" ca="1" si="209"/>
        <v>339423.75</v>
      </c>
    </row>
    <row r="4199" spans="1:15">
      <c r="A4199" s="2" t="s">
        <v>18</v>
      </c>
      <c r="B4199" t="s">
        <v>39</v>
      </c>
      <c r="C4199" t="s">
        <v>40</v>
      </c>
      <c r="D4199">
        <v>60</v>
      </c>
      <c r="E4199" t="s">
        <v>46</v>
      </c>
      <c r="F4199">
        <v>5</v>
      </c>
      <c r="G4199">
        <v>1</v>
      </c>
      <c r="H4199">
        <v>4</v>
      </c>
      <c r="I4199">
        <v>1</v>
      </c>
      <c r="J4199" s="4" t="s">
        <v>55</v>
      </c>
      <c r="K4199" t="str">
        <f t="shared" si="210"/>
        <v>1+4</v>
      </c>
      <c r="L4199">
        <f>VLOOKUP(A4199,'ZONE 1 PREMIUM'!$A$4:$N$16,14,0)</f>
        <v>9</v>
      </c>
      <c r="M4199">
        <f>VLOOKUP(D4199,DROPDOWN!B:C,2,0)</f>
        <v>13</v>
      </c>
      <c r="N4199" t="str">
        <f t="shared" si="208"/>
        <v>AU65:BM76</v>
      </c>
      <c r="O4199" s="4">
        <f t="shared" ca="1" si="209"/>
        <v>432326.25</v>
      </c>
    </row>
    <row r="4200" spans="1:15">
      <c r="A4200" s="2" t="s">
        <v>19</v>
      </c>
      <c r="B4200" t="s">
        <v>41</v>
      </c>
      <c r="C4200" t="s">
        <v>42</v>
      </c>
      <c r="D4200">
        <v>60</v>
      </c>
      <c r="E4200" t="s">
        <v>46</v>
      </c>
      <c r="F4200">
        <v>5</v>
      </c>
      <c r="G4200">
        <v>1</v>
      </c>
      <c r="H4200">
        <v>4</v>
      </c>
      <c r="I4200">
        <v>1</v>
      </c>
      <c r="J4200" s="4" t="s">
        <v>55</v>
      </c>
      <c r="K4200" t="str">
        <f t="shared" si="210"/>
        <v>1+4</v>
      </c>
      <c r="L4200">
        <f>VLOOKUP(A4200,'ZONE 1 PREMIUM'!$A$4:$N$16,14,0)</f>
        <v>10</v>
      </c>
      <c r="M4200">
        <f>VLOOKUP(D4200,DROPDOWN!B:C,2,0)</f>
        <v>13</v>
      </c>
      <c r="N4200" t="str">
        <f t="shared" si="208"/>
        <v>AU65:BM76</v>
      </c>
      <c r="O4200" s="4">
        <f t="shared" ca="1" si="209"/>
        <v>526729.5</v>
      </c>
    </row>
    <row r="4201" spans="1:15">
      <c r="A4201" s="2" t="s">
        <v>20</v>
      </c>
      <c r="B4201" t="s">
        <v>43</v>
      </c>
      <c r="C4201" t="s">
        <v>44</v>
      </c>
      <c r="D4201">
        <v>60</v>
      </c>
      <c r="E4201" t="s">
        <v>46</v>
      </c>
      <c r="F4201">
        <v>5</v>
      </c>
      <c r="G4201">
        <v>1</v>
      </c>
      <c r="H4201">
        <v>4</v>
      </c>
      <c r="I4201">
        <v>1</v>
      </c>
      <c r="J4201" s="4" t="s">
        <v>55</v>
      </c>
      <c r="K4201" t="str">
        <f t="shared" si="210"/>
        <v>1+4</v>
      </c>
      <c r="L4201">
        <f>VLOOKUP(A4201,'ZONE 1 PREMIUM'!$A$4:$N$16,14,0)</f>
        <v>11</v>
      </c>
      <c r="M4201">
        <f>VLOOKUP(D4201,DROPDOWN!B:C,2,0)</f>
        <v>13</v>
      </c>
      <c r="N4201" t="str">
        <f t="shared" si="208"/>
        <v>AU65:BM76</v>
      </c>
      <c r="O4201" s="4">
        <f t="shared" ca="1" si="209"/>
        <v>604284.75</v>
      </c>
    </row>
    <row r="4202" spans="1:15">
      <c r="A4202" s="2" t="s">
        <v>21</v>
      </c>
      <c r="B4202" t="s">
        <v>22</v>
      </c>
      <c r="D4202">
        <v>60</v>
      </c>
      <c r="E4202" t="s">
        <v>46</v>
      </c>
      <c r="F4202">
        <v>5</v>
      </c>
      <c r="G4202">
        <v>1</v>
      </c>
      <c r="H4202">
        <v>4</v>
      </c>
      <c r="I4202">
        <v>1</v>
      </c>
      <c r="J4202" s="4" t="s">
        <v>55</v>
      </c>
      <c r="K4202" t="str">
        <f t="shared" si="210"/>
        <v>1+4</v>
      </c>
      <c r="L4202">
        <f>VLOOKUP(A4202,'ZONE 1 PREMIUM'!$A$4:$N$16,14,0)</f>
        <v>12</v>
      </c>
      <c r="M4202">
        <f>VLOOKUP(D4202,DROPDOWN!B:C,2,0)</f>
        <v>13</v>
      </c>
      <c r="N4202" t="str">
        <f t="shared" si="208"/>
        <v>AU65:BM76</v>
      </c>
      <c r="O4202" s="4">
        <f t="shared" ca="1" si="209"/>
        <v>766924.875</v>
      </c>
    </row>
    <row r="4203" spans="1:15">
      <c r="A4203" s="2" t="s">
        <v>11</v>
      </c>
      <c r="B4203" t="s">
        <v>45</v>
      </c>
      <c r="C4203" t="s">
        <v>25</v>
      </c>
      <c r="D4203">
        <v>60</v>
      </c>
      <c r="E4203" t="s">
        <v>46</v>
      </c>
      <c r="F4203">
        <v>2</v>
      </c>
      <c r="G4203">
        <v>2</v>
      </c>
      <c r="H4203">
        <v>0</v>
      </c>
      <c r="I4203">
        <v>1</v>
      </c>
      <c r="J4203" s="4" t="s">
        <v>55</v>
      </c>
      <c r="K4203" t="str">
        <f t="shared" si="210"/>
        <v>2+0</v>
      </c>
      <c r="L4203">
        <f>VLOOKUP(A4203,'ZONE 1 PREMIUM'!$A$4:$N$16,14,0)</f>
        <v>2</v>
      </c>
      <c r="M4203">
        <f>VLOOKUP(D4203,DROPDOWN!B:C,2,0)</f>
        <v>13</v>
      </c>
      <c r="N4203" t="str">
        <f t="shared" si="208"/>
        <v>AU81:BM92</v>
      </c>
      <c r="O4203" s="4">
        <f t="shared" ca="1" si="209"/>
        <v>122950.125</v>
      </c>
    </row>
    <row r="4204" spans="1:15">
      <c r="A4204" s="2" t="s">
        <v>12</v>
      </c>
      <c r="B4204" t="s">
        <v>27</v>
      </c>
      <c r="C4204" t="s">
        <v>28</v>
      </c>
      <c r="D4204">
        <v>60</v>
      </c>
      <c r="E4204" t="s">
        <v>46</v>
      </c>
      <c r="F4204">
        <v>2</v>
      </c>
      <c r="G4204">
        <v>2</v>
      </c>
      <c r="H4204">
        <v>0</v>
      </c>
      <c r="I4204">
        <v>1</v>
      </c>
      <c r="J4204" s="4" t="s">
        <v>55</v>
      </c>
      <c r="K4204" t="str">
        <f t="shared" si="210"/>
        <v>2+0</v>
      </c>
      <c r="L4204">
        <f>VLOOKUP(A4204,'ZONE 1 PREMIUM'!$A$4:$N$16,14,0)</f>
        <v>3</v>
      </c>
      <c r="M4204">
        <f>VLOOKUP(D4204,DROPDOWN!B:C,2,0)</f>
        <v>13</v>
      </c>
      <c r="N4204" t="str">
        <f t="shared" si="208"/>
        <v>AU81:BM92</v>
      </c>
      <c r="O4204" s="4">
        <f t="shared" ca="1" si="209"/>
        <v>139253.625</v>
      </c>
    </row>
    <row r="4205" spans="1:15">
      <c r="A4205" s="2" t="s">
        <v>13</v>
      </c>
      <c r="B4205" t="s">
        <v>29</v>
      </c>
      <c r="C4205" t="s">
        <v>30</v>
      </c>
      <c r="D4205">
        <v>60</v>
      </c>
      <c r="E4205" t="s">
        <v>46</v>
      </c>
      <c r="F4205">
        <v>2</v>
      </c>
      <c r="G4205">
        <v>2</v>
      </c>
      <c r="H4205">
        <v>0</v>
      </c>
      <c r="I4205">
        <v>1</v>
      </c>
      <c r="J4205" s="4" t="s">
        <v>55</v>
      </c>
      <c r="K4205" t="str">
        <f t="shared" si="210"/>
        <v>2+0</v>
      </c>
      <c r="L4205">
        <f>VLOOKUP(A4205,'ZONE 1 PREMIUM'!$A$4:$N$16,14,0)</f>
        <v>4</v>
      </c>
      <c r="M4205">
        <f>VLOOKUP(D4205,DROPDOWN!B:C,2,0)</f>
        <v>13</v>
      </c>
      <c r="N4205" t="str">
        <f t="shared" si="208"/>
        <v>AU81:BM92</v>
      </c>
      <c r="O4205" s="4">
        <f t="shared" ca="1" si="209"/>
        <v>146631.375</v>
      </c>
    </row>
    <row r="4206" spans="1:15">
      <c r="A4206" s="2" t="s">
        <v>14</v>
      </c>
      <c r="B4206" t="s">
        <v>31</v>
      </c>
      <c r="C4206" t="s">
        <v>32</v>
      </c>
      <c r="D4206">
        <v>60</v>
      </c>
      <c r="E4206" t="s">
        <v>46</v>
      </c>
      <c r="F4206">
        <v>2</v>
      </c>
      <c r="G4206">
        <v>2</v>
      </c>
      <c r="H4206">
        <v>0</v>
      </c>
      <c r="I4206">
        <v>1</v>
      </c>
      <c r="J4206" s="4" t="s">
        <v>55</v>
      </c>
      <c r="K4206" t="str">
        <f t="shared" si="210"/>
        <v>2+0</v>
      </c>
      <c r="L4206">
        <f>VLOOKUP(A4206,'ZONE 1 PREMIUM'!$A$4:$N$16,14,0)</f>
        <v>5</v>
      </c>
      <c r="M4206">
        <f>VLOOKUP(D4206,DROPDOWN!B:C,2,0)</f>
        <v>13</v>
      </c>
      <c r="N4206" t="str">
        <f t="shared" si="208"/>
        <v>AU81:BM92</v>
      </c>
      <c r="O4206" s="4">
        <f t="shared" ca="1" si="209"/>
        <v>163553.625</v>
      </c>
    </row>
    <row r="4207" spans="1:15">
      <c r="A4207" s="2" t="s">
        <v>15</v>
      </c>
      <c r="B4207" t="s">
        <v>33</v>
      </c>
      <c r="C4207" t="s">
        <v>34</v>
      </c>
      <c r="D4207">
        <v>60</v>
      </c>
      <c r="E4207" t="s">
        <v>46</v>
      </c>
      <c r="F4207">
        <v>2</v>
      </c>
      <c r="G4207">
        <v>2</v>
      </c>
      <c r="H4207">
        <v>0</v>
      </c>
      <c r="I4207">
        <v>1</v>
      </c>
      <c r="J4207" s="4" t="s">
        <v>55</v>
      </c>
      <c r="K4207" t="str">
        <f t="shared" si="210"/>
        <v>2+0</v>
      </c>
      <c r="L4207">
        <f>VLOOKUP(A4207,'ZONE 1 PREMIUM'!$A$4:$N$16,14,0)</f>
        <v>6</v>
      </c>
      <c r="M4207">
        <f>VLOOKUP(D4207,DROPDOWN!B:C,2,0)</f>
        <v>13</v>
      </c>
      <c r="N4207" t="str">
        <f t="shared" si="208"/>
        <v>AU81:BM92</v>
      </c>
      <c r="O4207" s="4">
        <f t="shared" ca="1" si="209"/>
        <v>205341.75</v>
      </c>
    </row>
    <row r="4208" spans="1:15">
      <c r="A4208" s="2" t="s">
        <v>16</v>
      </c>
      <c r="B4208" t="s">
        <v>35</v>
      </c>
      <c r="C4208" t="s">
        <v>36</v>
      </c>
      <c r="D4208">
        <v>60</v>
      </c>
      <c r="E4208" t="s">
        <v>46</v>
      </c>
      <c r="F4208">
        <v>2</v>
      </c>
      <c r="G4208">
        <v>2</v>
      </c>
      <c r="H4208">
        <v>0</v>
      </c>
      <c r="I4208">
        <v>1</v>
      </c>
      <c r="J4208" s="4" t="s">
        <v>55</v>
      </c>
      <c r="K4208" t="str">
        <f t="shared" si="210"/>
        <v>2+0</v>
      </c>
      <c r="L4208">
        <f>VLOOKUP(A4208,'ZONE 1 PREMIUM'!$A$4:$N$16,14,0)</f>
        <v>7</v>
      </c>
      <c r="M4208">
        <f>VLOOKUP(D4208,DROPDOWN!B:C,2,0)</f>
        <v>13</v>
      </c>
      <c r="N4208" t="str">
        <f t="shared" si="208"/>
        <v>AU81:BM92</v>
      </c>
      <c r="O4208" s="4">
        <f t="shared" ca="1" si="209"/>
        <v>280947.375</v>
      </c>
    </row>
    <row r="4209" spans="1:15">
      <c r="A4209" s="2" t="s">
        <v>17</v>
      </c>
      <c r="B4209" t="s">
        <v>37</v>
      </c>
      <c r="C4209" t="s">
        <v>38</v>
      </c>
      <c r="D4209">
        <v>60</v>
      </c>
      <c r="E4209" t="s">
        <v>46</v>
      </c>
      <c r="F4209">
        <v>2</v>
      </c>
      <c r="G4209">
        <v>2</v>
      </c>
      <c r="H4209">
        <v>0</v>
      </c>
      <c r="I4209">
        <v>1</v>
      </c>
      <c r="J4209" s="4" t="s">
        <v>55</v>
      </c>
      <c r="K4209" t="str">
        <f t="shared" si="210"/>
        <v>2+0</v>
      </c>
      <c r="L4209">
        <f>VLOOKUP(A4209,'ZONE 1 PREMIUM'!$A$4:$N$16,14,0)</f>
        <v>8</v>
      </c>
      <c r="M4209">
        <f>VLOOKUP(D4209,DROPDOWN!B:C,2,0)</f>
        <v>13</v>
      </c>
      <c r="N4209" t="str">
        <f t="shared" si="208"/>
        <v>AU81:BM92</v>
      </c>
      <c r="O4209" s="4">
        <f t="shared" ca="1" si="209"/>
        <v>389928.375</v>
      </c>
    </row>
    <row r="4210" spans="1:15">
      <c r="A4210" s="2" t="s">
        <v>18</v>
      </c>
      <c r="B4210" t="s">
        <v>39</v>
      </c>
      <c r="C4210" t="s">
        <v>40</v>
      </c>
      <c r="D4210">
        <v>60</v>
      </c>
      <c r="E4210" t="s">
        <v>46</v>
      </c>
      <c r="F4210">
        <v>2</v>
      </c>
      <c r="G4210">
        <v>2</v>
      </c>
      <c r="H4210">
        <v>0</v>
      </c>
      <c r="I4210">
        <v>1</v>
      </c>
      <c r="J4210" s="4" t="s">
        <v>55</v>
      </c>
      <c r="K4210" t="str">
        <f t="shared" si="210"/>
        <v>2+0</v>
      </c>
      <c r="L4210">
        <f>VLOOKUP(A4210,'ZONE 1 PREMIUM'!$A$4:$N$16,14,0)</f>
        <v>9</v>
      </c>
      <c r="M4210">
        <f>VLOOKUP(D4210,DROPDOWN!B:C,2,0)</f>
        <v>13</v>
      </c>
      <c r="N4210" t="str">
        <f t="shared" ref="N4210:N4257" si="211">VLOOKUP(K4210,$BN$3:$BO$12,2,0)</f>
        <v>AU81:BM92</v>
      </c>
      <c r="O4210" s="4">
        <f t="shared" ca="1" si="209"/>
        <v>546941.25</v>
      </c>
    </row>
    <row r="4211" spans="1:15">
      <c r="A4211" s="2" t="s">
        <v>19</v>
      </c>
      <c r="B4211" t="s">
        <v>41</v>
      </c>
      <c r="C4211" t="s">
        <v>42</v>
      </c>
      <c r="D4211">
        <v>60</v>
      </c>
      <c r="E4211" t="s">
        <v>46</v>
      </c>
      <c r="F4211">
        <v>2</v>
      </c>
      <c r="G4211">
        <v>2</v>
      </c>
      <c r="H4211">
        <v>0</v>
      </c>
      <c r="I4211">
        <v>1</v>
      </c>
      <c r="J4211" s="4" t="s">
        <v>55</v>
      </c>
      <c r="K4211" t="str">
        <f t="shared" si="210"/>
        <v>2+0</v>
      </c>
      <c r="L4211">
        <f>VLOOKUP(A4211,'ZONE 1 PREMIUM'!$A$4:$N$16,14,0)</f>
        <v>10</v>
      </c>
      <c r="M4211">
        <f>VLOOKUP(D4211,DROPDOWN!B:C,2,0)</f>
        <v>13</v>
      </c>
      <c r="N4211" t="str">
        <f t="shared" si="211"/>
        <v>AU81:BM92</v>
      </c>
      <c r="O4211" s="4">
        <f t="shared" ca="1" si="209"/>
        <v>757017</v>
      </c>
    </row>
    <row r="4212" spans="1:15">
      <c r="A4212" s="2" t="s">
        <v>20</v>
      </c>
      <c r="B4212" t="s">
        <v>43</v>
      </c>
      <c r="C4212" t="s">
        <v>44</v>
      </c>
      <c r="D4212">
        <v>60</v>
      </c>
      <c r="E4212" t="s">
        <v>46</v>
      </c>
      <c r="F4212">
        <v>2</v>
      </c>
      <c r="G4212">
        <v>2</v>
      </c>
      <c r="H4212">
        <v>0</v>
      </c>
      <c r="I4212">
        <v>1</v>
      </c>
      <c r="J4212" s="4" t="s">
        <v>55</v>
      </c>
      <c r="K4212" t="str">
        <f t="shared" si="210"/>
        <v>2+0</v>
      </c>
      <c r="L4212">
        <f>VLOOKUP(A4212,'ZONE 1 PREMIUM'!$A$4:$N$16,14,0)</f>
        <v>11</v>
      </c>
      <c r="M4212">
        <f>VLOOKUP(D4212,DROPDOWN!B:C,2,0)</f>
        <v>13</v>
      </c>
      <c r="N4212" t="str">
        <f t="shared" si="211"/>
        <v>AU81:BM92</v>
      </c>
      <c r="O4212" s="4">
        <f t="shared" ca="1" si="209"/>
        <v>922407.75</v>
      </c>
    </row>
    <row r="4213" spans="1:15">
      <c r="A4213" s="2" t="s">
        <v>21</v>
      </c>
      <c r="B4213" t="s">
        <v>22</v>
      </c>
      <c r="D4213">
        <v>60</v>
      </c>
      <c r="E4213" t="s">
        <v>46</v>
      </c>
      <c r="F4213">
        <v>2</v>
      </c>
      <c r="G4213">
        <v>2</v>
      </c>
      <c r="H4213">
        <v>0</v>
      </c>
      <c r="I4213">
        <v>1</v>
      </c>
      <c r="J4213" s="4" t="s">
        <v>55</v>
      </c>
      <c r="K4213" t="str">
        <f t="shared" si="210"/>
        <v>2+0</v>
      </c>
      <c r="L4213">
        <f>VLOOKUP(A4213,'ZONE 1 PREMIUM'!$A$4:$N$16,14,0)</f>
        <v>12</v>
      </c>
      <c r="M4213">
        <f>VLOOKUP(D4213,DROPDOWN!B:C,2,0)</f>
        <v>13</v>
      </c>
      <c r="N4213" t="str">
        <f t="shared" si="211"/>
        <v>AU81:BM92</v>
      </c>
      <c r="O4213" s="4">
        <f t="shared" ca="1" si="209"/>
        <v>1154719.125</v>
      </c>
    </row>
    <row r="4214" spans="1:15">
      <c r="A4214" s="2" t="s">
        <v>11</v>
      </c>
      <c r="B4214" t="s">
        <v>45</v>
      </c>
      <c r="C4214" t="s">
        <v>25</v>
      </c>
      <c r="D4214">
        <v>60</v>
      </c>
      <c r="E4214" t="s">
        <v>46</v>
      </c>
      <c r="F4214">
        <v>3</v>
      </c>
      <c r="G4214">
        <v>2</v>
      </c>
      <c r="H4214">
        <v>1</v>
      </c>
      <c r="I4214">
        <v>1</v>
      </c>
      <c r="J4214" s="4" t="s">
        <v>55</v>
      </c>
      <c r="K4214" t="str">
        <f t="shared" si="210"/>
        <v>2+1</v>
      </c>
      <c r="L4214">
        <f>VLOOKUP(A4214,'ZONE 1 PREMIUM'!$A$4:$N$16,14,0)</f>
        <v>2</v>
      </c>
      <c r="M4214">
        <f>VLOOKUP(D4214,DROPDOWN!B:C,2,0)</f>
        <v>13</v>
      </c>
      <c r="N4214" t="str">
        <f t="shared" si="211"/>
        <v>AU98:BM109</v>
      </c>
      <c r="O4214" s="4">
        <f t="shared" ca="1" si="209"/>
        <v>143561.25</v>
      </c>
    </row>
    <row r="4215" spans="1:15">
      <c r="A4215" s="2" t="s">
        <v>12</v>
      </c>
      <c r="B4215" t="s">
        <v>27</v>
      </c>
      <c r="C4215" t="s">
        <v>28</v>
      </c>
      <c r="D4215">
        <v>60</v>
      </c>
      <c r="E4215" t="s">
        <v>46</v>
      </c>
      <c r="F4215">
        <v>3</v>
      </c>
      <c r="G4215">
        <v>2</v>
      </c>
      <c r="H4215">
        <v>1</v>
      </c>
      <c r="I4215">
        <v>1</v>
      </c>
      <c r="J4215" s="4" t="s">
        <v>55</v>
      </c>
      <c r="K4215" t="str">
        <f t="shared" si="210"/>
        <v>2+1</v>
      </c>
      <c r="L4215">
        <f>VLOOKUP(A4215,'ZONE 1 PREMIUM'!$A$4:$N$16,14,0)</f>
        <v>3</v>
      </c>
      <c r="M4215">
        <f>VLOOKUP(D4215,DROPDOWN!B:C,2,0)</f>
        <v>13</v>
      </c>
      <c r="N4215" t="str">
        <f t="shared" si="211"/>
        <v>AU98:BM109</v>
      </c>
      <c r="O4215" s="4">
        <f t="shared" ca="1" si="209"/>
        <v>159571.125</v>
      </c>
    </row>
    <row r="4216" spans="1:15">
      <c r="A4216" s="2" t="s">
        <v>13</v>
      </c>
      <c r="B4216" t="s">
        <v>29</v>
      </c>
      <c r="C4216" t="s">
        <v>30</v>
      </c>
      <c r="D4216">
        <v>60</v>
      </c>
      <c r="E4216" t="s">
        <v>46</v>
      </c>
      <c r="F4216">
        <v>3</v>
      </c>
      <c r="G4216">
        <v>2</v>
      </c>
      <c r="H4216">
        <v>1</v>
      </c>
      <c r="I4216">
        <v>1</v>
      </c>
      <c r="J4216" s="4" t="s">
        <v>55</v>
      </c>
      <c r="K4216" t="str">
        <f t="shared" si="210"/>
        <v>2+1</v>
      </c>
      <c r="L4216">
        <f>VLOOKUP(A4216,'ZONE 1 PREMIUM'!$A$4:$N$16,14,0)</f>
        <v>4</v>
      </c>
      <c r="M4216">
        <f>VLOOKUP(D4216,DROPDOWN!B:C,2,0)</f>
        <v>13</v>
      </c>
      <c r="N4216" t="str">
        <f t="shared" si="211"/>
        <v>AU98:BM109</v>
      </c>
      <c r="O4216" s="4">
        <f t="shared" ca="1" si="209"/>
        <v>170194.5</v>
      </c>
    </row>
    <row r="4217" spans="1:15">
      <c r="A4217" s="2" t="s">
        <v>14</v>
      </c>
      <c r="B4217" t="s">
        <v>31</v>
      </c>
      <c r="C4217" t="s">
        <v>32</v>
      </c>
      <c r="D4217">
        <v>60</v>
      </c>
      <c r="E4217" t="s">
        <v>46</v>
      </c>
      <c r="F4217">
        <v>3</v>
      </c>
      <c r="G4217">
        <v>2</v>
      </c>
      <c r="H4217">
        <v>1</v>
      </c>
      <c r="I4217">
        <v>1</v>
      </c>
      <c r="J4217" s="4" t="s">
        <v>55</v>
      </c>
      <c r="K4217" t="str">
        <f t="shared" si="210"/>
        <v>2+1</v>
      </c>
      <c r="L4217">
        <f>VLOOKUP(A4217,'ZONE 1 PREMIUM'!$A$4:$N$16,14,0)</f>
        <v>5</v>
      </c>
      <c r="M4217">
        <f>VLOOKUP(D4217,DROPDOWN!B:C,2,0)</f>
        <v>13</v>
      </c>
      <c r="N4217" t="str">
        <f t="shared" si="211"/>
        <v>AU98:BM109</v>
      </c>
      <c r="O4217" s="4">
        <f t="shared" ca="1" si="209"/>
        <v>188802</v>
      </c>
    </row>
    <row r="4218" spans="1:15">
      <c r="A4218" s="2" t="s">
        <v>15</v>
      </c>
      <c r="B4218" t="s">
        <v>33</v>
      </c>
      <c r="C4218" t="s">
        <v>34</v>
      </c>
      <c r="D4218">
        <v>60</v>
      </c>
      <c r="E4218" t="s">
        <v>46</v>
      </c>
      <c r="F4218">
        <v>3</v>
      </c>
      <c r="G4218">
        <v>2</v>
      </c>
      <c r="H4218">
        <v>1</v>
      </c>
      <c r="I4218">
        <v>1</v>
      </c>
      <c r="J4218" s="4" t="s">
        <v>55</v>
      </c>
      <c r="K4218" t="str">
        <f t="shared" si="210"/>
        <v>2+1</v>
      </c>
      <c r="L4218">
        <f>VLOOKUP(A4218,'ZONE 1 PREMIUM'!$A$4:$N$16,14,0)</f>
        <v>6</v>
      </c>
      <c r="M4218">
        <f>VLOOKUP(D4218,DROPDOWN!B:C,2,0)</f>
        <v>13</v>
      </c>
      <c r="N4218" t="str">
        <f t="shared" si="211"/>
        <v>AU98:BM109</v>
      </c>
      <c r="O4218" s="4">
        <f t="shared" ca="1" si="209"/>
        <v>233598.375</v>
      </c>
    </row>
    <row r="4219" spans="1:15">
      <c r="A4219" s="2" t="s">
        <v>16</v>
      </c>
      <c r="B4219" t="s">
        <v>35</v>
      </c>
      <c r="C4219" t="s">
        <v>36</v>
      </c>
      <c r="D4219">
        <v>60</v>
      </c>
      <c r="E4219" t="s">
        <v>46</v>
      </c>
      <c r="F4219">
        <v>3</v>
      </c>
      <c r="G4219">
        <v>2</v>
      </c>
      <c r="H4219">
        <v>1</v>
      </c>
      <c r="I4219">
        <v>1</v>
      </c>
      <c r="J4219" s="4" t="s">
        <v>55</v>
      </c>
      <c r="K4219" t="str">
        <f t="shared" si="210"/>
        <v>2+1</v>
      </c>
      <c r="L4219">
        <f>VLOOKUP(A4219,'ZONE 1 PREMIUM'!$A$4:$N$16,14,0)</f>
        <v>7</v>
      </c>
      <c r="M4219">
        <f>VLOOKUP(D4219,DROPDOWN!B:C,2,0)</f>
        <v>13</v>
      </c>
      <c r="N4219" t="str">
        <f t="shared" si="211"/>
        <v>AU98:BM109</v>
      </c>
      <c r="O4219" s="4">
        <f t="shared" ca="1" si="209"/>
        <v>315528.75</v>
      </c>
    </row>
    <row r="4220" spans="1:15">
      <c r="A4220" s="2" t="s">
        <v>17</v>
      </c>
      <c r="B4220" t="s">
        <v>37</v>
      </c>
      <c r="C4220" t="s">
        <v>38</v>
      </c>
      <c r="D4220">
        <v>60</v>
      </c>
      <c r="E4220" t="s">
        <v>46</v>
      </c>
      <c r="F4220">
        <v>3</v>
      </c>
      <c r="G4220">
        <v>2</v>
      </c>
      <c r="H4220">
        <v>1</v>
      </c>
      <c r="I4220">
        <v>1</v>
      </c>
      <c r="J4220" s="4" t="s">
        <v>55</v>
      </c>
      <c r="K4220" t="str">
        <f t="shared" si="210"/>
        <v>2+1</v>
      </c>
      <c r="L4220">
        <f>VLOOKUP(A4220,'ZONE 1 PREMIUM'!$A$4:$N$16,14,0)</f>
        <v>8</v>
      </c>
      <c r="M4220">
        <f>VLOOKUP(D4220,DROPDOWN!B:C,2,0)</f>
        <v>13</v>
      </c>
      <c r="N4220" t="str">
        <f t="shared" si="211"/>
        <v>AU98:BM109</v>
      </c>
      <c r="O4220" s="4">
        <f t="shared" ca="1" si="209"/>
        <v>427039.875</v>
      </c>
    </row>
    <row r="4221" spans="1:15">
      <c r="A4221" s="2" t="s">
        <v>18</v>
      </c>
      <c r="B4221" t="s">
        <v>39</v>
      </c>
      <c r="C4221" t="s">
        <v>40</v>
      </c>
      <c r="D4221">
        <v>60</v>
      </c>
      <c r="E4221" t="s">
        <v>46</v>
      </c>
      <c r="F4221">
        <v>3</v>
      </c>
      <c r="G4221">
        <v>2</v>
      </c>
      <c r="H4221">
        <v>1</v>
      </c>
      <c r="I4221">
        <v>1</v>
      </c>
      <c r="J4221" s="4" t="s">
        <v>55</v>
      </c>
      <c r="K4221" t="str">
        <f t="shared" si="210"/>
        <v>2+1</v>
      </c>
      <c r="L4221">
        <f>VLOOKUP(A4221,'ZONE 1 PREMIUM'!$A$4:$N$16,14,0)</f>
        <v>9</v>
      </c>
      <c r="M4221">
        <f>VLOOKUP(D4221,DROPDOWN!B:C,2,0)</f>
        <v>13</v>
      </c>
      <c r="N4221" t="str">
        <f t="shared" si="211"/>
        <v>AU98:BM109</v>
      </c>
      <c r="O4221" s="4">
        <f t="shared" ca="1" si="209"/>
        <v>584685</v>
      </c>
    </row>
    <row r="4222" spans="1:15">
      <c r="A4222" s="2" t="s">
        <v>19</v>
      </c>
      <c r="B4222" t="s">
        <v>41</v>
      </c>
      <c r="C4222" t="s">
        <v>42</v>
      </c>
      <c r="D4222">
        <v>60</v>
      </c>
      <c r="E4222" t="s">
        <v>46</v>
      </c>
      <c r="F4222">
        <v>3</v>
      </c>
      <c r="G4222">
        <v>2</v>
      </c>
      <c r="H4222">
        <v>1</v>
      </c>
      <c r="I4222">
        <v>1</v>
      </c>
      <c r="J4222" s="4" t="s">
        <v>55</v>
      </c>
      <c r="K4222" t="str">
        <f t="shared" si="210"/>
        <v>2+1</v>
      </c>
      <c r="L4222">
        <f>VLOOKUP(A4222,'ZONE 1 PREMIUM'!$A$4:$N$16,14,0)</f>
        <v>10</v>
      </c>
      <c r="M4222">
        <f>VLOOKUP(D4222,DROPDOWN!B:C,2,0)</f>
        <v>13</v>
      </c>
      <c r="N4222" t="str">
        <f t="shared" si="211"/>
        <v>AU98:BM109</v>
      </c>
      <c r="O4222" s="4">
        <f t="shared" ca="1" si="209"/>
        <v>777358.125</v>
      </c>
    </row>
    <row r="4223" spans="1:15">
      <c r="A4223" s="2" t="s">
        <v>20</v>
      </c>
      <c r="B4223" t="s">
        <v>43</v>
      </c>
      <c r="C4223" t="s">
        <v>44</v>
      </c>
      <c r="D4223">
        <v>60</v>
      </c>
      <c r="E4223" t="s">
        <v>46</v>
      </c>
      <c r="F4223">
        <v>3</v>
      </c>
      <c r="G4223">
        <v>2</v>
      </c>
      <c r="H4223">
        <v>1</v>
      </c>
      <c r="I4223">
        <v>1</v>
      </c>
      <c r="J4223" s="4" t="s">
        <v>55</v>
      </c>
      <c r="K4223" t="str">
        <f t="shared" si="210"/>
        <v>2+1</v>
      </c>
      <c r="L4223">
        <f>VLOOKUP(A4223,'ZONE 1 PREMIUM'!$A$4:$N$16,14,0)</f>
        <v>11</v>
      </c>
      <c r="M4223">
        <f>VLOOKUP(D4223,DROPDOWN!B:C,2,0)</f>
        <v>13</v>
      </c>
      <c r="N4223" t="str">
        <f t="shared" si="211"/>
        <v>AU98:BM109</v>
      </c>
      <c r="O4223" s="4">
        <f t="shared" ca="1" si="209"/>
        <v>936822.375</v>
      </c>
    </row>
    <row r="4224" spans="1:15">
      <c r="A4224" s="2" t="s">
        <v>21</v>
      </c>
      <c r="B4224" t="s">
        <v>22</v>
      </c>
      <c r="D4224">
        <v>60</v>
      </c>
      <c r="E4224" t="s">
        <v>46</v>
      </c>
      <c r="F4224">
        <v>3</v>
      </c>
      <c r="G4224">
        <v>2</v>
      </c>
      <c r="H4224">
        <v>1</v>
      </c>
      <c r="I4224">
        <v>1</v>
      </c>
      <c r="J4224" s="4" t="s">
        <v>55</v>
      </c>
      <c r="K4224" t="str">
        <f t="shared" si="210"/>
        <v>2+1</v>
      </c>
      <c r="L4224">
        <f>VLOOKUP(A4224,'ZONE 1 PREMIUM'!$A$4:$N$16,14,0)</f>
        <v>12</v>
      </c>
      <c r="M4224">
        <f>VLOOKUP(D4224,DROPDOWN!B:C,2,0)</f>
        <v>13</v>
      </c>
      <c r="N4224" t="str">
        <f t="shared" si="211"/>
        <v>AU98:BM109</v>
      </c>
      <c r="O4224" s="4">
        <f t="shared" ca="1" si="209"/>
        <v>1168723.125</v>
      </c>
    </row>
    <row r="4225" spans="1:15">
      <c r="A4225" s="2" t="s">
        <v>11</v>
      </c>
      <c r="B4225" t="s">
        <v>45</v>
      </c>
      <c r="C4225" t="s">
        <v>25</v>
      </c>
      <c r="D4225">
        <v>60</v>
      </c>
      <c r="E4225" t="s">
        <v>46</v>
      </c>
      <c r="F4225">
        <v>4</v>
      </c>
      <c r="G4225">
        <v>2</v>
      </c>
      <c r="H4225">
        <v>2</v>
      </c>
      <c r="I4225">
        <v>1</v>
      </c>
      <c r="J4225" s="4" t="s">
        <v>55</v>
      </c>
      <c r="K4225" t="str">
        <f t="shared" si="210"/>
        <v>2+2</v>
      </c>
      <c r="L4225">
        <f>VLOOKUP(A4225,'ZONE 1 PREMIUM'!$A$4:$N$16,14,0)</f>
        <v>2</v>
      </c>
      <c r="M4225">
        <f>VLOOKUP(D4225,DROPDOWN!B:C,2,0)</f>
        <v>13</v>
      </c>
      <c r="N4225" t="str">
        <f t="shared" si="211"/>
        <v>AU113:BM124</v>
      </c>
      <c r="O4225" s="4">
        <f t="shared" ca="1" si="209"/>
        <v>164017.125</v>
      </c>
    </row>
    <row r="4226" spans="1:15">
      <c r="A4226" s="2" t="s">
        <v>12</v>
      </c>
      <c r="B4226" t="s">
        <v>27</v>
      </c>
      <c r="C4226" t="s">
        <v>28</v>
      </c>
      <c r="D4226">
        <v>60</v>
      </c>
      <c r="E4226" t="s">
        <v>46</v>
      </c>
      <c r="F4226">
        <v>4</v>
      </c>
      <c r="G4226">
        <v>2</v>
      </c>
      <c r="H4226">
        <v>2</v>
      </c>
      <c r="I4226">
        <v>1</v>
      </c>
      <c r="J4226" s="4" t="s">
        <v>55</v>
      </c>
      <c r="K4226" t="str">
        <f t="shared" si="210"/>
        <v>2+2</v>
      </c>
      <c r="L4226">
        <f>VLOOKUP(A4226,'ZONE 1 PREMIUM'!$A$4:$N$16,14,0)</f>
        <v>3</v>
      </c>
      <c r="M4226">
        <f>VLOOKUP(D4226,DROPDOWN!B:C,2,0)</f>
        <v>13</v>
      </c>
      <c r="N4226" t="str">
        <f t="shared" si="211"/>
        <v>AU113:BM124</v>
      </c>
      <c r="O4226" s="4">
        <f t="shared" ref="O4226:O4289" ca="1" si="212">INDEX(INDIRECT(N4226),L4226,M4226)</f>
        <v>179731.125</v>
      </c>
    </row>
    <row r="4227" spans="1:15">
      <c r="A4227" s="2" t="s">
        <v>13</v>
      </c>
      <c r="B4227" t="s">
        <v>29</v>
      </c>
      <c r="C4227" t="s">
        <v>30</v>
      </c>
      <c r="D4227">
        <v>60</v>
      </c>
      <c r="E4227" t="s">
        <v>46</v>
      </c>
      <c r="F4227">
        <v>4</v>
      </c>
      <c r="G4227">
        <v>2</v>
      </c>
      <c r="H4227">
        <v>2</v>
      </c>
      <c r="I4227">
        <v>1</v>
      </c>
      <c r="J4227" s="4" t="s">
        <v>55</v>
      </c>
      <c r="K4227" t="str">
        <f t="shared" si="210"/>
        <v>2+2</v>
      </c>
      <c r="L4227">
        <f>VLOOKUP(A4227,'ZONE 1 PREMIUM'!$A$4:$N$16,14,0)</f>
        <v>4</v>
      </c>
      <c r="M4227">
        <f>VLOOKUP(D4227,DROPDOWN!B:C,2,0)</f>
        <v>13</v>
      </c>
      <c r="N4227" t="str">
        <f t="shared" si="211"/>
        <v>AU113:BM124</v>
      </c>
      <c r="O4227" s="4">
        <f t="shared" ca="1" si="212"/>
        <v>193529.25</v>
      </c>
    </row>
    <row r="4228" spans="1:15">
      <c r="A4228" s="2" t="s">
        <v>14</v>
      </c>
      <c r="B4228" t="s">
        <v>31</v>
      </c>
      <c r="C4228" t="s">
        <v>32</v>
      </c>
      <c r="D4228">
        <v>60</v>
      </c>
      <c r="E4228" t="s">
        <v>46</v>
      </c>
      <c r="F4228">
        <v>4</v>
      </c>
      <c r="G4228">
        <v>2</v>
      </c>
      <c r="H4228">
        <v>2</v>
      </c>
      <c r="I4228">
        <v>1</v>
      </c>
      <c r="J4228" s="4" t="s">
        <v>55</v>
      </c>
      <c r="K4228" t="str">
        <f t="shared" ref="K4228:K4291" si="213">G4228&amp;"+"&amp;H4228</f>
        <v>2+2</v>
      </c>
      <c r="L4228">
        <f>VLOOKUP(A4228,'ZONE 1 PREMIUM'!$A$4:$N$16,14,0)</f>
        <v>5</v>
      </c>
      <c r="M4228">
        <f>VLOOKUP(D4228,DROPDOWN!B:C,2,0)</f>
        <v>13</v>
      </c>
      <c r="N4228" t="str">
        <f t="shared" si="211"/>
        <v>AU113:BM124</v>
      </c>
      <c r="O4228" s="4">
        <f t="shared" ca="1" si="212"/>
        <v>213771.375</v>
      </c>
    </row>
    <row r="4229" spans="1:15">
      <c r="A4229" s="2" t="s">
        <v>15</v>
      </c>
      <c r="B4229" t="s">
        <v>33</v>
      </c>
      <c r="C4229" t="s">
        <v>34</v>
      </c>
      <c r="D4229">
        <v>60</v>
      </c>
      <c r="E4229" t="s">
        <v>46</v>
      </c>
      <c r="F4229">
        <v>4</v>
      </c>
      <c r="G4229">
        <v>2</v>
      </c>
      <c r="H4229">
        <v>2</v>
      </c>
      <c r="I4229">
        <v>1</v>
      </c>
      <c r="J4229" s="4" t="s">
        <v>55</v>
      </c>
      <c r="K4229" t="str">
        <f t="shared" si="213"/>
        <v>2+2</v>
      </c>
      <c r="L4229">
        <f>VLOOKUP(A4229,'ZONE 1 PREMIUM'!$A$4:$N$16,14,0)</f>
        <v>6</v>
      </c>
      <c r="M4229">
        <f>VLOOKUP(D4229,DROPDOWN!B:C,2,0)</f>
        <v>13</v>
      </c>
      <c r="N4229" t="str">
        <f t="shared" si="211"/>
        <v>AU113:BM124</v>
      </c>
      <c r="O4229" s="4">
        <f t="shared" ca="1" si="212"/>
        <v>261513</v>
      </c>
    </row>
    <row r="4230" spans="1:15">
      <c r="A4230" s="2" t="s">
        <v>16</v>
      </c>
      <c r="B4230" t="s">
        <v>35</v>
      </c>
      <c r="C4230" t="s">
        <v>36</v>
      </c>
      <c r="D4230">
        <v>60</v>
      </c>
      <c r="E4230" t="s">
        <v>46</v>
      </c>
      <c r="F4230">
        <v>4</v>
      </c>
      <c r="G4230">
        <v>2</v>
      </c>
      <c r="H4230">
        <v>2</v>
      </c>
      <c r="I4230">
        <v>1</v>
      </c>
      <c r="J4230" s="4" t="s">
        <v>55</v>
      </c>
      <c r="K4230" t="str">
        <f t="shared" si="213"/>
        <v>2+2</v>
      </c>
      <c r="L4230">
        <f>VLOOKUP(A4230,'ZONE 1 PREMIUM'!$A$4:$N$16,14,0)</f>
        <v>7</v>
      </c>
      <c r="M4230">
        <f>VLOOKUP(D4230,DROPDOWN!B:C,2,0)</f>
        <v>13</v>
      </c>
      <c r="N4230" t="str">
        <f t="shared" si="211"/>
        <v>AU113:BM124</v>
      </c>
      <c r="O4230" s="4">
        <f t="shared" ca="1" si="212"/>
        <v>349665.75</v>
      </c>
    </row>
    <row r="4231" spans="1:15">
      <c r="A4231" s="2" t="s">
        <v>17</v>
      </c>
      <c r="B4231" t="s">
        <v>37</v>
      </c>
      <c r="C4231" t="s">
        <v>38</v>
      </c>
      <c r="D4231">
        <v>60</v>
      </c>
      <c r="E4231" t="s">
        <v>46</v>
      </c>
      <c r="F4231">
        <v>4</v>
      </c>
      <c r="G4231">
        <v>2</v>
      </c>
      <c r="H4231">
        <v>2</v>
      </c>
      <c r="I4231">
        <v>1</v>
      </c>
      <c r="J4231" s="4" t="s">
        <v>55</v>
      </c>
      <c r="K4231" t="str">
        <f t="shared" si="213"/>
        <v>2+2</v>
      </c>
      <c r="L4231">
        <f>VLOOKUP(A4231,'ZONE 1 PREMIUM'!$A$4:$N$16,14,0)</f>
        <v>8</v>
      </c>
      <c r="M4231">
        <f>VLOOKUP(D4231,DROPDOWN!B:C,2,0)</f>
        <v>13</v>
      </c>
      <c r="N4231" t="str">
        <f t="shared" si="211"/>
        <v>AU113:BM124</v>
      </c>
      <c r="O4231" s="4">
        <f t="shared" ca="1" si="212"/>
        <v>458332.875</v>
      </c>
    </row>
    <row r="4232" spans="1:15">
      <c r="A4232" s="2" t="s">
        <v>18</v>
      </c>
      <c r="B4232" t="s">
        <v>39</v>
      </c>
      <c r="C4232" t="s">
        <v>40</v>
      </c>
      <c r="D4232">
        <v>60</v>
      </c>
      <c r="E4232" t="s">
        <v>46</v>
      </c>
      <c r="F4232">
        <v>4</v>
      </c>
      <c r="G4232">
        <v>2</v>
      </c>
      <c r="H4232">
        <v>2</v>
      </c>
      <c r="I4232">
        <v>1</v>
      </c>
      <c r="J4232" s="4" t="s">
        <v>55</v>
      </c>
      <c r="K4232" t="str">
        <f t="shared" si="213"/>
        <v>2+2</v>
      </c>
      <c r="L4232">
        <f>VLOOKUP(A4232,'ZONE 1 PREMIUM'!$A$4:$N$16,14,0)</f>
        <v>9</v>
      </c>
      <c r="M4232">
        <f>VLOOKUP(D4232,DROPDOWN!B:C,2,0)</f>
        <v>13</v>
      </c>
      <c r="N4232" t="str">
        <f t="shared" si="211"/>
        <v>AU113:BM124</v>
      </c>
      <c r="O4232" s="4">
        <f t="shared" ca="1" si="212"/>
        <v>608560.875</v>
      </c>
    </row>
    <row r="4233" spans="1:15">
      <c r="A4233" s="2" t="s">
        <v>19</v>
      </c>
      <c r="B4233" t="s">
        <v>41</v>
      </c>
      <c r="C4233" t="s">
        <v>42</v>
      </c>
      <c r="D4233">
        <v>60</v>
      </c>
      <c r="E4233" t="s">
        <v>46</v>
      </c>
      <c r="F4233">
        <v>4</v>
      </c>
      <c r="G4233">
        <v>2</v>
      </c>
      <c r="H4233">
        <v>2</v>
      </c>
      <c r="I4233">
        <v>1</v>
      </c>
      <c r="J4233" s="4" t="s">
        <v>55</v>
      </c>
      <c r="K4233" t="str">
        <f t="shared" si="213"/>
        <v>2+2</v>
      </c>
      <c r="L4233">
        <f>VLOOKUP(A4233,'ZONE 1 PREMIUM'!$A$4:$N$16,14,0)</f>
        <v>10</v>
      </c>
      <c r="M4233">
        <f>VLOOKUP(D4233,DROPDOWN!B:C,2,0)</f>
        <v>13</v>
      </c>
      <c r="N4233" t="str">
        <f t="shared" si="211"/>
        <v>AU113:BM124</v>
      </c>
      <c r="O4233" s="4">
        <f t="shared" ca="1" si="212"/>
        <v>784713.375</v>
      </c>
    </row>
    <row r="4234" spans="1:15">
      <c r="A4234" s="2" t="s">
        <v>20</v>
      </c>
      <c r="B4234" t="s">
        <v>43</v>
      </c>
      <c r="C4234" t="s">
        <v>44</v>
      </c>
      <c r="D4234">
        <v>60</v>
      </c>
      <c r="E4234" t="s">
        <v>46</v>
      </c>
      <c r="F4234">
        <v>4</v>
      </c>
      <c r="G4234">
        <v>2</v>
      </c>
      <c r="H4234">
        <v>2</v>
      </c>
      <c r="I4234">
        <v>1</v>
      </c>
      <c r="J4234" s="4" t="s">
        <v>55</v>
      </c>
      <c r="K4234" t="str">
        <f t="shared" si="213"/>
        <v>2+2</v>
      </c>
      <c r="L4234">
        <f>VLOOKUP(A4234,'ZONE 1 PREMIUM'!$A$4:$N$16,14,0)</f>
        <v>11</v>
      </c>
      <c r="M4234">
        <f>VLOOKUP(D4234,DROPDOWN!B:C,2,0)</f>
        <v>13</v>
      </c>
      <c r="N4234" t="str">
        <f t="shared" si="211"/>
        <v>AU113:BM124</v>
      </c>
      <c r="O4234" s="4">
        <f t="shared" ca="1" si="212"/>
        <v>945960.75</v>
      </c>
    </row>
    <row r="4235" spans="1:15">
      <c r="A4235" s="2" t="s">
        <v>21</v>
      </c>
      <c r="B4235" t="s">
        <v>22</v>
      </c>
      <c r="D4235">
        <v>60</v>
      </c>
      <c r="E4235" t="s">
        <v>46</v>
      </c>
      <c r="F4235">
        <v>4</v>
      </c>
      <c r="G4235">
        <v>2</v>
      </c>
      <c r="H4235">
        <v>2</v>
      </c>
      <c r="I4235">
        <v>1</v>
      </c>
      <c r="J4235" s="4" t="s">
        <v>55</v>
      </c>
      <c r="K4235" t="str">
        <f t="shared" si="213"/>
        <v>2+2</v>
      </c>
      <c r="L4235">
        <f>VLOOKUP(A4235,'ZONE 1 PREMIUM'!$A$4:$N$16,14,0)</f>
        <v>12</v>
      </c>
      <c r="M4235">
        <f>VLOOKUP(D4235,DROPDOWN!B:C,2,0)</f>
        <v>13</v>
      </c>
      <c r="N4235" t="str">
        <f t="shared" si="211"/>
        <v>AU113:BM124</v>
      </c>
      <c r="O4235" s="4">
        <f t="shared" ca="1" si="212"/>
        <v>1179128.25</v>
      </c>
    </row>
    <row r="4236" spans="1:15">
      <c r="A4236" s="2" t="s">
        <v>11</v>
      </c>
      <c r="B4236" t="s">
        <v>45</v>
      </c>
      <c r="C4236" t="s">
        <v>25</v>
      </c>
      <c r="D4236">
        <v>60</v>
      </c>
      <c r="E4236" t="s">
        <v>46</v>
      </c>
      <c r="F4236">
        <v>5</v>
      </c>
      <c r="G4236">
        <v>2</v>
      </c>
      <c r="H4236">
        <v>3</v>
      </c>
      <c r="I4236">
        <v>1</v>
      </c>
      <c r="J4236" s="4" t="s">
        <v>55</v>
      </c>
      <c r="K4236" t="str">
        <f t="shared" si="213"/>
        <v>2+3</v>
      </c>
      <c r="L4236">
        <f>VLOOKUP(A4236,'ZONE 1 PREMIUM'!$A$4:$N$16,14,0)</f>
        <v>2</v>
      </c>
      <c r="M4236">
        <f>VLOOKUP(D4236,DROPDOWN!B:C,2,0)</f>
        <v>13</v>
      </c>
      <c r="N4236" t="str">
        <f t="shared" si="211"/>
        <v>AU128:BM139</v>
      </c>
      <c r="O4236" s="4">
        <f t="shared" ca="1" si="212"/>
        <v>184471.875</v>
      </c>
    </row>
    <row r="4237" spans="1:15">
      <c r="A4237" s="2" t="s">
        <v>12</v>
      </c>
      <c r="B4237" t="s">
        <v>27</v>
      </c>
      <c r="C4237" t="s">
        <v>28</v>
      </c>
      <c r="D4237">
        <v>60</v>
      </c>
      <c r="E4237" t="s">
        <v>46</v>
      </c>
      <c r="F4237">
        <v>5</v>
      </c>
      <c r="G4237">
        <v>2</v>
      </c>
      <c r="H4237">
        <v>3</v>
      </c>
      <c r="I4237">
        <v>1</v>
      </c>
      <c r="J4237" s="4" t="s">
        <v>55</v>
      </c>
      <c r="K4237" t="str">
        <f t="shared" si="213"/>
        <v>2+3</v>
      </c>
      <c r="L4237">
        <f>VLOOKUP(A4237,'ZONE 1 PREMIUM'!$A$4:$N$16,14,0)</f>
        <v>3</v>
      </c>
      <c r="M4237">
        <f>VLOOKUP(D4237,DROPDOWN!B:C,2,0)</f>
        <v>13</v>
      </c>
      <c r="N4237" t="str">
        <f t="shared" si="211"/>
        <v>AU128:BM139</v>
      </c>
      <c r="O4237" s="4">
        <f t="shared" ca="1" si="212"/>
        <v>199890</v>
      </c>
    </row>
    <row r="4238" spans="1:15">
      <c r="A4238" s="2" t="s">
        <v>13</v>
      </c>
      <c r="B4238" t="s">
        <v>29</v>
      </c>
      <c r="C4238" t="s">
        <v>30</v>
      </c>
      <c r="D4238">
        <v>60</v>
      </c>
      <c r="E4238" t="s">
        <v>46</v>
      </c>
      <c r="F4238">
        <v>5</v>
      </c>
      <c r="G4238">
        <v>2</v>
      </c>
      <c r="H4238">
        <v>3</v>
      </c>
      <c r="I4238">
        <v>1</v>
      </c>
      <c r="J4238" s="4" t="s">
        <v>55</v>
      </c>
      <c r="K4238" t="str">
        <f t="shared" si="213"/>
        <v>2+3</v>
      </c>
      <c r="L4238">
        <f>VLOOKUP(A4238,'ZONE 1 PREMIUM'!$A$4:$N$16,14,0)</f>
        <v>4</v>
      </c>
      <c r="M4238">
        <f>VLOOKUP(D4238,DROPDOWN!B:C,2,0)</f>
        <v>13</v>
      </c>
      <c r="N4238" t="str">
        <f t="shared" si="211"/>
        <v>AU128:BM139</v>
      </c>
      <c r="O4238" s="4">
        <f t="shared" ca="1" si="212"/>
        <v>216862.875</v>
      </c>
    </row>
    <row r="4239" spans="1:15">
      <c r="A4239" s="2" t="s">
        <v>14</v>
      </c>
      <c r="B4239" t="s">
        <v>31</v>
      </c>
      <c r="C4239" t="s">
        <v>32</v>
      </c>
      <c r="D4239">
        <v>60</v>
      </c>
      <c r="E4239" t="s">
        <v>46</v>
      </c>
      <c r="F4239">
        <v>5</v>
      </c>
      <c r="G4239">
        <v>2</v>
      </c>
      <c r="H4239">
        <v>3</v>
      </c>
      <c r="I4239">
        <v>1</v>
      </c>
      <c r="J4239" s="4" t="s">
        <v>55</v>
      </c>
      <c r="K4239" t="str">
        <f t="shared" si="213"/>
        <v>2+3</v>
      </c>
      <c r="L4239">
        <f>VLOOKUP(A4239,'ZONE 1 PREMIUM'!$A$4:$N$16,14,0)</f>
        <v>5</v>
      </c>
      <c r="M4239">
        <f>VLOOKUP(D4239,DROPDOWN!B:C,2,0)</f>
        <v>13</v>
      </c>
      <c r="N4239" t="str">
        <f t="shared" si="211"/>
        <v>AU128:BM139</v>
      </c>
      <c r="O4239" s="4">
        <f t="shared" ca="1" si="212"/>
        <v>238740.75</v>
      </c>
    </row>
    <row r="4240" spans="1:15">
      <c r="A4240" s="2" t="s">
        <v>15</v>
      </c>
      <c r="B4240" t="s">
        <v>33</v>
      </c>
      <c r="C4240" t="s">
        <v>34</v>
      </c>
      <c r="D4240">
        <v>60</v>
      </c>
      <c r="E4240" t="s">
        <v>46</v>
      </c>
      <c r="F4240">
        <v>5</v>
      </c>
      <c r="G4240">
        <v>2</v>
      </c>
      <c r="H4240">
        <v>3</v>
      </c>
      <c r="I4240">
        <v>1</v>
      </c>
      <c r="J4240" s="4" t="s">
        <v>55</v>
      </c>
      <c r="K4240" t="str">
        <f t="shared" si="213"/>
        <v>2+3</v>
      </c>
      <c r="L4240">
        <f>VLOOKUP(A4240,'ZONE 1 PREMIUM'!$A$4:$N$16,14,0)</f>
        <v>6</v>
      </c>
      <c r="M4240">
        <f>VLOOKUP(D4240,DROPDOWN!B:C,2,0)</f>
        <v>13</v>
      </c>
      <c r="N4240" t="str">
        <f t="shared" si="211"/>
        <v>AU128:BM139</v>
      </c>
      <c r="O4240" s="4">
        <f t="shared" ca="1" si="212"/>
        <v>289427.625</v>
      </c>
    </row>
    <row r="4241" spans="1:15">
      <c r="A4241" s="2" t="s">
        <v>16</v>
      </c>
      <c r="B4241" t="s">
        <v>35</v>
      </c>
      <c r="C4241" t="s">
        <v>36</v>
      </c>
      <c r="D4241">
        <v>60</v>
      </c>
      <c r="E4241" t="s">
        <v>46</v>
      </c>
      <c r="F4241">
        <v>5</v>
      </c>
      <c r="G4241">
        <v>2</v>
      </c>
      <c r="H4241">
        <v>3</v>
      </c>
      <c r="I4241">
        <v>1</v>
      </c>
      <c r="J4241" s="4" t="s">
        <v>55</v>
      </c>
      <c r="K4241" t="str">
        <f t="shared" si="213"/>
        <v>2+3</v>
      </c>
      <c r="L4241">
        <f>VLOOKUP(A4241,'ZONE 1 PREMIUM'!$A$4:$N$16,14,0)</f>
        <v>7</v>
      </c>
      <c r="M4241">
        <f>VLOOKUP(D4241,DROPDOWN!B:C,2,0)</f>
        <v>13</v>
      </c>
      <c r="N4241" t="str">
        <f t="shared" si="211"/>
        <v>AU128:BM139</v>
      </c>
      <c r="O4241" s="4">
        <f t="shared" ca="1" si="212"/>
        <v>376894.125</v>
      </c>
    </row>
    <row r="4242" spans="1:15">
      <c r="A4242" s="2" t="s">
        <v>17</v>
      </c>
      <c r="B4242" t="s">
        <v>37</v>
      </c>
      <c r="C4242" t="s">
        <v>38</v>
      </c>
      <c r="D4242">
        <v>60</v>
      </c>
      <c r="E4242" t="s">
        <v>46</v>
      </c>
      <c r="F4242">
        <v>5</v>
      </c>
      <c r="G4242">
        <v>2</v>
      </c>
      <c r="H4242">
        <v>3</v>
      </c>
      <c r="I4242">
        <v>1</v>
      </c>
      <c r="J4242" s="4" t="s">
        <v>55</v>
      </c>
      <c r="K4242" t="str">
        <f t="shared" si="213"/>
        <v>2+3</v>
      </c>
      <c r="L4242">
        <f>VLOOKUP(A4242,'ZONE 1 PREMIUM'!$A$4:$N$16,14,0)</f>
        <v>8</v>
      </c>
      <c r="M4242">
        <f>VLOOKUP(D4242,DROPDOWN!B:C,2,0)</f>
        <v>13</v>
      </c>
      <c r="N4242" t="str">
        <f t="shared" si="211"/>
        <v>AU128:BM139</v>
      </c>
      <c r="O4242" s="4">
        <f t="shared" ca="1" si="212"/>
        <v>482280.75</v>
      </c>
    </row>
    <row r="4243" spans="1:15">
      <c r="A4243" s="2" t="s">
        <v>18</v>
      </c>
      <c r="B4243" t="s">
        <v>39</v>
      </c>
      <c r="C4243" t="s">
        <v>40</v>
      </c>
      <c r="D4243">
        <v>60</v>
      </c>
      <c r="E4243" t="s">
        <v>46</v>
      </c>
      <c r="F4243">
        <v>5</v>
      </c>
      <c r="G4243">
        <v>2</v>
      </c>
      <c r="H4243">
        <v>3</v>
      </c>
      <c r="I4243">
        <v>1</v>
      </c>
      <c r="J4243" s="4" t="s">
        <v>55</v>
      </c>
      <c r="K4243" t="str">
        <f t="shared" si="213"/>
        <v>2+3</v>
      </c>
      <c r="L4243">
        <f>VLOOKUP(A4243,'ZONE 1 PREMIUM'!$A$4:$N$16,14,0)</f>
        <v>9</v>
      </c>
      <c r="M4243">
        <f>VLOOKUP(D4243,DROPDOWN!B:C,2,0)</f>
        <v>13</v>
      </c>
      <c r="N4243" t="str">
        <f t="shared" si="211"/>
        <v>AU128:BM139</v>
      </c>
      <c r="O4243" s="4">
        <f t="shared" ca="1" si="212"/>
        <v>632154.375</v>
      </c>
    </row>
    <row r="4244" spans="1:15">
      <c r="A4244" s="2" t="s">
        <v>19</v>
      </c>
      <c r="B4244" t="s">
        <v>41</v>
      </c>
      <c r="C4244" t="s">
        <v>42</v>
      </c>
      <c r="D4244">
        <v>60</v>
      </c>
      <c r="E4244" t="s">
        <v>46</v>
      </c>
      <c r="F4244">
        <v>5</v>
      </c>
      <c r="G4244">
        <v>2</v>
      </c>
      <c r="H4244">
        <v>3</v>
      </c>
      <c r="I4244">
        <v>1</v>
      </c>
      <c r="J4244" s="4" t="s">
        <v>55</v>
      </c>
      <c r="K4244" t="str">
        <f t="shared" si="213"/>
        <v>2+3</v>
      </c>
      <c r="L4244">
        <f>VLOOKUP(A4244,'ZONE 1 PREMIUM'!$A$4:$N$16,14,0)</f>
        <v>10</v>
      </c>
      <c r="M4244">
        <f>VLOOKUP(D4244,DROPDOWN!B:C,2,0)</f>
        <v>13</v>
      </c>
      <c r="N4244" t="str">
        <f t="shared" si="211"/>
        <v>AU128:BM139</v>
      </c>
      <c r="O4244" s="4">
        <f t="shared" ca="1" si="212"/>
        <v>806622.75</v>
      </c>
    </row>
    <row r="4245" spans="1:15">
      <c r="A4245" s="2" t="s">
        <v>20</v>
      </c>
      <c r="B4245" t="s">
        <v>43</v>
      </c>
      <c r="C4245" t="s">
        <v>44</v>
      </c>
      <c r="D4245">
        <v>60</v>
      </c>
      <c r="E4245" t="s">
        <v>46</v>
      </c>
      <c r="F4245">
        <v>5</v>
      </c>
      <c r="G4245">
        <v>2</v>
      </c>
      <c r="H4245">
        <v>3</v>
      </c>
      <c r="I4245">
        <v>1</v>
      </c>
      <c r="J4245" s="4" t="s">
        <v>55</v>
      </c>
      <c r="K4245" t="str">
        <f t="shared" si="213"/>
        <v>2+3</v>
      </c>
      <c r="L4245">
        <f>VLOOKUP(A4245,'ZONE 1 PREMIUM'!$A$4:$N$16,14,0)</f>
        <v>11</v>
      </c>
      <c r="M4245">
        <f>VLOOKUP(D4245,DROPDOWN!B:C,2,0)</f>
        <v>13</v>
      </c>
      <c r="N4245" t="str">
        <f t="shared" si="211"/>
        <v>AU128:BM139</v>
      </c>
      <c r="O4245" s="4">
        <f t="shared" ca="1" si="212"/>
        <v>970949.25</v>
      </c>
    </row>
    <row r="4246" spans="1:15">
      <c r="A4246" s="2" t="s">
        <v>21</v>
      </c>
      <c r="B4246" t="s">
        <v>22</v>
      </c>
      <c r="D4246">
        <v>60</v>
      </c>
      <c r="E4246" t="s">
        <v>46</v>
      </c>
      <c r="F4246">
        <v>5</v>
      </c>
      <c r="G4246">
        <v>2</v>
      </c>
      <c r="H4246">
        <v>3</v>
      </c>
      <c r="I4246">
        <v>1</v>
      </c>
      <c r="J4246" s="4" t="s">
        <v>55</v>
      </c>
      <c r="K4246" t="str">
        <f t="shared" si="213"/>
        <v>2+3</v>
      </c>
      <c r="L4246">
        <f>VLOOKUP(A4246,'ZONE 1 PREMIUM'!$A$4:$N$16,14,0)</f>
        <v>12</v>
      </c>
      <c r="M4246">
        <f>VLOOKUP(D4246,DROPDOWN!B:C,2,0)</f>
        <v>13</v>
      </c>
      <c r="N4246" t="str">
        <f t="shared" si="211"/>
        <v>AU128:BM139</v>
      </c>
      <c r="O4246" s="4">
        <f t="shared" ca="1" si="212"/>
        <v>1206144</v>
      </c>
    </row>
    <row r="4247" spans="1:15">
      <c r="A4247" s="2" t="s">
        <v>11</v>
      </c>
      <c r="B4247" t="s">
        <v>45</v>
      </c>
      <c r="C4247" t="s">
        <v>25</v>
      </c>
      <c r="D4247">
        <v>60</v>
      </c>
      <c r="E4247" t="s">
        <v>46</v>
      </c>
      <c r="F4247">
        <v>6</v>
      </c>
      <c r="G4247">
        <v>2</v>
      </c>
      <c r="H4247">
        <v>4</v>
      </c>
      <c r="I4247">
        <v>1</v>
      </c>
      <c r="J4247" s="4" t="s">
        <v>55</v>
      </c>
      <c r="K4247" t="str">
        <f t="shared" si="213"/>
        <v>2+4</v>
      </c>
      <c r="L4247">
        <f>VLOOKUP(A4247,'ZONE 1 PREMIUM'!$A$4:$N$16,14,0)</f>
        <v>2</v>
      </c>
      <c r="M4247">
        <f>VLOOKUP(D4247,DROPDOWN!B:C,2,0)</f>
        <v>13</v>
      </c>
      <c r="N4247" t="str">
        <f t="shared" si="211"/>
        <v>AU143:BM154</v>
      </c>
      <c r="O4247" s="4">
        <f t="shared" ca="1" si="212"/>
        <v>204926.625</v>
      </c>
    </row>
    <row r="4248" spans="1:15">
      <c r="A4248" s="2" t="s">
        <v>12</v>
      </c>
      <c r="B4248" t="s">
        <v>27</v>
      </c>
      <c r="C4248" t="s">
        <v>28</v>
      </c>
      <c r="D4248">
        <v>60</v>
      </c>
      <c r="E4248" t="s">
        <v>46</v>
      </c>
      <c r="F4248">
        <v>6</v>
      </c>
      <c r="G4248">
        <v>2</v>
      </c>
      <c r="H4248">
        <v>4</v>
      </c>
      <c r="I4248">
        <v>1</v>
      </c>
      <c r="J4248" s="4" t="s">
        <v>55</v>
      </c>
      <c r="K4248" t="str">
        <f t="shared" si="213"/>
        <v>2+4</v>
      </c>
      <c r="L4248">
        <f>VLOOKUP(A4248,'ZONE 1 PREMIUM'!$A$4:$N$16,14,0)</f>
        <v>3</v>
      </c>
      <c r="M4248">
        <f>VLOOKUP(D4248,DROPDOWN!B:C,2,0)</f>
        <v>13</v>
      </c>
      <c r="N4248" t="str">
        <f t="shared" si="211"/>
        <v>AU143:BM154</v>
      </c>
      <c r="O4248" s="4">
        <f t="shared" ca="1" si="212"/>
        <v>220050</v>
      </c>
    </row>
    <row r="4249" spans="1:15">
      <c r="A4249" s="2" t="s">
        <v>13</v>
      </c>
      <c r="B4249" t="s">
        <v>29</v>
      </c>
      <c r="C4249" t="s">
        <v>30</v>
      </c>
      <c r="D4249">
        <v>60</v>
      </c>
      <c r="E4249" t="s">
        <v>46</v>
      </c>
      <c r="F4249">
        <v>6</v>
      </c>
      <c r="G4249">
        <v>2</v>
      </c>
      <c r="H4249">
        <v>4</v>
      </c>
      <c r="I4249">
        <v>1</v>
      </c>
      <c r="J4249" s="4" t="s">
        <v>55</v>
      </c>
      <c r="K4249" t="str">
        <f t="shared" si="213"/>
        <v>2+4</v>
      </c>
      <c r="L4249">
        <f>VLOOKUP(A4249,'ZONE 1 PREMIUM'!$A$4:$N$16,14,0)</f>
        <v>4</v>
      </c>
      <c r="M4249">
        <f>VLOOKUP(D4249,DROPDOWN!B:C,2,0)</f>
        <v>13</v>
      </c>
      <c r="N4249" t="str">
        <f t="shared" si="211"/>
        <v>AU143:BM154</v>
      </c>
      <c r="O4249" s="4">
        <f t="shared" ca="1" si="212"/>
        <v>240197.625</v>
      </c>
    </row>
    <row r="4250" spans="1:15">
      <c r="A4250" s="2" t="s">
        <v>14</v>
      </c>
      <c r="B4250" t="s">
        <v>31</v>
      </c>
      <c r="C4250" t="s">
        <v>32</v>
      </c>
      <c r="D4250">
        <v>60</v>
      </c>
      <c r="E4250" t="s">
        <v>46</v>
      </c>
      <c r="F4250">
        <v>6</v>
      </c>
      <c r="G4250">
        <v>2</v>
      </c>
      <c r="H4250">
        <v>4</v>
      </c>
      <c r="I4250">
        <v>1</v>
      </c>
      <c r="J4250" s="4" t="s">
        <v>55</v>
      </c>
      <c r="K4250" t="str">
        <f t="shared" si="213"/>
        <v>2+4</v>
      </c>
      <c r="L4250">
        <f>VLOOKUP(A4250,'ZONE 1 PREMIUM'!$A$4:$N$16,14,0)</f>
        <v>5</v>
      </c>
      <c r="M4250">
        <f>VLOOKUP(D4250,DROPDOWN!B:C,2,0)</f>
        <v>13</v>
      </c>
      <c r="N4250" t="str">
        <f t="shared" si="211"/>
        <v>AU143:BM154</v>
      </c>
      <c r="O4250" s="4">
        <f t="shared" ca="1" si="212"/>
        <v>263709</v>
      </c>
    </row>
    <row r="4251" spans="1:15">
      <c r="A4251" s="2" t="s">
        <v>15</v>
      </c>
      <c r="B4251" t="s">
        <v>33</v>
      </c>
      <c r="C4251" t="s">
        <v>34</v>
      </c>
      <c r="D4251">
        <v>60</v>
      </c>
      <c r="E4251" t="s">
        <v>46</v>
      </c>
      <c r="F4251">
        <v>6</v>
      </c>
      <c r="G4251">
        <v>2</v>
      </c>
      <c r="H4251">
        <v>4</v>
      </c>
      <c r="I4251">
        <v>1</v>
      </c>
      <c r="J4251" s="4" t="s">
        <v>55</v>
      </c>
      <c r="K4251" t="str">
        <f t="shared" si="213"/>
        <v>2+4</v>
      </c>
      <c r="L4251">
        <f>VLOOKUP(A4251,'ZONE 1 PREMIUM'!$A$4:$N$16,14,0)</f>
        <v>6</v>
      </c>
      <c r="M4251">
        <f>VLOOKUP(D4251,DROPDOWN!B:C,2,0)</f>
        <v>13</v>
      </c>
      <c r="N4251" t="str">
        <f t="shared" si="211"/>
        <v>AU143:BM154</v>
      </c>
      <c r="O4251" s="4">
        <f t="shared" ca="1" si="212"/>
        <v>317342.25</v>
      </c>
    </row>
    <row r="4252" spans="1:15">
      <c r="A4252" s="2" t="s">
        <v>16</v>
      </c>
      <c r="B4252" t="s">
        <v>35</v>
      </c>
      <c r="C4252" t="s">
        <v>36</v>
      </c>
      <c r="D4252">
        <v>60</v>
      </c>
      <c r="E4252" t="s">
        <v>46</v>
      </c>
      <c r="F4252">
        <v>6</v>
      </c>
      <c r="G4252">
        <v>2</v>
      </c>
      <c r="H4252">
        <v>4</v>
      </c>
      <c r="I4252">
        <v>1</v>
      </c>
      <c r="J4252" s="4" t="s">
        <v>55</v>
      </c>
      <c r="K4252" t="str">
        <f t="shared" si="213"/>
        <v>2+4</v>
      </c>
      <c r="L4252">
        <f>VLOOKUP(A4252,'ZONE 1 PREMIUM'!$A$4:$N$16,14,0)</f>
        <v>7</v>
      </c>
      <c r="M4252">
        <f>VLOOKUP(D4252,DROPDOWN!B:C,2,0)</f>
        <v>13</v>
      </c>
      <c r="N4252" t="str">
        <f t="shared" si="211"/>
        <v>AU143:BM154</v>
      </c>
      <c r="O4252" s="4">
        <f t="shared" ca="1" si="212"/>
        <v>401221.125</v>
      </c>
    </row>
    <row r="4253" spans="1:15">
      <c r="A4253" s="2" t="s">
        <v>17</v>
      </c>
      <c r="B4253" t="s">
        <v>37</v>
      </c>
      <c r="C4253" t="s">
        <v>38</v>
      </c>
      <c r="D4253">
        <v>60</v>
      </c>
      <c r="E4253" t="s">
        <v>46</v>
      </c>
      <c r="F4253">
        <v>6</v>
      </c>
      <c r="G4253">
        <v>2</v>
      </c>
      <c r="H4253">
        <v>4</v>
      </c>
      <c r="I4253">
        <v>1</v>
      </c>
      <c r="J4253" s="4" t="s">
        <v>55</v>
      </c>
      <c r="K4253" t="str">
        <f t="shared" si="213"/>
        <v>2+4</v>
      </c>
      <c r="L4253">
        <f>VLOOKUP(A4253,'ZONE 1 PREMIUM'!$A$4:$N$16,14,0)</f>
        <v>8</v>
      </c>
      <c r="M4253">
        <f>VLOOKUP(D4253,DROPDOWN!B:C,2,0)</f>
        <v>13</v>
      </c>
      <c r="N4253" t="str">
        <f t="shared" si="211"/>
        <v>AU143:BM154</v>
      </c>
      <c r="O4253" s="4">
        <f t="shared" ca="1" si="212"/>
        <v>506044.125</v>
      </c>
    </row>
    <row r="4254" spans="1:15">
      <c r="A4254" s="2" t="s">
        <v>18</v>
      </c>
      <c r="B4254" t="s">
        <v>39</v>
      </c>
      <c r="C4254" t="s">
        <v>40</v>
      </c>
      <c r="D4254">
        <v>60</v>
      </c>
      <c r="E4254" t="s">
        <v>46</v>
      </c>
      <c r="F4254">
        <v>6</v>
      </c>
      <c r="G4254">
        <v>2</v>
      </c>
      <c r="H4254">
        <v>4</v>
      </c>
      <c r="I4254">
        <v>1</v>
      </c>
      <c r="J4254" s="4" t="s">
        <v>55</v>
      </c>
      <c r="K4254" t="str">
        <f t="shared" si="213"/>
        <v>2+4</v>
      </c>
      <c r="L4254">
        <f>VLOOKUP(A4254,'ZONE 1 PREMIUM'!$A$4:$N$16,14,0)</f>
        <v>9</v>
      </c>
      <c r="M4254">
        <f>VLOOKUP(D4254,DROPDOWN!B:C,2,0)</f>
        <v>13</v>
      </c>
      <c r="N4254" t="str">
        <f t="shared" si="211"/>
        <v>AU143:BM154</v>
      </c>
      <c r="O4254" s="4">
        <f t="shared" ca="1" si="212"/>
        <v>654642</v>
      </c>
    </row>
    <row r="4255" spans="1:15">
      <c r="A4255" s="2" t="s">
        <v>19</v>
      </c>
      <c r="B4255" t="s">
        <v>41</v>
      </c>
      <c r="C4255" t="s">
        <v>42</v>
      </c>
      <c r="D4255">
        <v>60</v>
      </c>
      <c r="E4255" t="s">
        <v>46</v>
      </c>
      <c r="F4255">
        <v>6</v>
      </c>
      <c r="G4255">
        <v>2</v>
      </c>
      <c r="H4255">
        <v>4</v>
      </c>
      <c r="I4255">
        <v>1</v>
      </c>
      <c r="J4255" s="4" t="s">
        <v>55</v>
      </c>
      <c r="K4255" t="str">
        <f t="shared" si="213"/>
        <v>2+4</v>
      </c>
      <c r="L4255">
        <f>VLOOKUP(A4255,'ZONE 1 PREMIUM'!$A$4:$N$16,14,0)</f>
        <v>10</v>
      </c>
      <c r="M4255">
        <f>VLOOKUP(D4255,DROPDOWN!B:C,2,0)</f>
        <v>13</v>
      </c>
      <c r="N4255" t="str">
        <f t="shared" si="211"/>
        <v>AU143:BM154</v>
      </c>
      <c r="O4255" s="4">
        <f t="shared" ca="1" si="212"/>
        <v>831723.75</v>
      </c>
    </row>
    <row r="4256" spans="1:15">
      <c r="A4256" s="2" t="s">
        <v>20</v>
      </c>
      <c r="B4256" t="s">
        <v>43</v>
      </c>
      <c r="C4256" t="s">
        <v>44</v>
      </c>
      <c r="D4256">
        <v>60</v>
      </c>
      <c r="E4256" t="s">
        <v>46</v>
      </c>
      <c r="F4256">
        <v>6</v>
      </c>
      <c r="G4256">
        <v>2</v>
      </c>
      <c r="H4256">
        <v>4</v>
      </c>
      <c r="I4256">
        <v>1</v>
      </c>
      <c r="J4256" s="4" t="s">
        <v>55</v>
      </c>
      <c r="K4256" t="str">
        <f t="shared" si="213"/>
        <v>2+4</v>
      </c>
      <c r="L4256">
        <f>VLOOKUP(A4256,'ZONE 1 PREMIUM'!$A$4:$N$16,14,0)</f>
        <v>11</v>
      </c>
      <c r="M4256">
        <f>VLOOKUP(D4256,DROPDOWN!B:C,2,0)</f>
        <v>13</v>
      </c>
      <c r="N4256" t="str">
        <f t="shared" si="211"/>
        <v>AU143:BM154</v>
      </c>
      <c r="O4256" s="4">
        <f t="shared" ca="1" si="212"/>
        <v>993843</v>
      </c>
    </row>
    <row r="4257" spans="1:15">
      <c r="A4257" s="2" t="s">
        <v>21</v>
      </c>
      <c r="B4257" t="s">
        <v>22</v>
      </c>
      <c r="D4257">
        <v>60</v>
      </c>
      <c r="E4257" t="s">
        <v>46</v>
      </c>
      <c r="F4257">
        <v>6</v>
      </c>
      <c r="G4257">
        <v>2</v>
      </c>
      <c r="H4257">
        <v>4</v>
      </c>
      <c r="I4257">
        <v>1</v>
      </c>
      <c r="J4257" s="4" t="s">
        <v>55</v>
      </c>
      <c r="K4257" t="str">
        <f t="shared" si="213"/>
        <v>2+4</v>
      </c>
      <c r="L4257">
        <f>VLOOKUP(A4257,'ZONE 1 PREMIUM'!$A$4:$N$16,14,0)</f>
        <v>12</v>
      </c>
      <c r="M4257">
        <f>VLOOKUP(D4257,DROPDOWN!B:C,2,0)</f>
        <v>13</v>
      </c>
      <c r="N4257" t="str">
        <f t="shared" si="211"/>
        <v>AU143:BM154</v>
      </c>
      <c r="O4257" s="4">
        <f t="shared" ca="1" si="212"/>
        <v>1224532.125</v>
      </c>
    </row>
    <row r="4258" spans="1:15">
      <c r="A4258" s="2" t="s">
        <v>9</v>
      </c>
      <c r="B4258" t="s">
        <v>47</v>
      </c>
      <c r="C4258" t="s">
        <v>48</v>
      </c>
      <c r="D4258">
        <v>60</v>
      </c>
      <c r="E4258" t="s">
        <v>26</v>
      </c>
      <c r="F4258">
        <v>1</v>
      </c>
      <c r="H4258">
        <v>1</v>
      </c>
      <c r="I4258">
        <v>1</v>
      </c>
      <c r="J4258" s="4" t="s">
        <v>53</v>
      </c>
      <c r="K4258" t="str">
        <f t="shared" si="213"/>
        <v>+1</v>
      </c>
      <c r="N4258" t="e">
        <f t="shared" ref="N4258:N4321" si="214">VLOOKUP(K4258,$CK$3:$CL$12,2,0)</f>
        <v>#N/A</v>
      </c>
      <c r="O4258" s="13">
        <v>12482.764278163626</v>
      </c>
    </row>
    <row r="4259" spans="1:15">
      <c r="A4259" s="2" t="s">
        <v>10</v>
      </c>
      <c r="B4259" t="s">
        <v>49</v>
      </c>
      <c r="C4259" t="s">
        <v>50</v>
      </c>
      <c r="D4259">
        <v>60</v>
      </c>
      <c r="E4259" t="s">
        <v>26</v>
      </c>
      <c r="F4259">
        <v>1</v>
      </c>
      <c r="G4259">
        <v>1</v>
      </c>
      <c r="H4259">
        <v>0</v>
      </c>
      <c r="I4259">
        <v>1</v>
      </c>
      <c r="J4259" s="4" t="s">
        <v>53</v>
      </c>
      <c r="K4259" t="str">
        <f t="shared" si="213"/>
        <v>1+0</v>
      </c>
      <c r="L4259">
        <f>VLOOKUP(A4259,'ZONE 1 PREMIUM'!$A$3:$M$16,13,0)</f>
        <v>3</v>
      </c>
      <c r="M4259">
        <f>VLOOKUP(D4259,DROPDOWN!B:C,2,0)</f>
        <v>13</v>
      </c>
      <c r="N4259" t="str">
        <f t="shared" si="214"/>
        <v>BR3:CJ16</v>
      </c>
      <c r="O4259" s="4">
        <f t="shared" ca="1" si="212"/>
        <v>21700.800000000003</v>
      </c>
    </row>
    <row r="4260" spans="1:15">
      <c r="A4260" s="2" t="s">
        <v>11</v>
      </c>
      <c r="B4260" t="s">
        <v>45</v>
      </c>
      <c r="C4260" t="s">
        <v>25</v>
      </c>
      <c r="D4260">
        <v>60</v>
      </c>
      <c r="E4260" t="s">
        <v>26</v>
      </c>
      <c r="F4260">
        <v>1</v>
      </c>
      <c r="G4260">
        <v>1</v>
      </c>
      <c r="H4260">
        <v>0</v>
      </c>
      <c r="I4260">
        <v>1</v>
      </c>
      <c r="J4260" s="4" t="s">
        <v>53</v>
      </c>
      <c r="K4260" t="str">
        <f t="shared" si="213"/>
        <v>1+0</v>
      </c>
      <c r="L4260">
        <f>VLOOKUP(A4260,'ZONE 1 PREMIUM'!$A$3:$M$16,13,0)</f>
        <v>4</v>
      </c>
      <c r="M4260">
        <f>VLOOKUP(D4260,DROPDOWN!B:C,2,0)</f>
        <v>13</v>
      </c>
      <c r="N4260" t="str">
        <f t="shared" si="214"/>
        <v>BR3:CJ16</v>
      </c>
      <c r="O4260" s="4">
        <f t="shared" ca="1" si="212"/>
        <v>72505.400000000009</v>
      </c>
    </row>
    <row r="4261" spans="1:15">
      <c r="A4261" s="2" t="s">
        <v>12</v>
      </c>
      <c r="B4261" t="s">
        <v>27</v>
      </c>
      <c r="C4261" t="s">
        <v>28</v>
      </c>
      <c r="D4261">
        <v>60</v>
      </c>
      <c r="E4261" t="s">
        <v>26</v>
      </c>
      <c r="F4261">
        <v>1</v>
      </c>
      <c r="G4261">
        <v>1</v>
      </c>
      <c r="H4261">
        <v>0</v>
      </c>
      <c r="I4261">
        <v>1</v>
      </c>
      <c r="J4261" s="4" t="s">
        <v>53</v>
      </c>
      <c r="K4261" t="str">
        <f t="shared" si="213"/>
        <v>1+0</v>
      </c>
      <c r="L4261">
        <f>VLOOKUP(A4261,'ZONE 1 PREMIUM'!$A$3:$M$16,13,0)</f>
        <v>5</v>
      </c>
      <c r="M4261">
        <f>VLOOKUP(D4261,DROPDOWN!B:C,2,0)</f>
        <v>13</v>
      </c>
      <c r="N4261" t="str">
        <f t="shared" si="214"/>
        <v>BR3:CJ16</v>
      </c>
      <c r="O4261" s="4">
        <f t="shared" ca="1" si="212"/>
        <v>82869.600000000006</v>
      </c>
    </row>
    <row r="4262" spans="1:15">
      <c r="A4262" s="2" t="s">
        <v>13</v>
      </c>
      <c r="B4262" t="s">
        <v>29</v>
      </c>
      <c r="C4262" t="s">
        <v>30</v>
      </c>
      <c r="D4262">
        <v>60</v>
      </c>
      <c r="E4262" t="s">
        <v>26</v>
      </c>
      <c r="F4262">
        <v>1</v>
      </c>
      <c r="G4262">
        <v>1</v>
      </c>
      <c r="H4262">
        <v>0</v>
      </c>
      <c r="I4262">
        <v>1</v>
      </c>
      <c r="J4262" s="4" t="s">
        <v>53</v>
      </c>
      <c r="K4262" t="str">
        <f t="shared" si="213"/>
        <v>1+0</v>
      </c>
      <c r="L4262">
        <f>VLOOKUP(A4262,'ZONE 1 PREMIUM'!$A$3:$M$16,13,0)</f>
        <v>6</v>
      </c>
      <c r="M4262">
        <f>VLOOKUP(D4262,DROPDOWN!B:C,2,0)</f>
        <v>13</v>
      </c>
      <c r="N4262" t="str">
        <f t="shared" si="214"/>
        <v>BR3:CJ16</v>
      </c>
      <c r="O4262" s="4">
        <f t="shared" ca="1" si="212"/>
        <v>88371.8</v>
      </c>
    </row>
    <row r="4263" spans="1:15">
      <c r="A4263" s="2" t="s">
        <v>14</v>
      </c>
      <c r="B4263" t="s">
        <v>31</v>
      </c>
      <c r="C4263" t="s">
        <v>32</v>
      </c>
      <c r="D4263">
        <v>60</v>
      </c>
      <c r="E4263" t="s">
        <v>26</v>
      </c>
      <c r="F4263">
        <v>1</v>
      </c>
      <c r="G4263">
        <v>1</v>
      </c>
      <c r="H4263">
        <v>0</v>
      </c>
      <c r="I4263">
        <v>1</v>
      </c>
      <c r="J4263" s="4" t="s">
        <v>53</v>
      </c>
      <c r="K4263" t="str">
        <f t="shared" si="213"/>
        <v>1+0</v>
      </c>
      <c r="L4263">
        <f>VLOOKUP(A4263,'ZONE 1 PREMIUM'!$A$3:$M$16,13,0)</f>
        <v>7</v>
      </c>
      <c r="M4263">
        <f>VLOOKUP(D4263,DROPDOWN!B:C,2,0)</f>
        <v>13</v>
      </c>
      <c r="N4263" t="str">
        <f t="shared" si="214"/>
        <v>BR3:CJ16</v>
      </c>
      <c r="O4263" s="4">
        <f t="shared" ca="1" si="212"/>
        <v>100787.50000000001</v>
      </c>
    </row>
    <row r="4264" spans="1:15">
      <c r="A4264" s="2" t="s">
        <v>15</v>
      </c>
      <c r="B4264" t="s">
        <v>33</v>
      </c>
      <c r="C4264" t="s">
        <v>34</v>
      </c>
      <c r="D4264">
        <v>60</v>
      </c>
      <c r="E4264" t="s">
        <v>26</v>
      </c>
      <c r="F4264">
        <v>1</v>
      </c>
      <c r="G4264">
        <v>1</v>
      </c>
      <c r="H4264">
        <v>0</v>
      </c>
      <c r="I4264">
        <v>1</v>
      </c>
      <c r="J4264" s="4" t="s">
        <v>53</v>
      </c>
      <c r="K4264" t="str">
        <f t="shared" si="213"/>
        <v>1+0</v>
      </c>
      <c r="L4264">
        <f>VLOOKUP(A4264,'ZONE 1 PREMIUM'!$A$3:$M$16,13,0)</f>
        <v>8</v>
      </c>
      <c r="M4264">
        <f>VLOOKUP(D4264,DROPDOWN!B:C,2,0)</f>
        <v>13</v>
      </c>
      <c r="N4264" t="str">
        <f t="shared" si="214"/>
        <v>BR3:CJ16</v>
      </c>
      <c r="O4264" s="4">
        <f t="shared" ca="1" si="212"/>
        <v>122669.8</v>
      </c>
    </row>
    <row r="4265" spans="1:15">
      <c r="A4265" s="2" t="s">
        <v>16</v>
      </c>
      <c r="B4265" t="s">
        <v>35</v>
      </c>
      <c r="C4265" t="s">
        <v>36</v>
      </c>
      <c r="D4265">
        <v>60</v>
      </c>
      <c r="E4265" t="s">
        <v>26</v>
      </c>
      <c r="F4265">
        <v>1</v>
      </c>
      <c r="G4265">
        <v>1</v>
      </c>
      <c r="H4265">
        <v>0</v>
      </c>
      <c r="I4265">
        <v>1</v>
      </c>
      <c r="J4265" s="4" t="s">
        <v>53</v>
      </c>
      <c r="K4265" t="str">
        <f t="shared" si="213"/>
        <v>1+0</v>
      </c>
      <c r="L4265">
        <f>VLOOKUP(A4265,'ZONE 1 PREMIUM'!$A$3:$M$16,13,0)</f>
        <v>9</v>
      </c>
      <c r="M4265">
        <f>VLOOKUP(D4265,DROPDOWN!B:C,2,0)</f>
        <v>13</v>
      </c>
      <c r="N4265" t="str">
        <f t="shared" si="214"/>
        <v>BR3:CJ16</v>
      </c>
      <c r="O4265" s="4">
        <f t="shared" ca="1" si="212"/>
        <v>170826.7</v>
      </c>
    </row>
    <row r="4266" spans="1:15">
      <c r="A4266" s="2" t="s">
        <v>17</v>
      </c>
      <c r="B4266" t="s">
        <v>37</v>
      </c>
      <c r="C4266" t="s">
        <v>38</v>
      </c>
      <c r="D4266">
        <v>60</v>
      </c>
      <c r="E4266" t="s">
        <v>26</v>
      </c>
      <c r="F4266">
        <v>1</v>
      </c>
      <c r="G4266">
        <v>1</v>
      </c>
      <c r="H4266">
        <v>0</v>
      </c>
      <c r="I4266">
        <v>1</v>
      </c>
      <c r="J4266" s="4" t="s">
        <v>53</v>
      </c>
      <c r="K4266" t="str">
        <f t="shared" si="213"/>
        <v>1+0</v>
      </c>
      <c r="L4266">
        <f>VLOOKUP(A4266,'ZONE 1 PREMIUM'!$A$3:$M$16,13,0)</f>
        <v>10</v>
      </c>
      <c r="M4266">
        <f>VLOOKUP(D4266,DROPDOWN!B:C,2,0)</f>
        <v>13</v>
      </c>
      <c r="N4266" t="str">
        <f t="shared" si="214"/>
        <v>BR3:CJ16</v>
      </c>
      <c r="O4266" s="4">
        <f t="shared" ca="1" si="212"/>
        <v>228697.7</v>
      </c>
    </row>
    <row r="4267" spans="1:15">
      <c r="A4267" s="2" t="s">
        <v>18</v>
      </c>
      <c r="B4267" t="s">
        <v>39</v>
      </c>
      <c r="C4267" t="s">
        <v>40</v>
      </c>
      <c r="D4267">
        <v>60</v>
      </c>
      <c r="E4267" t="s">
        <v>26</v>
      </c>
      <c r="F4267">
        <v>1</v>
      </c>
      <c r="G4267">
        <v>1</v>
      </c>
      <c r="H4267">
        <v>0</v>
      </c>
      <c r="I4267">
        <v>1</v>
      </c>
      <c r="J4267" s="4" t="s">
        <v>53</v>
      </c>
      <c r="K4267" t="str">
        <f t="shared" si="213"/>
        <v>1+0</v>
      </c>
      <c r="L4267">
        <f>VLOOKUP(A4267,'ZONE 1 PREMIUM'!$A$3:$M$16,13,0)</f>
        <v>11</v>
      </c>
      <c r="M4267">
        <f>VLOOKUP(D4267,DROPDOWN!B:C,2,0)</f>
        <v>13</v>
      </c>
      <c r="N4267" t="str">
        <f t="shared" si="214"/>
        <v>BR3:CJ16</v>
      </c>
      <c r="O4267" s="4">
        <f t="shared" ca="1" si="212"/>
        <v>315084</v>
      </c>
    </row>
    <row r="4268" spans="1:15">
      <c r="A4268" s="2" t="s">
        <v>19</v>
      </c>
      <c r="B4268" t="s">
        <v>41</v>
      </c>
      <c r="C4268" t="s">
        <v>42</v>
      </c>
      <c r="D4268">
        <v>60</v>
      </c>
      <c r="E4268" t="s">
        <v>26</v>
      </c>
      <c r="F4268">
        <v>1</v>
      </c>
      <c r="G4268">
        <v>1</v>
      </c>
      <c r="H4268">
        <v>0</v>
      </c>
      <c r="I4268">
        <v>1</v>
      </c>
      <c r="J4268" s="4" t="s">
        <v>53</v>
      </c>
      <c r="K4268" t="str">
        <f t="shared" si="213"/>
        <v>1+0</v>
      </c>
      <c r="L4268">
        <f>VLOOKUP(A4268,'ZONE 1 PREMIUM'!$A$3:$M$16,13,0)</f>
        <v>12</v>
      </c>
      <c r="M4268">
        <f>VLOOKUP(D4268,DROPDOWN!B:C,2,0)</f>
        <v>13</v>
      </c>
      <c r="N4268" t="str">
        <f t="shared" si="214"/>
        <v>BR3:CJ16</v>
      </c>
      <c r="O4268" s="4">
        <f t="shared" ca="1" si="212"/>
        <v>401930.10000000003</v>
      </c>
    </row>
    <row r="4269" spans="1:15">
      <c r="A4269" s="2" t="s">
        <v>20</v>
      </c>
      <c r="B4269" t="s">
        <v>43</v>
      </c>
      <c r="C4269" t="s">
        <v>44</v>
      </c>
      <c r="D4269">
        <v>60</v>
      </c>
      <c r="E4269" t="s">
        <v>26</v>
      </c>
      <c r="F4269">
        <v>1</v>
      </c>
      <c r="G4269">
        <v>1</v>
      </c>
      <c r="H4269">
        <v>0</v>
      </c>
      <c r="I4269">
        <v>1</v>
      </c>
      <c r="J4269" s="4" t="s">
        <v>53</v>
      </c>
      <c r="K4269" t="str">
        <f t="shared" si="213"/>
        <v>1+0</v>
      </c>
      <c r="L4269">
        <f>VLOOKUP(A4269,'ZONE 1 PREMIUM'!$A$3:$M$16,13,0)</f>
        <v>13</v>
      </c>
      <c r="M4269">
        <f>VLOOKUP(D4269,DROPDOWN!B:C,2,0)</f>
        <v>13</v>
      </c>
      <c r="N4269" t="str">
        <f t="shared" si="214"/>
        <v>BR3:CJ16</v>
      </c>
      <c r="O4269" s="4">
        <f t="shared" ca="1" si="212"/>
        <v>473313.50000000006</v>
      </c>
    </row>
    <row r="4270" spans="1:15">
      <c r="A4270" s="2" t="s">
        <v>21</v>
      </c>
      <c r="B4270" t="s">
        <v>22</v>
      </c>
      <c r="D4270">
        <v>60</v>
      </c>
      <c r="E4270" t="s">
        <v>26</v>
      </c>
      <c r="F4270">
        <v>1</v>
      </c>
      <c r="G4270">
        <v>1</v>
      </c>
      <c r="H4270">
        <v>0</v>
      </c>
      <c r="I4270">
        <v>1</v>
      </c>
      <c r="J4270" s="4" t="s">
        <v>53</v>
      </c>
      <c r="K4270" t="str">
        <f t="shared" si="213"/>
        <v>1+0</v>
      </c>
      <c r="L4270">
        <f>VLOOKUP(A4270,'ZONE 1 PREMIUM'!$A$3:$M$16,13,0)</f>
        <v>14</v>
      </c>
      <c r="M4270">
        <f>VLOOKUP(D4270,DROPDOWN!B:C,2,0)</f>
        <v>13</v>
      </c>
      <c r="N4270" t="str">
        <f t="shared" si="214"/>
        <v>BR3:CJ16</v>
      </c>
      <c r="O4270" s="4">
        <f t="shared" ca="1" si="212"/>
        <v>621903.70000000007</v>
      </c>
    </row>
    <row r="4271" spans="1:15">
      <c r="A4271" s="2" t="s">
        <v>11</v>
      </c>
      <c r="B4271" t="s">
        <v>45</v>
      </c>
      <c r="C4271" t="s">
        <v>25</v>
      </c>
      <c r="D4271">
        <v>60</v>
      </c>
      <c r="E4271" t="s">
        <v>46</v>
      </c>
      <c r="F4271">
        <v>2</v>
      </c>
      <c r="G4271">
        <v>1</v>
      </c>
      <c r="H4271">
        <v>1</v>
      </c>
      <c r="I4271">
        <v>1</v>
      </c>
      <c r="J4271" s="4" t="s">
        <v>53</v>
      </c>
      <c r="K4271" t="str">
        <f t="shared" si="213"/>
        <v>1+1</v>
      </c>
      <c r="L4271">
        <f>VLOOKUP(A4271,'ZONE 1 PREMIUM'!$A$4:$N$16,14,0)</f>
        <v>2</v>
      </c>
      <c r="M4271">
        <f>VLOOKUP(D4271,DROPDOWN!B:C,2,0)</f>
        <v>13</v>
      </c>
      <c r="N4271" t="str">
        <f t="shared" si="214"/>
        <v>BR20:CJ31</v>
      </c>
      <c r="O4271" s="4">
        <f t="shared" ca="1" si="212"/>
        <v>75676.700000000012</v>
      </c>
    </row>
    <row r="4272" spans="1:15">
      <c r="A4272" s="2" t="s">
        <v>12</v>
      </c>
      <c r="B4272" t="s">
        <v>27</v>
      </c>
      <c r="C4272" t="s">
        <v>28</v>
      </c>
      <c r="D4272">
        <v>60</v>
      </c>
      <c r="E4272" t="s">
        <v>46</v>
      </c>
      <c r="F4272">
        <v>2</v>
      </c>
      <c r="G4272">
        <v>1</v>
      </c>
      <c r="H4272">
        <v>1</v>
      </c>
      <c r="I4272">
        <v>1</v>
      </c>
      <c r="J4272" s="4" t="s">
        <v>53</v>
      </c>
      <c r="K4272" t="str">
        <f t="shared" si="213"/>
        <v>1+1</v>
      </c>
      <c r="L4272">
        <f>VLOOKUP(A4272,'ZONE 1 PREMIUM'!$A$4:$N$16,14,0)</f>
        <v>3</v>
      </c>
      <c r="M4272">
        <f>VLOOKUP(D4272,DROPDOWN!B:C,2,0)</f>
        <v>13</v>
      </c>
      <c r="N4272" t="str">
        <f t="shared" si="214"/>
        <v>BR20:CJ31</v>
      </c>
      <c r="O4272" s="4">
        <f t="shared" ca="1" si="212"/>
        <v>83953.1</v>
      </c>
    </row>
    <row r="4273" spans="1:15">
      <c r="A4273" s="2" t="s">
        <v>13</v>
      </c>
      <c r="B4273" t="s">
        <v>29</v>
      </c>
      <c r="C4273" t="s">
        <v>30</v>
      </c>
      <c r="D4273">
        <v>60</v>
      </c>
      <c r="E4273" t="s">
        <v>46</v>
      </c>
      <c r="F4273">
        <v>2</v>
      </c>
      <c r="G4273">
        <v>1</v>
      </c>
      <c r="H4273">
        <v>1</v>
      </c>
      <c r="I4273">
        <v>1</v>
      </c>
      <c r="J4273" s="4" t="s">
        <v>53</v>
      </c>
      <c r="K4273" t="str">
        <f t="shared" si="213"/>
        <v>1+1</v>
      </c>
      <c r="L4273">
        <f>VLOOKUP(A4273,'ZONE 1 PREMIUM'!$A$4:$N$16,14,0)</f>
        <v>4</v>
      </c>
      <c r="M4273">
        <f>VLOOKUP(D4273,DROPDOWN!B:C,2,0)</f>
        <v>13</v>
      </c>
      <c r="N4273" t="str">
        <f t="shared" si="214"/>
        <v>BR20:CJ31</v>
      </c>
      <c r="O4273" s="4">
        <f t="shared" ca="1" si="212"/>
        <v>91276.900000000009</v>
      </c>
    </row>
    <row r="4274" spans="1:15">
      <c r="A4274" s="2" t="s">
        <v>14</v>
      </c>
      <c r="B4274" t="s">
        <v>31</v>
      </c>
      <c r="C4274" t="s">
        <v>32</v>
      </c>
      <c r="D4274">
        <v>60</v>
      </c>
      <c r="E4274" t="s">
        <v>46</v>
      </c>
      <c r="F4274">
        <v>2</v>
      </c>
      <c r="G4274">
        <v>1</v>
      </c>
      <c r="H4274">
        <v>1</v>
      </c>
      <c r="I4274">
        <v>1</v>
      </c>
      <c r="J4274" s="4" t="s">
        <v>53</v>
      </c>
      <c r="K4274" t="str">
        <f t="shared" si="213"/>
        <v>1+1</v>
      </c>
      <c r="L4274">
        <f>VLOOKUP(A4274,'ZONE 1 PREMIUM'!$A$4:$N$16,14,0)</f>
        <v>5</v>
      </c>
      <c r="M4274">
        <f>VLOOKUP(D4274,DROPDOWN!B:C,2,0)</f>
        <v>13</v>
      </c>
      <c r="N4274" t="str">
        <f t="shared" si="214"/>
        <v>BR20:CJ31</v>
      </c>
      <c r="O4274" s="4">
        <f t="shared" ca="1" si="212"/>
        <v>106145.60000000001</v>
      </c>
    </row>
    <row r="4275" spans="1:15">
      <c r="A4275" s="2" t="s">
        <v>15</v>
      </c>
      <c r="B4275" t="s">
        <v>33</v>
      </c>
      <c r="C4275" t="s">
        <v>34</v>
      </c>
      <c r="D4275">
        <v>60</v>
      </c>
      <c r="E4275" t="s">
        <v>46</v>
      </c>
      <c r="F4275">
        <v>2</v>
      </c>
      <c r="G4275">
        <v>1</v>
      </c>
      <c r="H4275">
        <v>1</v>
      </c>
      <c r="I4275">
        <v>1</v>
      </c>
      <c r="J4275" s="4" t="s">
        <v>53</v>
      </c>
      <c r="K4275" t="str">
        <f t="shared" si="213"/>
        <v>1+1</v>
      </c>
      <c r="L4275">
        <f>VLOOKUP(A4275,'ZONE 1 PREMIUM'!$A$4:$N$16,14,0)</f>
        <v>6</v>
      </c>
      <c r="M4275">
        <f>VLOOKUP(D4275,DROPDOWN!B:C,2,0)</f>
        <v>13</v>
      </c>
      <c r="N4275" t="str">
        <f t="shared" si="214"/>
        <v>BR20:CJ31</v>
      </c>
      <c r="O4275" s="4">
        <f t="shared" ca="1" si="212"/>
        <v>129254.40000000001</v>
      </c>
    </row>
    <row r="4276" spans="1:15">
      <c r="A4276" s="2" t="s">
        <v>16</v>
      </c>
      <c r="B4276" t="s">
        <v>35</v>
      </c>
      <c r="C4276" t="s">
        <v>36</v>
      </c>
      <c r="D4276">
        <v>60</v>
      </c>
      <c r="E4276" t="s">
        <v>46</v>
      </c>
      <c r="F4276">
        <v>2</v>
      </c>
      <c r="G4276">
        <v>1</v>
      </c>
      <c r="H4276">
        <v>1</v>
      </c>
      <c r="I4276">
        <v>1</v>
      </c>
      <c r="J4276" s="4" t="s">
        <v>53</v>
      </c>
      <c r="K4276" t="str">
        <f t="shared" si="213"/>
        <v>1+1</v>
      </c>
      <c r="L4276">
        <f>VLOOKUP(A4276,'ZONE 1 PREMIUM'!$A$4:$N$16,14,0)</f>
        <v>7</v>
      </c>
      <c r="M4276">
        <f>VLOOKUP(D4276,DROPDOWN!B:C,2,0)</f>
        <v>13</v>
      </c>
      <c r="N4276" t="str">
        <f t="shared" si="214"/>
        <v>BR20:CJ31</v>
      </c>
      <c r="O4276" s="4">
        <f t="shared" ca="1" si="212"/>
        <v>175539.1</v>
      </c>
    </row>
    <row r="4277" spans="1:15">
      <c r="A4277" s="2" t="s">
        <v>17</v>
      </c>
      <c r="B4277" t="s">
        <v>37</v>
      </c>
      <c r="C4277" t="s">
        <v>38</v>
      </c>
      <c r="D4277">
        <v>60</v>
      </c>
      <c r="E4277" t="s">
        <v>46</v>
      </c>
      <c r="F4277">
        <v>2</v>
      </c>
      <c r="G4277">
        <v>1</v>
      </c>
      <c r="H4277">
        <v>1</v>
      </c>
      <c r="I4277">
        <v>1</v>
      </c>
      <c r="J4277" s="4" t="s">
        <v>53</v>
      </c>
      <c r="K4277" t="str">
        <f t="shared" si="213"/>
        <v>1+1</v>
      </c>
      <c r="L4277">
        <f>VLOOKUP(A4277,'ZONE 1 PREMIUM'!$A$4:$N$16,14,0)</f>
        <v>8</v>
      </c>
      <c r="M4277">
        <f>VLOOKUP(D4277,DROPDOWN!B:C,2,0)</f>
        <v>13</v>
      </c>
      <c r="N4277" t="str">
        <f t="shared" si="214"/>
        <v>BR20:CJ31</v>
      </c>
      <c r="O4277" s="4">
        <f t="shared" ca="1" si="212"/>
        <v>233357.30000000002</v>
      </c>
    </row>
    <row r="4278" spans="1:15">
      <c r="A4278" s="2" t="s">
        <v>18</v>
      </c>
      <c r="B4278" t="s">
        <v>39</v>
      </c>
      <c r="C4278" t="s">
        <v>40</v>
      </c>
      <c r="D4278">
        <v>60</v>
      </c>
      <c r="E4278" t="s">
        <v>46</v>
      </c>
      <c r="F4278">
        <v>2</v>
      </c>
      <c r="G4278">
        <v>1</v>
      </c>
      <c r="H4278">
        <v>1</v>
      </c>
      <c r="I4278">
        <v>1</v>
      </c>
      <c r="J4278" s="4" t="s">
        <v>53</v>
      </c>
      <c r="K4278" t="str">
        <f t="shared" si="213"/>
        <v>1+1</v>
      </c>
      <c r="L4278">
        <f>VLOOKUP(A4278,'ZONE 1 PREMIUM'!$A$4:$N$16,14,0)</f>
        <v>9</v>
      </c>
      <c r="M4278">
        <f>VLOOKUP(D4278,DROPDOWN!B:C,2,0)</f>
        <v>13</v>
      </c>
      <c r="N4278" t="str">
        <f t="shared" si="214"/>
        <v>BR20:CJ31</v>
      </c>
      <c r="O4278" s="4">
        <f t="shared" ca="1" si="212"/>
        <v>323255.90000000002</v>
      </c>
    </row>
    <row r="4279" spans="1:15">
      <c r="A4279" s="2" t="s">
        <v>19</v>
      </c>
      <c r="B4279" t="s">
        <v>41</v>
      </c>
      <c r="C4279" t="s">
        <v>42</v>
      </c>
      <c r="D4279">
        <v>60</v>
      </c>
      <c r="E4279" t="s">
        <v>46</v>
      </c>
      <c r="F4279">
        <v>2</v>
      </c>
      <c r="G4279">
        <v>1</v>
      </c>
      <c r="H4279">
        <v>1</v>
      </c>
      <c r="I4279">
        <v>1</v>
      </c>
      <c r="J4279" s="4" t="s">
        <v>53</v>
      </c>
      <c r="K4279" t="str">
        <f t="shared" si="213"/>
        <v>1+1</v>
      </c>
      <c r="L4279">
        <f>VLOOKUP(A4279,'ZONE 1 PREMIUM'!$A$4:$N$16,14,0)</f>
        <v>10</v>
      </c>
      <c r="M4279">
        <f>VLOOKUP(D4279,DROPDOWN!B:C,2,0)</f>
        <v>13</v>
      </c>
      <c r="N4279" t="str">
        <f t="shared" si="214"/>
        <v>BR20:CJ31</v>
      </c>
      <c r="O4279" s="4">
        <f t="shared" ca="1" si="212"/>
        <v>410357.2</v>
      </c>
    </row>
    <row r="4280" spans="1:15">
      <c r="A4280" s="2" t="s">
        <v>20</v>
      </c>
      <c r="B4280" t="s">
        <v>43</v>
      </c>
      <c r="C4280" t="s">
        <v>44</v>
      </c>
      <c r="D4280">
        <v>60</v>
      </c>
      <c r="E4280" t="s">
        <v>46</v>
      </c>
      <c r="F4280">
        <v>2</v>
      </c>
      <c r="G4280">
        <v>1</v>
      </c>
      <c r="H4280">
        <v>1</v>
      </c>
      <c r="I4280">
        <v>1</v>
      </c>
      <c r="J4280" s="4" t="s">
        <v>53</v>
      </c>
      <c r="K4280" t="str">
        <f t="shared" si="213"/>
        <v>1+1</v>
      </c>
      <c r="L4280">
        <f>VLOOKUP(A4280,'ZONE 1 PREMIUM'!$A$4:$N$16,14,0)</f>
        <v>11</v>
      </c>
      <c r="M4280">
        <f>VLOOKUP(D4280,DROPDOWN!B:C,2,0)</f>
        <v>13</v>
      </c>
      <c r="N4280" t="str">
        <f t="shared" si="214"/>
        <v>BR20:CJ31</v>
      </c>
      <c r="O4280" s="4">
        <f t="shared" ca="1" si="212"/>
        <v>476164.7</v>
      </c>
    </row>
    <row r="4281" spans="1:15">
      <c r="A4281" s="2" t="s">
        <v>21</v>
      </c>
      <c r="B4281" t="s">
        <v>22</v>
      </c>
      <c r="D4281">
        <v>60</v>
      </c>
      <c r="E4281" t="s">
        <v>46</v>
      </c>
      <c r="F4281">
        <v>2</v>
      </c>
      <c r="G4281">
        <v>1</v>
      </c>
      <c r="H4281">
        <v>1</v>
      </c>
      <c r="I4281">
        <v>1</v>
      </c>
      <c r="J4281" s="4" t="s">
        <v>53</v>
      </c>
      <c r="K4281" t="str">
        <f t="shared" si="213"/>
        <v>1+1</v>
      </c>
      <c r="L4281">
        <f>VLOOKUP(A4281,'ZONE 1 PREMIUM'!$A$4:$N$16,14,0)</f>
        <v>12</v>
      </c>
      <c r="M4281">
        <f>VLOOKUP(D4281,DROPDOWN!B:C,2,0)</f>
        <v>13</v>
      </c>
      <c r="N4281" t="str">
        <f t="shared" si="214"/>
        <v>BR20:CJ31</v>
      </c>
      <c r="O4281" s="4">
        <f t="shared" ca="1" si="212"/>
        <v>634805.60000000009</v>
      </c>
    </row>
    <row r="4282" spans="1:15">
      <c r="A4282" s="2" t="s">
        <v>11</v>
      </c>
      <c r="B4282" t="s">
        <v>45</v>
      </c>
      <c r="C4282" t="s">
        <v>25</v>
      </c>
      <c r="D4282">
        <v>60</v>
      </c>
      <c r="E4282" t="s">
        <v>46</v>
      </c>
      <c r="F4282">
        <v>3</v>
      </c>
      <c r="G4282">
        <v>1</v>
      </c>
      <c r="H4282">
        <v>2</v>
      </c>
      <c r="I4282">
        <v>1</v>
      </c>
      <c r="J4282" s="4" t="s">
        <v>53</v>
      </c>
      <c r="K4282" t="str">
        <f t="shared" si="213"/>
        <v>1+2</v>
      </c>
      <c r="L4282">
        <f>VLOOKUP(A4282,'ZONE 1 PREMIUM'!$A$4:$N$16,14,0)</f>
        <v>2</v>
      </c>
      <c r="M4282">
        <f>VLOOKUP(D4282,DROPDOWN!B:C,2,0)</f>
        <v>13</v>
      </c>
      <c r="N4282" t="str">
        <f t="shared" si="214"/>
        <v>BR35:CJ46</v>
      </c>
      <c r="O4282" s="4">
        <f t="shared" ca="1" si="212"/>
        <v>94526.3</v>
      </c>
    </row>
    <row r="4283" spans="1:15">
      <c r="A4283" s="2" t="s">
        <v>12</v>
      </c>
      <c r="B4283" t="s">
        <v>27</v>
      </c>
      <c r="C4283" t="s">
        <v>28</v>
      </c>
      <c r="D4283">
        <v>60</v>
      </c>
      <c r="E4283" t="s">
        <v>46</v>
      </c>
      <c r="F4283">
        <v>3</v>
      </c>
      <c r="G4283">
        <v>1</v>
      </c>
      <c r="H4283">
        <v>2</v>
      </c>
      <c r="I4283">
        <v>1</v>
      </c>
      <c r="J4283" s="4" t="s">
        <v>53</v>
      </c>
      <c r="K4283" t="str">
        <f t="shared" si="213"/>
        <v>1+2</v>
      </c>
      <c r="L4283">
        <f>VLOOKUP(A4283,'ZONE 1 PREMIUM'!$A$4:$N$16,14,0)</f>
        <v>3</v>
      </c>
      <c r="M4283">
        <f>VLOOKUP(D4283,DROPDOWN!B:C,2,0)</f>
        <v>13</v>
      </c>
      <c r="N4283" t="str">
        <f t="shared" si="214"/>
        <v>BR35:CJ46</v>
      </c>
      <c r="O4283" s="4">
        <f t="shared" ca="1" si="212"/>
        <v>102113.00000000001</v>
      </c>
    </row>
    <row r="4284" spans="1:15">
      <c r="A4284" s="2" t="s">
        <v>13</v>
      </c>
      <c r="B4284" t="s">
        <v>29</v>
      </c>
      <c r="C4284" t="s">
        <v>30</v>
      </c>
      <c r="D4284">
        <v>60</v>
      </c>
      <c r="E4284" t="s">
        <v>46</v>
      </c>
      <c r="F4284">
        <v>3</v>
      </c>
      <c r="G4284">
        <v>1</v>
      </c>
      <c r="H4284">
        <v>2</v>
      </c>
      <c r="I4284">
        <v>1</v>
      </c>
      <c r="J4284" s="4" t="s">
        <v>53</v>
      </c>
      <c r="K4284" t="str">
        <f t="shared" si="213"/>
        <v>1+2</v>
      </c>
      <c r="L4284">
        <f>VLOOKUP(A4284,'ZONE 1 PREMIUM'!$A$4:$N$16,14,0)</f>
        <v>4</v>
      </c>
      <c r="M4284">
        <f>VLOOKUP(D4284,DROPDOWN!B:C,2,0)</f>
        <v>13</v>
      </c>
      <c r="N4284" t="str">
        <f t="shared" si="214"/>
        <v>BR35:CJ46</v>
      </c>
      <c r="O4284" s="4">
        <f t="shared" ca="1" si="212"/>
        <v>112325.40000000001</v>
      </c>
    </row>
    <row r="4285" spans="1:15">
      <c r="A4285" s="2" t="s">
        <v>14</v>
      </c>
      <c r="B4285" t="s">
        <v>31</v>
      </c>
      <c r="C4285" t="s">
        <v>32</v>
      </c>
      <c r="D4285">
        <v>60</v>
      </c>
      <c r="E4285" t="s">
        <v>46</v>
      </c>
      <c r="F4285">
        <v>3</v>
      </c>
      <c r="G4285">
        <v>1</v>
      </c>
      <c r="H4285">
        <v>2</v>
      </c>
      <c r="I4285">
        <v>1</v>
      </c>
      <c r="J4285" s="4" t="s">
        <v>53</v>
      </c>
      <c r="K4285" t="str">
        <f t="shared" si="213"/>
        <v>1+2</v>
      </c>
      <c r="L4285">
        <f>VLOOKUP(A4285,'ZONE 1 PREMIUM'!$A$4:$N$16,14,0)</f>
        <v>5</v>
      </c>
      <c r="M4285">
        <f>VLOOKUP(D4285,DROPDOWN!B:C,2,0)</f>
        <v>13</v>
      </c>
      <c r="N4285" t="str">
        <f t="shared" si="214"/>
        <v>BR35:CJ46</v>
      </c>
      <c r="O4285" s="4">
        <f t="shared" ca="1" si="212"/>
        <v>125072.20000000001</v>
      </c>
    </row>
    <row r="4286" spans="1:15">
      <c r="A4286" s="2" t="s">
        <v>15</v>
      </c>
      <c r="B4286" t="s">
        <v>33</v>
      </c>
      <c r="C4286" t="s">
        <v>34</v>
      </c>
      <c r="D4286">
        <v>60</v>
      </c>
      <c r="E4286" t="s">
        <v>46</v>
      </c>
      <c r="F4286">
        <v>3</v>
      </c>
      <c r="G4286">
        <v>1</v>
      </c>
      <c r="H4286">
        <v>2</v>
      </c>
      <c r="I4286">
        <v>1</v>
      </c>
      <c r="J4286" s="4" t="s">
        <v>53</v>
      </c>
      <c r="K4286" t="str">
        <f t="shared" si="213"/>
        <v>1+2</v>
      </c>
      <c r="L4286">
        <f>VLOOKUP(A4286,'ZONE 1 PREMIUM'!$A$4:$N$16,14,0)</f>
        <v>6</v>
      </c>
      <c r="M4286">
        <f>VLOOKUP(D4286,DROPDOWN!B:C,2,0)</f>
        <v>13</v>
      </c>
      <c r="N4286" t="str">
        <f t="shared" si="214"/>
        <v>BR35:CJ46</v>
      </c>
      <c r="O4286" s="4">
        <f t="shared" ca="1" si="212"/>
        <v>154977.90000000002</v>
      </c>
    </row>
    <row r="4287" spans="1:15">
      <c r="A4287" s="2" t="s">
        <v>16</v>
      </c>
      <c r="B4287" t="s">
        <v>35</v>
      </c>
      <c r="C4287" t="s">
        <v>36</v>
      </c>
      <c r="D4287">
        <v>60</v>
      </c>
      <c r="E4287" t="s">
        <v>46</v>
      </c>
      <c r="F4287">
        <v>3</v>
      </c>
      <c r="G4287">
        <v>1</v>
      </c>
      <c r="H4287">
        <v>2</v>
      </c>
      <c r="I4287">
        <v>1</v>
      </c>
      <c r="J4287" s="4" t="s">
        <v>53</v>
      </c>
      <c r="K4287" t="str">
        <f t="shared" si="213"/>
        <v>1+2</v>
      </c>
      <c r="L4287">
        <f>VLOOKUP(A4287,'ZONE 1 PREMIUM'!$A$4:$N$16,14,0)</f>
        <v>7</v>
      </c>
      <c r="M4287">
        <f>VLOOKUP(D4287,DROPDOWN!B:C,2,0)</f>
        <v>13</v>
      </c>
      <c r="N4287" t="str">
        <f t="shared" si="214"/>
        <v>BR35:CJ46</v>
      </c>
      <c r="O4287" s="4">
        <f t="shared" ca="1" si="212"/>
        <v>206996.90000000002</v>
      </c>
    </row>
    <row r="4288" spans="1:15">
      <c r="A4288" s="2" t="s">
        <v>17</v>
      </c>
      <c r="B4288" t="s">
        <v>37</v>
      </c>
      <c r="C4288" t="s">
        <v>38</v>
      </c>
      <c r="D4288">
        <v>60</v>
      </c>
      <c r="E4288" t="s">
        <v>46</v>
      </c>
      <c r="F4288">
        <v>3</v>
      </c>
      <c r="G4288">
        <v>1</v>
      </c>
      <c r="H4288">
        <v>2</v>
      </c>
      <c r="I4288">
        <v>1</v>
      </c>
      <c r="J4288" s="4" t="s">
        <v>53</v>
      </c>
      <c r="K4288" t="str">
        <f t="shared" si="213"/>
        <v>1+2</v>
      </c>
      <c r="L4288">
        <f>VLOOKUP(A4288,'ZONE 1 PREMIUM'!$A$4:$N$16,14,0)</f>
        <v>8</v>
      </c>
      <c r="M4288">
        <f>VLOOKUP(D4288,DROPDOWN!B:C,2,0)</f>
        <v>13</v>
      </c>
      <c r="N4288" t="str">
        <f t="shared" si="214"/>
        <v>BR35:CJ46</v>
      </c>
      <c r="O4288" s="4">
        <f t="shared" ca="1" si="212"/>
        <v>267108.60000000003</v>
      </c>
    </row>
    <row r="4289" spans="1:15">
      <c r="A4289" s="2" t="s">
        <v>18</v>
      </c>
      <c r="B4289" t="s">
        <v>39</v>
      </c>
      <c r="C4289" t="s">
        <v>40</v>
      </c>
      <c r="D4289">
        <v>60</v>
      </c>
      <c r="E4289" t="s">
        <v>46</v>
      </c>
      <c r="F4289">
        <v>3</v>
      </c>
      <c r="G4289">
        <v>1</v>
      </c>
      <c r="H4289">
        <v>2</v>
      </c>
      <c r="I4289">
        <v>1</v>
      </c>
      <c r="J4289" s="4" t="s">
        <v>53</v>
      </c>
      <c r="K4289" t="str">
        <f t="shared" si="213"/>
        <v>1+2</v>
      </c>
      <c r="L4289">
        <f>VLOOKUP(A4289,'ZONE 1 PREMIUM'!$A$4:$N$16,14,0)</f>
        <v>9</v>
      </c>
      <c r="M4289">
        <f>VLOOKUP(D4289,DROPDOWN!B:C,2,0)</f>
        <v>13</v>
      </c>
      <c r="N4289" t="str">
        <f t="shared" si="214"/>
        <v>BR35:CJ46</v>
      </c>
      <c r="O4289" s="4">
        <f t="shared" ca="1" si="212"/>
        <v>349696.60000000003</v>
      </c>
    </row>
    <row r="4290" spans="1:15">
      <c r="A4290" s="2" t="s">
        <v>19</v>
      </c>
      <c r="B4290" t="s">
        <v>41</v>
      </c>
      <c r="C4290" t="s">
        <v>42</v>
      </c>
      <c r="D4290">
        <v>60</v>
      </c>
      <c r="E4290" t="s">
        <v>46</v>
      </c>
      <c r="F4290">
        <v>3</v>
      </c>
      <c r="G4290">
        <v>1</v>
      </c>
      <c r="H4290">
        <v>2</v>
      </c>
      <c r="I4290">
        <v>1</v>
      </c>
      <c r="J4290" s="4" t="s">
        <v>53</v>
      </c>
      <c r="K4290" t="str">
        <f t="shared" si="213"/>
        <v>1+2</v>
      </c>
      <c r="L4290">
        <f>VLOOKUP(A4290,'ZONE 1 PREMIUM'!$A$4:$N$16,14,0)</f>
        <v>10</v>
      </c>
      <c r="M4290">
        <f>VLOOKUP(D4290,DROPDOWN!B:C,2,0)</f>
        <v>13</v>
      </c>
      <c r="N4290" t="str">
        <f t="shared" si="214"/>
        <v>BR35:CJ46</v>
      </c>
      <c r="O4290" s="4">
        <f t="shared" ref="O4290:O4353" ca="1" si="215">INDEX(INDIRECT(N4290),L4290,M4290)</f>
        <v>443578.30000000005</v>
      </c>
    </row>
    <row r="4291" spans="1:15">
      <c r="A4291" s="2" t="s">
        <v>20</v>
      </c>
      <c r="B4291" t="s">
        <v>43</v>
      </c>
      <c r="C4291" t="s">
        <v>44</v>
      </c>
      <c r="D4291">
        <v>60</v>
      </c>
      <c r="E4291" t="s">
        <v>46</v>
      </c>
      <c r="F4291">
        <v>3</v>
      </c>
      <c r="G4291">
        <v>1</v>
      </c>
      <c r="H4291">
        <v>2</v>
      </c>
      <c r="I4291">
        <v>1</v>
      </c>
      <c r="J4291" s="4" t="s">
        <v>53</v>
      </c>
      <c r="K4291" t="str">
        <f t="shared" si="213"/>
        <v>1+2</v>
      </c>
      <c r="L4291">
        <f>VLOOKUP(A4291,'ZONE 1 PREMIUM'!$A$4:$N$16,14,0)</f>
        <v>11</v>
      </c>
      <c r="M4291">
        <f>VLOOKUP(D4291,DROPDOWN!B:C,2,0)</f>
        <v>13</v>
      </c>
      <c r="N4291" t="str">
        <f t="shared" si="214"/>
        <v>BR35:CJ46</v>
      </c>
      <c r="O4291" s="4">
        <f t="shared" ca="1" si="215"/>
        <v>516116.70000000007</v>
      </c>
    </row>
    <row r="4292" spans="1:15">
      <c r="A4292" s="2" t="s">
        <v>21</v>
      </c>
      <c r="B4292" t="s">
        <v>22</v>
      </c>
      <c r="D4292">
        <v>60</v>
      </c>
      <c r="E4292" t="s">
        <v>46</v>
      </c>
      <c r="F4292">
        <v>3</v>
      </c>
      <c r="G4292">
        <v>1</v>
      </c>
      <c r="H4292">
        <v>2</v>
      </c>
      <c r="I4292">
        <v>1</v>
      </c>
      <c r="J4292" s="4" t="s">
        <v>53</v>
      </c>
      <c r="K4292" t="str">
        <f t="shared" ref="K4292:K4355" si="216">G4292&amp;"+"&amp;H4292</f>
        <v>1+2</v>
      </c>
      <c r="L4292">
        <f>VLOOKUP(A4292,'ZONE 1 PREMIUM'!$A$4:$N$16,14,0)</f>
        <v>12</v>
      </c>
      <c r="M4292">
        <f>VLOOKUP(D4292,DROPDOWN!B:C,2,0)</f>
        <v>13</v>
      </c>
      <c r="N4292" t="str">
        <f t="shared" si="214"/>
        <v>BR35:CJ46</v>
      </c>
      <c r="O4292" s="4">
        <f t="shared" ca="1" si="215"/>
        <v>663598.10000000009</v>
      </c>
    </row>
    <row r="4293" spans="1:15">
      <c r="A4293" s="2" t="s">
        <v>11</v>
      </c>
      <c r="B4293" t="s">
        <v>45</v>
      </c>
      <c r="C4293" t="s">
        <v>25</v>
      </c>
      <c r="D4293">
        <v>60</v>
      </c>
      <c r="E4293" t="s">
        <v>46</v>
      </c>
      <c r="F4293">
        <v>4</v>
      </c>
      <c r="G4293">
        <v>1</v>
      </c>
      <c r="H4293">
        <v>3</v>
      </c>
      <c r="I4293">
        <v>1</v>
      </c>
      <c r="J4293" s="4" t="s">
        <v>53</v>
      </c>
      <c r="K4293" t="str">
        <f t="shared" si="216"/>
        <v>1+3</v>
      </c>
      <c r="L4293">
        <f>VLOOKUP(A4293,'ZONE 1 PREMIUM'!$A$4:$N$16,14,0)</f>
        <v>2</v>
      </c>
      <c r="M4293">
        <f>VLOOKUP(D4293,DROPDOWN!B:C,2,0)</f>
        <v>13</v>
      </c>
      <c r="N4293" t="str">
        <f t="shared" si="214"/>
        <v>BR50:CJ61</v>
      </c>
      <c r="O4293" s="4">
        <f t="shared" ca="1" si="215"/>
        <v>113375.90000000001</v>
      </c>
    </row>
    <row r="4294" spans="1:15">
      <c r="A4294" s="2" t="s">
        <v>12</v>
      </c>
      <c r="B4294" t="s">
        <v>27</v>
      </c>
      <c r="C4294" t="s">
        <v>28</v>
      </c>
      <c r="D4294">
        <v>60</v>
      </c>
      <c r="E4294" t="s">
        <v>46</v>
      </c>
      <c r="F4294">
        <v>4</v>
      </c>
      <c r="G4294">
        <v>1</v>
      </c>
      <c r="H4294">
        <v>3</v>
      </c>
      <c r="I4294">
        <v>1</v>
      </c>
      <c r="J4294" s="4" t="s">
        <v>53</v>
      </c>
      <c r="K4294" t="str">
        <f t="shared" si="216"/>
        <v>1+3</v>
      </c>
      <c r="L4294">
        <f>VLOOKUP(A4294,'ZONE 1 PREMIUM'!$A$4:$N$16,14,0)</f>
        <v>3</v>
      </c>
      <c r="M4294">
        <f>VLOOKUP(D4294,DROPDOWN!B:C,2,0)</f>
        <v>13</v>
      </c>
      <c r="N4294" t="str">
        <f t="shared" si="214"/>
        <v>BR50:CJ61</v>
      </c>
      <c r="O4294" s="4">
        <f t="shared" ca="1" si="215"/>
        <v>120690.90000000001</v>
      </c>
    </row>
    <row r="4295" spans="1:15">
      <c r="A4295" s="2" t="s">
        <v>13</v>
      </c>
      <c r="B4295" t="s">
        <v>29</v>
      </c>
      <c r="C4295" t="s">
        <v>30</v>
      </c>
      <c r="D4295">
        <v>60</v>
      </c>
      <c r="E4295" t="s">
        <v>46</v>
      </c>
      <c r="F4295">
        <v>4</v>
      </c>
      <c r="G4295">
        <v>1</v>
      </c>
      <c r="H4295">
        <v>3</v>
      </c>
      <c r="I4295">
        <v>1</v>
      </c>
      <c r="J4295" s="4" t="s">
        <v>53</v>
      </c>
      <c r="K4295" t="str">
        <f t="shared" si="216"/>
        <v>1+3</v>
      </c>
      <c r="L4295">
        <f>VLOOKUP(A4295,'ZONE 1 PREMIUM'!$A$4:$N$16,14,0)</f>
        <v>4</v>
      </c>
      <c r="M4295">
        <f>VLOOKUP(D4295,DROPDOWN!B:C,2,0)</f>
        <v>13</v>
      </c>
      <c r="N4295" t="str">
        <f t="shared" si="214"/>
        <v>BR50:CJ61</v>
      </c>
      <c r="O4295" s="4">
        <f t="shared" ca="1" si="215"/>
        <v>133829.30000000002</v>
      </c>
    </row>
    <row r="4296" spans="1:15">
      <c r="A4296" s="2" t="s">
        <v>14</v>
      </c>
      <c r="B4296" t="s">
        <v>31</v>
      </c>
      <c r="C4296" t="s">
        <v>32</v>
      </c>
      <c r="D4296">
        <v>60</v>
      </c>
      <c r="E4296" t="s">
        <v>46</v>
      </c>
      <c r="F4296">
        <v>4</v>
      </c>
      <c r="G4296">
        <v>1</v>
      </c>
      <c r="H4296">
        <v>3</v>
      </c>
      <c r="I4296">
        <v>1</v>
      </c>
      <c r="J4296" s="4" t="s">
        <v>53</v>
      </c>
      <c r="K4296" t="str">
        <f t="shared" si="216"/>
        <v>1+3</v>
      </c>
      <c r="L4296">
        <f>VLOOKUP(A4296,'ZONE 1 PREMIUM'!$A$4:$N$16,14,0)</f>
        <v>5</v>
      </c>
      <c r="M4296">
        <f>VLOOKUP(D4296,DROPDOWN!B:C,2,0)</f>
        <v>13</v>
      </c>
      <c r="N4296" t="str">
        <f t="shared" si="214"/>
        <v>BR50:CJ61</v>
      </c>
      <c r="O4296" s="4">
        <f t="shared" ca="1" si="215"/>
        <v>148080.90000000002</v>
      </c>
    </row>
    <row r="4297" spans="1:15">
      <c r="A4297" s="2" t="s">
        <v>15</v>
      </c>
      <c r="B4297" t="s">
        <v>33</v>
      </c>
      <c r="C4297" t="s">
        <v>34</v>
      </c>
      <c r="D4297">
        <v>60</v>
      </c>
      <c r="E4297" t="s">
        <v>46</v>
      </c>
      <c r="F4297">
        <v>4</v>
      </c>
      <c r="G4297">
        <v>1</v>
      </c>
      <c r="H4297">
        <v>3</v>
      </c>
      <c r="I4297">
        <v>1</v>
      </c>
      <c r="J4297" s="4" t="s">
        <v>53</v>
      </c>
      <c r="K4297" t="str">
        <f t="shared" si="216"/>
        <v>1+3</v>
      </c>
      <c r="L4297">
        <f>VLOOKUP(A4297,'ZONE 1 PREMIUM'!$A$4:$N$16,14,0)</f>
        <v>6</v>
      </c>
      <c r="M4297">
        <f>VLOOKUP(D4297,DROPDOWN!B:C,2,0)</f>
        <v>13</v>
      </c>
      <c r="N4297" t="str">
        <f t="shared" si="214"/>
        <v>BR50:CJ61</v>
      </c>
      <c r="O4297" s="4">
        <f t="shared" ca="1" si="215"/>
        <v>180702.50000000003</v>
      </c>
    </row>
    <row r="4298" spans="1:15">
      <c r="A4298" s="2" t="s">
        <v>16</v>
      </c>
      <c r="B4298" t="s">
        <v>35</v>
      </c>
      <c r="C4298" t="s">
        <v>36</v>
      </c>
      <c r="D4298">
        <v>60</v>
      </c>
      <c r="E4298" t="s">
        <v>46</v>
      </c>
      <c r="F4298">
        <v>4</v>
      </c>
      <c r="G4298">
        <v>1</v>
      </c>
      <c r="H4298">
        <v>3</v>
      </c>
      <c r="I4298">
        <v>1</v>
      </c>
      <c r="J4298" s="4" t="s">
        <v>53</v>
      </c>
      <c r="K4298" t="str">
        <f t="shared" si="216"/>
        <v>1+3</v>
      </c>
      <c r="L4298">
        <f>VLOOKUP(A4298,'ZONE 1 PREMIUM'!$A$4:$N$16,14,0)</f>
        <v>7</v>
      </c>
      <c r="M4298">
        <f>VLOOKUP(D4298,DROPDOWN!B:C,2,0)</f>
        <v>13</v>
      </c>
      <c r="N4298" t="str">
        <f t="shared" si="214"/>
        <v>BR50:CJ61</v>
      </c>
      <c r="O4298" s="4">
        <f t="shared" ca="1" si="215"/>
        <v>234877.50000000003</v>
      </c>
    </row>
    <row r="4299" spans="1:15">
      <c r="A4299" s="2" t="s">
        <v>17</v>
      </c>
      <c r="B4299" t="s">
        <v>37</v>
      </c>
      <c r="C4299" t="s">
        <v>38</v>
      </c>
      <c r="D4299">
        <v>60</v>
      </c>
      <c r="E4299" t="s">
        <v>46</v>
      </c>
      <c r="F4299">
        <v>4</v>
      </c>
      <c r="G4299">
        <v>1</v>
      </c>
      <c r="H4299">
        <v>3</v>
      </c>
      <c r="I4299">
        <v>1</v>
      </c>
      <c r="J4299" s="4" t="s">
        <v>53</v>
      </c>
      <c r="K4299" t="str">
        <f t="shared" si="216"/>
        <v>1+3</v>
      </c>
      <c r="L4299">
        <f>VLOOKUP(A4299,'ZONE 1 PREMIUM'!$A$4:$N$16,14,0)</f>
        <v>8</v>
      </c>
      <c r="M4299">
        <f>VLOOKUP(D4299,DROPDOWN!B:C,2,0)</f>
        <v>13</v>
      </c>
      <c r="N4299" t="str">
        <f t="shared" si="214"/>
        <v>BR50:CJ61</v>
      </c>
      <c r="O4299" s="4">
        <f t="shared" ca="1" si="215"/>
        <v>291082</v>
      </c>
    </row>
    <row r="4300" spans="1:15">
      <c r="A4300" s="2" t="s">
        <v>18</v>
      </c>
      <c r="B4300" t="s">
        <v>39</v>
      </c>
      <c r="C4300" t="s">
        <v>40</v>
      </c>
      <c r="D4300">
        <v>60</v>
      </c>
      <c r="E4300" t="s">
        <v>46</v>
      </c>
      <c r="F4300">
        <v>4</v>
      </c>
      <c r="G4300">
        <v>1</v>
      </c>
      <c r="H4300">
        <v>3</v>
      </c>
      <c r="I4300">
        <v>1</v>
      </c>
      <c r="J4300" s="4" t="s">
        <v>53</v>
      </c>
      <c r="K4300" t="str">
        <f t="shared" si="216"/>
        <v>1+3</v>
      </c>
      <c r="L4300">
        <f>VLOOKUP(A4300,'ZONE 1 PREMIUM'!$A$4:$N$16,14,0)</f>
        <v>9</v>
      </c>
      <c r="M4300">
        <f>VLOOKUP(D4300,DROPDOWN!B:C,2,0)</f>
        <v>13</v>
      </c>
      <c r="N4300" t="str">
        <f t="shared" si="214"/>
        <v>BR50:CJ61</v>
      </c>
      <c r="O4300" s="4">
        <f t="shared" ca="1" si="215"/>
        <v>376340.80000000005</v>
      </c>
    </row>
    <row r="4301" spans="1:15">
      <c r="A4301" s="2" t="s">
        <v>19</v>
      </c>
      <c r="B4301" t="s">
        <v>41</v>
      </c>
      <c r="C4301" t="s">
        <v>42</v>
      </c>
      <c r="D4301">
        <v>60</v>
      </c>
      <c r="E4301" t="s">
        <v>46</v>
      </c>
      <c r="F4301">
        <v>4</v>
      </c>
      <c r="G4301">
        <v>1</v>
      </c>
      <c r="H4301">
        <v>3</v>
      </c>
      <c r="I4301">
        <v>1</v>
      </c>
      <c r="J4301" s="4" t="s">
        <v>53</v>
      </c>
      <c r="K4301" t="str">
        <f t="shared" si="216"/>
        <v>1+3</v>
      </c>
      <c r="L4301">
        <f>VLOOKUP(A4301,'ZONE 1 PREMIUM'!$A$4:$N$16,14,0)</f>
        <v>10</v>
      </c>
      <c r="M4301">
        <f>VLOOKUP(D4301,DROPDOWN!B:C,2,0)</f>
        <v>13</v>
      </c>
      <c r="N4301" t="str">
        <f t="shared" si="214"/>
        <v>BR50:CJ61</v>
      </c>
      <c r="O4301" s="4">
        <f t="shared" ca="1" si="215"/>
        <v>464026.2</v>
      </c>
    </row>
    <row r="4302" spans="1:15">
      <c r="A4302" s="2" t="s">
        <v>20</v>
      </c>
      <c r="B4302" t="s">
        <v>43</v>
      </c>
      <c r="C4302" t="s">
        <v>44</v>
      </c>
      <c r="D4302">
        <v>60</v>
      </c>
      <c r="E4302" t="s">
        <v>46</v>
      </c>
      <c r="F4302">
        <v>4</v>
      </c>
      <c r="G4302">
        <v>1</v>
      </c>
      <c r="H4302">
        <v>3</v>
      </c>
      <c r="I4302">
        <v>1</v>
      </c>
      <c r="J4302" s="4" t="s">
        <v>53</v>
      </c>
      <c r="K4302" t="str">
        <f t="shared" si="216"/>
        <v>1+3</v>
      </c>
      <c r="L4302">
        <f>VLOOKUP(A4302,'ZONE 1 PREMIUM'!$A$4:$N$16,14,0)</f>
        <v>11</v>
      </c>
      <c r="M4302">
        <f>VLOOKUP(D4302,DROPDOWN!B:C,2,0)</f>
        <v>13</v>
      </c>
      <c r="N4302" t="str">
        <f t="shared" si="214"/>
        <v>BR50:CJ61</v>
      </c>
      <c r="O4302" s="4">
        <f t="shared" ca="1" si="215"/>
        <v>535382.10000000009</v>
      </c>
    </row>
    <row r="4303" spans="1:15">
      <c r="A4303" s="2" t="s">
        <v>21</v>
      </c>
      <c r="B4303" t="s">
        <v>22</v>
      </c>
      <c r="D4303">
        <v>60</v>
      </c>
      <c r="E4303" t="s">
        <v>46</v>
      </c>
      <c r="F4303">
        <v>4</v>
      </c>
      <c r="G4303">
        <v>1</v>
      </c>
      <c r="H4303">
        <v>3</v>
      </c>
      <c r="I4303">
        <v>1</v>
      </c>
      <c r="J4303" s="4" t="s">
        <v>53</v>
      </c>
      <c r="K4303" t="str">
        <f t="shared" si="216"/>
        <v>1+3</v>
      </c>
      <c r="L4303">
        <f>VLOOKUP(A4303,'ZONE 1 PREMIUM'!$A$4:$N$16,14,0)</f>
        <v>12</v>
      </c>
      <c r="M4303">
        <f>VLOOKUP(D4303,DROPDOWN!B:C,2,0)</f>
        <v>13</v>
      </c>
      <c r="N4303" t="str">
        <f t="shared" si="214"/>
        <v>BR50:CJ61</v>
      </c>
      <c r="O4303" s="4">
        <f t="shared" ca="1" si="215"/>
        <v>684367.20000000007</v>
      </c>
    </row>
    <row r="4304" spans="1:15">
      <c r="A4304" s="2" t="s">
        <v>11</v>
      </c>
      <c r="B4304" t="s">
        <v>45</v>
      </c>
      <c r="C4304" t="s">
        <v>25</v>
      </c>
      <c r="D4304">
        <v>60</v>
      </c>
      <c r="E4304" t="s">
        <v>46</v>
      </c>
      <c r="F4304">
        <v>5</v>
      </c>
      <c r="G4304">
        <v>1</v>
      </c>
      <c r="H4304">
        <v>4</v>
      </c>
      <c r="I4304">
        <v>1</v>
      </c>
      <c r="J4304" s="4" t="s">
        <v>53</v>
      </c>
      <c r="K4304" t="str">
        <f t="shared" si="216"/>
        <v>1+4</v>
      </c>
      <c r="L4304">
        <f>VLOOKUP(A4304,'ZONE 1 PREMIUM'!$A$4:$N$16,14,0)</f>
        <v>2</v>
      </c>
      <c r="M4304">
        <f>VLOOKUP(D4304,DROPDOWN!B:C,2,0)</f>
        <v>13</v>
      </c>
      <c r="N4304" t="str">
        <f t="shared" si="214"/>
        <v>BR65:CJ76</v>
      </c>
      <c r="O4304" s="4">
        <f t="shared" ca="1" si="215"/>
        <v>132225.5</v>
      </c>
    </row>
    <row r="4305" spans="1:15">
      <c r="A4305" s="2" t="s">
        <v>12</v>
      </c>
      <c r="B4305" t="s">
        <v>27</v>
      </c>
      <c r="C4305" t="s">
        <v>28</v>
      </c>
      <c r="D4305">
        <v>60</v>
      </c>
      <c r="E4305" t="s">
        <v>46</v>
      </c>
      <c r="F4305">
        <v>5</v>
      </c>
      <c r="G4305">
        <v>1</v>
      </c>
      <c r="H4305">
        <v>4</v>
      </c>
      <c r="I4305">
        <v>1</v>
      </c>
      <c r="J4305" s="4" t="s">
        <v>53</v>
      </c>
      <c r="K4305" t="str">
        <f t="shared" si="216"/>
        <v>1+4</v>
      </c>
      <c r="L4305">
        <f>VLOOKUP(A4305,'ZONE 1 PREMIUM'!$A$4:$N$16,14,0)</f>
        <v>3</v>
      </c>
      <c r="M4305">
        <f>VLOOKUP(D4305,DROPDOWN!B:C,2,0)</f>
        <v>13</v>
      </c>
      <c r="N4305" t="str">
        <f t="shared" si="214"/>
        <v>BR65:CJ76</v>
      </c>
      <c r="O4305" s="4">
        <f t="shared" ca="1" si="215"/>
        <v>139268.80000000002</v>
      </c>
    </row>
    <row r="4306" spans="1:15">
      <c r="A4306" s="2" t="s">
        <v>13</v>
      </c>
      <c r="B4306" t="s">
        <v>29</v>
      </c>
      <c r="C4306" t="s">
        <v>30</v>
      </c>
      <c r="D4306">
        <v>60</v>
      </c>
      <c r="E4306" t="s">
        <v>46</v>
      </c>
      <c r="F4306">
        <v>5</v>
      </c>
      <c r="G4306">
        <v>1</v>
      </c>
      <c r="H4306">
        <v>4</v>
      </c>
      <c r="I4306">
        <v>1</v>
      </c>
      <c r="J4306" s="4" t="s">
        <v>53</v>
      </c>
      <c r="K4306" t="str">
        <f t="shared" si="216"/>
        <v>1+4</v>
      </c>
      <c r="L4306">
        <f>VLOOKUP(A4306,'ZONE 1 PREMIUM'!$A$4:$N$16,14,0)</f>
        <v>4</v>
      </c>
      <c r="M4306">
        <f>VLOOKUP(D4306,DROPDOWN!B:C,2,0)</f>
        <v>13</v>
      </c>
      <c r="N4306" t="str">
        <f t="shared" si="214"/>
        <v>BR65:CJ76</v>
      </c>
      <c r="O4306" s="4">
        <f t="shared" ca="1" si="215"/>
        <v>155332.1</v>
      </c>
    </row>
    <row r="4307" spans="1:15">
      <c r="A4307" s="2" t="s">
        <v>14</v>
      </c>
      <c r="B4307" t="s">
        <v>31</v>
      </c>
      <c r="C4307" t="s">
        <v>32</v>
      </c>
      <c r="D4307">
        <v>60</v>
      </c>
      <c r="E4307" t="s">
        <v>46</v>
      </c>
      <c r="F4307">
        <v>5</v>
      </c>
      <c r="G4307">
        <v>1</v>
      </c>
      <c r="H4307">
        <v>4</v>
      </c>
      <c r="I4307">
        <v>1</v>
      </c>
      <c r="J4307" s="4" t="s">
        <v>53</v>
      </c>
      <c r="K4307" t="str">
        <f t="shared" si="216"/>
        <v>1+4</v>
      </c>
      <c r="L4307">
        <f>VLOOKUP(A4307,'ZONE 1 PREMIUM'!$A$4:$N$16,14,0)</f>
        <v>5</v>
      </c>
      <c r="M4307">
        <f>VLOOKUP(D4307,DROPDOWN!B:C,2,0)</f>
        <v>13</v>
      </c>
      <c r="N4307" t="str">
        <f t="shared" si="214"/>
        <v>BR65:CJ76</v>
      </c>
      <c r="O4307" s="4">
        <f t="shared" ca="1" si="215"/>
        <v>171090.7</v>
      </c>
    </row>
    <row r="4308" spans="1:15">
      <c r="A4308" s="2" t="s">
        <v>15</v>
      </c>
      <c r="B4308" t="s">
        <v>33</v>
      </c>
      <c r="C4308" t="s">
        <v>34</v>
      </c>
      <c r="D4308">
        <v>60</v>
      </c>
      <c r="E4308" t="s">
        <v>46</v>
      </c>
      <c r="F4308">
        <v>5</v>
      </c>
      <c r="G4308">
        <v>1</v>
      </c>
      <c r="H4308">
        <v>4</v>
      </c>
      <c r="I4308">
        <v>1</v>
      </c>
      <c r="J4308" s="4" t="s">
        <v>53</v>
      </c>
      <c r="K4308" t="str">
        <f t="shared" si="216"/>
        <v>1+4</v>
      </c>
      <c r="L4308">
        <f>VLOOKUP(A4308,'ZONE 1 PREMIUM'!$A$4:$N$16,14,0)</f>
        <v>6</v>
      </c>
      <c r="M4308">
        <f>VLOOKUP(D4308,DROPDOWN!B:C,2,0)</f>
        <v>13</v>
      </c>
      <c r="N4308" t="str">
        <f t="shared" si="214"/>
        <v>BR65:CJ76</v>
      </c>
      <c r="O4308" s="4">
        <f t="shared" ca="1" si="215"/>
        <v>206426.00000000003</v>
      </c>
    </row>
    <row r="4309" spans="1:15">
      <c r="A4309" s="2" t="s">
        <v>16</v>
      </c>
      <c r="B4309" t="s">
        <v>35</v>
      </c>
      <c r="C4309" t="s">
        <v>36</v>
      </c>
      <c r="D4309">
        <v>60</v>
      </c>
      <c r="E4309" t="s">
        <v>46</v>
      </c>
      <c r="F4309">
        <v>5</v>
      </c>
      <c r="G4309">
        <v>1</v>
      </c>
      <c r="H4309">
        <v>4</v>
      </c>
      <c r="I4309">
        <v>1</v>
      </c>
      <c r="J4309" s="4" t="s">
        <v>53</v>
      </c>
      <c r="K4309" t="str">
        <f t="shared" si="216"/>
        <v>1+4</v>
      </c>
      <c r="L4309">
        <f>VLOOKUP(A4309,'ZONE 1 PREMIUM'!$A$4:$N$16,14,0)</f>
        <v>7</v>
      </c>
      <c r="M4309">
        <f>VLOOKUP(D4309,DROPDOWN!B:C,2,0)</f>
        <v>13</v>
      </c>
      <c r="N4309" t="str">
        <f t="shared" si="214"/>
        <v>BR65:CJ76</v>
      </c>
      <c r="O4309" s="4">
        <f t="shared" ca="1" si="215"/>
        <v>257766.30000000002</v>
      </c>
    </row>
    <row r="4310" spans="1:15">
      <c r="A4310" s="2" t="s">
        <v>17</v>
      </c>
      <c r="B4310" t="s">
        <v>37</v>
      </c>
      <c r="C4310" t="s">
        <v>38</v>
      </c>
      <c r="D4310">
        <v>60</v>
      </c>
      <c r="E4310" t="s">
        <v>46</v>
      </c>
      <c r="F4310">
        <v>5</v>
      </c>
      <c r="G4310">
        <v>1</v>
      </c>
      <c r="H4310">
        <v>4</v>
      </c>
      <c r="I4310">
        <v>1</v>
      </c>
      <c r="J4310" s="4" t="s">
        <v>53</v>
      </c>
      <c r="K4310" t="str">
        <f t="shared" si="216"/>
        <v>1+4</v>
      </c>
      <c r="L4310">
        <f>VLOOKUP(A4310,'ZONE 1 PREMIUM'!$A$4:$N$16,14,0)</f>
        <v>8</v>
      </c>
      <c r="M4310">
        <f>VLOOKUP(D4310,DROPDOWN!B:C,2,0)</f>
        <v>13</v>
      </c>
      <c r="N4310" t="str">
        <f t="shared" si="214"/>
        <v>BR65:CJ76</v>
      </c>
      <c r="O4310" s="4">
        <f t="shared" ca="1" si="215"/>
        <v>312862</v>
      </c>
    </row>
    <row r="4311" spans="1:15">
      <c r="A4311" s="2" t="s">
        <v>18</v>
      </c>
      <c r="B4311" t="s">
        <v>39</v>
      </c>
      <c r="C4311" t="s">
        <v>40</v>
      </c>
      <c r="D4311">
        <v>60</v>
      </c>
      <c r="E4311" t="s">
        <v>46</v>
      </c>
      <c r="F4311">
        <v>5</v>
      </c>
      <c r="G4311">
        <v>1</v>
      </c>
      <c r="H4311">
        <v>4</v>
      </c>
      <c r="I4311">
        <v>1</v>
      </c>
      <c r="J4311" s="4" t="s">
        <v>53</v>
      </c>
      <c r="K4311" t="str">
        <f t="shared" si="216"/>
        <v>1+4</v>
      </c>
      <c r="L4311">
        <f>VLOOKUP(A4311,'ZONE 1 PREMIUM'!$A$4:$N$16,14,0)</f>
        <v>9</v>
      </c>
      <c r="M4311">
        <f>VLOOKUP(D4311,DROPDOWN!B:C,2,0)</f>
        <v>13</v>
      </c>
      <c r="N4311" t="str">
        <f t="shared" si="214"/>
        <v>BR65:CJ76</v>
      </c>
      <c r="O4311" s="4">
        <f t="shared" ca="1" si="215"/>
        <v>398475.00000000006</v>
      </c>
    </row>
    <row r="4312" spans="1:15">
      <c r="A4312" s="2" t="s">
        <v>19</v>
      </c>
      <c r="B4312" t="s">
        <v>41</v>
      </c>
      <c r="C4312" t="s">
        <v>42</v>
      </c>
      <c r="D4312">
        <v>60</v>
      </c>
      <c r="E4312" t="s">
        <v>46</v>
      </c>
      <c r="F4312">
        <v>5</v>
      </c>
      <c r="G4312">
        <v>1</v>
      </c>
      <c r="H4312">
        <v>4</v>
      </c>
      <c r="I4312">
        <v>1</v>
      </c>
      <c r="J4312" s="4" t="s">
        <v>53</v>
      </c>
      <c r="K4312" t="str">
        <f t="shared" si="216"/>
        <v>1+4</v>
      </c>
      <c r="L4312">
        <f>VLOOKUP(A4312,'ZONE 1 PREMIUM'!$A$4:$N$16,14,0)</f>
        <v>10</v>
      </c>
      <c r="M4312">
        <f>VLOOKUP(D4312,DROPDOWN!B:C,2,0)</f>
        <v>13</v>
      </c>
      <c r="N4312" t="str">
        <f t="shared" si="214"/>
        <v>BR65:CJ76</v>
      </c>
      <c r="O4312" s="4">
        <f t="shared" ca="1" si="215"/>
        <v>485474.00000000006</v>
      </c>
    </row>
    <row r="4313" spans="1:15">
      <c r="A4313" s="2" t="s">
        <v>20</v>
      </c>
      <c r="B4313" t="s">
        <v>43</v>
      </c>
      <c r="C4313" t="s">
        <v>44</v>
      </c>
      <c r="D4313">
        <v>60</v>
      </c>
      <c r="E4313" t="s">
        <v>46</v>
      </c>
      <c r="F4313">
        <v>5</v>
      </c>
      <c r="G4313">
        <v>1</v>
      </c>
      <c r="H4313">
        <v>4</v>
      </c>
      <c r="I4313">
        <v>1</v>
      </c>
      <c r="J4313" s="4" t="s">
        <v>53</v>
      </c>
      <c r="K4313" t="str">
        <f t="shared" si="216"/>
        <v>1+4</v>
      </c>
      <c r="L4313">
        <f>VLOOKUP(A4313,'ZONE 1 PREMIUM'!$A$4:$N$16,14,0)</f>
        <v>11</v>
      </c>
      <c r="M4313">
        <f>VLOOKUP(D4313,DROPDOWN!B:C,2,0)</f>
        <v>13</v>
      </c>
      <c r="N4313" t="str">
        <f t="shared" si="214"/>
        <v>BR65:CJ76</v>
      </c>
      <c r="O4313" s="4">
        <f t="shared" ca="1" si="215"/>
        <v>556944.30000000005</v>
      </c>
    </row>
    <row r="4314" spans="1:15">
      <c r="A4314" s="2" t="s">
        <v>21</v>
      </c>
      <c r="B4314" t="s">
        <v>22</v>
      </c>
      <c r="D4314">
        <v>60</v>
      </c>
      <c r="E4314" t="s">
        <v>46</v>
      </c>
      <c r="F4314">
        <v>5</v>
      </c>
      <c r="G4314">
        <v>1</v>
      </c>
      <c r="H4314">
        <v>4</v>
      </c>
      <c r="I4314">
        <v>1</v>
      </c>
      <c r="J4314" s="4" t="s">
        <v>53</v>
      </c>
      <c r="K4314" t="str">
        <f t="shared" si="216"/>
        <v>1+4</v>
      </c>
      <c r="L4314">
        <f>VLOOKUP(A4314,'ZONE 1 PREMIUM'!$A$4:$N$16,14,0)</f>
        <v>12</v>
      </c>
      <c r="M4314">
        <f>VLOOKUP(D4314,DROPDOWN!B:C,2,0)</f>
        <v>13</v>
      </c>
      <c r="N4314" t="str">
        <f t="shared" si="214"/>
        <v>BR65:CJ76</v>
      </c>
      <c r="O4314" s="4">
        <f t="shared" ca="1" si="215"/>
        <v>706822.60000000009</v>
      </c>
    </row>
    <row r="4315" spans="1:15">
      <c r="A4315" s="2" t="s">
        <v>11</v>
      </c>
      <c r="B4315" t="s">
        <v>45</v>
      </c>
      <c r="C4315" t="s">
        <v>25</v>
      </c>
      <c r="D4315">
        <v>60</v>
      </c>
      <c r="E4315" t="s">
        <v>46</v>
      </c>
      <c r="F4315">
        <v>2</v>
      </c>
      <c r="G4315">
        <v>2</v>
      </c>
      <c r="H4315">
        <v>0</v>
      </c>
      <c r="I4315">
        <v>1</v>
      </c>
      <c r="J4315" s="4" t="s">
        <v>53</v>
      </c>
      <c r="K4315" t="str">
        <f t="shared" si="216"/>
        <v>2+0</v>
      </c>
      <c r="L4315">
        <f>VLOOKUP(A4315,'ZONE 1 PREMIUM'!$A$4:$N$16,14,0)</f>
        <v>2</v>
      </c>
      <c r="M4315">
        <f>VLOOKUP(D4315,DROPDOWN!B:C,2,0)</f>
        <v>13</v>
      </c>
      <c r="N4315" t="str">
        <f t="shared" si="214"/>
        <v>BR81:CJ92</v>
      </c>
      <c r="O4315" s="4">
        <f t="shared" ca="1" si="215"/>
        <v>113350.6</v>
      </c>
    </row>
    <row r="4316" spans="1:15">
      <c r="A4316" s="2" t="s">
        <v>12</v>
      </c>
      <c r="B4316" t="s">
        <v>27</v>
      </c>
      <c r="C4316" t="s">
        <v>28</v>
      </c>
      <c r="D4316">
        <v>60</v>
      </c>
      <c r="E4316" t="s">
        <v>46</v>
      </c>
      <c r="F4316">
        <v>2</v>
      </c>
      <c r="G4316">
        <v>2</v>
      </c>
      <c r="H4316">
        <v>0</v>
      </c>
      <c r="I4316">
        <v>1</v>
      </c>
      <c r="J4316" s="4" t="s">
        <v>53</v>
      </c>
      <c r="K4316" t="str">
        <f t="shared" si="216"/>
        <v>2+0</v>
      </c>
      <c r="L4316">
        <f>VLOOKUP(A4316,'ZONE 1 PREMIUM'!$A$4:$N$16,14,0)</f>
        <v>3</v>
      </c>
      <c r="M4316">
        <f>VLOOKUP(D4316,DROPDOWN!B:C,2,0)</f>
        <v>13</v>
      </c>
      <c r="N4316" t="str">
        <f t="shared" si="214"/>
        <v>BR81:CJ92</v>
      </c>
      <c r="O4316" s="4">
        <f t="shared" ca="1" si="215"/>
        <v>128393.1</v>
      </c>
    </row>
    <row r="4317" spans="1:15">
      <c r="A4317" s="2" t="s">
        <v>13</v>
      </c>
      <c r="B4317" t="s">
        <v>29</v>
      </c>
      <c r="C4317" t="s">
        <v>30</v>
      </c>
      <c r="D4317">
        <v>60</v>
      </c>
      <c r="E4317" t="s">
        <v>46</v>
      </c>
      <c r="F4317">
        <v>2</v>
      </c>
      <c r="G4317">
        <v>2</v>
      </c>
      <c r="H4317">
        <v>0</v>
      </c>
      <c r="I4317">
        <v>1</v>
      </c>
      <c r="J4317" s="4" t="s">
        <v>53</v>
      </c>
      <c r="K4317" t="str">
        <f t="shared" si="216"/>
        <v>2+0</v>
      </c>
      <c r="L4317">
        <f>VLOOKUP(A4317,'ZONE 1 PREMIUM'!$A$4:$N$16,14,0)</f>
        <v>4</v>
      </c>
      <c r="M4317">
        <f>VLOOKUP(D4317,DROPDOWN!B:C,2,0)</f>
        <v>13</v>
      </c>
      <c r="N4317" t="str">
        <f t="shared" si="214"/>
        <v>BR81:CJ92</v>
      </c>
      <c r="O4317" s="4">
        <f t="shared" ca="1" si="215"/>
        <v>135193.30000000002</v>
      </c>
    </row>
    <row r="4318" spans="1:15">
      <c r="A4318" s="2" t="s">
        <v>14</v>
      </c>
      <c r="B4318" t="s">
        <v>31</v>
      </c>
      <c r="C4318" t="s">
        <v>32</v>
      </c>
      <c r="D4318">
        <v>60</v>
      </c>
      <c r="E4318" t="s">
        <v>46</v>
      </c>
      <c r="F4318">
        <v>2</v>
      </c>
      <c r="G4318">
        <v>2</v>
      </c>
      <c r="H4318">
        <v>0</v>
      </c>
      <c r="I4318">
        <v>1</v>
      </c>
      <c r="J4318" s="4" t="s">
        <v>53</v>
      </c>
      <c r="K4318" t="str">
        <f t="shared" si="216"/>
        <v>2+0</v>
      </c>
      <c r="L4318">
        <f>VLOOKUP(A4318,'ZONE 1 PREMIUM'!$A$4:$N$16,14,0)</f>
        <v>5</v>
      </c>
      <c r="M4318">
        <f>VLOOKUP(D4318,DROPDOWN!B:C,2,0)</f>
        <v>13</v>
      </c>
      <c r="N4318" t="str">
        <f t="shared" si="214"/>
        <v>BR81:CJ92</v>
      </c>
      <c r="O4318" s="4">
        <f t="shared" ca="1" si="215"/>
        <v>150786.90000000002</v>
      </c>
    </row>
    <row r="4319" spans="1:15">
      <c r="A4319" s="2" t="s">
        <v>15</v>
      </c>
      <c r="B4319" t="s">
        <v>33</v>
      </c>
      <c r="C4319" t="s">
        <v>34</v>
      </c>
      <c r="D4319">
        <v>60</v>
      </c>
      <c r="E4319" t="s">
        <v>46</v>
      </c>
      <c r="F4319">
        <v>2</v>
      </c>
      <c r="G4319">
        <v>2</v>
      </c>
      <c r="H4319">
        <v>0</v>
      </c>
      <c r="I4319">
        <v>1</v>
      </c>
      <c r="J4319" s="4" t="s">
        <v>53</v>
      </c>
      <c r="K4319" t="str">
        <f t="shared" si="216"/>
        <v>2+0</v>
      </c>
      <c r="L4319">
        <f>VLOOKUP(A4319,'ZONE 1 PREMIUM'!$A$4:$N$16,14,0)</f>
        <v>6</v>
      </c>
      <c r="M4319">
        <f>VLOOKUP(D4319,DROPDOWN!B:C,2,0)</f>
        <v>13</v>
      </c>
      <c r="N4319" t="str">
        <f t="shared" si="214"/>
        <v>BR81:CJ92</v>
      </c>
      <c r="O4319" s="4">
        <f t="shared" ca="1" si="215"/>
        <v>189308.90000000002</v>
      </c>
    </row>
    <row r="4320" spans="1:15">
      <c r="A4320" s="2" t="s">
        <v>16</v>
      </c>
      <c r="B4320" t="s">
        <v>35</v>
      </c>
      <c r="C4320" t="s">
        <v>36</v>
      </c>
      <c r="D4320">
        <v>60</v>
      </c>
      <c r="E4320" t="s">
        <v>46</v>
      </c>
      <c r="F4320">
        <v>2</v>
      </c>
      <c r="G4320">
        <v>2</v>
      </c>
      <c r="H4320">
        <v>0</v>
      </c>
      <c r="I4320">
        <v>1</v>
      </c>
      <c r="J4320" s="4" t="s">
        <v>53</v>
      </c>
      <c r="K4320" t="str">
        <f t="shared" si="216"/>
        <v>2+0</v>
      </c>
      <c r="L4320">
        <f>VLOOKUP(A4320,'ZONE 1 PREMIUM'!$A$4:$N$16,14,0)</f>
        <v>7</v>
      </c>
      <c r="M4320">
        <f>VLOOKUP(D4320,DROPDOWN!B:C,2,0)</f>
        <v>13</v>
      </c>
      <c r="N4320" t="str">
        <f t="shared" si="214"/>
        <v>BR81:CJ92</v>
      </c>
      <c r="O4320" s="4">
        <f t="shared" ca="1" si="215"/>
        <v>258988.40000000002</v>
      </c>
    </row>
    <row r="4321" spans="1:15">
      <c r="A4321" s="2" t="s">
        <v>17</v>
      </c>
      <c r="B4321" t="s">
        <v>37</v>
      </c>
      <c r="C4321" t="s">
        <v>38</v>
      </c>
      <c r="D4321">
        <v>60</v>
      </c>
      <c r="E4321" t="s">
        <v>46</v>
      </c>
      <c r="F4321">
        <v>2</v>
      </c>
      <c r="G4321">
        <v>2</v>
      </c>
      <c r="H4321">
        <v>0</v>
      </c>
      <c r="I4321">
        <v>1</v>
      </c>
      <c r="J4321" s="4" t="s">
        <v>53</v>
      </c>
      <c r="K4321" t="str">
        <f t="shared" si="216"/>
        <v>2+0</v>
      </c>
      <c r="L4321">
        <f>VLOOKUP(A4321,'ZONE 1 PREMIUM'!$A$4:$N$16,14,0)</f>
        <v>8</v>
      </c>
      <c r="M4321">
        <f>VLOOKUP(D4321,DROPDOWN!B:C,2,0)</f>
        <v>13</v>
      </c>
      <c r="N4321" t="str">
        <f t="shared" si="214"/>
        <v>BR81:CJ92</v>
      </c>
      <c r="O4321" s="4">
        <f t="shared" ca="1" si="215"/>
        <v>359436</v>
      </c>
    </row>
    <row r="4322" spans="1:15">
      <c r="A4322" s="2" t="s">
        <v>18</v>
      </c>
      <c r="B4322" t="s">
        <v>39</v>
      </c>
      <c r="C4322" t="s">
        <v>40</v>
      </c>
      <c r="D4322">
        <v>60</v>
      </c>
      <c r="E4322" t="s">
        <v>46</v>
      </c>
      <c r="F4322">
        <v>2</v>
      </c>
      <c r="G4322">
        <v>2</v>
      </c>
      <c r="H4322">
        <v>0</v>
      </c>
      <c r="I4322">
        <v>1</v>
      </c>
      <c r="J4322" s="4" t="s">
        <v>53</v>
      </c>
      <c r="K4322" t="str">
        <f t="shared" si="216"/>
        <v>2+0</v>
      </c>
      <c r="L4322">
        <f>VLOOKUP(A4322,'ZONE 1 PREMIUM'!$A$4:$N$16,14,0)</f>
        <v>9</v>
      </c>
      <c r="M4322">
        <f>VLOOKUP(D4322,DROPDOWN!B:C,2,0)</f>
        <v>13</v>
      </c>
      <c r="N4322" t="str">
        <f t="shared" ref="N4322:N4369" si="217">VLOOKUP(K4322,$CK$3:$CL$12,2,0)</f>
        <v>BR81:CJ92</v>
      </c>
      <c r="O4322" s="4">
        <f t="shared" ca="1" si="215"/>
        <v>504135.50000000006</v>
      </c>
    </row>
    <row r="4323" spans="1:15">
      <c r="A4323" s="2" t="s">
        <v>19</v>
      </c>
      <c r="B4323" t="s">
        <v>41</v>
      </c>
      <c r="C4323" t="s">
        <v>42</v>
      </c>
      <c r="D4323">
        <v>60</v>
      </c>
      <c r="E4323" t="s">
        <v>46</v>
      </c>
      <c r="F4323">
        <v>2</v>
      </c>
      <c r="G4323">
        <v>2</v>
      </c>
      <c r="H4323">
        <v>0</v>
      </c>
      <c r="I4323">
        <v>1</v>
      </c>
      <c r="J4323" s="4" t="s">
        <v>53</v>
      </c>
      <c r="K4323" t="str">
        <f t="shared" si="216"/>
        <v>2+0</v>
      </c>
      <c r="L4323">
        <f>VLOOKUP(A4323,'ZONE 1 PREMIUM'!$A$4:$N$16,14,0)</f>
        <v>10</v>
      </c>
      <c r="M4323">
        <f>VLOOKUP(D4323,DROPDOWN!B:C,2,0)</f>
        <v>13</v>
      </c>
      <c r="N4323" t="str">
        <f t="shared" si="217"/>
        <v>BR81:CJ92</v>
      </c>
      <c r="O4323" s="4">
        <f t="shared" ca="1" si="215"/>
        <v>697734.4</v>
      </c>
    </row>
    <row r="4324" spans="1:15">
      <c r="A4324" s="2" t="s">
        <v>20</v>
      </c>
      <c r="B4324" t="s">
        <v>43</v>
      </c>
      <c r="C4324" t="s">
        <v>44</v>
      </c>
      <c r="D4324">
        <v>60</v>
      </c>
      <c r="E4324" t="s">
        <v>46</v>
      </c>
      <c r="F4324">
        <v>2</v>
      </c>
      <c r="G4324">
        <v>2</v>
      </c>
      <c r="H4324">
        <v>0</v>
      </c>
      <c r="I4324">
        <v>1</v>
      </c>
      <c r="J4324" s="4" t="s">
        <v>53</v>
      </c>
      <c r="K4324" t="str">
        <f t="shared" si="216"/>
        <v>2+0</v>
      </c>
      <c r="L4324">
        <f>VLOOKUP(A4324,'ZONE 1 PREMIUM'!$A$4:$N$16,14,0)</f>
        <v>11</v>
      </c>
      <c r="M4324">
        <f>VLOOKUP(D4324,DROPDOWN!B:C,2,0)</f>
        <v>13</v>
      </c>
      <c r="N4324" t="str">
        <f t="shared" si="217"/>
        <v>BR81:CJ92</v>
      </c>
      <c r="O4324" s="4">
        <f t="shared" ca="1" si="215"/>
        <v>850149.3</v>
      </c>
    </row>
    <row r="4325" spans="1:15">
      <c r="A4325" s="2" t="s">
        <v>21</v>
      </c>
      <c r="B4325" t="s">
        <v>22</v>
      </c>
      <c r="D4325">
        <v>60</v>
      </c>
      <c r="E4325" t="s">
        <v>46</v>
      </c>
      <c r="F4325">
        <v>2</v>
      </c>
      <c r="G4325">
        <v>2</v>
      </c>
      <c r="H4325">
        <v>0</v>
      </c>
      <c r="I4325">
        <v>1</v>
      </c>
      <c r="J4325" s="4" t="s">
        <v>53</v>
      </c>
      <c r="K4325" t="str">
        <f t="shared" si="216"/>
        <v>2+0</v>
      </c>
      <c r="L4325">
        <f>VLOOKUP(A4325,'ZONE 1 PREMIUM'!$A$4:$N$16,14,0)</f>
        <v>12</v>
      </c>
      <c r="M4325">
        <f>VLOOKUP(D4325,DROPDOWN!B:C,2,0)</f>
        <v>13</v>
      </c>
      <c r="N4325" t="str">
        <f t="shared" si="217"/>
        <v>BR81:CJ92</v>
      </c>
      <c r="O4325" s="4">
        <f t="shared" ca="1" si="215"/>
        <v>1064226.9000000001</v>
      </c>
    </row>
    <row r="4326" spans="1:15">
      <c r="A4326" s="2" t="s">
        <v>11</v>
      </c>
      <c r="B4326" t="s">
        <v>45</v>
      </c>
      <c r="C4326" t="s">
        <v>25</v>
      </c>
      <c r="D4326">
        <v>60</v>
      </c>
      <c r="E4326" t="s">
        <v>46</v>
      </c>
      <c r="F4326">
        <v>3</v>
      </c>
      <c r="G4326">
        <v>2</v>
      </c>
      <c r="H4326">
        <v>1</v>
      </c>
      <c r="I4326">
        <v>1</v>
      </c>
      <c r="J4326" s="4" t="s">
        <v>53</v>
      </c>
      <c r="K4326" t="str">
        <f t="shared" si="216"/>
        <v>2+1</v>
      </c>
      <c r="L4326">
        <f>VLOOKUP(A4326,'ZONE 1 PREMIUM'!$A$4:$N$16,14,0)</f>
        <v>2</v>
      </c>
      <c r="M4326">
        <f>VLOOKUP(D4326,DROPDOWN!B:C,2,0)</f>
        <v>13</v>
      </c>
      <c r="N4326" t="str">
        <f t="shared" si="217"/>
        <v>BR98:CJ109</v>
      </c>
      <c r="O4326" s="4">
        <f t="shared" ca="1" si="215"/>
        <v>132352</v>
      </c>
    </row>
    <row r="4327" spans="1:15">
      <c r="A4327" s="2" t="s">
        <v>12</v>
      </c>
      <c r="B4327" t="s">
        <v>27</v>
      </c>
      <c r="C4327" t="s">
        <v>28</v>
      </c>
      <c r="D4327">
        <v>60</v>
      </c>
      <c r="E4327" t="s">
        <v>46</v>
      </c>
      <c r="F4327">
        <v>3</v>
      </c>
      <c r="G4327">
        <v>2</v>
      </c>
      <c r="H4327">
        <v>1</v>
      </c>
      <c r="I4327">
        <v>1</v>
      </c>
      <c r="J4327" s="4" t="s">
        <v>53</v>
      </c>
      <c r="K4327" t="str">
        <f t="shared" si="216"/>
        <v>2+1</v>
      </c>
      <c r="L4327">
        <f>VLOOKUP(A4327,'ZONE 1 PREMIUM'!$A$4:$N$16,14,0)</f>
        <v>3</v>
      </c>
      <c r="M4327">
        <f>VLOOKUP(D4327,DROPDOWN!B:C,2,0)</f>
        <v>13</v>
      </c>
      <c r="N4327" t="str">
        <f t="shared" si="217"/>
        <v>BR98:CJ109</v>
      </c>
      <c r="O4327" s="4">
        <f t="shared" ca="1" si="215"/>
        <v>147122.80000000002</v>
      </c>
    </row>
    <row r="4328" spans="1:15">
      <c r="A4328" s="2" t="s">
        <v>13</v>
      </c>
      <c r="B4328" t="s">
        <v>29</v>
      </c>
      <c r="C4328" t="s">
        <v>30</v>
      </c>
      <c r="D4328">
        <v>60</v>
      </c>
      <c r="E4328" t="s">
        <v>46</v>
      </c>
      <c r="F4328">
        <v>3</v>
      </c>
      <c r="G4328">
        <v>2</v>
      </c>
      <c r="H4328">
        <v>1</v>
      </c>
      <c r="I4328">
        <v>1</v>
      </c>
      <c r="J4328" s="4" t="s">
        <v>53</v>
      </c>
      <c r="K4328" t="str">
        <f t="shared" si="216"/>
        <v>2+1</v>
      </c>
      <c r="L4328">
        <f>VLOOKUP(A4328,'ZONE 1 PREMIUM'!$A$4:$N$16,14,0)</f>
        <v>4</v>
      </c>
      <c r="M4328">
        <f>VLOOKUP(D4328,DROPDOWN!B:C,2,0)</f>
        <v>13</v>
      </c>
      <c r="N4328" t="str">
        <f t="shared" si="217"/>
        <v>BR98:CJ109</v>
      </c>
      <c r="O4328" s="4">
        <f t="shared" ca="1" si="215"/>
        <v>156917.20000000001</v>
      </c>
    </row>
    <row r="4329" spans="1:15">
      <c r="A4329" s="2" t="s">
        <v>14</v>
      </c>
      <c r="B4329" t="s">
        <v>31</v>
      </c>
      <c r="C4329" t="s">
        <v>32</v>
      </c>
      <c r="D4329">
        <v>60</v>
      </c>
      <c r="E4329" t="s">
        <v>46</v>
      </c>
      <c r="F4329">
        <v>3</v>
      </c>
      <c r="G4329">
        <v>2</v>
      </c>
      <c r="H4329">
        <v>1</v>
      </c>
      <c r="I4329">
        <v>1</v>
      </c>
      <c r="J4329" s="4" t="s">
        <v>53</v>
      </c>
      <c r="K4329" t="str">
        <f t="shared" si="216"/>
        <v>2+1</v>
      </c>
      <c r="L4329">
        <f>VLOOKUP(A4329,'ZONE 1 PREMIUM'!$A$4:$N$16,14,0)</f>
        <v>5</v>
      </c>
      <c r="M4329">
        <f>VLOOKUP(D4329,DROPDOWN!B:C,2,0)</f>
        <v>13</v>
      </c>
      <c r="N4329" t="str">
        <f t="shared" si="217"/>
        <v>BR98:CJ109</v>
      </c>
      <c r="O4329" s="4">
        <f t="shared" ca="1" si="215"/>
        <v>174067.30000000002</v>
      </c>
    </row>
    <row r="4330" spans="1:15">
      <c r="A4330" s="2" t="s">
        <v>15</v>
      </c>
      <c r="B4330" t="s">
        <v>33</v>
      </c>
      <c r="C4330" t="s">
        <v>34</v>
      </c>
      <c r="D4330">
        <v>60</v>
      </c>
      <c r="E4330" t="s">
        <v>46</v>
      </c>
      <c r="F4330">
        <v>3</v>
      </c>
      <c r="G4330">
        <v>2</v>
      </c>
      <c r="H4330">
        <v>1</v>
      </c>
      <c r="I4330">
        <v>1</v>
      </c>
      <c r="J4330" s="4" t="s">
        <v>53</v>
      </c>
      <c r="K4330" t="str">
        <f t="shared" si="216"/>
        <v>2+1</v>
      </c>
      <c r="L4330">
        <f>VLOOKUP(A4330,'ZONE 1 PREMIUM'!$A$4:$N$16,14,0)</f>
        <v>6</v>
      </c>
      <c r="M4330">
        <f>VLOOKUP(D4330,DROPDOWN!B:C,2,0)</f>
        <v>13</v>
      </c>
      <c r="N4330" t="str">
        <f t="shared" si="217"/>
        <v>BR98:CJ109</v>
      </c>
      <c r="O4330" s="4">
        <f t="shared" ca="1" si="215"/>
        <v>215362.40000000002</v>
      </c>
    </row>
    <row r="4331" spans="1:15">
      <c r="A4331" s="2" t="s">
        <v>16</v>
      </c>
      <c r="B4331" t="s">
        <v>35</v>
      </c>
      <c r="C4331" t="s">
        <v>36</v>
      </c>
      <c r="D4331">
        <v>60</v>
      </c>
      <c r="E4331" t="s">
        <v>46</v>
      </c>
      <c r="F4331">
        <v>3</v>
      </c>
      <c r="G4331">
        <v>2</v>
      </c>
      <c r="H4331">
        <v>1</v>
      </c>
      <c r="I4331">
        <v>1</v>
      </c>
      <c r="J4331" s="4" t="s">
        <v>53</v>
      </c>
      <c r="K4331" t="str">
        <f t="shared" si="216"/>
        <v>2+1</v>
      </c>
      <c r="L4331">
        <f>VLOOKUP(A4331,'ZONE 1 PREMIUM'!$A$4:$N$16,14,0)</f>
        <v>7</v>
      </c>
      <c r="M4331">
        <f>VLOOKUP(D4331,DROPDOWN!B:C,2,0)</f>
        <v>13</v>
      </c>
      <c r="N4331" t="str">
        <f t="shared" si="217"/>
        <v>BR98:CJ109</v>
      </c>
      <c r="O4331" s="4">
        <f t="shared" ca="1" si="215"/>
        <v>290875.2</v>
      </c>
    </row>
    <row r="4332" spans="1:15">
      <c r="A4332" s="2" t="s">
        <v>17</v>
      </c>
      <c r="B4332" t="s">
        <v>37</v>
      </c>
      <c r="C4332" t="s">
        <v>38</v>
      </c>
      <c r="D4332">
        <v>60</v>
      </c>
      <c r="E4332" t="s">
        <v>46</v>
      </c>
      <c r="F4332">
        <v>3</v>
      </c>
      <c r="G4332">
        <v>2</v>
      </c>
      <c r="H4332">
        <v>1</v>
      </c>
      <c r="I4332">
        <v>1</v>
      </c>
      <c r="J4332" s="4" t="s">
        <v>53</v>
      </c>
      <c r="K4332" t="str">
        <f t="shared" si="216"/>
        <v>2+1</v>
      </c>
      <c r="L4332">
        <f>VLOOKUP(A4332,'ZONE 1 PREMIUM'!$A$4:$N$16,14,0)</f>
        <v>8</v>
      </c>
      <c r="M4332">
        <f>VLOOKUP(D4332,DROPDOWN!B:C,2,0)</f>
        <v>13</v>
      </c>
      <c r="N4332" t="str">
        <f t="shared" si="217"/>
        <v>BR98:CJ109</v>
      </c>
      <c r="O4332" s="4">
        <f t="shared" ca="1" si="215"/>
        <v>393655.9</v>
      </c>
    </row>
    <row r="4333" spans="1:15">
      <c r="A4333" s="2" t="s">
        <v>18</v>
      </c>
      <c r="B4333" t="s">
        <v>39</v>
      </c>
      <c r="C4333" t="s">
        <v>40</v>
      </c>
      <c r="D4333">
        <v>60</v>
      </c>
      <c r="E4333" t="s">
        <v>46</v>
      </c>
      <c r="F4333">
        <v>3</v>
      </c>
      <c r="G4333">
        <v>2</v>
      </c>
      <c r="H4333">
        <v>1</v>
      </c>
      <c r="I4333">
        <v>1</v>
      </c>
      <c r="J4333" s="4" t="s">
        <v>53</v>
      </c>
      <c r="K4333" t="str">
        <f t="shared" si="216"/>
        <v>2+1</v>
      </c>
      <c r="L4333">
        <f>VLOOKUP(A4333,'ZONE 1 PREMIUM'!$A$4:$N$16,14,0)</f>
        <v>9</v>
      </c>
      <c r="M4333">
        <f>VLOOKUP(D4333,DROPDOWN!B:C,2,0)</f>
        <v>13</v>
      </c>
      <c r="N4333" t="str">
        <f t="shared" si="217"/>
        <v>BR98:CJ109</v>
      </c>
      <c r="O4333" s="4">
        <f t="shared" ca="1" si="215"/>
        <v>538939.5</v>
      </c>
    </row>
    <row r="4334" spans="1:15">
      <c r="A4334" s="2" t="s">
        <v>19</v>
      </c>
      <c r="B4334" t="s">
        <v>41</v>
      </c>
      <c r="C4334" t="s">
        <v>42</v>
      </c>
      <c r="D4334">
        <v>60</v>
      </c>
      <c r="E4334" t="s">
        <v>46</v>
      </c>
      <c r="F4334">
        <v>3</v>
      </c>
      <c r="G4334">
        <v>2</v>
      </c>
      <c r="H4334">
        <v>1</v>
      </c>
      <c r="I4334">
        <v>1</v>
      </c>
      <c r="J4334" s="4" t="s">
        <v>53</v>
      </c>
      <c r="K4334" t="str">
        <f t="shared" si="216"/>
        <v>2+1</v>
      </c>
      <c r="L4334">
        <f>VLOOKUP(A4334,'ZONE 1 PREMIUM'!$A$4:$N$16,14,0)</f>
        <v>10</v>
      </c>
      <c r="M4334">
        <f>VLOOKUP(D4334,DROPDOWN!B:C,2,0)</f>
        <v>13</v>
      </c>
      <c r="N4334" t="str">
        <f t="shared" si="217"/>
        <v>BR98:CJ109</v>
      </c>
      <c r="O4334" s="4">
        <f t="shared" ca="1" si="215"/>
        <v>716499.3</v>
      </c>
    </row>
    <row r="4335" spans="1:15">
      <c r="A4335" s="2" t="s">
        <v>20</v>
      </c>
      <c r="B4335" t="s">
        <v>43</v>
      </c>
      <c r="C4335" t="s">
        <v>44</v>
      </c>
      <c r="D4335">
        <v>60</v>
      </c>
      <c r="E4335" t="s">
        <v>46</v>
      </c>
      <c r="F4335">
        <v>3</v>
      </c>
      <c r="G4335">
        <v>2</v>
      </c>
      <c r="H4335">
        <v>1</v>
      </c>
      <c r="I4335">
        <v>1</v>
      </c>
      <c r="J4335" s="4" t="s">
        <v>53</v>
      </c>
      <c r="K4335" t="str">
        <f t="shared" si="216"/>
        <v>2+1</v>
      </c>
      <c r="L4335">
        <f>VLOOKUP(A4335,'ZONE 1 PREMIUM'!$A$4:$N$16,14,0)</f>
        <v>11</v>
      </c>
      <c r="M4335">
        <f>VLOOKUP(D4335,DROPDOWN!B:C,2,0)</f>
        <v>13</v>
      </c>
      <c r="N4335" t="str">
        <f t="shared" si="217"/>
        <v>BR98:CJ109</v>
      </c>
      <c r="O4335" s="4">
        <f t="shared" ca="1" si="215"/>
        <v>863451.60000000009</v>
      </c>
    </row>
    <row r="4336" spans="1:15">
      <c r="A4336" s="2" t="s">
        <v>21</v>
      </c>
      <c r="B4336" t="s">
        <v>22</v>
      </c>
      <c r="D4336">
        <v>60</v>
      </c>
      <c r="E4336" t="s">
        <v>46</v>
      </c>
      <c r="F4336">
        <v>3</v>
      </c>
      <c r="G4336">
        <v>2</v>
      </c>
      <c r="H4336">
        <v>1</v>
      </c>
      <c r="I4336">
        <v>1</v>
      </c>
      <c r="J4336" s="4" t="s">
        <v>53</v>
      </c>
      <c r="K4336" t="str">
        <f t="shared" si="216"/>
        <v>2+1</v>
      </c>
      <c r="L4336">
        <f>VLOOKUP(A4336,'ZONE 1 PREMIUM'!$A$4:$N$16,14,0)</f>
        <v>12</v>
      </c>
      <c r="M4336">
        <f>VLOOKUP(D4336,DROPDOWN!B:C,2,0)</f>
        <v>13</v>
      </c>
      <c r="N4336" t="str">
        <f t="shared" si="217"/>
        <v>BR98:CJ109</v>
      </c>
      <c r="O4336" s="4">
        <f t="shared" ca="1" si="215"/>
        <v>1077151.9000000001</v>
      </c>
    </row>
    <row r="4337" spans="1:15">
      <c r="A4337" s="2" t="s">
        <v>11</v>
      </c>
      <c r="B4337" t="s">
        <v>45</v>
      </c>
      <c r="C4337" t="s">
        <v>25</v>
      </c>
      <c r="D4337">
        <v>60</v>
      </c>
      <c r="E4337" t="s">
        <v>46</v>
      </c>
      <c r="F4337">
        <v>4</v>
      </c>
      <c r="G4337">
        <v>2</v>
      </c>
      <c r="H4337">
        <v>2</v>
      </c>
      <c r="I4337">
        <v>1</v>
      </c>
      <c r="J4337" s="4" t="s">
        <v>53</v>
      </c>
      <c r="K4337" t="str">
        <f t="shared" si="216"/>
        <v>2+2</v>
      </c>
      <c r="L4337">
        <f>VLOOKUP(A4337,'ZONE 1 PREMIUM'!$A$4:$N$16,14,0)</f>
        <v>2</v>
      </c>
      <c r="M4337">
        <f>VLOOKUP(D4337,DROPDOWN!B:C,2,0)</f>
        <v>13</v>
      </c>
      <c r="N4337" t="str">
        <f t="shared" si="217"/>
        <v>BR113:CJ124</v>
      </c>
      <c r="O4337" s="4">
        <f t="shared" ca="1" si="215"/>
        <v>151201.60000000001</v>
      </c>
    </row>
    <row r="4338" spans="1:15">
      <c r="A4338" s="2" t="s">
        <v>12</v>
      </c>
      <c r="B4338" t="s">
        <v>27</v>
      </c>
      <c r="C4338" t="s">
        <v>28</v>
      </c>
      <c r="D4338">
        <v>60</v>
      </c>
      <c r="E4338" t="s">
        <v>46</v>
      </c>
      <c r="F4338">
        <v>4</v>
      </c>
      <c r="G4338">
        <v>2</v>
      </c>
      <c r="H4338">
        <v>2</v>
      </c>
      <c r="I4338">
        <v>1</v>
      </c>
      <c r="J4338" s="4" t="s">
        <v>53</v>
      </c>
      <c r="K4338" t="str">
        <f t="shared" si="216"/>
        <v>2+2</v>
      </c>
      <c r="L4338">
        <f>VLOOKUP(A4338,'ZONE 1 PREMIUM'!$A$4:$N$16,14,0)</f>
        <v>3</v>
      </c>
      <c r="M4338">
        <f>VLOOKUP(D4338,DROPDOWN!B:C,2,0)</f>
        <v>13</v>
      </c>
      <c r="N4338" t="str">
        <f t="shared" si="217"/>
        <v>BR113:CJ124</v>
      </c>
      <c r="O4338" s="4">
        <f t="shared" ca="1" si="215"/>
        <v>165700.70000000001</v>
      </c>
    </row>
    <row r="4339" spans="1:15">
      <c r="A4339" s="2" t="s">
        <v>13</v>
      </c>
      <c r="B4339" t="s">
        <v>29</v>
      </c>
      <c r="C4339" t="s">
        <v>30</v>
      </c>
      <c r="D4339">
        <v>60</v>
      </c>
      <c r="E4339" t="s">
        <v>46</v>
      </c>
      <c r="F4339">
        <v>4</v>
      </c>
      <c r="G4339">
        <v>2</v>
      </c>
      <c r="H4339">
        <v>2</v>
      </c>
      <c r="I4339">
        <v>1</v>
      </c>
      <c r="J4339" s="4" t="s">
        <v>53</v>
      </c>
      <c r="K4339" t="str">
        <f t="shared" si="216"/>
        <v>2+2</v>
      </c>
      <c r="L4339">
        <f>VLOOKUP(A4339,'ZONE 1 PREMIUM'!$A$4:$N$16,14,0)</f>
        <v>4</v>
      </c>
      <c r="M4339">
        <f>VLOOKUP(D4339,DROPDOWN!B:C,2,0)</f>
        <v>13</v>
      </c>
      <c r="N4339" t="str">
        <f t="shared" si="217"/>
        <v>BR113:CJ124</v>
      </c>
      <c r="O4339" s="4">
        <f t="shared" ca="1" si="215"/>
        <v>178420</v>
      </c>
    </row>
    <row r="4340" spans="1:15">
      <c r="A4340" s="2" t="s">
        <v>14</v>
      </c>
      <c r="B4340" t="s">
        <v>31</v>
      </c>
      <c r="C4340" t="s">
        <v>32</v>
      </c>
      <c r="D4340">
        <v>60</v>
      </c>
      <c r="E4340" t="s">
        <v>46</v>
      </c>
      <c r="F4340">
        <v>4</v>
      </c>
      <c r="G4340">
        <v>2</v>
      </c>
      <c r="H4340">
        <v>2</v>
      </c>
      <c r="I4340">
        <v>1</v>
      </c>
      <c r="J4340" s="4" t="s">
        <v>53</v>
      </c>
      <c r="K4340" t="str">
        <f t="shared" si="216"/>
        <v>2+2</v>
      </c>
      <c r="L4340">
        <f>VLOOKUP(A4340,'ZONE 1 PREMIUM'!$A$4:$N$16,14,0)</f>
        <v>5</v>
      </c>
      <c r="M4340">
        <f>VLOOKUP(D4340,DROPDOWN!B:C,2,0)</f>
        <v>13</v>
      </c>
      <c r="N4340" t="str">
        <f t="shared" si="217"/>
        <v>BR113:CJ124</v>
      </c>
      <c r="O4340" s="4">
        <f t="shared" ca="1" si="215"/>
        <v>197076.00000000003</v>
      </c>
    </row>
    <row r="4341" spans="1:15">
      <c r="A4341" s="2" t="s">
        <v>15</v>
      </c>
      <c r="B4341" t="s">
        <v>33</v>
      </c>
      <c r="C4341" t="s">
        <v>34</v>
      </c>
      <c r="D4341">
        <v>60</v>
      </c>
      <c r="E4341" t="s">
        <v>46</v>
      </c>
      <c r="F4341">
        <v>4</v>
      </c>
      <c r="G4341">
        <v>2</v>
      </c>
      <c r="H4341">
        <v>2</v>
      </c>
      <c r="I4341">
        <v>1</v>
      </c>
      <c r="J4341" s="4" t="s">
        <v>53</v>
      </c>
      <c r="K4341" t="str">
        <f t="shared" si="216"/>
        <v>2+2</v>
      </c>
      <c r="L4341">
        <f>VLOOKUP(A4341,'ZONE 1 PREMIUM'!$A$4:$N$16,14,0)</f>
        <v>6</v>
      </c>
      <c r="M4341">
        <f>VLOOKUP(D4341,DROPDOWN!B:C,2,0)</f>
        <v>13</v>
      </c>
      <c r="N4341" t="str">
        <f t="shared" si="217"/>
        <v>BR113:CJ124</v>
      </c>
      <c r="O4341" s="4">
        <f t="shared" ca="1" si="215"/>
        <v>241087.00000000003</v>
      </c>
    </row>
    <row r="4342" spans="1:15">
      <c r="A4342" s="2" t="s">
        <v>16</v>
      </c>
      <c r="B4342" t="s">
        <v>35</v>
      </c>
      <c r="C4342" t="s">
        <v>36</v>
      </c>
      <c r="D4342">
        <v>60</v>
      </c>
      <c r="E4342" t="s">
        <v>46</v>
      </c>
      <c r="F4342">
        <v>4</v>
      </c>
      <c r="G4342">
        <v>2</v>
      </c>
      <c r="H4342">
        <v>2</v>
      </c>
      <c r="I4342">
        <v>1</v>
      </c>
      <c r="J4342" s="4" t="s">
        <v>53</v>
      </c>
      <c r="K4342" t="str">
        <f t="shared" si="216"/>
        <v>2+2</v>
      </c>
      <c r="L4342">
        <f>VLOOKUP(A4342,'ZONE 1 PREMIUM'!$A$4:$N$16,14,0)</f>
        <v>7</v>
      </c>
      <c r="M4342">
        <f>VLOOKUP(D4342,DROPDOWN!B:C,2,0)</f>
        <v>13</v>
      </c>
      <c r="N4342" t="str">
        <f t="shared" si="217"/>
        <v>BR113:CJ124</v>
      </c>
      <c r="O4342" s="4">
        <f t="shared" ca="1" si="215"/>
        <v>322333</v>
      </c>
    </row>
    <row r="4343" spans="1:15">
      <c r="A4343" s="2" t="s">
        <v>17</v>
      </c>
      <c r="B4343" t="s">
        <v>37</v>
      </c>
      <c r="C4343" t="s">
        <v>38</v>
      </c>
      <c r="D4343">
        <v>60</v>
      </c>
      <c r="E4343" t="s">
        <v>46</v>
      </c>
      <c r="F4343">
        <v>4</v>
      </c>
      <c r="G4343">
        <v>2</v>
      </c>
      <c r="H4343">
        <v>2</v>
      </c>
      <c r="I4343">
        <v>1</v>
      </c>
      <c r="J4343" s="4" t="s">
        <v>53</v>
      </c>
      <c r="K4343" t="str">
        <f t="shared" si="216"/>
        <v>2+2</v>
      </c>
      <c r="L4343">
        <f>VLOOKUP(A4343,'ZONE 1 PREMIUM'!$A$4:$N$16,14,0)</f>
        <v>8</v>
      </c>
      <c r="M4343">
        <f>VLOOKUP(D4343,DROPDOWN!B:C,2,0)</f>
        <v>13</v>
      </c>
      <c r="N4343" t="str">
        <f t="shared" si="217"/>
        <v>BR113:CJ124</v>
      </c>
      <c r="O4343" s="4">
        <f t="shared" ca="1" si="215"/>
        <v>422491.30000000005</v>
      </c>
    </row>
    <row r="4344" spans="1:15">
      <c r="A4344" s="2" t="s">
        <v>18</v>
      </c>
      <c r="B4344" t="s">
        <v>39</v>
      </c>
      <c r="C4344" t="s">
        <v>40</v>
      </c>
      <c r="D4344">
        <v>60</v>
      </c>
      <c r="E4344" t="s">
        <v>46</v>
      </c>
      <c r="F4344">
        <v>4</v>
      </c>
      <c r="G4344">
        <v>2</v>
      </c>
      <c r="H4344">
        <v>2</v>
      </c>
      <c r="I4344">
        <v>1</v>
      </c>
      <c r="J4344" s="4" t="s">
        <v>53</v>
      </c>
      <c r="K4344" t="str">
        <f t="shared" si="216"/>
        <v>2+2</v>
      </c>
      <c r="L4344">
        <f>VLOOKUP(A4344,'ZONE 1 PREMIUM'!$A$4:$N$16,14,0)</f>
        <v>9</v>
      </c>
      <c r="M4344">
        <f>VLOOKUP(D4344,DROPDOWN!B:C,2,0)</f>
        <v>13</v>
      </c>
      <c r="N4344" t="str">
        <f t="shared" si="217"/>
        <v>BR113:CJ124</v>
      </c>
      <c r="O4344" s="4">
        <f t="shared" ca="1" si="215"/>
        <v>560938.4</v>
      </c>
    </row>
    <row r="4345" spans="1:15">
      <c r="A4345" s="2" t="s">
        <v>19</v>
      </c>
      <c r="B4345" t="s">
        <v>41</v>
      </c>
      <c r="C4345" t="s">
        <v>42</v>
      </c>
      <c r="D4345">
        <v>60</v>
      </c>
      <c r="E4345" t="s">
        <v>46</v>
      </c>
      <c r="F4345">
        <v>4</v>
      </c>
      <c r="G4345">
        <v>2</v>
      </c>
      <c r="H4345">
        <v>2</v>
      </c>
      <c r="I4345">
        <v>1</v>
      </c>
      <c r="J4345" s="4" t="s">
        <v>53</v>
      </c>
      <c r="K4345" t="str">
        <f t="shared" si="216"/>
        <v>2+2</v>
      </c>
      <c r="L4345">
        <f>VLOOKUP(A4345,'ZONE 1 PREMIUM'!$A$4:$N$16,14,0)</f>
        <v>10</v>
      </c>
      <c r="M4345">
        <f>VLOOKUP(D4345,DROPDOWN!B:C,2,0)</f>
        <v>13</v>
      </c>
      <c r="N4345" t="str">
        <f t="shared" si="217"/>
        <v>BR113:CJ124</v>
      </c>
      <c r="O4345" s="4">
        <f t="shared" ca="1" si="215"/>
        <v>723270.9</v>
      </c>
    </row>
    <row r="4346" spans="1:15">
      <c r="A4346" s="2" t="s">
        <v>20</v>
      </c>
      <c r="B4346" t="s">
        <v>43</v>
      </c>
      <c r="C4346" t="s">
        <v>44</v>
      </c>
      <c r="D4346">
        <v>60</v>
      </c>
      <c r="E4346" t="s">
        <v>46</v>
      </c>
      <c r="F4346">
        <v>4</v>
      </c>
      <c r="G4346">
        <v>2</v>
      </c>
      <c r="H4346">
        <v>2</v>
      </c>
      <c r="I4346">
        <v>1</v>
      </c>
      <c r="J4346" s="4" t="s">
        <v>53</v>
      </c>
      <c r="K4346" t="str">
        <f t="shared" si="216"/>
        <v>2+2</v>
      </c>
      <c r="L4346">
        <f>VLOOKUP(A4346,'ZONE 1 PREMIUM'!$A$4:$N$16,14,0)</f>
        <v>11</v>
      </c>
      <c r="M4346">
        <f>VLOOKUP(D4346,DROPDOWN!B:C,2,0)</f>
        <v>13</v>
      </c>
      <c r="N4346" t="str">
        <f t="shared" si="217"/>
        <v>BR113:CJ124</v>
      </c>
      <c r="O4346" s="4">
        <f t="shared" ca="1" si="215"/>
        <v>871868.8</v>
      </c>
    </row>
    <row r="4347" spans="1:15">
      <c r="A4347" s="2" t="s">
        <v>21</v>
      </c>
      <c r="B4347" t="s">
        <v>22</v>
      </c>
      <c r="D4347">
        <v>60</v>
      </c>
      <c r="E4347" t="s">
        <v>46</v>
      </c>
      <c r="F4347">
        <v>4</v>
      </c>
      <c r="G4347">
        <v>2</v>
      </c>
      <c r="H4347">
        <v>2</v>
      </c>
      <c r="I4347">
        <v>1</v>
      </c>
      <c r="J4347" s="4" t="s">
        <v>53</v>
      </c>
      <c r="K4347" t="str">
        <f t="shared" si="216"/>
        <v>2+2</v>
      </c>
      <c r="L4347">
        <f>VLOOKUP(A4347,'ZONE 1 PREMIUM'!$A$4:$N$16,14,0)</f>
        <v>12</v>
      </c>
      <c r="M4347">
        <f>VLOOKUP(D4347,DROPDOWN!B:C,2,0)</f>
        <v>13</v>
      </c>
      <c r="N4347" t="str">
        <f t="shared" si="217"/>
        <v>BR113:CJ124</v>
      </c>
      <c r="O4347" s="4">
        <f t="shared" ca="1" si="215"/>
        <v>1086737.3</v>
      </c>
    </row>
    <row r="4348" spans="1:15">
      <c r="A4348" s="2" t="s">
        <v>11</v>
      </c>
      <c r="B4348" t="s">
        <v>45</v>
      </c>
      <c r="C4348" t="s">
        <v>25</v>
      </c>
      <c r="D4348">
        <v>60</v>
      </c>
      <c r="E4348" t="s">
        <v>46</v>
      </c>
      <c r="F4348">
        <v>5</v>
      </c>
      <c r="G4348">
        <v>2</v>
      </c>
      <c r="H4348">
        <v>3</v>
      </c>
      <c r="I4348">
        <v>1</v>
      </c>
      <c r="J4348" s="4" t="s">
        <v>53</v>
      </c>
      <c r="K4348" t="str">
        <f t="shared" si="216"/>
        <v>2+3</v>
      </c>
      <c r="L4348">
        <f>VLOOKUP(A4348,'ZONE 1 PREMIUM'!$A$4:$N$16,14,0)</f>
        <v>2</v>
      </c>
      <c r="M4348">
        <f>VLOOKUP(D4348,DROPDOWN!B:C,2,0)</f>
        <v>13</v>
      </c>
      <c r="N4348" t="str">
        <f t="shared" si="217"/>
        <v>BR128:CJ139</v>
      </c>
      <c r="O4348" s="4">
        <f t="shared" ca="1" si="215"/>
        <v>170051.20000000001</v>
      </c>
    </row>
    <row r="4349" spans="1:15">
      <c r="A4349" s="2" t="s">
        <v>12</v>
      </c>
      <c r="B4349" t="s">
        <v>27</v>
      </c>
      <c r="C4349" t="s">
        <v>28</v>
      </c>
      <c r="D4349">
        <v>60</v>
      </c>
      <c r="E4349" t="s">
        <v>46</v>
      </c>
      <c r="F4349">
        <v>5</v>
      </c>
      <c r="G4349">
        <v>2</v>
      </c>
      <c r="H4349">
        <v>3</v>
      </c>
      <c r="I4349">
        <v>1</v>
      </c>
      <c r="J4349" s="4" t="s">
        <v>53</v>
      </c>
      <c r="K4349" t="str">
        <f t="shared" si="216"/>
        <v>2+3</v>
      </c>
      <c r="L4349">
        <f>VLOOKUP(A4349,'ZONE 1 PREMIUM'!$A$4:$N$16,14,0)</f>
        <v>3</v>
      </c>
      <c r="M4349">
        <f>VLOOKUP(D4349,DROPDOWN!B:C,2,0)</f>
        <v>13</v>
      </c>
      <c r="N4349" t="str">
        <f t="shared" si="217"/>
        <v>BR128:CJ139</v>
      </c>
      <c r="O4349" s="4">
        <f t="shared" ca="1" si="215"/>
        <v>184277.50000000003</v>
      </c>
    </row>
    <row r="4350" spans="1:15">
      <c r="A4350" s="2" t="s">
        <v>13</v>
      </c>
      <c r="B4350" t="s">
        <v>29</v>
      </c>
      <c r="C4350" t="s">
        <v>30</v>
      </c>
      <c r="D4350">
        <v>60</v>
      </c>
      <c r="E4350" t="s">
        <v>46</v>
      </c>
      <c r="F4350">
        <v>5</v>
      </c>
      <c r="G4350">
        <v>2</v>
      </c>
      <c r="H4350">
        <v>3</v>
      </c>
      <c r="I4350">
        <v>1</v>
      </c>
      <c r="J4350" s="4" t="s">
        <v>53</v>
      </c>
      <c r="K4350" t="str">
        <f t="shared" si="216"/>
        <v>2+3</v>
      </c>
      <c r="L4350">
        <f>VLOOKUP(A4350,'ZONE 1 PREMIUM'!$A$4:$N$16,14,0)</f>
        <v>4</v>
      </c>
      <c r="M4350">
        <f>VLOOKUP(D4350,DROPDOWN!B:C,2,0)</f>
        <v>13</v>
      </c>
      <c r="N4350" t="str">
        <f t="shared" si="217"/>
        <v>BR128:CJ139</v>
      </c>
      <c r="O4350" s="4">
        <f t="shared" ca="1" si="215"/>
        <v>199922.80000000002</v>
      </c>
    </row>
    <row r="4351" spans="1:15">
      <c r="A4351" s="2" t="s">
        <v>14</v>
      </c>
      <c r="B4351" t="s">
        <v>31</v>
      </c>
      <c r="C4351" t="s">
        <v>32</v>
      </c>
      <c r="D4351">
        <v>60</v>
      </c>
      <c r="E4351" t="s">
        <v>46</v>
      </c>
      <c r="F4351">
        <v>5</v>
      </c>
      <c r="G4351">
        <v>2</v>
      </c>
      <c r="H4351">
        <v>3</v>
      </c>
      <c r="I4351">
        <v>1</v>
      </c>
      <c r="J4351" s="4" t="s">
        <v>53</v>
      </c>
      <c r="K4351" t="str">
        <f t="shared" si="216"/>
        <v>2+3</v>
      </c>
      <c r="L4351">
        <f>VLOOKUP(A4351,'ZONE 1 PREMIUM'!$A$4:$N$16,14,0)</f>
        <v>5</v>
      </c>
      <c r="M4351">
        <f>VLOOKUP(D4351,DROPDOWN!B:C,2,0)</f>
        <v>13</v>
      </c>
      <c r="N4351" t="str">
        <f t="shared" si="217"/>
        <v>BR128:CJ139</v>
      </c>
      <c r="O4351" s="4">
        <f t="shared" ca="1" si="215"/>
        <v>220085.80000000002</v>
      </c>
    </row>
    <row r="4352" spans="1:15">
      <c r="A4352" s="2" t="s">
        <v>15</v>
      </c>
      <c r="B4352" t="s">
        <v>33</v>
      </c>
      <c r="C4352" t="s">
        <v>34</v>
      </c>
      <c r="D4352">
        <v>60</v>
      </c>
      <c r="E4352" t="s">
        <v>46</v>
      </c>
      <c r="F4352">
        <v>5</v>
      </c>
      <c r="G4352">
        <v>2</v>
      </c>
      <c r="H4352">
        <v>3</v>
      </c>
      <c r="I4352">
        <v>1</v>
      </c>
      <c r="J4352" s="4" t="s">
        <v>53</v>
      </c>
      <c r="K4352" t="str">
        <f t="shared" si="216"/>
        <v>2+3</v>
      </c>
      <c r="L4352">
        <f>VLOOKUP(A4352,'ZONE 1 PREMIUM'!$A$4:$N$16,14,0)</f>
        <v>6</v>
      </c>
      <c r="M4352">
        <f>VLOOKUP(D4352,DROPDOWN!B:C,2,0)</f>
        <v>13</v>
      </c>
      <c r="N4352" t="str">
        <f t="shared" si="217"/>
        <v>BR128:CJ139</v>
      </c>
      <c r="O4352" s="4">
        <f t="shared" ca="1" si="215"/>
        <v>266810.5</v>
      </c>
    </row>
    <row r="4353" spans="1:15">
      <c r="A4353" s="2" t="s">
        <v>16</v>
      </c>
      <c r="B4353" t="s">
        <v>35</v>
      </c>
      <c r="C4353" t="s">
        <v>36</v>
      </c>
      <c r="D4353">
        <v>60</v>
      </c>
      <c r="E4353" t="s">
        <v>46</v>
      </c>
      <c r="F4353">
        <v>5</v>
      </c>
      <c r="G4353">
        <v>2</v>
      </c>
      <c r="H4353">
        <v>3</v>
      </c>
      <c r="I4353">
        <v>1</v>
      </c>
      <c r="J4353" s="4" t="s">
        <v>53</v>
      </c>
      <c r="K4353" t="str">
        <f t="shared" si="216"/>
        <v>2+3</v>
      </c>
      <c r="L4353">
        <f>VLOOKUP(A4353,'ZONE 1 PREMIUM'!$A$4:$N$16,14,0)</f>
        <v>7</v>
      </c>
      <c r="M4353">
        <f>VLOOKUP(D4353,DROPDOWN!B:C,2,0)</f>
        <v>13</v>
      </c>
      <c r="N4353" t="str">
        <f t="shared" si="217"/>
        <v>BR128:CJ139</v>
      </c>
      <c r="O4353" s="4">
        <f t="shared" ca="1" si="215"/>
        <v>347421.80000000005</v>
      </c>
    </row>
    <row r="4354" spans="1:15">
      <c r="A4354" s="2" t="s">
        <v>17</v>
      </c>
      <c r="B4354" t="s">
        <v>37</v>
      </c>
      <c r="C4354" t="s">
        <v>38</v>
      </c>
      <c r="D4354">
        <v>60</v>
      </c>
      <c r="E4354" t="s">
        <v>46</v>
      </c>
      <c r="F4354">
        <v>5</v>
      </c>
      <c r="G4354">
        <v>2</v>
      </c>
      <c r="H4354">
        <v>3</v>
      </c>
      <c r="I4354">
        <v>1</v>
      </c>
      <c r="J4354" s="4" t="s">
        <v>53</v>
      </c>
      <c r="K4354" t="str">
        <f t="shared" si="216"/>
        <v>2+3</v>
      </c>
      <c r="L4354">
        <f>VLOOKUP(A4354,'ZONE 1 PREMIUM'!$A$4:$N$16,14,0)</f>
        <v>8</v>
      </c>
      <c r="M4354">
        <f>VLOOKUP(D4354,DROPDOWN!B:C,2,0)</f>
        <v>13</v>
      </c>
      <c r="N4354" t="str">
        <f t="shared" si="217"/>
        <v>BR128:CJ139</v>
      </c>
      <c r="O4354" s="4">
        <f t="shared" ref="O4354:O4417" ca="1" si="218">INDEX(INDIRECT(N4354),L4354,M4354)</f>
        <v>444556.2</v>
      </c>
    </row>
    <row r="4355" spans="1:15">
      <c r="A4355" s="2" t="s">
        <v>18</v>
      </c>
      <c r="B4355" t="s">
        <v>39</v>
      </c>
      <c r="C4355" t="s">
        <v>40</v>
      </c>
      <c r="D4355">
        <v>60</v>
      </c>
      <c r="E4355" t="s">
        <v>46</v>
      </c>
      <c r="F4355">
        <v>5</v>
      </c>
      <c r="G4355">
        <v>2</v>
      </c>
      <c r="H4355">
        <v>3</v>
      </c>
      <c r="I4355">
        <v>1</v>
      </c>
      <c r="J4355" s="4" t="s">
        <v>53</v>
      </c>
      <c r="K4355" t="str">
        <f t="shared" si="216"/>
        <v>2+3</v>
      </c>
      <c r="L4355">
        <f>VLOOKUP(A4355,'ZONE 1 PREMIUM'!$A$4:$N$16,14,0)</f>
        <v>9</v>
      </c>
      <c r="M4355">
        <f>VLOOKUP(D4355,DROPDOWN!B:C,2,0)</f>
        <v>13</v>
      </c>
      <c r="N4355" t="str">
        <f t="shared" si="217"/>
        <v>BR128:CJ139</v>
      </c>
      <c r="O4355" s="4">
        <f t="shared" ca="1" si="218"/>
        <v>582677.70000000007</v>
      </c>
    </row>
    <row r="4356" spans="1:15">
      <c r="A4356" s="2" t="s">
        <v>19</v>
      </c>
      <c r="B4356" t="s">
        <v>41</v>
      </c>
      <c r="C4356" t="s">
        <v>42</v>
      </c>
      <c r="D4356">
        <v>60</v>
      </c>
      <c r="E4356" t="s">
        <v>46</v>
      </c>
      <c r="F4356">
        <v>5</v>
      </c>
      <c r="G4356">
        <v>2</v>
      </c>
      <c r="H4356">
        <v>3</v>
      </c>
      <c r="I4356">
        <v>1</v>
      </c>
      <c r="J4356" s="4" t="s">
        <v>53</v>
      </c>
      <c r="K4356" t="str">
        <f t="shared" ref="K4356:K4419" si="219">G4356&amp;"+"&amp;H4356</f>
        <v>2+3</v>
      </c>
      <c r="L4356">
        <f>VLOOKUP(A4356,'ZONE 1 PREMIUM'!$A$4:$N$16,14,0)</f>
        <v>10</v>
      </c>
      <c r="M4356">
        <f>VLOOKUP(D4356,DROPDOWN!B:C,2,0)</f>
        <v>13</v>
      </c>
      <c r="N4356" t="str">
        <f t="shared" si="217"/>
        <v>BR128:CJ139</v>
      </c>
      <c r="O4356" s="4">
        <f t="shared" ca="1" si="218"/>
        <v>743459.20000000007</v>
      </c>
    </row>
    <row r="4357" spans="1:15">
      <c r="A4357" s="2" t="s">
        <v>20</v>
      </c>
      <c r="B4357" t="s">
        <v>43</v>
      </c>
      <c r="C4357" t="s">
        <v>44</v>
      </c>
      <c r="D4357">
        <v>60</v>
      </c>
      <c r="E4357" t="s">
        <v>46</v>
      </c>
      <c r="F4357">
        <v>5</v>
      </c>
      <c r="G4357">
        <v>2</v>
      </c>
      <c r="H4357">
        <v>3</v>
      </c>
      <c r="I4357">
        <v>1</v>
      </c>
      <c r="J4357" s="4" t="s">
        <v>53</v>
      </c>
      <c r="K4357" t="str">
        <f t="shared" si="219"/>
        <v>2+3</v>
      </c>
      <c r="L4357">
        <f>VLOOKUP(A4357,'ZONE 1 PREMIUM'!$A$4:$N$16,14,0)</f>
        <v>11</v>
      </c>
      <c r="M4357">
        <f>VLOOKUP(D4357,DROPDOWN!B:C,2,0)</f>
        <v>13</v>
      </c>
      <c r="N4357" t="str">
        <f t="shared" si="217"/>
        <v>BR128:CJ139</v>
      </c>
      <c r="O4357" s="4">
        <f t="shared" ca="1" si="218"/>
        <v>894894.00000000012</v>
      </c>
    </row>
    <row r="4358" spans="1:15">
      <c r="A4358" s="2" t="s">
        <v>21</v>
      </c>
      <c r="B4358" t="s">
        <v>22</v>
      </c>
      <c r="D4358">
        <v>60</v>
      </c>
      <c r="E4358" t="s">
        <v>46</v>
      </c>
      <c r="F4358">
        <v>5</v>
      </c>
      <c r="G4358">
        <v>2</v>
      </c>
      <c r="H4358">
        <v>3</v>
      </c>
      <c r="I4358">
        <v>1</v>
      </c>
      <c r="J4358" s="4" t="s">
        <v>53</v>
      </c>
      <c r="K4358" t="str">
        <f t="shared" si="219"/>
        <v>2+3</v>
      </c>
      <c r="L4358">
        <f>VLOOKUP(A4358,'ZONE 1 PREMIUM'!$A$4:$N$16,14,0)</f>
        <v>12</v>
      </c>
      <c r="M4358">
        <f>VLOOKUP(D4358,DROPDOWN!B:C,2,0)</f>
        <v>13</v>
      </c>
      <c r="N4358" t="str">
        <f t="shared" si="217"/>
        <v>BR128:CJ139</v>
      </c>
      <c r="O4358" s="4">
        <f t="shared" ca="1" si="218"/>
        <v>1111631.4000000001</v>
      </c>
    </row>
    <row r="4359" spans="1:15">
      <c r="A4359" s="2" t="s">
        <v>11</v>
      </c>
      <c r="B4359" t="s">
        <v>45</v>
      </c>
      <c r="C4359" t="s">
        <v>25</v>
      </c>
      <c r="D4359">
        <v>60</v>
      </c>
      <c r="E4359" t="s">
        <v>46</v>
      </c>
      <c r="F4359">
        <v>6</v>
      </c>
      <c r="G4359">
        <v>2</v>
      </c>
      <c r="H4359">
        <v>4</v>
      </c>
      <c r="I4359">
        <v>1</v>
      </c>
      <c r="J4359" s="4" t="s">
        <v>53</v>
      </c>
      <c r="K4359" t="str">
        <f t="shared" si="219"/>
        <v>2+4</v>
      </c>
      <c r="L4359">
        <f>VLOOKUP(A4359,'ZONE 1 PREMIUM'!$A$4:$N$16,14,0)</f>
        <v>2</v>
      </c>
      <c r="M4359">
        <f>VLOOKUP(D4359,DROPDOWN!B:C,2,0)</f>
        <v>13</v>
      </c>
      <c r="N4359" t="str">
        <f t="shared" si="217"/>
        <v>BR143:CJ154</v>
      </c>
      <c r="O4359" s="4">
        <f t="shared" ca="1" si="218"/>
        <v>188900.80000000002</v>
      </c>
    </row>
    <row r="4360" spans="1:15">
      <c r="A4360" s="2" t="s">
        <v>12</v>
      </c>
      <c r="B4360" t="s">
        <v>27</v>
      </c>
      <c r="C4360" t="s">
        <v>28</v>
      </c>
      <c r="D4360">
        <v>60</v>
      </c>
      <c r="E4360" t="s">
        <v>46</v>
      </c>
      <c r="F4360">
        <v>6</v>
      </c>
      <c r="G4360">
        <v>2</v>
      </c>
      <c r="H4360">
        <v>4</v>
      </c>
      <c r="I4360">
        <v>1</v>
      </c>
      <c r="J4360" s="4" t="s">
        <v>53</v>
      </c>
      <c r="K4360" t="str">
        <f t="shared" si="219"/>
        <v>2+4</v>
      </c>
      <c r="L4360">
        <f>VLOOKUP(A4360,'ZONE 1 PREMIUM'!$A$4:$N$16,14,0)</f>
        <v>3</v>
      </c>
      <c r="M4360">
        <f>VLOOKUP(D4360,DROPDOWN!B:C,2,0)</f>
        <v>13</v>
      </c>
      <c r="N4360" t="str">
        <f t="shared" si="217"/>
        <v>BR143:CJ154</v>
      </c>
      <c r="O4360" s="4">
        <f t="shared" ca="1" si="218"/>
        <v>202855.40000000002</v>
      </c>
    </row>
    <row r="4361" spans="1:15">
      <c r="A4361" s="2" t="s">
        <v>13</v>
      </c>
      <c r="B4361" t="s">
        <v>29</v>
      </c>
      <c r="C4361" t="s">
        <v>30</v>
      </c>
      <c r="D4361">
        <v>60</v>
      </c>
      <c r="E4361" t="s">
        <v>46</v>
      </c>
      <c r="F4361">
        <v>6</v>
      </c>
      <c r="G4361">
        <v>2</v>
      </c>
      <c r="H4361">
        <v>4</v>
      </c>
      <c r="I4361">
        <v>1</v>
      </c>
      <c r="J4361" s="4" t="s">
        <v>53</v>
      </c>
      <c r="K4361" t="str">
        <f t="shared" si="219"/>
        <v>2+4</v>
      </c>
      <c r="L4361">
        <f>VLOOKUP(A4361,'ZONE 1 PREMIUM'!$A$4:$N$16,14,0)</f>
        <v>4</v>
      </c>
      <c r="M4361">
        <f>VLOOKUP(D4361,DROPDOWN!B:C,2,0)</f>
        <v>13</v>
      </c>
      <c r="N4361" t="str">
        <f t="shared" si="217"/>
        <v>BR143:CJ154</v>
      </c>
      <c r="O4361" s="4">
        <f t="shared" ca="1" si="218"/>
        <v>221425.6</v>
      </c>
    </row>
    <row r="4362" spans="1:15">
      <c r="A4362" s="2" t="s">
        <v>14</v>
      </c>
      <c r="B4362" t="s">
        <v>31</v>
      </c>
      <c r="C4362" t="s">
        <v>32</v>
      </c>
      <c r="D4362">
        <v>60</v>
      </c>
      <c r="E4362" t="s">
        <v>46</v>
      </c>
      <c r="F4362">
        <v>6</v>
      </c>
      <c r="G4362">
        <v>2</v>
      </c>
      <c r="H4362">
        <v>4</v>
      </c>
      <c r="I4362">
        <v>1</v>
      </c>
      <c r="J4362" s="4" t="s">
        <v>53</v>
      </c>
      <c r="K4362" t="str">
        <f t="shared" si="219"/>
        <v>2+4</v>
      </c>
      <c r="L4362">
        <f>VLOOKUP(A4362,'ZONE 1 PREMIUM'!$A$4:$N$16,14,0)</f>
        <v>5</v>
      </c>
      <c r="M4362">
        <f>VLOOKUP(D4362,DROPDOWN!B:C,2,0)</f>
        <v>13</v>
      </c>
      <c r="N4362" t="str">
        <f t="shared" si="217"/>
        <v>BR143:CJ154</v>
      </c>
      <c r="O4362" s="4">
        <f t="shared" ca="1" si="218"/>
        <v>243094.50000000003</v>
      </c>
    </row>
    <row r="4363" spans="1:15">
      <c r="A4363" s="2" t="s">
        <v>15</v>
      </c>
      <c r="B4363" t="s">
        <v>33</v>
      </c>
      <c r="C4363" t="s">
        <v>34</v>
      </c>
      <c r="D4363">
        <v>60</v>
      </c>
      <c r="E4363" t="s">
        <v>46</v>
      </c>
      <c r="F4363">
        <v>6</v>
      </c>
      <c r="G4363">
        <v>2</v>
      </c>
      <c r="H4363">
        <v>4</v>
      </c>
      <c r="I4363">
        <v>1</v>
      </c>
      <c r="J4363" s="4" t="s">
        <v>53</v>
      </c>
      <c r="K4363" t="str">
        <f t="shared" si="219"/>
        <v>2+4</v>
      </c>
      <c r="L4363">
        <f>VLOOKUP(A4363,'ZONE 1 PREMIUM'!$A$4:$N$16,14,0)</f>
        <v>6</v>
      </c>
      <c r="M4363">
        <f>VLOOKUP(D4363,DROPDOWN!B:C,2,0)</f>
        <v>13</v>
      </c>
      <c r="N4363" t="str">
        <f t="shared" si="217"/>
        <v>BR143:CJ154</v>
      </c>
      <c r="O4363" s="4">
        <f t="shared" ca="1" si="218"/>
        <v>292534</v>
      </c>
    </row>
    <row r="4364" spans="1:15">
      <c r="A4364" s="2" t="s">
        <v>16</v>
      </c>
      <c r="B4364" t="s">
        <v>35</v>
      </c>
      <c r="C4364" t="s">
        <v>36</v>
      </c>
      <c r="D4364">
        <v>60</v>
      </c>
      <c r="E4364" t="s">
        <v>46</v>
      </c>
      <c r="F4364">
        <v>6</v>
      </c>
      <c r="G4364">
        <v>2</v>
      </c>
      <c r="H4364">
        <v>4</v>
      </c>
      <c r="I4364">
        <v>1</v>
      </c>
      <c r="J4364" s="4" t="s">
        <v>53</v>
      </c>
      <c r="K4364" t="str">
        <f t="shared" si="219"/>
        <v>2+4</v>
      </c>
      <c r="L4364">
        <f>VLOOKUP(A4364,'ZONE 1 PREMIUM'!$A$4:$N$16,14,0)</f>
        <v>7</v>
      </c>
      <c r="M4364">
        <f>VLOOKUP(D4364,DROPDOWN!B:C,2,0)</f>
        <v>13</v>
      </c>
      <c r="N4364" t="str">
        <f t="shared" si="217"/>
        <v>BR143:CJ154</v>
      </c>
      <c r="O4364" s="4">
        <f t="shared" ca="1" si="218"/>
        <v>369837.60000000003</v>
      </c>
    </row>
    <row r="4365" spans="1:15">
      <c r="A4365" s="2" t="s">
        <v>17</v>
      </c>
      <c r="B4365" t="s">
        <v>37</v>
      </c>
      <c r="C4365" t="s">
        <v>38</v>
      </c>
      <c r="D4365">
        <v>60</v>
      </c>
      <c r="E4365" t="s">
        <v>46</v>
      </c>
      <c r="F4365">
        <v>6</v>
      </c>
      <c r="G4365">
        <v>2</v>
      </c>
      <c r="H4365">
        <v>4</v>
      </c>
      <c r="I4365">
        <v>1</v>
      </c>
      <c r="J4365" s="4" t="s">
        <v>53</v>
      </c>
      <c r="K4365" t="str">
        <f t="shared" si="219"/>
        <v>2+4</v>
      </c>
      <c r="L4365">
        <f>VLOOKUP(A4365,'ZONE 1 PREMIUM'!$A$4:$N$16,14,0)</f>
        <v>8</v>
      </c>
      <c r="M4365">
        <f>VLOOKUP(D4365,DROPDOWN!B:C,2,0)</f>
        <v>13</v>
      </c>
      <c r="N4365" t="str">
        <f t="shared" si="217"/>
        <v>BR143:CJ154</v>
      </c>
      <c r="O4365" s="4">
        <f t="shared" ca="1" si="218"/>
        <v>466451.7</v>
      </c>
    </row>
    <row r="4366" spans="1:15">
      <c r="A4366" s="2" t="s">
        <v>18</v>
      </c>
      <c r="B4366" t="s">
        <v>39</v>
      </c>
      <c r="C4366" t="s">
        <v>40</v>
      </c>
      <c r="D4366">
        <v>60</v>
      </c>
      <c r="E4366" t="s">
        <v>46</v>
      </c>
      <c r="F4366">
        <v>6</v>
      </c>
      <c r="G4366">
        <v>2</v>
      </c>
      <c r="H4366">
        <v>4</v>
      </c>
      <c r="I4366">
        <v>1</v>
      </c>
      <c r="J4366" s="4" t="s">
        <v>53</v>
      </c>
      <c r="K4366" t="str">
        <f t="shared" si="219"/>
        <v>2+4</v>
      </c>
      <c r="L4366">
        <f>VLOOKUP(A4366,'ZONE 1 PREMIUM'!$A$4:$N$16,14,0)</f>
        <v>9</v>
      </c>
      <c r="M4366">
        <f>VLOOKUP(D4366,DROPDOWN!B:C,2,0)</f>
        <v>13</v>
      </c>
      <c r="N4366" t="str">
        <f t="shared" si="217"/>
        <v>BR143:CJ154</v>
      </c>
      <c r="O4366" s="4">
        <f t="shared" ca="1" si="218"/>
        <v>603398.40000000002</v>
      </c>
    </row>
    <row r="4367" spans="1:15">
      <c r="A4367" s="2" t="s">
        <v>19</v>
      </c>
      <c r="B4367" t="s">
        <v>41</v>
      </c>
      <c r="C4367" t="s">
        <v>42</v>
      </c>
      <c r="D4367">
        <v>60</v>
      </c>
      <c r="E4367" t="s">
        <v>46</v>
      </c>
      <c r="F4367">
        <v>6</v>
      </c>
      <c r="G4367">
        <v>2</v>
      </c>
      <c r="H4367">
        <v>4</v>
      </c>
      <c r="I4367">
        <v>1</v>
      </c>
      <c r="J4367" s="4" t="s">
        <v>53</v>
      </c>
      <c r="K4367" t="str">
        <f t="shared" si="219"/>
        <v>2+4</v>
      </c>
      <c r="L4367">
        <f>VLOOKUP(A4367,'ZONE 1 PREMIUM'!$A$4:$N$16,14,0)</f>
        <v>10</v>
      </c>
      <c r="M4367">
        <f>VLOOKUP(D4367,DROPDOWN!B:C,2,0)</f>
        <v>13</v>
      </c>
      <c r="N4367" t="str">
        <f t="shared" si="217"/>
        <v>BR143:CJ154</v>
      </c>
      <c r="O4367" s="4">
        <f t="shared" ca="1" si="218"/>
        <v>766588.9</v>
      </c>
    </row>
    <row r="4368" spans="1:15">
      <c r="A4368" s="2" t="s">
        <v>20</v>
      </c>
      <c r="B4368" t="s">
        <v>43</v>
      </c>
      <c r="C4368" t="s">
        <v>44</v>
      </c>
      <c r="D4368">
        <v>60</v>
      </c>
      <c r="E4368" t="s">
        <v>46</v>
      </c>
      <c r="F4368">
        <v>6</v>
      </c>
      <c r="G4368">
        <v>2</v>
      </c>
      <c r="H4368">
        <v>4</v>
      </c>
      <c r="I4368">
        <v>1</v>
      </c>
      <c r="J4368" s="4" t="s">
        <v>53</v>
      </c>
      <c r="K4368" t="str">
        <f t="shared" si="219"/>
        <v>2+4</v>
      </c>
      <c r="L4368">
        <f>VLOOKUP(A4368,'ZONE 1 PREMIUM'!$A$4:$N$16,14,0)</f>
        <v>11</v>
      </c>
      <c r="M4368">
        <f>VLOOKUP(D4368,DROPDOWN!B:C,2,0)</f>
        <v>13</v>
      </c>
      <c r="N4368" t="str">
        <f t="shared" si="217"/>
        <v>BR143:CJ154</v>
      </c>
      <c r="O4368" s="4">
        <f t="shared" ca="1" si="218"/>
        <v>915989.8</v>
      </c>
    </row>
    <row r="4369" spans="1:15">
      <c r="A4369" s="2" t="s">
        <v>21</v>
      </c>
      <c r="B4369" t="s">
        <v>22</v>
      </c>
      <c r="D4369">
        <v>60</v>
      </c>
      <c r="E4369" t="s">
        <v>46</v>
      </c>
      <c r="F4369">
        <v>6</v>
      </c>
      <c r="G4369">
        <v>2</v>
      </c>
      <c r="H4369">
        <v>4</v>
      </c>
      <c r="I4369">
        <v>1</v>
      </c>
      <c r="J4369" s="4" t="s">
        <v>53</v>
      </c>
      <c r="K4369" t="str">
        <f t="shared" si="219"/>
        <v>2+4</v>
      </c>
      <c r="L4369">
        <f>VLOOKUP(A4369,'ZONE 1 PREMIUM'!$A$4:$N$16,14,0)</f>
        <v>12</v>
      </c>
      <c r="M4369">
        <f>VLOOKUP(D4369,DROPDOWN!B:C,2,0)</f>
        <v>13</v>
      </c>
      <c r="N4369" t="str">
        <f t="shared" si="217"/>
        <v>BR143:CJ154</v>
      </c>
      <c r="O4369" s="4">
        <f t="shared" ca="1" si="218"/>
        <v>1128574.7000000002</v>
      </c>
    </row>
    <row r="4370" spans="1:15">
      <c r="A4370" s="2" t="s">
        <v>9</v>
      </c>
      <c r="B4370" t="s">
        <v>47</v>
      </c>
      <c r="C4370" t="s">
        <v>48</v>
      </c>
      <c r="D4370">
        <v>60</v>
      </c>
      <c r="E4370" t="s">
        <v>26</v>
      </c>
      <c r="F4370">
        <v>1</v>
      </c>
      <c r="H4370">
        <v>1</v>
      </c>
      <c r="I4370">
        <v>1</v>
      </c>
      <c r="J4370" s="4" t="s">
        <v>54</v>
      </c>
      <c r="K4370" t="str">
        <f t="shared" si="219"/>
        <v>+1</v>
      </c>
      <c r="N4370" t="e">
        <f t="shared" ref="N4370:N4433" si="220">VLOOKUP(K4370,$DH$4:$DI$13,2,0)</f>
        <v>#N/A</v>
      </c>
      <c r="O4370" s="13">
        <v>11891.714439693158</v>
      </c>
    </row>
    <row r="4371" spans="1:15">
      <c r="A4371" s="2" t="s">
        <v>10</v>
      </c>
      <c r="B4371" t="s">
        <v>49</v>
      </c>
      <c r="C4371" t="s">
        <v>50</v>
      </c>
      <c r="D4371">
        <v>60</v>
      </c>
      <c r="E4371" t="s">
        <v>26</v>
      </c>
      <c r="F4371">
        <v>1</v>
      </c>
      <c r="G4371">
        <v>1</v>
      </c>
      <c r="H4371">
        <v>0</v>
      </c>
      <c r="I4371">
        <v>1</v>
      </c>
      <c r="J4371" s="4" t="s">
        <v>54</v>
      </c>
      <c r="K4371" t="str">
        <f t="shared" si="219"/>
        <v>1+0</v>
      </c>
      <c r="L4371">
        <f>VLOOKUP(A4371,'ZONE 1 PREMIUM'!$A$3:$M$16,13,0)</f>
        <v>3</v>
      </c>
      <c r="M4371">
        <f>VLOOKUP(D4371,DROPDOWN!B:C,2,0)</f>
        <v>13</v>
      </c>
      <c r="N4371" t="str">
        <f t="shared" si="220"/>
        <v>CO3:DG16</v>
      </c>
      <c r="O4371" s="4">
        <f t="shared" ca="1" si="218"/>
        <v>19961.170000000002</v>
      </c>
    </row>
    <row r="4372" spans="1:15">
      <c r="A4372" s="2" t="s">
        <v>11</v>
      </c>
      <c r="B4372" t="s">
        <v>45</v>
      </c>
      <c r="C4372" t="s">
        <v>25</v>
      </c>
      <c r="D4372">
        <v>60</v>
      </c>
      <c r="E4372" t="s">
        <v>26</v>
      </c>
      <c r="F4372">
        <v>1</v>
      </c>
      <c r="G4372">
        <v>1</v>
      </c>
      <c r="H4372">
        <v>0</v>
      </c>
      <c r="I4372">
        <v>1</v>
      </c>
      <c r="J4372" s="4" t="s">
        <v>54</v>
      </c>
      <c r="K4372" t="str">
        <f t="shared" si="219"/>
        <v>1+0</v>
      </c>
      <c r="L4372">
        <f>VLOOKUP(A4372,'ZONE 1 PREMIUM'!$A$3:$M$16,13,0)</f>
        <v>4</v>
      </c>
      <c r="M4372">
        <f>VLOOKUP(D4372,DROPDOWN!B:C,2,0)</f>
        <v>13</v>
      </c>
      <c r="N4372" t="str">
        <f t="shared" si="220"/>
        <v>CO3:DG16</v>
      </c>
      <c r="O4372" s="4">
        <f t="shared" ca="1" si="218"/>
        <v>66696.010000000009</v>
      </c>
    </row>
    <row r="4373" spans="1:15">
      <c r="A4373" s="2" t="s">
        <v>12</v>
      </c>
      <c r="B4373" t="s">
        <v>27</v>
      </c>
      <c r="C4373" t="s">
        <v>28</v>
      </c>
      <c r="D4373">
        <v>60</v>
      </c>
      <c r="E4373" t="s">
        <v>26</v>
      </c>
      <c r="F4373">
        <v>1</v>
      </c>
      <c r="G4373">
        <v>1</v>
      </c>
      <c r="H4373">
        <v>0</v>
      </c>
      <c r="I4373">
        <v>1</v>
      </c>
      <c r="J4373" s="4" t="s">
        <v>54</v>
      </c>
      <c r="K4373" t="str">
        <f t="shared" si="219"/>
        <v>1+0</v>
      </c>
      <c r="L4373">
        <f>VLOOKUP(A4373,'ZONE 1 PREMIUM'!$A$3:$M$16,13,0)</f>
        <v>5</v>
      </c>
      <c r="M4373">
        <f>VLOOKUP(D4373,DROPDOWN!B:C,2,0)</f>
        <v>13</v>
      </c>
      <c r="N4373" t="str">
        <f t="shared" si="220"/>
        <v>CO3:DG16</v>
      </c>
      <c r="O4373" s="4">
        <f t="shared" ca="1" si="218"/>
        <v>76235.69</v>
      </c>
    </row>
    <row r="4374" spans="1:15">
      <c r="A4374" s="2" t="s">
        <v>13</v>
      </c>
      <c r="B4374" t="s">
        <v>29</v>
      </c>
      <c r="C4374" t="s">
        <v>30</v>
      </c>
      <c r="D4374">
        <v>60</v>
      </c>
      <c r="E4374" t="s">
        <v>26</v>
      </c>
      <c r="F4374">
        <v>1</v>
      </c>
      <c r="G4374">
        <v>1</v>
      </c>
      <c r="H4374">
        <v>0</v>
      </c>
      <c r="I4374">
        <v>1</v>
      </c>
      <c r="J4374" s="4" t="s">
        <v>54</v>
      </c>
      <c r="K4374" t="str">
        <f t="shared" si="219"/>
        <v>1+0</v>
      </c>
      <c r="L4374">
        <f>VLOOKUP(A4374,'ZONE 1 PREMIUM'!$A$3:$M$16,13,0)</f>
        <v>6</v>
      </c>
      <c r="M4374">
        <f>VLOOKUP(D4374,DROPDOWN!B:C,2,0)</f>
        <v>13</v>
      </c>
      <c r="N4374" t="str">
        <f t="shared" si="220"/>
        <v>CO3:DG16</v>
      </c>
      <c r="O4374" s="4">
        <f t="shared" ca="1" si="218"/>
        <v>81295.47</v>
      </c>
    </row>
    <row r="4375" spans="1:15">
      <c r="A4375" s="2" t="s">
        <v>14</v>
      </c>
      <c r="B4375" t="s">
        <v>31</v>
      </c>
      <c r="C4375" t="s">
        <v>32</v>
      </c>
      <c r="D4375">
        <v>60</v>
      </c>
      <c r="E4375" t="s">
        <v>26</v>
      </c>
      <c r="F4375">
        <v>1</v>
      </c>
      <c r="G4375">
        <v>1</v>
      </c>
      <c r="H4375">
        <v>0</v>
      </c>
      <c r="I4375">
        <v>1</v>
      </c>
      <c r="J4375" s="4" t="s">
        <v>54</v>
      </c>
      <c r="K4375" t="str">
        <f t="shared" si="219"/>
        <v>1+0</v>
      </c>
      <c r="L4375">
        <f>VLOOKUP(A4375,'ZONE 1 PREMIUM'!$A$3:$M$16,13,0)</f>
        <v>7</v>
      </c>
      <c r="M4375">
        <f>VLOOKUP(D4375,DROPDOWN!B:C,2,0)</f>
        <v>13</v>
      </c>
      <c r="N4375" t="str">
        <f t="shared" si="220"/>
        <v>CO3:DG16</v>
      </c>
      <c r="O4375" s="4">
        <f t="shared" ca="1" si="218"/>
        <v>92712.13</v>
      </c>
    </row>
    <row r="4376" spans="1:15">
      <c r="A4376" s="2" t="s">
        <v>15</v>
      </c>
      <c r="B4376" t="s">
        <v>33</v>
      </c>
      <c r="C4376" t="s">
        <v>34</v>
      </c>
      <c r="D4376">
        <v>60</v>
      </c>
      <c r="E4376" t="s">
        <v>26</v>
      </c>
      <c r="F4376">
        <v>1</v>
      </c>
      <c r="G4376">
        <v>1</v>
      </c>
      <c r="H4376">
        <v>0</v>
      </c>
      <c r="I4376">
        <v>1</v>
      </c>
      <c r="J4376" s="4" t="s">
        <v>54</v>
      </c>
      <c r="K4376" t="str">
        <f t="shared" si="219"/>
        <v>1+0</v>
      </c>
      <c r="L4376">
        <f>VLOOKUP(A4376,'ZONE 1 PREMIUM'!$A$3:$M$16,13,0)</f>
        <v>8</v>
      </c>
      <c r="M4376">
        <f>VLOOKUP(D4376,DROPDOWN!B:C,2,0)</f>
        <v>13</v>
      </c>
      <c r="N4376" t="str">
        <f t="shared" si="220"/>
        <v>CO3:DG16</v>
      </c>
      <c r="O4376" s="4">
        <f t="shared" ca="1" si="218"/>
        <v>112843.34000000001</v>
      </c>
    </row>
    <row r="4377" spans="1:15">
      <c r="A4377" s="2" t="s">
        <v>16</v>
      </c>
      <c r="B4377" t="s">
        <v>35</v>
      </c>
      <c r="C4377" t="s">
        <v>36</v>
      </c>
      <c r="D4377">
        <v>60</v>
      </c>
      <c r="E4377" t="s">
        <v>26</v>
      </c>
      <c r="F4377">
        <v>1</v>
      </c>
      <c r="G4377">
        <v>1</v>
      </c>
      <c r="H4377">
        <v>0</v>
      </c>
      <c r="I4377">
        <v>1</v>
      </c>
      <c r="J4377" s="4" t="s">
        <v>54</v>
      </c>
      <c r="K4377" t="str">
        <f t="shared" si="219"/>
        <v>1+0</v>
      </c>
      <c r="L4377">
        <f>VLOOKUP(A4377,'ZONE 1 PREMIUM'!$A$3:$M$16,13,0)</f>
        <v>9</v>
      </c>
      <c r="M4377">
        <f>VLOOKUP(D4377,DROPDOWN!B:C,2,0)</f>
        <v>13</v>
      </c>
      <c r="N4377" t="str">
        <f t="shared" si="220"/>
        <v>CO3:DG16</v>
      </c>
      <c r="O4377" s="4">
        <f t="shared" ca="1" si="218"/>
        <v>157124.59000000003</v>
      </c>
    </row>
    <row r="4378" spans="1:15">
      <c r="A4378" s="2" t="s">
        <v>17</v>
      </c>
      <c r="B4378" t="s">
        <v>37</v>
      </c>
      <c r="C4378" t="s">
        <v>38</v>
      </c>
      <c r="D4378">
        <v>60</v>
      </c>
      <c r="E4378" t="s">
        <v>26</v>
      </c>
      <c r="F4378">
        <v>1</v>
      </c>
      <c r="G4378">
        <v>1</v>
      </c>
      <c r="H4378">
        <v>0</v>
      </c>
      <c r="I4378">
        <v>1</v>
      </c>
      <c r="J4378" s="4" t="s">
        <v>54</v>
      </c>
      <c r="K4378" t="str">
        <f t="shared" si="219"/>
        <v>1+0</v>
      </c>
      <c r="L4378">
        <f>VLOOKUP(A4378,'ZONE 1 PREMIUM'!$A$3:$M$16,13,0)</f>
        <v>10</v>
      </c>
      <c r="M4378">
        <f>VLOOKUP(D4378,DROPDOWN!B:C,2,0)</f>
        <v>13</v>
      </c>
      <c r="N4378" t="str">
        <f t="shared" si="220"/>
        <v>CO3:DG16</v>
      </c>
      <c r="O4378" s="4">
        <f t="shared" ca="1" si="218"/>
        <v>210353.65000000002</v>
      </c>
    </row>
    <row r="4379" spans="1:15">
      <c r="A4379" s="2" t="s">
        <v>18</v>
      </c>
      <c r="B4379" t="s">
        <v>39</v>
      </c>
      <c r="C4379" t="s">
        <v>40</v>
      </c>
      <c r="D4379">
        <v>60</v>
      </c>
      <c r="E4379" t="s">
        <v>26</v>
      </c>
      <c r="F4379">
        <v>1</v>
      </c>
      <c r="G4379">
        <v>1</v>
      </c>
      <c r="H4379">
        <v>0</v>
      </c>
      <c r="I4379">
        <v>1</v>
      </c>
      <c r="J4379" s="4" t="s">
        <v>54</v>
      </c>
      <c r="K4379" t="str">
        <f t="shared" si="219"/>
        <v>1+0</v>
      </c>
      <c r="L4379">
        <f>VLOOKUP(A4379,'ZONE 1 PREMIUM'!$A$3:$M$16,13,0)</f>
        <v>11</v>
      </c>
      <c r="M4379">
        <f>VLOOKUP(D4379,DROPDOWN!B:C,2,0)</f>
        <v>13</v>
      </c>
      <c r="N4379" t="str">
        <f t="shared" si="220"/>
        <v>CO3:DG16</v>
      </c>
      <c r="O4379" s="4">
        <f t="shared" ca="1" si="218"/>
        <v>289787.40000000002</v>
      </c>
    </row>
    <row r="4380" spans="1:15">
      <c r="A4380" s="2" t="s">
        <v>19</v>
      </c>
      <c r="B4380" t="s">
        <v>41</v>
      </c>
      <c r="C4380" t="s">
        <v>42</v>
      </c>
      <c r="D4380">
        <v>60</v>
      </c>
      <c r="E4380" t="s">
        <v>26</v>
      </c>
      <c r="F4380">
        <v>1</v>
      </c>
      <c r="G4380">
        <v>1</v>
      </c>
      <c r="H4380">
        <v>0</v>
      </c>
      <c r="I4380">
        <v>1</v>
      </c>
      <c r="J4380" s="4" t="s">
        <v>54</v>
      </c>
      <c r="K4380" t="str">
        <f t="shared" si="219"/>
        <v>1+0</v>
      </c>
      <c r="L4380">
        <f>VLOOKUP(A4380,'ZONE 1 PREMIUM'!$A$3:$M$16,13,0)</f>
        <v>12</v>
      </c>
      <c r="M4380">
        <f>VLOOKUP(D4380,DROPDOWN!B:C,2,0)</f>
        <v>13</v>
      </c>
      <c r="N4380" t="str">
        <f t="shared" si="220"/>
        <v>CO3:DG16</v>
      </c>
      <c r="O4380" s="4">
        <f t="shared" ca="1" si="218"/>
        <v>369652.79000000004</v>
      </c>
    </row>
    <row r="4381" spans="1:15">
      <c r="A4381" s="2" t="s">
        <v>20</v>
      </c>
      <c r="B4381" t="s">
        <v>43</v>
      </c>
      <c r="C4381" t="s">
        <v>44</v>
      </c>
      <c r="D4381">
        <v>60</v>
      </c>
      <c r="E4381" t="s">
        <v>26</v>
      </c>
      <c r="F4381">
        <v>1</v>
      </c>
      <c r="G4381">
        <v>1</v>
      </c>
      <c r="H4381">
        <v>0</v>
      </c>
      <c r="I4381">
        <v>1</v>
      </c>
      <c r="J4381" s="4" t="s">
        <v>54</v>
      </c>
      <c r="K4381" t="str">
        <f t="shared" si="219"/>
        <v>1+0</v>
      </c>
      <c r="L4381">
        <f>VLOOKUP(A4381,'ZONE 1 PREMIUM'!$A$3:$M$16,13,0)</f>
        <v>13</v>
      </c>
      <c r="M4381">
        <f>VLOOKUP(D4381,DROPDOWN!B:C,2,0)</f>
        <v>13</v>
      </c>
      <c r="N4381" t="str">
        <f t="shared" si="220"/>
        <v>CO3:DG16</v>
      </c>
      <c r="O4381" s="4">
        <f t="shared" ca="1" si="218"/>
        <v>435291.50000000006</v>
      </c>
    </row>
    <row r="4382" spans="1:15">
      <c r="A4382" s="2" t="s">
        <v>21</v>
      </c>
      <c r="B4382" t="s">
        <v>22</v>
      </c>
      <c r="D4382">
        <v>60</v>
      </c>
      <c r="E4382" t="s">
        <v>26</v>
      </c>
      <c r="F4382">
        <v>1</v>
      </c>
      <c r="G4382">
        <v>1</v>
      </c>
      <c r="H4382">
        <v>0</v>
      </c>
      <c r="I4382">
        <v>1</v>
      </c>
      <c r="J4382" s="4" t="s">
        <v>54</v>
      </c>
      <c r="K4382" t="str">
        <f t="shared" si="219"/>
        <v>1+0</v>
      </c>
      <c r="L4382">
        <f>VLOOKUP(A4382,'ZONE 1 PREMIUM'!$A$3:$M$16,13,0)</f>
        <v>14</v>
      </c>
      <c r="M4382">
        <f>VLOOKUP(D4382,DROPDOWN!B:C,2,0)</f>
        <v>13</v>
      </c>
      <c r="N4382" t="str">
        <f t="shared" si="220"/>
        <v>CO3:DG16</v>
      </c>
      <c r="O4382" s="4">
        <f t="shared" ca="1" si="218"/>
        <v>571924.09000000008</v>
      </c>
    </row>
    <row r="4383" spans="1:15">
      <c r="A4383" s="2" t="s">
        <v>11</v>
      </c>
      <c r="B4383" t="s">
        <v>45</v>
      </c>
      <c r="C4383" t="s">
        <v>25</v>
      </c>
      <c r="D4383">
        <v>60</v>
      </c>
      <c r="E4383" t="s">
        <v>46</v>
      </c>
      <c r="F4383">
        <v>2</v>
      </c>
      <c r="G4383">
        <v>1</v>
      </c>
      <c r="H4383">
        <v>1</v>
      </c>
      <c r="I4383">
        <v>1</v>
      </c>
      <c r="J4383" s="4" t="s">
        <v>54</v>
      </c>
      <c r="K4383" t="str">
        <f t="shared" si="219"/>
        <v>1+1</v>
      </c>
      <c r="L4383">
        <f>VLOOKUP(A4383,'ZONE 1 PREMIUM'!$A$4:$N$16,14,0)</f>
        <v>2</v>
      </c>
      <c r="M4383">
        <f>VLOOKUP(D4383,DROPDOWN!B:C,2,0)</f>
        <v>13</v>
      </c>
      <c r="N4383" t="str">
        <f t="shared" si="220"/>
        <v>CO20:DG31</v>
      </c>
      <c r="O4383" s="4">
        <f t="shared" ca="1" si="218"/>
        <v>69618.3</v>
      </c>
    </row>
    <row r="4384" spans="1:15">
      <c r="A4384" s="2" t="s">
        <v>12</v>
      </c>
      <c r="B4384" t="s">
        <v>27</v>
      </c>
      <c r="C4384" t="s">
        <v>28</v>
      </c>
      <c r="D4384">
        <v>60</v>
      </c>
      <c r="E4384" t="s">
        <v>46</v>
      </c>
      <c r="F4384">
        <v>2</v>
      </c>
      <c r="G4384">
        <v>1</v>
      </c>
      <c r="H4384">
        <v>1</v>
      </c>
      <c r="I4384">
        <v>1</v>
      </c>
      <c r="J4384" s="4" t="s">
        <v>54</v>
      </c>
      <c r="K4384" t="str">
        <f t="shared" si="219"/>
        <v>1+1</v>
      </c>
      <c r="L4384">
        <f>VLOOKUP(A4384,'ZONE 1 PREMIUM'!$A$4:$N$16,14,0)</f>
        <v>3</v>
      </c>
      <c r="M4384">
        <f>VLOOKUP(D4384,DROPDOWN!B:C,2,0)</f>
        <v>13</v>
      </c>
      <c r="N4384" t="str">
        <f t="shared" si="220"/>
        <v>CO20:DG31</v>
      </c>
      <c r="O4384" s="4">
        <f t="shared" ca="1" si="218"/>
        <v>77239.58</v>
      </c>
    </row>
    <row r="4385" spans="1:15">
      <c r="A4385" s="2" t="s">
        <v>13</v>
      </c>
      <c r="B4385" t="s">
        <v>29</v>
      </c>
      <c r="C4385" t="s">
        <v>30</v>
      </c>
      <c r="D4385">
        <v>60</v>
      </c>
      <c r="E4385" t="s">
        <v>46</v>
      </c>
      <c r="F4385">
        <v>2</v>
      </c>
      <c r="G4385">
        <v>1</v>
      </c>
      <c r="H4385">
        <v>1</v>
      </c>
      <c r="I4385">
        <v>1</v>
      </c>
      <c r="J4385" s="4" t="s">
        <v>54</v>
      </c>
      <c r="K4385" t="str">
        <f t="shared" si="219"/>
        <v>1+1</v>
      </c>
      <c r="L4385">
        <f>VLOOKUP(A4385,'ZONE 1 PREMIUM'!$A$4:$N$16,14,0)</f>
        <v>4</v>
      </c>
      <c r="M4385">
        <f>VLOOKUP(D4385,DROPDOWN!B:C,2,0)</f>
        <v>13</v>
      </c>
      <c r="N4385" t="str">
        <f t="shared" si="220"/>
        <v>CO20:DG31</v>
      </c>
      <c r="O4385" s="4">
        <f t="shared" ca="1" si="218"/>
        <v>83976.87000000001</v>
      </c>
    </row>
    <row r="4386" spans="1:15">
      <c r="A4386" s="2" t="s">
        <v>14</v>
      </c>
      <c r="B4386" t="s">
        <v>31</v>
      </c>
      <c r="C4386" t="s">
        <v>32</v>
      </c>
      <c r="D4386">
        <v>60</v>
      </c>
      <c r="E4386" t="s">
        <v>46</v>
      </c>
      <c r="F4386">
        <v>2</v>
      </c>
      <c r="G4386">
        <v>1</v>
      </c>
      <c r="H4386">
        <v>1</v>
      </c>
      <c r="I4386">
        <v>1</v>
      </c>
      <c r="J4386" s="4" t="s">
        <v>54</v>
      </c>
      <c r="K4386" t="str">
        <f t="shared" si="219"/>
        <v>1+1</v>
      </c>
      <c r="L4386">
        <f>VLOOKUP(A4386,'ZONE 1 PREMIUM'!$A$4:$N$16,14,0)</f>
        <v>5</v>
      </c>
      <c r="M4386">
        <f>VLOOKUP(D4386,DROPDOWN!B:C,2,0)</f>
        <v>13</v>
      </c>
      <c r="N4386" t="str">
        <f t="shared" si="220"/>
        <v>CO20:DG31</v>
      </c>
      <c r="O4386" s="4">
        <f t="shared" ca="1" si="218"/>
        <v>97653.1</v>
      </c>
    </row>
    <row r="4387" spans="1:15">
      <c r="A4387" s="2" t="s">
        <v>15</v>
      </c>
      <c r="B4387" t="s">
        <v>33</v>
      </c>
      <c r="C4387" t="s">
        <v>34</v>
      </c>
      <c r="D4387">
        <v>60</v>
      </c>
      <c r="E4387" t="s">
        <v>46</v>
      </c>
      <c r="F4387">
        <v>2</v>
      </c>
      <c r="G4387">
        <v>1</v>
      </c>
      <c r="H4387">
        <v>1</v>
      </c>
      <c r="I4387">
        <v>1</v>
      </c>
      <c r="J4387" s="4" t="s">
        <v>54</v>
      </c>
      <c r="K4387" t="str">
        <f t="shared" si="219"/>
        <v>1+1</v>
      </c>
      <c r="L4387">
        <f>VLOOKUP(A4387,'ZONE 1 PREMIUM'!$A$4:$N$16,14,0)</f>
        <v>6</v>
      </c>
      <c r="M4387">
        <f>VLOOKUP(D4387,DROPDOWN!B:C,2,0)</f>
        <v>13</v>
      </c>
      <c r="N4387" t="str">
        <f t="shared" si="220"/>
        <v>CO20:DG31</v>
      </c>
      <c r="O4387" s="4">
        <f t="shared" ca="1" si="218"/>
        <v>118913.55</v>
      </c>
    </row>
    <row r="4388" spans="1:15">
      <c r="A4388" s="2" t="s">
        <v>16</v>
      </c>
      <c r="B4388" t="s">
        <v>35</v>
      </c>
      <c r="C4388" t="s">
        <v>36</v>
      </c>
      <c r="D4388">
        <v>60</v>
      </c>
      <c r="E4388" t="s">
        <v>46</v>
      </c>
      <c r="F4388">
        <v>2</v>
      </c>
      <c r="G4388">
        <v>1</v>
      </c>
      <c r="H4388">
        <v>1</v>
      </c>
      <c r="I4388">
        <v>1</v>
      </c>
      <c r="J4388" s="4" t="s">
        <v>54</v>
      </c>
      <c r="K4388" t="str">
        <f t="shared" si="219"/>
        <v>1+1</v>
      </c>
      <c r="L4388">
        <f>VLOOKUP(A4388,'ZONE 1 PREMIUM'!$A$4:$N$16,14,0)</f>
        <v>7</v>
      </c>
      <c r="M4388">
        <f>VLOOKUP(D4388,DROPDOWN!B:C,2,0)</f>
        <v>13</v>
      </c>
      <c r="N4388" t="str">
        <f t="shared" si="220"/>
        <v>CO20:DG31</v>
      </c>
      <c r="O4388" s="4">
        <f t="shared" ca="1" si="218"/>
        <v>161476.96000000002</v>
      </c>
    </row>
    <row r="4389" spans="1:15">
      <c r="A4389" s="2" t="s">
        <v>17</v>
      </c>
      <c r="B4389" t="s">
        <v>37</v>
      </c>
      <c r="C4389" t="s">
        <v>38</v>
      </c>
      <c r="D4389">
        <v>60</v>
      </c>
      <c r="E4389" t="s">
        <v>46</v>
      </c>
      <c r="F4389">
        <v>2</v>
      </c>
      <c r="G4389">
        <v>1</v>
      </c>
      <c r="H4389">
        <v>1</v>
      </c>
      <c r="I4389">
        <v>1</v>
      </c>
      <c r="J4389" s="4" t="s">
        <v>54</v>
      </c>
      <c r="K4389" t="str">
        <f t="shared" si="219"/>
        <v>1+1</v>
      </c>
      <c r="L4389">
        <f>VLOOKUP(A4389,'ZONE 1 PREMIUM'!$A$4:$N$16,14,0)</f>
        <v>8</v>
      </c>
      <c r="M4389">
        <f>VLOOKUP(D4389,DROPDOWN!B:C,2,0)</f>
        <v>13</v>
      </c>
      <c r="N4389" t="str">
        <f t="shared" si="220"/>
        <v>CO20:DG31</v>
      </c>
      <c r="O4389" s="4">
        <f t="shared" ca="1" si="218"/>
        <v>214660.24000000002</v>
      </c>
    </row>
    <row r="4390" spans="1:15">
      <c r="A4390" s="2" t="s">
        <v>18</v>
      </c>
      <c r="B4390" t="s">
        <v>39</v>
      </c>
      <c r="C4390" t="s">
        <v>40</v>
      </c>
      <c r="D4390">
        <v>60</v>
      </c>
      <c r="E4390" t="s">
        <v>46</v>
      </c>
      <c r="F4390">
        <v>2</v>
      </c>
      <c r="G4390">
        <v>1</v>
      </c>
      <c r="H4390">
        <v>1</v>
      </c>
      <c r="I4390">
        <v>1</v>
      </c>
      <c r="J4390" s="4" t="s">
        <v>54</v>
      </c>
      <c r="K4390" t="str">
        <f t="shared" si="219"/>
        <v>1+1</v>
      </c>
      <c r="L4390">
        <f>VLOOKUP(A4390,'ZONE 1 PREMIUM'!$A$4:$N$16,14,0)</f>
        <v>9</v>
      </c>
      <c r="M4390">
        <f>VLOOKUP(D4390,DROPDOWN!B:C,2,0)</f>
        <v>13</v>
      </c>
      <c r="N4390" t="str">
        <f t="shared" si="220"/>
        <v>CO20:DG31</v>
      </c>
      <c r="O4390" s="4">
        <f t="shared" ca="1" si="218"/>
        <v>297326.93</v>
      </c>
    </row>
    <row r="4391" spans="1:15">
      <c r="A4391" s="2" t="s">
        <v>19</v>
      </c>
      <c r="B4391" t="s">
        <v>41</v>
      </c>
      <c r="C4391" t="s">
        <v>42</v>
      </c>
      <c r="D4391">
        <v>60</v>
      </c>
      <c r="E4391" t="s">
        <v>46</v>
      </c>
      <c r="F4391">
        <v>2</v>
      </c>
      <c r="G4391">
        <v>1</v>
      </c>
      <c r="H4391">
        <v>1</v>
      </c>
      <c r="I4391">
        <v>1</v>
      </c>
      <c r="J4391" s="4" t="s">
        <v>54</v>
      </c>
      <c r="K4391" t="str">
        <f t="shared" si="219"/>
        <v>1+1</v>
      </c>
      <c r="L4391">
        <f>VLOOKUP(A4391,'ZONE 1 PREMIUM'!$A$4:$N$16,14,0)</f>
        <v>10</v>
      </c>
      <c r="M4391">
        <f>VLOOKUP(D4391,DROPDOWN!B:C,2,0)</f>
        <v>13</v>
      </c>
      <c r="N4391" t="str">
        <f t="shared" si="220"/>
        <v>CO20:DG31</v>
      </c>
      <c r="O4391" s="4">
        <f t="shared" ca="1" si="218"/>
        <v>377422.31000000006</v>
      </c>
    </row>
    <row r="4392" spans="1:15">
      <c r="A4392" s="2" t="s">
        <v>20</v>
      </c>
      <c r="B4392" t="s">
        <v>43</v>
      </c>
      <c r="C4392" t="s">
        <v>44</v>
      </c>
      <c r="D4392">
        <v>60</v>
      </c>
      <c r="E4392" t="s">
        <v>46</v>
      </c>
      <c r="F4392">
        <v>2</v>
      </c>
      <c r="G4392">
        <v>1</v>
      </c>
      <c r="H4392">
        <v>1</v>
      </c>
      <c r="I4392">
        <v>1</v>
      </c>
      <c r="J4392" s="4" t="s">
        <v>54</v>
      </c>
      <c r="K4392" t="str">
        <f t="shared" si="219"/>
        <v>1+1</v>
      </c>
      <c r="L4392">
        <f>VLOOKUP(A4392,'ZONE 1 PREMIUM'!$A$4:$N$16,14,0)</f>
        <v>11</v>
      </c>
      <c r="M4392">
        <f>VLOOKUP(D4392,DROPDOWN!B:C,2,0)</f>
        <v>13</v>
      </c>
      <c r="N4392" t="str">
        <f t="shared" si="220"/>
        <v>CO20:DG31</v>
      </c>
      <c r="O4392" s="4">
        <f t="shared" ca="1" si="218"/>
        <v>437934.75000000006</v>
      </c>
    </row>
    <row r="4393" spans="1:15">
      <c r="A4393" s="2" t="s">
        <v>21</v>
      </c>
      <c r="B4393" t="s">
        <v>22</v>
      </c>
      <c r="D4393">
        <v>60</v>
      </c>
      <c r="E4393" t="s">
        <v>46</v>
      </c>
      <c r="F4393">
        <v>2</v>
      </c>
      <c r="G4393">
        <v>1</v>
      </c>
      <c r="H4393">
        <v>1</v>
      </c>
      <c r="I4393">
        <v>1</v>
      </c>
      <c r="J4393" s="4" t="s">
        <v>54</v>
      </c>
      <c r="K4393" t="str">
        <f t="shared" si="219"/>
        <v>1+1</v>
      </c>
      <c r="L4393">
        <f>VLOOKUP(A4393,'ZONE 1 PREMIUM'!$A$4:$N$16,14,0)</f>
        <v>12</v>
      </c>
      <c r="M4393">
        <f>VLOOKUP(D4393,DROPDOWN!B:C,2,0)</f>
        <v>13</v>
      </c>
      <c r="N4393" t="str">
        <f t="shared" si="220"/>
        <v>CO20:DG31</v>
      </c>
      <c r="O4393" s="4">
        <f t="shared" ca="1" si="218"/>
        <v>583812.72000000009</v>
      </c>
    </row>
    <row r="4394" spans="1:15">
      <c r="A4394" s="2" t="s">
        <v>11</v>
      </c>
      <c r="B4394" t="s">
        <v>45</v>
      </c>
      <c r="C4394" t="s">
        <v>25</v>
      </c>
      <c r="D4394">
        <v>60</v>
      </c>
      <c r="E4394" t="s">
        <v>46</v>
      </c>
      <c r="F4394">
        <v>3</v>
      </c>
      <c r="G4394">
        <v>1</v>
      </c>
      <c r="H4394">
        <v>2</v>
      </c>
      <c r="I4394">
        <v>1</v>
      </c>
      <c r="J4394" s="4" t="s">
        <v>54</v>
      </c>
      <c r="K4394" t="str">
        <f t="shared" si="219"/>
        <v>1+2</v>
      </c>
      <c r="L4394">
        <f>VLOOKUP(A4394,'ZONE 1 PREMIUM'!$A$4:$N$16,14,0)</f>
        <v>2</v>
      </c>
      <c r="M4394">
        <f>VLOOKUP(D4394,DROPDOWN!B:C,2,0)</f>
        <v>13</v>
      </c>
      <c r="N4394" t="str">
        <f t="shared" si="220"/>
        <v>CO35:DG46</v>
      </c>
      <c r="O4394" s="4">
        <f t="shared" ca="1" si="218"/>
        <v>86951.48000000001</v>
      </c>
    </row>
    <row r="4395" spans="1:15">
      <c r="A4395" s="2" t="s">
        <v>12</v>
      </c>
      <c r="B4395" t="s">
        <v>27</v>
      </c>
      <c r="C4395" t="s">
        <v>28</v>
      </c>
      <c r="D4395">
        <v>60</v>
      </c>
      <c r="E4395" t="s">
        <v>46</v>
      </c>
      <c r="F4395">
        <v>3</v>
      </c>
      <c r="G4395">
        <v>1</v>
      </c>
      <c r="H4395">
        <v>2</v>
      </c>
      <c r="I4395">
        <v>1</v>
      </c>
      <c r="J4395" s="4" t="s">
        <v>54</v>
      </c>
      <c r="K4395" t="str">
        <f t="shared" si="219"/>
        <v>1+2</v>
      </c>
      <c r="L4395">
        <f>VLOOKUP(A4395,'ZONE 1 PREMIUM'!$A$4:$N$16,14,0)</f>
        <v>3</v>
      </c>
      <c r="M4395">
        <f>VLOOKUP(D4395,DROPDOWN!B:C,2,0)</f>
        <v>13</v>
      </c>
      <c r="N4395" t="str">
        <f t="shared" si="220"/>
        <v>CO35:DG46</v>
      </c>
      <c r="O4395" s="4">
        <f t="shared" ca="1" si="218"/>
        <v>93938.38</v>
      </c>
    </row>
    <row r="4396" spans="1:15">
      <c r="A4396" s="2" t="s">
        <v>13</v>
      </c>
      <c r="B4396" t="s">
        <v>29</v>
      </c>
      <c r="C4396" t="s">
        <v>30</v>
      </c>
      <c r="D4396">
        <v>60</v>
      </c>
      <c r="E4396" t="s">
        <v>46</v>
      </c>
      <c r="F4396">
        <v>3</v>
      </c>
      <c r="G4396">
        <v>1</v>
      </c>
      <c r="H4396">
        <v>2</v>
      </c>
      <c r="I4396">
        <v>1</v>
      </c>
      <c r="J4396" s="4" t="s">
        <v>54</v>
      </c>
      <c r="K4396" t="str">
        <f t="shared" si="219"/>
        <v>1+2</v>
      </c>
      <c r="L4396">
        <f>VLOOKUP(A4396,'ZONE 1 PREMIUM'!$A$4:$N$16,14,0)</f>
        <v>4</v>
      </c>
      <c r="M4396">
        <f>VLOOKUP(D4396,DROPDOWN!B:C,2,0)</f>
        <v>13</v>
      </c>
      <c r="N4396" t="str">
        <f t="shared" si="220"/>
        <v>CO35:DG46</v>
      </c>
      <c r="O4396" s="4">
        <f t="shared" ca="1" si="218"/>
        <v>103332.00000000001</v>
      </c>
    </row>
    <row r="4397" spans="1:15">
      <c r="A4397" s="2" t="s">
        <v>14</v>
      </c>
      <c r="B4397" t="s">
        <v>31</v>
      </c>
      <c r="C4397" t="s">
        <v>32</v>
      </c>
      <c r="D4397">
        <v>60</v>
      </c>
      <c r="E4397" t="s">
        <v>46</v>
      </c>
      <c r="F4397">
        <v>3</v>
      </c>
      <c r="G4397">
        <v>1</v>
      </c>
      <c r="H4397">
        <v>2</v>
      </c>
      <c r="I4397">
        <v>1</v>
      </c>
      <c r="J4397" s="4" t="s">
        <v>54</v>
      </c>
      <c r="K4397" t="str">
        <f t="shared" si="219"/>
        <v>1+2</v>
      </c>
      <c r="L4397">
        <f>VLOOKUP(A4397,'ZONE 1 PREMIUM'!$A$4:$N$16,14,0)</f>
        <v>5</v>
      </c>
      <c r="M4397">
        <f>VLOOKUP(D4397,DROPDOWN!B:C,2,0)</f>
        <v>13</v>
      </c>
      <c r="N4397" t="str">
        <f t="shared" si="220"/>
        <v>CO35:DG46</v>
      </c>
      <c r="O4397" s="4">
        <f t="shared" ca="1" si="218"/>
        <v>115054.95000000001</v>
      </c>
    </row>
    <row r="4398" spans="1:15">
      <c r="A4398" s="2" t="s">
        <v>15</v>
      </c>
      <c r="B4398" t="s">
        <v>33</v>
      </c>
      <c r="C4398" t="s">
        <v>34</v>
      </c>
      <c r="D4398">
        <v>60</v>
      </c>
      <c r="E4398" t="s">
        <v>46</v>
      </c>
      <c r="F4398">
        <v>3</v>
      </c>
      <c r="G4398">
        <v>1</v>
      </c>
      <c r="H4398">
        <v>2</v>
      </c>
      <c r="I4398">
        <v>1</v>
      </c>
      <c r="J4398" s="4" t="s">
        <v>54</v>
      </c>
      <c r="K4398" t="str">
        <f t="shared" si="219"/>
        <v>1+2</v>
      </c>
      <c r="L4398">
        <f>VLOOKUP(A4398,'ZONE 1 PREMIUM'!$A$4:$N$16,14,0)</f>
        <v>6</v>
      </c>
      <c r="M4398">
        <f>VLOOKUP(D4398,DROPDOWN!B:C,2,0)</f>
        <v>13</v>
      </c>
      <c r="N4398" t="str">
        <f t="shared" si="220"/>
        <v>CO35:DG46</v>
      </c>
      <c r="O4398" s="4">
        <f t="shared" ca="1" si="218"/>
        <v>142566.55000000002</v>
      </c>
    </row>
    <row r="4399" spans="1:15">
      <c r="A4399" s="2" t="s">
        <v>16</v>
      </c>
      <c r="B4399" t="s">
        <v>35</v>
      </c>
      <c r="C4399" t="s">
        <v>36</v>
      </c>
      <c r="D4399">
        <v>60</v>
      </c>
      <c r="E4399" t="s">
        <v>46</v>
      </c>
      <c r="F4399">
        <v>3</v>
      </c>
      <c r="G4399">
        <v>1</v>
      </c>
      <c r="H4399">
        <v>2</v>
      </c>
      <c r="I4399">
        <v>1</v>
      </c>
      <c r="J4399" s="4" t="s">
        <v>54</v>
      </c>
      <c r="K4399" t="str">
        <f t="shared" si="219"/>
        <v>1+2</v>
      </c>
      <c r="L4399">
        <f>VLOOKUP(A4399,'ZONE 1 PREMIUM'!$A$4:$N$16,14,0)</f>
        <v>7</v>
      </c>
      <c r="M4399">
        <f>VLOOKUP(D4399,DROPDOWN!B:C,2,0)</f>
        <v>13</v>
      </c>
      <c r="N4399" t="str">
        <f t="shared" si="220"/>
        <v>CO35:DG46</v>
      </c>
      <c r="O4399" s="4">
        <f t="shared" ca="1" si="218"/>
        <v>190403.38</v>
      </c>
    </row>
    <row r="4400" spans="1:15">
      <c r="A4400" s="2" t="s">
        <v>17</v>
      </c>
      <c r="B4400" t="s">
        <v>37</v>
      </c>
      <c r="C4400" t="s">
        <v>38</v>
      </c>
      <c r="D4400">
        <v>60</v>
      </c>
      <c r="E4400" t="s">
        <v>46</v>
      </c>
      <c r="F4400">
        <v>3</v>
      </c>
      <c r="G4400">
        <v>1</v>
      </c>
      <c r="H4400">
        <v>2</v>
      </c>
      <c r="I4400">
        <v>1</v>
      </c>
      <c r="J4400" s="4" t="s">
        <v>54</v>
      </c>
      <c r="K4400" t="str">
        <f t="shared" si="219"/>
        <v>1+2</v>
      </c>
      <c r="L4400">
        <f>VLOOKUP(A4400,'ZONE 1 PREMIUM'!$A$4:$N$16,14,0)</f>
        <v>8</v>
      </c>
      <c r="M4400">
        <f>VLOOKUP(D4400,DROPDOWN!B:C,2,0)</f>
        <v>13</v>
      </c>
      <c r="N4400" t="str">
        <f t="shared" si="220"/>
        <v>CO35:DG46</v>
      </c>
      <c r="O4400" s="4">
        <f t="shared" ca="1" si="218"/>
        <v>245694.72000000003</v>
      </c>
    </row>
    <row r="4401" spans="1:15">
      <c r="A4401" s="2" t="s">
        <v>18</v>
      </c>
      <c r="B4401" t="s">
        <v>39</v>
      </c>
      <c r="C4401" t="s">
        <v>40</v>
      </c>
      <c r="D4401">
        <v>60</v>
      </c>
      <c r="E4401" t="s">
        <v>46</v>
      </c>
      <c r="F4401">
        <v>3</v>
      </c>
      <c r="G4401">
        <v>1</v>
      </c>
      <c r="H4401">
        <v>2</v>
      </c>
      <c r="I4401">
        <v>1</v>
      </c>
      <c r="J4401" s="4" t="s">
        <v>54</v>
      </c>
      <c r="K4401" t="str">
        <f t="shared" si="219"/>
        <v>1+2</v>
      </c>
      <c r="L4401">
        <f>VLOOKUP(A4401,'ZONE 1 PREMIUM'!$A$4:$N$16,14,0)</f>
        <v>9</v>
      </c>
      <c r="M4401">
        <f>VLOOKUP(D4401,DROPDOWN!B:C,2,0)</f>
        <v>13</v>
      </c>
      <c r="N4401" t="str">
        <f t="shared" si="220"/>
        <v>CO35:DG46</v>
      </c>
      <c r="O4401" s="4">
        <f t="shared" ca="1" si="218"/>
        <v>321637.2</v>
      </c>
    </row>
    <row r="4402" spans="1:15">
      <c r="A4402" s="2" t="s">
        <v>19</v>
      </c>
      <c r="B4402" t="s">
        <v>41</v>
      </c>
      <c r="C4402" t="s">
        <v>42</v>
      </c>
      <c r="D4402">
        <v>60</v>
      </c>
      <c r="E4402" t="s">
        <v>46</v>
      </c>
      <c r="F4402">
        <v>3</v>
      </c>
      <c r="G4402">
        <v>1</v>
      </c>
      <c r="H4402">
        <v>2</v>
      </c>
      <c r="I4402">
        <v>1</v>
      </c>
      <c r="J4402" s="4" t="s">
        <v>54</v>
      </c>
      <c r="K4402" t="str">
        <f t="shared" si="219"/>
        <v>1+2</v>
      </c>
      <c r="L4402">
        <f>VLOOKUP(A4402,'ZONE 1 PREMIUM'!$A$4:$N$16,14,0)</f>
        <v>10</v>
      </c>
      <c r="M4402">
        <f>VLOOKUP(D4402,DROPDOWN!B:C,2,0)</f>
        <v>13</v>
      </c>
      <c r="N4402" t="str">
        <f t="shared" si="220"/>
        <v>CO35:DG46</v>
      </c>
      <c r="O4402" s="4">
        <f t="shared" ca="1" si="218"/>
        <v>407969.56000000006</v>
      </c>
    </row>
    <row r="4403" spans="1:15">
      <c r="A4403" s="2" t="s">
        <v>20</v>
      </c>
      <c r="B4403" t="s">
        <v>43</v>
      </c>
      <c r="C4403" t="s">
        <v>44</v>
      </c>
      <c r="D4403">
        <v>60</v>
      </c>
      <c r="E4403" t="s">
        <v>46</v>
      </c>
      <c r="F4403">
        <v>3</v>
      </c>
      <c r="G4403">
        <v>1</v>
      </c>
      <c r="H4403">
        <v>2</v>
      </c>
      <c r="I4403">
        <v>1</v>
      </c>
      <c r="J4403" s="4" t="s">
        <v>54</v>
      </c>
      <c r="K4403" t="str">
        <f t="shared" si="219"/>
        <v>1+2</v>
      </c>
      <c r="L4403">
        <f>VLOOKUP(A4403,'ZONE 1 PREMIUM'!$A$4:$N$16,14,0)</f>
        <v>11</v>
      </c>
      <c r="M4403">
        <f>VLOOKUP(D4403,DROPDOWN!B:C,2,0)</f>
        <v>13</v>
      </c>
      <c r="N4403" t="str">
        <f t="shared" si="220"/>
        <v>CO35:DG46</v>
      </c>
      <c r="O4403" s="4">
        <f t="shared" ca="1" si="218"/>
        <v>474673.2</v>
      </c>
    </row>
    <row r="4404" spans="1:15">
      <c r="A4404" s="2" t="s">
        <v>21</v>
      </c>
      <c r="B4404" t="s">
        <v>22</v>
      </c>
      <c r="D4404">
        <v>60</v>
      </c>
      <c r="E4404" t="s">
        <v>46</v>
      </c>
      <c r="F4404">
        <v>3</v>
      </c>
      <c r="G4404">
        <v>1</v>
      </c>
      <c r="H4404">
        <v>2</v>
      </c>
      <c r="I4404">
        <v>1</v>
      </c>
      <c r="J4404" s="4" t="s">
        <v>54</v>
      </c>
      <c r="K4404" t="str">
        <f t="shared" si="219"/>
        <v>1+2</v>
      </c>
      <c r="L4404">
        <f>VLOOKUP(A4404,'ZONE 1 PREMIUM'!$A$4:$N$16,14,0)</f>
        <v>12</v>
      </c>
      <c r="M4404">
        <f>VLOOKUP(D4404,DROPDOWN!B:C,2,0)</f>
        <v>13</v>
      </c>
      <c r="N4404" t="str">
        <f t="shared" si="220"/>
        <v>CO35:DG46</v>
      </c>
      <c r="O4404" s="4">
        <f t="shared" ca="1" si="218"/>
        <v>610285.55000000005</v>
      </c>
    </row>
    <row r="4405" spans="1:15">
      <c r="A4405" s="2" t="s">
        <v>11</v>
      </c>
      <c r="B4405" t="s">
        <v>45</v>
      </c>
      <c r="C4405" t="s">
        <v>25</v>
      </c>
      <c r="D4405">
        <v>60</v>
      </c>
      <c r="E4405" t="s">
        <v>46</v>
      </c>
      <c r="F4405">
        <v>4</v>
      </c>
      <c r="G4405">
        <v>1</v>
      </c>
      <c r="H4405">
        <v>3</v>
      </c>
      <c r="I4405">
        <v>1</v>
      </c>
      <c r="J4405" s="4" t="s">
        <v>54</v>
      </c>
      <c r="K4405" t="str">
        <f t="shared" si="219"/>
        <v>1+3</v>
      </c>
      <c r="L4405">
        <f>VLOOKUP(A4405,'ZONE 1 PREMIUM'!$A$4:$N$16,14,0)</f>
        <v>2</v>
      </c>
      <c r="M4405">
        <f>VLOOKUP(D4405,DROPDOWN!B:C,2,0)</f>
        <v>13</v>
      </c>
      <c r="N4405" t="str">
        <f t="shared" si="220"/>
        <v>CO50:DG61</v>
      </c>
      <c r="O4405" s="4">
        <f t="shared" ca="1" si="218"/>
        <v>104284.66</v>
      </c>
    </row>
    <row r="4406" spans="1:15">
      <c r="A4406" s="2" t="s">
        <v>12</v>
      </c>
      <c r="B4406" t="s">
        <v>27</v>
      </c>
      <c r="C4406" t="s">
        <v>28</v>
      </c>
      <c r="D4406">
        <v>60</v>
      </c>
      <c r="E4406" t="s">
        <v>46</v>
      </c>
      <c r="F4406">
        <v>4</v>
      </c>
      <c r="G4406">
        <v>1</v>
      </c>
      <c r="H4406">
        <v>3</v>
      </c>
      <c r="I4406">
        <v>1</v>
      </c>
      <c r="J4406" s="4" t="s">
        <v>54</v>
      </c>
      <c r="K4406" t="str">
        <f t="shared" si="219"/>
        <v>1+3</v>
      </c>
      <c r="L4406">
        <f>VLOOKUP(A4406,'ZONE 1 PREMIUM'!$A$4:$N$16,14,0)</f>
        <v>3</v>
      </c>
      <c r="M4406">
        <f>VLOOKUP(D4406,DROPDOWN!B:C,2,0)</f>
        <v>13</v>
      </c>
      <c r="N4406" t="str">
        <f t="shared" si="220"/>
        <v>CO50:DG61</v>
      </c>
      <c r="O4406" s="4">
        <f t="shared" ca="1" si="218"/>
        <v>111020.86000000002</v>
      </c>
    </row>
    <row r="4407" spans="1:15">
      <c r="A4407" s="2" t="s">
        <v>13</v>
      </c>
      <c r="B4407" t="s">
        <v>29</v>
      </c>
      <c r="C4407" t="s">
        <v>30</v>
      </c>
      <c r="D4407">
        <v>60</v>
      </c>
      <c r="E4407" t="s">
        <v>46</v>
      </c>
      <c r="F4407">
        <v>4</v>
      </c>
      <c r="G4407">
        <v>1</v>
      </c>
      <c r="H4407">
        <v>3</v>
      </c>
      <c r="I4407">
        <v>1</v>
      </c>
      <c r="J4407" s="4" t="s">
        <v>54</v>
      </c>
      <c r="K4407" t="str">
        <f t="shared" si="219"/>
        <v>1+3</v>
      </c>
      <c r="L4407">
        <f>VLOOKUP(A4407,'ZONE 1 PREMIUM'!$A$4:$N$16,14,0)</f>
        <v>4</v>
      </c>
      <c r="M4407">
        <f>VLOOKUP(D4407,DROPDOWN!B:C,2,0)</f>
        <v>13</v>
      </c>
      <c r="N4407" t="str">
        <f t="shared" si="220"/>
        <v>CO50:DG61</v>
      </c>
      <c r="O4407" s="4">
        <f t="shared" ca="1" si="218"/>
        <v>123104.6</v>
      </c>
    </row>
    <row r="4408" spans="1:15">
      <c r="A4408" s="2" t="s">
        <v>14</v>
      </c>
      <c r="B4408" t="s">
        <v>31</v>
      </c>
      <c r="C4408" t="s">
        <v>32</v>
      </c>
      <c r="D4408">
        <v>60</v>
      </c>
      <c r="E4408" t="s">
        <v>46</v>
      </c>
      <c r="F4408">
        <v>4</v>
      </c>
      <c r="G4408">
        <v>1</v>
      </c>
      <c r="H4408">
        <v>3</v>
      </c>
      <c r="I4408">
        <v>1</v>
      </c>
      <c r="J4408" s="4" t="s">
        <v>54</v>
      </c>
      <c r="K4408" t="str">
        <f t="shared" si="219"/>
        <v>1+3</v>
      </c>
      <c r="L4408">
        <f>VLOOKUP(A4408,'ZONE 1 PREMIUM'!$A$4:$N$16,14,0)</f>
        <v>5</v>
      </c>
      <c r="M4408">
        <f>VLOOKUP(D4408,DROPDOWN!B:C,2,0)</f>
        <v>13</v>
      </c>
      <c r="N4408" t="str">
        <f t="shared" si="220"/>
        <v>CO50:DG61</v>
      </c>
      <c r="O4408" s="4">
        <f t="shared" ca="1" si="218"/>
        <v>136211.85</v>
      </c>
    </row>
    <row r="4409" spans="1:15">
      <c r="A4409" s="2" t="s">
        <v>15</v>
      </c>
      <c r="B4409" t="s">
        <v>33</v>
      </c>
      <c r="C4409" t="s">
        <v>34</v>
      </c>
      <c r="D4409">
        <v>60</v>
      </c>
      <c r="E4409" t="s">
        <v>46</v>
      </c>
      <c r="F4409">
        <v>4</v>
      </c>
      <c r="G4409">
        <v>1</v>
      </c>
      <c r="H4409">
        <v>3</v>
      </c>
      <c r="I4409">
        <v>1</v>
      </c>
      <c r="J4409" s="4" t="s">
        <v>54</v>
      </c>
      <c r="K4409" t="str">
        <f t="shared" si="219"/>
        <v>1+3</v>
      </c>
      <c r="L4409">
        <f>VLOOKUP(A4409,'ZONE 1 PREMIUM'!$A$4:$N$16,14,0)</f>
        <v>6</v>
      </c>
      <c r="M4409">
        <f>VLOOKUP(D4409,DROPDOWN!B:C,2,0)</f>
        <v>13</v>
      </c>
      <c r="N4409" t="str">
        <f t="shared" si="220"/>
        <v>CO50:DG61</v>
      </c>
      <c r="O4409" s="4">
        <f t="shared" ca="1" si="218"/>
        <v>166220.64000000001</v>
      </c>
    </row>
    <row r="4410" spans="1:15">
      <c r="A4410" s="2" t="s">
        <v>16</v>
      </c>
      <c r="B4410" t="s">
        <v>35</v>
      </c>
      <c r="C4410" t="s">
        <v>36</v>
      </c>
      <c r="D4410">
        <v>60</v>
      </c>
      <c r="E4410" t="s">
        <v>46</v>
      </c>
      <c r="F4410">
        <v>4</v>
      </c>
      <c r="G4410">
        <v>1</v>
      </c>
      <c r="H4410">
        <v>3</v>
      </c>
      <c r="I4410">
        <v>1</v>
      </c>
      <c r="J4410" s="4" t="s">
        <v>54</v>
      </c>
      <c r="K4410" t="str">
        <f t="shared" si="219"/>
        <v>1+3</v>
      </c>
      <c r="L4410">
        <f>VLOOKUP(A4410,'ZONE 1 PREMIUM'!$A$4:$N$16,14,0)</f>
        <v>7</v>
      </c>
      <c r="M4410">
        <f>VLOOKUP(D4410,DROPDOWN!B:C,2,0)</f>
        <v>13</v>
      </c>
      <c r="N4410" t="str">
        <f t="shared" si="220"/>
        <v>CO50:DG61</v>
      </c>
      <c r="O4410" s="4">
        <f t="shared" ca="1" si="218"/>
        <v>216040.18000000002</v>
      </c>
    </row>
    <row r="4411" spans="1:15">
      <c r="A4411" s="2" t="s">
        <v>17</v>
      </c>
      <c r="B4411" t="s">
        <v>37</v>
      </c>
      <c r="C4411" t="s">
        <v>38</v>
      </c>
      <c r="D4411">
        <v>60</v>
      </c>
      <c r="E4411" t="s">
        <v>46</v>
      </c>
      <c r="F4411">
        <v>4</v>
      </c>
      <c r="G4411">
        <v>1</v>
      </c>
      <c r="H4411">
        <v>3</v>
      </c>
      <c r="I4411">
        <v>1</v>
      </c>
      <c r="J4411" s="4" t="s">
        <v>54</v>
      </c>
      <c r="K4411" t="str">
        <f t="shared" si="219"/>
        <v>1+3</v>
      </c>
      <c r="L4411">
        <f>VLOOKUP(A4411,'ZONE 1 PREMIUM'!$A$4:$N$16,14,0)</f>
        <v>8</v>
      </c>
      <c r="M4411">
        <f>VLOOKUP(D4411,DROPDOWN!B:C,2,0)</f>
        <v>13</v>
      </c>
      <c r="N4411" t="str">
        <f t="shared" si="220"/>
        <v>CO50:DG61</v>
      </c>
      <c r="O4411" s="4">
        <f t="shared" ca="1" si="218"/>
        <v>267736.7</v>
      </c>
    </row>
    <row r="4412" spans="1:15">
      <c r="A4412" s="2" t="s">
        <v>18</v>
      </c>
      <c r="B4412" t="s">
        <v>39</v>
      </c>
      <c r="C4412" t="s">
        <v>40</v>
      </c>
      <c r="D4412">
        <v>60</v>
      </c>
      <c r="E4412" t="s">
        <v>46</v>
      </c>
      <c r="F4412">
        <v>4</v>
      </c>
      <c r="G4412">
        <v>1</v>
      </c>
      <c r="H4412">
        <v>3</v>
      </c>
      <c r="I4412">
        <v>1</v>
      </c>
      <c r="J4412" s="4" t="s">
        <v>54</v>
      </c>
      <c r="K4412" t="str">
        <f t="shared" si="219"/>
        <v>1+3</v>
      </c>
      <c r="L4412">
        <f>VLOOKUP(A4412,'ZONE 1 PREMIUM'!$A$4:$N$16,14,0)</f>
        <v>9</v>
      </c>
      <c r="M4412">
        <f>VLOOKUP(D4412,DROPDOWN!B:C,2,0)</f>
        <v>13</v>
      </c>
      <c r="N4412" t="str">
        <f t="shared" si="220"/>
        <v>CO50:DG61</v>
      </c>
      <c r="O4412" s="4">
        <f t="shared" ca="1" si="218"/>
        <v>346136.04000000004</v>
      </c>
    </row>
    <row r="4413" spans="1:15">
      <c r="A4413" s="2" t="s">
        <v>19</v>
      </c>
      <c r="B4413" t="s">
        <v>41</v>
      </c>
      <c r="C4413" t="s">
        <v>42</v>
      </c>
      <c r="D4413">
        <v>60</v>
      </c>
      <c r="E4413" t="s">
        <v>46</v>
      </c>
      <c r="F4413">
        <v>4</v>
      </c>
      <c r="G4413">
        <v>1</v>
      </c>
      <c r="H4413">
        <v>3</v>
      </c>
      <c r="I4413">
        <v>1</v>
      </c>
      <c r="J4413" s="4" t="s">
        <v>54</v>
      </c>
      <c r="K4413" t="str">
        <f t="shared" si="219"/>
        <v>1+3</v>
      </c>
      <c r="L4413">
        <f>VLOOKUP(A4413,'ZONE 1 PREMIUM'!$A$4:$N$16,14,0)</f>
        <v>10</v>
      </c>
      <c r="M4413">
        <f>VLOOKUP(D4413,DROPDOWN!B:C,2,0)</f>
        <v>13</v>
      </c>
      <c r="N4413" t="str">
        <f t="shared" si="220"/>
        <v>CO50:DG61</v>
      </c>
      <c r="O4413" s="4">
        <f t="shared" ca="1" si="218"/>
        <v>426769.88</v>
      </c>
    </row>
    <row r="4414" spans="1:15">
      <c r="A4414" s="2" t="s">
        <v>20</v>
      </c>
      <c r="B4414" t="s">
        <v>43</v>
      </c>
      <c r="C4414" t="s">
        <v>44</v>
      </c>
      <c r="D4414">
        <v>60</v>
      </c>
      <c r="E4414" t="s">
        <v>46</v>
      </c>
      <c r="F4414">
        <v>4</v>
      </c>
      <c r="G4414">
        <v>1</v>
      </c>
      <c r="H4414">
        <v>3</v>
      </c>
      <c r="I4414">
        <v>1</v>
      </c>
      <c r="J4414" s="4" t="s">
        <v>54</v>
      </c>
      <c r="K4414" t="str">
        <f t="shared" si="219"/>
        <v>1+3</v>
      </c>
      <c r="L4414">
        <f>VLOOKUP(A4414,'ZONE 1 PREMIUM'!$A$4:$N$16,14,0)</f>
        <v>11</v>
      </c>
      <c r="M4414">
        <f>VLOOKUP(D4414,DROPDOWN!B:C,2,0)</f>
        <v>13</v>
      </c>
      <c r="N4414" t="str">
        <f t="shared" si="220"/>
        <v>CO50:DG61</v>
      </c>
      <c r="O4414" s="4">
        <f t="shared" ca="1" si="218"/>
        <v>492384.61000000004</v>
      </c>
    </row>
    <row r="4415" spans="1:15">
      <c r="A4415" s="2" t="s">
        <v>21</v>
      </c>
      <c r="B4415" t="s">
        <v>22</v>
      </c>
      <c r="D4415">
        <v>60</v>
      </c>
      <c r="E4415" t="s">
        <v>46</v>
      </c>
      <c r="F4415">
        <v>4</v>
      </c>
      <c r="G4415">
        <v>1</v>
      </c>
      <c r="H4415">
        <v>3</v>
      </c>
      <c r="I4415">
        <v>1</v>
      </c>
      <c r="J4415" s="4" t="s">
        <v>54</v>
      </c>
      <c r="K4415" t="str">
        <f t="shared" si="219"/>
        <v>1+3</v>
      </c>
      <c r="L4415">
        <f>VLOOKUP(A4415,'ZONE 1 PREMIUM'!$A$4:$N$16,14,0)</f>
        <v>12</v>
      </c>
      <c r="M4415">
        <f>VLOOKUP(D4415,DROPDOWN!B:C,2,0)</f>
        <v>13</v>
      </c>
      <c r="N4415" t="str">
        <f t="shared" si="220"/>
        <v>CO50:DG61</v>
      </c>
      <c r="O4415" s="4">
        <f t="shared" ca="1" si="218"/>
        <v>629382.35000000009</v>
      </c>
    </row>
    <row r="4416" spans="1:15">
      <c r="A4416" s="2" t="s">
        <v>11</v>
      </c>
      <c r="B4416" t="s">
        <v>45</v>
      </c>
      <c r="C4416" t="s">
        <v>25</v>
      </c>
      <c r="D4416">
        <v>60</v>
      </c>
      <c r="E4416" t="s">
        <v>46</v>
      </c>
      <c r="F4416">
        <v>5</v>
      </c>
      <c r="G4416">
        <v>1</v>
      </c>
      <c r="H4416">
        <v>4</v>
      </c>
      <c r="I4416">
        <v>1</v>
      </c>
      <c r="J4416" s="4" t="s">
        <v>54</v>
      </c>
      <c r="K4416" t="str">
        <f t="shared" si="219"/>
        <v>1+4</v>
      </c>
      <c r="L4416">
        <f>VLOOKUP(A4416,'ZONE 1 PREMIUM'!$A$4:$N$16,14,0)</f>
        <v>2</v>
      </c>
      <c r="M4416">
        <f>VLOOKUP(D4416,DROPDOWN!B:C,2,0)</f>
        <v>13</v>
      </c>
      <c r="N4416" t="str">
        <f t="shared" si="220"/>
        <v>CO65:DG76</v>
      </c>
      <c r="O4416" s="4">
        <f t="shared" ca="1" si="218"/>
        <v>121616.75000000001</v>
      </c>
    </row>
    <row r="4417" spans="1:15">
      <c r="A4417" s="2" t="s">
        <v>12</v>
      </c>
      <c r="B4417" t="s">
        <v>27</v>
      </c>
      <c r="C4417" t="s">
        <v>28</v>
      </c>
      <c r="D4417">
        <v>60</v>
      </c>
      <c r="E4417" t="s">
        <v>46</v>
      </c>
      <c r="F4417">
        <v>5</v>
      </c>
      <c r="G4417">
        <v>1</v>
      </c>
      <c r="H4417">
        <v>4</v>
      </c>
      <c r="I4417">
        <v>1</v>
      </c>
      <c r="J4417" s="4" t="s">
        <v>54</v>
      </c>
      <c r="K4417" t="str">
        <f t="shared" si="219"/>
        <v>1+4</v>
      </c>
      <c r="L4417">
        <f>VLOOKUP(A4417,'ZONE 1 PREMIUM'!$A$4:$N$16,14,0)</f>
        <v>3</v>
      </c>
      <c r="M4417">
        <f>VLOOKUP(D4417,DROPDOWN!B:C,2,0)</f>
        <v>13</v>
      </c>
      <c r="N4417" t="str">
        <f t="shared" si="220"/>
        <v>CO65:DG76</v>
      </c>
      <c r="O4417" s="4">
        <f t="shared" ca="1" si="218"/>
        <v>128103.34000000001</v>
      </c>
    </row>
    <row r="4418" spans="1:15">
      <c r="A4418" s="2" t="s">
        <v>13</v>
      </c>
      <c r="B4418" t="s">
        <v>29</v>
      </c>
      <c r="C4418" t="s">
        <v>30</v>
      </c>
      <c r="D4418">
        <v>60</v>
      </c>
      <c r="E4418" t="s">
        <v>46</v>
      </c>
      <c r="F4418">
        <v>5</v>
      </c>
      <c r="G4418">
        <v>1</v>
      </c>
      <c r="H4418">
        <v>4</v>
      </c>
      <c r="I4418">
        <v>1</v>
      </c>
      <c r="J4418" s="4" t="s">
        <v>54</v>
      </c>
      <c r="K4418" t="str">
        <f t="shared" si="219"/>
        <v>1+4</v>
      </c>
      <c r="L4418">
        <f>VLOOKUP(A4418,'ZONE 1 PREMIUM'!$A$4:$N$16,14,0)</f>
        <v>4</v>
      </c>
      <c r="M4418">
        <f>VLOOKUP(D4418,DROPDOWN!B:C,2,0)</f>
        <v>13</v>
      </c>
      <c r="N4418" t="str">
        <f t="shared" si="220"/>
        <v>CO65:DG76</v>
      </c>
      <c r="O4418" s="4">
        <f t="shared" ref="O4418:O4481" ca="1" si="221">INDEX(INDIRECT(N4418),L4418,M4418)</f>
        <v>142877.20000000001</v>
      </c>
    </row>
    <row r="4419" spans="1:15">
      <c r="A4419" s="2" t="s">
        <v>14</v>
      </c>
      <c r="B4419" t="s">
        <v>31</v>
      </c>
      <c r="C4419" t="s">
        <v>32</v>
      </c>
      <c r="D4419">
        <v>60</v>
      </c>
      <c r="E4419" t="s">
        <v>46</v>
      </c>
      <c r="F4419">
        <v>5</v>
      </c>
      <c r="G4419">
        <v>1</v>
      </c>
      <c r="H4419">
        <v>4</v>
      </c>
      <c r="I4419">
        <v>1</v>
      </c>
      <c r="J4419" s="4" t="s">
        <v>54</v>
      </c>
      <c r="K4419" t="str">
        <f t="shared" si="219"/>
        <v>1+4</v>
      </c>
      <c r="L4419">
        <f>VLOOKUP(A4419,'ZONE 1 PREMIUM'!$A$4:$N$16,14,0)</f>
        <v>5</v>
      </c>
      <c r="M4419">
        <f>VLOOKUP(D4419,DROPDOWN!B:C,2,0)</f>
        <v>13</v>
      </c>
      <c r="N4419" t="str">
        <f t="shared" si="220"/>
        <v>CO65:DG76</v>
      </c>
      <c r="O4419" s="4">
        <f t="shared" ca="1" si="221"/>
        <v>157369.84000000003</v>
      </c>
    </row>
    <row r="4420" spans="1:15">
      <c r="A4420" s="2" t="s">
        <v>15</v>
      </c>
      <c r="B4420" t="s">
        <v>33</v>
      </c>
      <c r="C4420" t="s">
        <v>34</v>
      </c>
      <c r="D4420">
        <v>60</v>
      </c>
      <c r="E4420" t="s">
        <v>46</v>
      </c>
      <c r="F4420">
        <v>5</v>
      </c>
      <c r="G4420">
        <v>1</v>
      </c>
      <c r="H4420">
        <v>4</v>
      </c>
      <c r="I4420">
        <v>1</v>
      </c>
      <c r="J4420" s="4" t="s">
        <v>54</v>
      </c>
      <c r="K4420" t="str">
        <f t="shared" ref="K4420:K4483" si="222">G4420&amp;"+"&amp;H4420</f>
        <v>1+4</v>
      </c>
      <c r="L4420">
        <f>VLOOKUP(A4420,'ZONE 1 PREMIUM'!$A$4:$N$16,14,0)</f>
        <v>6</v>
      </c>
      <c r="M4420">
        <f>VLOOKUP(D4420,DROPDOWN!B:C,2,0)</f>
        <v>13</v>
      </c>
      <c r="N4420" t="str">
        <f t="shared" si="220"/>
        <v>CO65:DG76</v>
      </c>
      <c r="O4420" s="4">
        <f t="shared" ca="1" si="221"/>
        <v>189874.73</v>
      </c>
    </row>
    <row r="4421" spans="1:15">
      <c r="A4421" s="2" t="s">
        <v>16</v>
      </c>
      <c r="B4421" t="s">
        <v>35</v>
      </c>
      <c r="C4421" t="s">
        <v>36</v>
      </c>
      <c r="D4421">
        <v>60</v>
      </c>
      <c r="E4421" t="s">
        <v>46</v>
      </c>
      <c r="F4421">
        <v>5</v>
      </c>
      <c r="G4421">
        <v>1</v>
      </c>
      <c r="H4421">
        <v>4</v>
      </c>
      <c r="I4421">
        <v>1</v>
      </c>
      <c r="J4421" s="4" t="s">
        <v>54</v>
      </c>
      <c r="K4421" t="str">
        <f t="shared" si="222"/>
        <v>1+4</v>
      </c>
      <c r="L4421">
        <f>VLOOKUP(A4421,'ZONE 1 PREMIUM'!$A$4:$N$16,14,0)</f>
        <v>7</v>
      </c>
      <c r="M4421">
        <f>VLOOKUP(D4421,DROPDOWN!B:C,2,0)</f>
        <v>13</v>
      </c>
      <c r="N4421" t="str">
        <f t="shared" si="220"/>
        <v>CO65:DG76</v>
      </c>
      <c r="O4421" s="4">
        <f t="shared" ca="1" si="221"/>
        <v>237084.81000000003</v>
      </c>
    </row>
    <row r="4422" spans="1:15">
      <c r="A4422" s="2" t="s">
        <v>17</v>
      </c>
      <c r="B4422" t="s">
        <v>37</v>
      </c>
      <c r="C4422" t="s">
        <v>38</v>
      </c>
      <c r="D4422">
        <v>60</v>
      </c>
      <c r="E4422" t="s">
        <v>46</v>
      </c>
      <c r="F4422">
        <v>5</v>
      </c>
      <c r="G4422">
        <v>1</v>
      </c>
      <c r="H4422">
        <v>4</v>
      </c>
      <c r="I4422">
        <v>1</v>
      </c>
      <c r="J4422" s="4" t="s">
        <v>54</v>
      </c>
      <c r="K4422" t="str">
        <f t="shared" si="222"/>
        <v>1+4</v>
      </c>
      <c r="L4422">
        <f>VLOOKUP(A4422,'ZONE 1 PREMIUM'!$A$4:$N$16,14,0)</f>
        <v>8</v>
      </c>
      <c r="M4422">
        <f>VLOOKUP(D4422,DROPDOWN!B:C,2,0)</f>
        <v>13</v>
      </c>
      <c r="N4422" t="str">
        <f t="shared" si="220"/>
        <v>CO65:DG76</v>
      </c>
      <c r="O4422" s="4">
        <f t="shared" ca="1" si="221"/>
        <v>287761.09000000003</v>
      </c>
    </row>
    <row r="4423" spans="1:15">
      <c r="A4423" s="2" t="s">
        <v>18</v>
      </c>
      <c r="B4423" t="s">
        <v>39</v>
      </c>
      <c r="C4423" t="s">
        <v>40</v>
      </c>
      <c r="D4423">
        <v>60</v>
      </c>
      <c r="E4423" t="s">
        <v>46</v>
      </c>
      <c r="F4423">
        <v>5</v>
      </c>
      <c r="G4423">
        <v>1</v>
      </c>
      <c r="H4423">
        <v>4</v>
      </c>
      <c r="I4423">
        <v>1</v>
      </c>
      <c r="J4423" s="4" t="s">
        <v>54</v>
      </c>
      <c r="K4423" t="str">
        <f t="shared" si="222"/>
        <v>1+4</v>
      </c>
      <c r="L4423">
        <f>VLOOKUP(A4423,'ZONE 1 PREMIUM'!$A$4:$N$16,14,0)</f>
        <v>9</v>
      </c>
      <c r="M4423">
        <f>VLOOKUP(D4423,DROPDOWN!B:C,2,0)</f>
        <v>13</v>
      </c>
      <c r="N4423" t="str">
        <f t="shared" si="220"/>
        <v>CO65:DG76</v>
      </c>
      <c r="O4423" s="4">
        <f t="shared" ca="1" si="221"/>
        <v>366485.25</v>
      </c>
    </row>
    <row r="4424" spans="1:15">
      <c r="A4424" s="2" t="s">
        <v>19</v>
      </c>
      <c r="B4424" t="s">
        <v>41</v>
      </c>
      <c r="C4424" t="s">
        <v>42</v>
      </c>
      <c r="D4424">
        <v>60</v>
      </c>
      <c r="E4424" t="s">
        <v>46</v>
      </c>
      <c r="F4424">
        <v>5</v>
      </c>
      <c r="G4424">
        <v>1</v>
      </c>
      <c r="H4424">
        <v>4</v>
      </c>
      <c r="I4424">
        <v>1</v>
      </c>
      <c r="J4424" s="4" t="s">
        <v>54</v>
      </c>
      <c r="K4424" t="str">
        <f t="shared" si="222"/>
        <v>1+4</v>
      </c>
      <c r="L4424">
        <f>VLOOKUP(A4424,'ZONE 1 PREMIUM'!$A$4:$N$16,14,0)</f>
        <v>10</v>
      </c>
      <c r="M4424">
        <f>VLOOKUP(D4424,DROPDOWN!B:C,2,0)</f>
        <v>13</v>
      </c>
      <c r="N4424" t="str">
        <f t="shared" si="220"/>
        <v>CO65:DG76</v>
      </c>
      <c r="O4424" s="4">
        <f t="shared" ca="1" si="221"/>
        <v>446489.07</v>
      </c>
    </row>
    <row r="4425" spans="1:15">
      <c r="A4425" s="2" t="s">
        <v>20</v>
      </c>
      <c r="B4425" t="s">
        <v>43</v>
      </c>
      <c r="C4425" t="s">
        <v>44</v>
      </c>
      <c r="D4425">
        <v>60</v>
      </c>
      <c r="E4425" t="s">
        <v>46</v>
      </c>
      <c r="F4425">
        <v>5</v>
      </c>
      <c r="G4425">
        <v>1</v>
      </c>
      <c r="H4425">
        <v>4</v>
      </c>
      <c r="I4425">
        <v>1</v>
      </c>
      <c r="J4425" s="4" t="s">
        <v>54</v>
      </c>
      <c r="K4425" t="str">
        <f t="shared" si="222"/>
        <v>1+4</v>
      </c>
      <c r="L4425">
        <f>VLOOKUP(A4425,'ZONE 1 PREMIUM'!$A$4:$N$16,14,0)</f>
        <v>11</v>
      </c>
      <c r="M4425">
        <f>VLOOKUP(D4425,DROPDOWN!B:C,2,0)</f>
        <v>13</v>
      </c>
      <c r="N4425" t="str">
        <f t="shared" si="220"/>
        <v>CO65:DG76</v>
      </c>
      <c r="O4425" s="4">
        <f t="shared" ca="1" si="221"/>
        <v>512209.53</v>
      </c>
    </row>
    <row r="4426" spans="1:15">
      <c r="A4426" s="2" t="s">
        <v>21</v>
      </c>
      <c r="B4426" t="s">
        <v>22</v>
      </c>
      <c r="D4426">
        <v>60</v>
      </c>
      <c r="E4426" t="s">
        <v>46</v>
      </c>
      <c r="F4426">
        <v>5</v>
      </c>
      <c r="G4426">
        <v>1</v>
      </c>
      <c r="H4426">
        <v>4</v>
      </c>
      <c r="I4426">
        <v>1</v>
      </c>
      <c r="J4426" s="4" t="s">
        <v>54</v>
      </c>
      <c r="K4426" t="str">
        <f t="shared" si="222"/>
        <v>1+4</v>
      </c>
      <c r="L4426">
        <f>VLOOKUP(A4426,'ZONE 1 PREMIUM'!$A$4:$N$16,14,0)</f>
        <v>12</v>
      </c>
      <c r="M4426">
        <f>VLOOKUP(D4426,DROPDOWN!B:C,2,0)</f>
        <v>13</v>
      </c>
      <c r="N4426" t="str">
        <f t="shared" si="220"/>
        <v>CO65:DG76</v>
      </c>
      <c r="O4426" s="4">
        <f t="shared" ca="1" si="221"/>
        <v>650028.04</v>
      </c>
    </row>
    <row r="4427" spans="1:15">
      <c r="A4427" s="2" t="s">
        <v>11</v>
      </c>
      <c r="B4427" t="s">
        <v>45</v>
      </c>
      <c r="C4427" t="s">
        <v>25</v>
      </c>
      <c r="D4427">
        <v>60</v>
      </c>
      <c r="E4427" t="s">
        <v>46</v>
      </c>
      <c r="F4427">
        <v>2</v>
      </c>
      <c r="G4427">
        <v>2</v>
      </c>
      <c r="H4427">
        <v>0</v>
      </c>
      <c r="I4427">
        <v>1</v>
      </c>
      <c r="J4427" s="4" t="s">
        <v>54</v>
      </c>
      <c r="K4427" t="str">
        <f t="shared" si="222"/>
        <v>2+0</v>
      </c>
      <c r="L4427">
        <f>VLOOKUP(A4427,'ZONE 1 PREMIUM'!$A$4:$N$16,14,0)</f>
        <v>2</v>
      </c>
      <c r="M4427">
        <f>VLOOKUP(D4427,DROPDOWN!B:C,2,0)</f>
        <v>13</v>
      </c>
      <c r="N4427" t="str">
        <f t="shared" si="220"/>
        <v>CO81:DG92</v>
      </c>
      <c r="O4427" s="4">
        <f t="shared" ca="1" si="221"/>
        <v>104279.21</v>
      </c>
    </row>
    <row r="4428" spans="1:15">
      <c r="A4428" s="2" t="s">
        <v>12</v>
      </c>
      <c r="B4428" t="s">
        <v>27</v>
      </c>
      <c r="C4428" t="s">
        <v>28</v>
      </c>
      <c r="D4428">
        <v>60</v>
      </c>
      <c r="E4428" t="s">
        <v>46</v>
      </c>
      <c r="F4428">
        <v>2</v>
      </c>
      <c r="G4428">
        <v>2</v>
      </c>
      <c r="H4428">
        <v>0</v>
      </c>
      <c r="I4428">
        <v>1</v>
      </c>
      <c r="J4428" s="4" t="s">
        <v>54</v>
      </c>
      <c r="K4428" t="str">
        <f t="shared" si="222"/>
        <v>2+0</v>
      </c>
      <c r="L4428">
        <f>VLOOKUP(A4428,'ZONE 1 PREMIUM'!$A$4:$N$16,14,0)</f>
        <v>3</v>
      </c>
      <c r="M4428">
        <f>VLOOKUP(D4428,DROPDOWN!B:C,2,0)</f>
        <v>13</v>
      </c>
      <c r="N4428" t="str">
        <f t="shared" si="220"/>
        <v>CO81:DG92</v>
      </c>
      <c r="O4428" s="4">
        <f t="shared" ca="1" si="221"/>
        <v>118129.84000000001</v>
      </c>
    </row>
    <row r="4429" spans="1:15">
      <c r="A4429" s="2" t="s">
        <v>13</v>
      </c>
      <c r="B4429" t="s">
        <v>29</v>
      </c>
      <c r="C4429" t="s">
        <v>30</v>
      </c>
      <c r="D4429">
        <v>60</v>
      </c>
      <c r="E4429" t="s">
        <v>46</v>
      </c>
      <c r="F4429">
        <v>2</v>
      </c>
      <c r="G4429">
        <v>2</v>
      </c>
      <c r="H4429">
        <v>0</v>
      </c>
      <c r="I4429">
        <v>1</v>
      </c>
      <c r="J4429" s="4" t="s">
        <v>54</v>
      </c>
      <c r="K4429" t="str">
        <f t="shared" si="222"/>
        <v>2+0</v>
      </c>
      <c r="L4429">
        <f>VLOOKUP(A4429,'ZONE 1 PREMIUM'!$A$4:$N$16,14,0)</f>
        <v>4</v>
      </c>
      <c r="M4429">
        <f>VLOOKUP(D4429,DROPDOWN!B:C,2,0)</f>
        <v>13</v>
      </c>
      <c r="N4429" t="str">
        <f t="shared" si="220"/>
        <v>CO81:DG92</v>
      </c>
      <c r="O4429" s="4">
        <f t="shared" ca="1" si="221"/>
        <v>124384.26000000001</v>
      </c>
    </row>
    <row r="4430" spans="1:15">
      <c r="A4430" s="2" t="s">
        <v>14</v>
      </c>
      <c r="B4430" t="s">
        <v>31</v>
      </c>
      <c r="C4430" t="s">
        <v>32</v>
      </c>
      <c r="D4430">
        <v>60</v>
      </c>
      <c r="E4430" t="s">
        <v>46</v>
      </c>
      <c r="F4430">
        <v>2</v>
      </c>
      <c r="G4430">
        <v>2</v>
      </c>
      <c r="H4430">
        <v>0</v>
      </c>
      <c r="I4430">
        <v>1</v>
      </c>
      <c r="J4430" s="4" t="s">
        <v>54</v>
      </c>
      <c r="K4430" t="str">
        <f t="shared" si="222"/>
        <v>2+0</v>
      </c>
      <c r="L4430">
        <f>VLOOKUP(A4430,'ZONE 1 PREMIUM'!$A$4:$N$16,14,0)</f>
        <v>5</v>
      </c>
      <c r="M4430">
        <f>VLOOKUP(D4430,DROPDOWN!B:C,2,0)</f>
        <v>13</v>
      </c>
      <c r="N4430" t="str">
        <f t="shared" si="220"/>
        <v>CO81:DG92</v>
      </c>
      <c r="O4430" s="4">
        <f t="shared" ca="1" si="221"/>
        <v>138723.21000000002</v>
      </c>
    </row>
    <row r="4431" spans="1:15">
      <c r="A4431" s="2" t="s">
        <v>15</v>
      </c>
      <c r="B4431" t="s">
        <v>33</v>
      </c>
      <c r="C4431" t="s">
        <v>34</v>
      </c>
      <c r="D4431">
        <v>60</v>
      </c>
      <c r="E4431" t="s">
        <v>46</v>
      </c>
      <c r="F4431">
        <v>2</v>
      </c>
      <c r="G4431">
        <v>2</v>
      </c>
      <c r="H4431">
        <v>0</v>
      </c>
      <c r="I4431">
        <v>1</v>
      </c>
      <c r="J4431" s="4" t="s">
        <v>54</v>
      </c>
      <c r="K4431" t="str">
        <f t="shared" si="222"/>
        <v>2+0</v>
      </c>
      <c r="L4431">
        <f>VLOOKUP(A4431,'ZONE 1 PREMIUM'!$A$4:$N$16,14,0)</f>
        <v>6</v>
      </c>
      <c r="M4431">
        <f>VLOOKUP(D4431,DROPDOWN!B:C,2,0)</f>
        <v>13</v>
      </c>
      <c r="N4431" t="str">
        <f t="shared" si="220"/>
        <v>CO81:DG92</v>
      </c>
      <c r="O4431" s="4">
        <f t="shared" ca="1" si="221"/>
        <v>174158.02000000002</v>
      </c>
    </row>
    <row r="4432" spans="1:15">
      <c r="A4432" s="2" t="s">
        <v>16</v>
      </c>
      <c r="B4432" t="s">
        <v>35</v>
      </c>
      <c r="C4432" t="s">
        <v>36</v>
      </c>
      <c r="D4432">
        <v>60</v>
      </c>
      <c r="E4432" t="s">
        <v>46</v>
      </c>
      <c r="F4432">
        <v>2</v>
      </c>
      <c r="G4432">
        <v>2</v>
      </c>
      <c r="H4432">
        <v>0</v>
      </c>
      <c r="I4432">
        <v>1</v>
      </c>
      <c r="J4432" s="4" t="s">
        <v>54</v>
      </c>
      <c r="K4432" t="str">
        <f t="shared" si="222"/>
        <v>2+0</v>
      </c>
      <c r="L4432">
        <f>VLOOKUP(A4432,'ZONE 1 PREMIUM'!$A$4:$N$16,14,0)</f>
        <v>7</v>
      </c>
      <c r="M4432">
        <f>VLOOKUP(D4432,DROPDOWN!B:C,2,0)</f>
        <v>13</v>
      </c>
      <c r="N4432" t="str">
        <f t="shared" si="220"/>
        <v>CO81:DG92</v>
      </c>
      <c r="O4432" s="4">
        <f t="shared" ca="1" si="221"/>
        <v>238236.94000000003</v>
      </c>
    </row>
    <row r="4433" spans="1:15">
      <c r="A4433" s="2" t="s">
        <v>17</v>
      </c>
      <c r="B4433" t="s">
        <v>37</v>
      </c>
      <c r="C4433" t="s">
        <v>38</v>
      </c>
      <c r="D4433">
        <v>60</v>
      </c>
      <c r="E4433" t="s">
        <v>46</v>
      </c>
      <c r="F4433">
        <v>2</v>
      </c>
      <c r="G4433">
        <v>2</v>
      </c>
      <c r="H4433">
        <v>0</v>
      </c>
      <c r="I4433">
        <v>1</v>
      </c>
      <c r="J4433" s="4" t="s">
        <v>54</v>
      </c>
      <c r="K4433" t="str">
        <f t="shared" si="222"/>
        <v>2+0</v>
      </c>
      <c r="L4433">
        <f>VLOOKUP(A4433,'ZONE 1 PREMIUM'!$A$4:$N$16,14,0)</f>
        <v>8</v>
      </c>
      <c r="M4433">
        <f>VLOOKUP(D4433,DROPDOWN!B:C,2,0)</f>
        <v>13</v>
      </c>
      <c r="N4433" t="str">
        <f t="shared" si="220"/>
        <v>CO81:DG92</v>
      </c>
      <c r="O4433" s="4">
        <f t="shared" ca="1" si="221"/>
        <v>330619.89</v>
      </c>
    </row>
    <row r="4434" spans="1:15">
      <c r="A4434" s="2" t="s">
        <v>18</v>
      </c>
      <c r="B4434" t="s">
        <v>39</v>
      </c>
      <c r="C4434" t="s">
        <v>40</v>
      </c>
      <c r="D4434">
        <v>60</v>
      </c>
      <c r="E4434" t="s">
        <v>46</v>
      </c>
      <c r="F4434">
        <v>2</v>
      </c>
      <c r="G4434">
        <v>2</v>
      </c>
      <c r="H4434">
        <v>0</v>
      </c>
      <c r="I4434">
        <v>1</v>
      </c>
      <c r="J4434" s="4" t="s">
        <v>54</v>
      </c>
      <c r="K4434" t="str">
        <f t="shared" si="222"/>
        <v>2+0</v>
      </c>
      <c r="L4434">
        <f>VLOOKUP(A4434,'ZONE 1 PREMIUM'!$A$4:$N$16,14,0)</f>
        <v>9</v>
      </c>
      <c r="M4434">
        <f>VLOOKUP(D4434,DROPDOWN!B:C,2,0)</f>
        <v>13</v>
      </c>
      <c r="N4434" t="str">
        <f t="shared" ref="N4434:N4481" si="223">VLOOKUP(K4434,$DH$4:$DI$13,2,0)</f>
        <v>CO81:DG92</v>
      </c>
      <c r="O4434" s="4">
        <f t="shared" ca="1" si="221"/>
        <v>463686.00000000006</v>
      </c>
    </row>
    <row r="4435" spans="1:15">
      <c r="A4435" s="2" t="s">
        <v>19</v>
      </c>
      <c r="B4435" t="s">
        <v>41</v>
      </c>
      <c r="C4435" t="s">
        <v>42</v>
      </c>
      <c r="D4435">
        <v>60</v>
      </c>
      <c r="E4435" t="s">
        <v>46</v>
      </c>
      <c r="F4435">
        <v>2</v>
      </c>
      <c r="G4435">
        <v>2</v>
      </c>
      <c r="H4435">
        <v>0</v>
      </c>
      <c r="I4435">
        <v>1</v>
      </c>
      <c r="J4435" s="4" t="s">
        <v>54</v>
      </c>
      <c r="K4435" t="str">
        <f t="shared" si="222"/>
        <v>2+0</v>
      </c>
      <c r="L4435">
        <f>VLOOKUP(A4435,'ZONE 1 PREMIUM'!$A$4:$N$16,14,0)</f>
        <v>10</v>
      </c>
      <c r="M4435">
        <f>VLOOKUP(D4435,DROPDOWN!B:C,2,0)</f>
        <v>13</v>
      </c>
      <c r="N4435" t="str">
        <f t="shared" si="223"/>
        <v>CO81:DG92</v>
      </c>
      <c r="O4435" s="4">
        <f t="shared" ca="1" si="221"/>
        <v>641715.70000000007</v>
      </c>
    </row>
    <row r="4436" spans="1:15">
      <c r="A4436" s="2" t="s">
        <v>20</v>
      </c>
      <c r="B4436" t="s">
        <v>43</v>
      </c>
      <c r="C4436" t="s">
        <v>44</v>
      </c>
      <c r="D4436">
        <v>60</v>
      </c>
      <c r="E4436" t="s">
        <v>46</v>
      </c>
      <c r="F4436">
        <v>2</v>
      </c>
      <c r="G4436">
        <v>2</v>
      </c>
      <c r="H4436">
        <v>0</v>
      </c>
      <c r="I4436">
        <v>1</v>
      </c>
      <c r="J4436" s="4" t="s">
        <v>54</v>
      </c>
      <c r="K4436" t="str">
        <f t="shared" si="222"/>
        <v>2+0</v>
      </c>
      <c r="L4436">
        <f>VLOOKUP(A4436,'ZONE 1 PREMIUM'!$A$4:$N$16,14,0)</f>
        <v>11</v>
      </c>
      <c r="M4436">
        <f>VLOOKUP(D4436,DROPDOWN!B:C,2,0)</f>
        <v>13</v>
      </c>
      <c r="N4436" t="str">
        <f t="shared" si="223"/>
        <v>CO81:DG92</v>
      </c>
      <c r="O4436" s="4">
        <f t="shared" ca="1" si="221"/>
        <v>781867.9</v>
      </c>
    </row>
    <row r="4437" spans="1:15">
      <c r="A4437" s="2" t="s">
        <v>21</v>
      </c>
      <c r="B4437" t="s">
        <v>22</v>
      </c>
      <c r="D4437">
        <v>60</v>
      </c>
      <c r="E4437" t="s">
        <v>46</v>
      </c>
      <c r="F4437">
        <v>2</v>
      </c>
      <c r="G4437">
        <v>2</v>
      </c>
      <c r="H4437">
        <v>0</v>
      </c>
      <c r="I4437">
        <v>1</v>
      </c>
      <c r="J4437" s="4" t="s">
        <v>54</v>
      </c>
      <c r="K4437" t="str">
        <f t="shared" si="222"/>
        <v>2+0</v>
      </c>
      <c r="L4437">
        <f>VLOOKUP(A4437,'ZONE 1 PREMIUM'!$A$4:$N$16,14,0)</f>
        <v>12</v>
      </c>
      <c r="M4437">
        <f>VLOOKUP(D4437,DROPDOWN!B:C,2,0)</f>
        <v>13</v>
      </c>
      <c r="N4437" t="str">
        <f t="shared" si="223"/>
        <v>CO81:DG92</v>
      </c>
      <c r="O4437" s="4">
        <f t="shared" ca="1" si="221"/>
        <v>978715.3600000001</v>
      </c>
    </row>
    <row r="4438" spans="1:15">
      <c r="A4438" s="2" t="s">
        <v>11</v>
      </c>
      <c r="B4438" t="s">
        <v>45</v>
      </c>
      <c r="C4438" t="s">
        <v>25</v>
      </c>
      <c r="D4438">
        <v>60</v>
      </c>
      <c r="E4438" t="s">
        <v>46</v>
      </c>
      <c r="F4438">
        <v>3</v>
      </c>
      <c r="G4438">
        <v>2</v>
      </c>
      <c r="H4438">
        <v>1</v>
      </c>
      <c r="I4438">
        <v>1</v>
      </c>
      <c r="J4438" s="4" t="s">
        <v>54</v>
      </c>
      <c r="K4438" t="str">
        <f t="shared" si="222"/>
        <v>2+1</v>
      </c>
      <c r="L4438">
        <f>VLOOKUP(A4438,'ZONE 1 PREMIUM'!$A$4:$N$16,14,0)</f>
        <v>2</v>
      </c>
      <c r="M4438">
        <f>VLOOKUP(D4438,DROPDOWN!B:C,2,0)</f>
        <v>13</v>
      </c>
      <c r="N4438" t="str">
        <f t="shared" si="223"/>
        <v>CO98:DG109</v>
      </c>
      <c r="O4438" s="4">
        <f t="shared" ca="1" si="221"/>
        <v>121758.45000000001</v>
      </c>
    </row>
    <row r="4439" spans="1:15">
      <c r="A4439" s="2" t="s">
        <v>12</v>
      </c>
      <c r="B4439" t="s">
        <v>27</v>
      </c>
      <c r="C4439" t="s">
        <v>28</v>
      </c>
      <c r="D4439">
        <v>60</v>
      </c>
      <c r="E4439" t="s">
        <v>46</v>
      </c>
      <c r="F4439">
        <v>3</v>
      </c>
      <c r="G4439">
        <v>2</v>
      </c>
      <c r="H4439">
        <v>1</v>
      </c>
      <c r="I4439">
        <v>1</v>
      </c>
      <c r="J4439" s="4" t="s">
        <v>54</v>
      </c>
      <c r="K4439" t="str">
        <f t="shared" si="222"/>
        <v>2+1</v>
      </c>
      <c r="L4439">
        <f>VLOOKUP(A4439,'ZONE 1 PREMIUM'!$A$4:$N$16,14,0)</f>
        <v>3</v>
      </c>
      <c r="M4439">
        <f>VLOOKUP(D4439,DROPDOWN!B:C,2,0)</f>
        <v>13</v>
      </c>
      <c r="N4439" t="str">
        <f t="shared" si="223"/>
        <v>CO98:DG109</v>
      </c>
      <c r="O4439" s="4">
        <f t="shared" ca="1" si="221"/>
        <v>135359.47</v>
      </c>
    </row>
    <row r="4440" spans="1:15">
      <c r="A4440" s="2" t="s">
        <v>13</v>
      </c>
      <c r="B4440" t="s">
        <v>29</v>
      </c>
      <c r="C4440" t="s">
        <v>30</v>
      </c>
      <c r="D4440">
        <v>60</v>
      </c>
      <c r="E4440" t="s">
        <v>46</v>
      </c>
      <c r="F4440">
        <v>3</v>
      </c>
      <c r="G4440">
        <v>2</v>
      </c>
      <c r="H4440">
        <v>1</v>
      </c>
      <c r="I4440">
        <v>1</v>
      </c>
      <c r="J4440" s="4" t="s">
        <v>54</v>
      </c>
      <c r="K4440" t="str">
        <f t="shared" si="222"/>
        <v>2+1</v>
      </c>
      <c r="L4440">
        <f>VLOOKUP(A4440,'ZONE 1 PREMIUM'!$A$4:$N$16,14,0)</f>
        <v>4</v>
      </c>
      <c r="M4440">
        <f>VLOOKUP(D4440,DROPDOWN!B:C,2,0)</f>
        <v>13</v>
      </c>
      <c r="N4440" t="str">
        <f t="shared" si="223"/>
        <v>CO98:DG109</v>
      </c>
      <c r="O4440" s="4">
        <f t="shared" ca="1" si="221"/>
        <v>144370.5</v>
      </c>
    </row>
    <row r="4441" spans="1:15">
      <c r="A4441" s="2" t="s">
        <v>14</v>
      </c>
      <c r="B4441" t="s">
        <v>31</v>
      </c>
      <c r="C4441" t="s">
        <v>32</v>
      </c>
      <c r="D4441">
        <v>60</v>
      </c>
      <c r="E4441" t="s">
        <v>46</v>
      </c>
      <c r="F4441">
        <v>3</v>
      </c>
      <c r="G4441">
        <v>2</v>
      </c>
      <c r="H4441">
        <v>1</v>
      </c>
      <c r="I4441">
        <v>1</v>
      </c>
      <c r="J4441" s="4" t="s">
        <v>54</v>
      </c>
      <c r="K4441" t="str">
        <f t="shared" si="222"/>
        <v>2+1</v>
      </c>
      <c r="L4441">
        <f>VLOOKUP(A4441,'ZONE 1 PREMIUM'!$A$4:$N$16,14,0)</f>
        <v>5</v>
      </c>
      <c r="M4441">
        <f>VLOOKUP(D4441,DROPDOWN!B:C,2,0)</f>
        <v>13</v>
      </c>
      <c r="N4441" t="str">
        <f t="shared" si="223"/>
        <v>CO98:DG109</v>
      </c>
      <c r="O4441" s="4">
        <f t="shared" ca="1" si="221"/>
        <v>160141.71000000002</v>
      </c>
    </row>
    <row r="4442" spans="1:15">
      <c r="A4442" s="2" t="s">
        <v>15</v>
      </c>
      <c r="B4442" t="s">
        <v>33</v>
      </c>
      <c r="C4442" t="s">
        <v>34</v>
      </c>
      <c r="D4442">
        <v>60</v>
      </c>
      <c r="E4442" t="s">
        <v>46</v>
      </c>
      <c r="F4442">
        <v>3</v>
      </c>
      <c r="G4442">
        <v>2</v>
      </c>
      <c r="H4442">
        <v>1</v>
      </c>
      <c r="I4442">
        <v>1</v>
      </c>
      <c r="J4442" s="4" t="s">
        <v>54</v>
      </c>
      <c r="K4442" t="str">
        <f t="shared" si="222"/>
        <v>2+1</v>
      </c>
      <c r="L4442">
        <f>VLOOKUP(A4442,'ZONE 1 PREMIUM'!$A$4:$N$16,14,0)</f>
        <v>6</v>
      </c>
      <c r="M4442">
        <f>VLOOKUP(D4442,DROPDOWN!B:C,2,0)</f>
        <v>13</v>
      </c>
      <c r="N4442" t="str">
        <f t="shared" si="223"/>
        <v>CO98:DG109</v>
      </c>
      <c r="O4442" s="4">
        <f t="shared" ca="1" si="221"/>
        <v>198130.39</v>
      </c>
    </row>
    <row r="4443" spans="1:15">
      <c r="A4443" s="2" t="s">
        <v>16</v>
      </c>
      <c r="B4443" t="s">
        <v>35</v>
      </c>
      <c r="C4443" t="s">
        <v>36</v>
      </c>
      <c r="D4443">
        <v>60</v>
      </c>
      <c r="E4443" t="s">
        <v>46</v>
      </c>
      <c r="F4443">
        <v>3</v>
      </c>
      <c r="G4443">
        <v>2</v>
      </c>
      <c r="H4443">
        <v>1</v>
      </c>
      <c r="I4443">
        <v>1</v>
      </c>
      <c r="J4443" s="4" t="s">
        <v>54</v>
      </c>
      <c r="K4443" t="str">
        <f t="shared" si="222"/>
        <v>2+1</v>
      </c>
      <c r="L4443">
        <f>VLOOKUP(A4443,'ZONE 1 PREMIUM'!$A$4:$N$16,14,0)</f>
        <v>7</v>
      </c>
      <c r="M4443">
        <f>VLOOKUP(D4443,DROPDOWN!B:C,2,0)</f>
        <v>13</v>
      </c>
      <c r="N4443" t="str">
        <f t="shared" si="223"/>
        <v>CO98:DG109</v>
      </c>
      <c r="O4443" s="4">
        <f t="shared" ca="1" si="221"/>
        <v>267576.47000000003</v>
      </c>
    </row>
    <row r="4444" spans="1:15">
      <c r="A4444" s="2" t="s">
        <v>17</v>
      </c>
      <c r="B4444" t="s">
        <v>37</v>
      </c>
      <c r="C4444" t="s">
        <v>38</v>
      </c>
      <c r="D4444">
        <v>60</v>
      </c>
      <c r="E4444" t="s">
        <v>46</v>
      </c>
      <c r="F4444">
        <v>3</v>
      </c>
      <c r="G4444">
        <v>2</v>
      </c>
      <c r="H4444">
        <v>1</v>
      </c>
      <c r="I4444">
        <v>1</v>
      </c>
      <c r="J4444" s="4" t="s">
        <v>54</v>
      </c>
      <c r="K4444" t="str">
        <f t="shared" si="222"/>
        <v>2+1</v>
      </c>
      <c r="L4444">
        <f>VLOOKUP(A4444,'ZONE 1 PREMIUM'!$A$4:$N$16,14,0)</f>
        <v>8</v>
      </c>
      <c r="M4444">
        <f>VLOOKUP(D4444,DROPDOWN!B:C,2,0)</f>
        <v>13</v>
      </c>
      <c r="N4444" t="str">
        <f t="shared" si="223"/>
        <v>CO98:DG109</v>
      </c>
      <c r="O4444" s="4">
        <f t="shared" ca="1" si="221"/>
        <v>362107.81</v>
      </c>
    </row>
    <row r="4445" spans="1:15">
      <c r="A4445" s="2" t="s">
        <v>18</v>
      </c>
      <c r="B4445" t="s">
        <v>39</v>
      </c>
      <c r="C4445" t="s">
        <v>40</v>
      </c>
      <c r="D4445">
        <v>60</v>
      </c>
      <c r="E4445" t="s">
        <v>46</v>
      </c>
      <c r="F4445">
        <v>3</v>
      </c>
      <c r="G4445">
        <v>2</v>
      </c>
      <c r="H4445">
        <v>1</v>
      </c>
      <c r="I4445">
        <v>1</v>
      </c>
      <c r="J4445" s="4" t="s">
        <v>54</v>
      </c>
      <c r="K4445" t="str">
        <f t="shared" si="222"/>
        <v>2+1</v>
      </c>
      <c r="L4445">
        <f>VLOOKUP(A4445,'ZONE 1 PREMIUM'!$A$4:$N$16,14,0)</f>
        <v>9</v>
      </c>
      <c r="M4445">
        <f>VLOOKUP(D4445,DROPDOWN!B:C,2,0)</f>
        <v>13</v>
      </c>
      <c r="N4445" t="str">
        <f t="shared" si="223"/>
        <v>CO98:DG109</v>
      </c>
      <c r="O4445" s="4">
        <f t="shared" ca="1" si="221"/>
        <v>495711.29000000004</v>
      </c>
    </row>
    <row r="4446" spans="1:15">
      <c r="A4446" s="2" t="s">
        <v>19</v>
      </c>
      <c r="B4446" t="s">
        <v>41</v>
      </c>
      <c r="C4446" t="s">
        <v>42</v>
      </c>
      <c r="D4446">
        <v>60</v>
      </c>
      <c r="E4446" t="s">
        <v>46</v>
      </c>
      <c r="F4446">
        <v>3</v>
      </c>
      <c r="G4446">
        <v>2</v>
      </c>
      <c r="H4446">
        <v>1</v>
      </c>
      <c r="I4446">
        <v>1</v>
      </c>
      <c r="J4446" s="4" t="s">
        <v>54</v>
      </c>
      <c r="K4446" t="str">
        <f t="shared" si="222"/>
        <v>2+1</v>
      </c>
      <c r="L4446">
        <f>VLOOKUP(A4446,'ZONE 1 PREMIUM'!$A$4:$N$16,14,0)</f>
        <v>10</v>
      </c>
      <c r="M4446">
        <f>VLOOKUP(D4446,DROPDOWN!B:C,2,0)</f>
        <v>13</v>
      </c>
      <c r="N4446" t="str">
        <f t="shared" si="223"/>
        <v>CO98:DG109</v>
      </c>
      <c r="O4446" s="4">
        <f t="shared" ca="1" si="221"/>
        <v>658990.02</v>
      </c>
    </row>
    <row r="4447" spans="1:15">
      <c r="A4447" s="2" t="s">
        <v>20</v>
      </c>
      <c r="B4447" t="s">
        <v>43</v>
      </c>
      <c r="C4447" t="s">
        <v>44</v>
      </c>
      <c r="D4447">
        <v>60</v>
      </c>
      <c r="E4447" t="s">
        <v>46</v>
      </c>
      <c r="F4447">
        <v>3</v>
      </c>
      <c r="G4447">
        <v>2</v>
      </c>
      <c r="H4447">
        <v>1</v>
      </c>
      <c r="I4447">
        <v>1</v>
      </c>
      <c r="J4447" s="4" t="s">
        <v>54</v>
      </c>
      <c r="K4447" t="str">
        <f t="shared" si="222"/>
        <v>2+1</v>
      </c>
      <c r="L4447">
        <f>VLOOKUP(A4447,'ZONE 1 PREMIUM'!$A$4:$N$16,14,0)</f>
        <v>11</v>
      </c>
      <c r="M4447">
        <f>VLOOKUP(D4447,DROPDOWN!B:C,2,0)</f>
        <v>13</v>
      </c>
      <c r="N4447" t="str">
        <f t="shared" si="223"/>
        <v>CO98:DG109</v>
      </c>
      <c r="O4447" s="4">
        <f t="shared" ca="1" si="221"/>
        <v>794120.59000000008</v>
      </c>
    </row>
    <row r="4448" spans="1:15">
      <c r="A4448" s="2" t="s">
        <v>21</v>
      </c>
      <c r="B4448" t="s">
        <v>22</v>
      </c>
      <c r="D4448">
        <v>60</v>
      </c>
      <c r="E4448" t="s">
        <v>46</v>
      </c>
      <c r="F4448">
        <v>3</v>
      </c>
      <c r="G4448">
        <v>2</v>
      </c>
      <c r="H4448">
        <v>1</v>
      </c>
      <c r="I4448">
        <v>1</v>
      </c>
      <c r="J4448" s="4" t="s">
        <v>54</v>
      </c>
      <c r="K4448" t="str">
        <f t="shared" si="222"/>
        <v>2+1</v>
      </c>
      <c r="L4448">
        <f>VLOOKUP(A4448,'ZONE 1 PREMIUM'!$A$4:$N$16,14,0)</f>
        <v>12</v>
      </c>
      <c r="M4448">
        <f>VLOOKUP(D4448,DROPDOWN!B:C,2,0)</f>
        <v>13</v>
      </c>
      <c r="N4448" t="str">
        <f t="shared" si="223"/>
        <v>CO98:DG109</v>
      </c>
      <c r="O4448" s="4">
        <f t="shared" ca="1" si="221"/>
        <v>990621.43</v>
      </c>
    </row>
    <row r="4449" spans="1:15">
      <c r="A4449" s="2" t="s">
        <v>11</v>
      </c>
      <c r="B4449" t="s">
        <v>45</v>
      </c>
      <c r="C4449" t="s">
        <v>25</v>
      </c>
      <c r="D4449">
        <v>60</v>
      </c>
      <c r="E4449" t="s">
        <v>46</v>
      </c>
      <c r="F4449">
        <v>4</v>
      </c>
      <c r="G4449">
        <v>2</v>
      </c>
      <c r="H4449">
        <v>2</v>
      </c>
      <c r="I4449">
        <v>1</v>
      </c>
      <c r="J4449" s="4" t="s">
        <v>54</v>
      </c>
      <c r="K4449" t="str">
        <f t="shared" si="222"/>
        <v>2+2</v>
      </c>
      <c r="L4449">
        <f>VLOOKUP(A4449,'ZONE 1 PREMIUM'!$A$4:$N$16,14,0)</f>
        <v>2</v>
      </c>
      <c r="M4449">
        <f>VLOOKUP(D4449,DROPDOWN!B:C,2,0)</f>
        <v>13</v>
      </c>
      <c r="N4449" t="str">
        <f t="shared" si="223"/>
        <v>CO113:DG124</v>
      </c>
      <c r="O4449" s="4">
        <f t="shared" ca="1" si="221"/>
        <v>139090.54</v>
      </c>
    </row>
    <row r="4450" spans="1:15">
      <c r="A4450" s="2" t="s">
        <v>12</v>
      </c>
      <c r="B4450" t="s">
        <v>27</v>
      </c>
      <c r="C4450" t="s">
        <v>28</v>
      </c>
      <c r="D4450">
        <v>60</v>
      </c>
      <c r="E4450" t="s">
        <v>46</v>
      </c>
      <c r="F4450">
        <v>4</v>
      </c>
      <c r="G4450">
        <v>2</v>
      </c>
      <c r="H4450">
        <v>2</v>
      </c>
      <c r="I4450">
        <v>1</v>
      </c>
      <c r="J4450" s="4" t="s">
        <v>54</v>
      </c>
      <c r="K4450" t="str">
        <f t="shared" si="222"/>
        <v>2+2</v>
      </c>
      <c r="L4450">
        <f>VLOOKUP(A4450,'ZONE 1 PREMIUM'!$A$4:$N$16,14,0)</f>
        <v>3</v>
      </c>
      <c r="M4450">
        <f>VLOOKUP(D4450,DROPDOWN!B:C,2,0)</f>
        <v>13</v>
      </c>
      <c r="N4450" t="str">
        <f t="shared" si="223"/>
        <v>CO113:DG124</v>
      </c>
      <c r="O4450" s="4">
        <f t="shared" ca="1" si="221"/>
        <v>152441.95000000001</v>
      </c>
    </row>
    <row r="4451" spans="1:15">
      <c r="A4451" s="2" t="s">
        <v>13</v>
      </c>
      <c r="B4451" t="s">
        <v>29</v>
      </c>
      <c r="C4451" t="s">
        <v>30</v>
      </c>
      <c r="D4451">
        <v>60</v>
      </c>
      <c r="E4451" t="s">
        <v>46</v>
      </c>
      <c r="F4451">
        <v>4</v>
      </c>
      <c r="G4451">
        <v>2</v>
      </c>
      <c r="H4451">
        <v>2</v>
      </c>
      <c r="I4451">
        <v>1</v>
      </c>
      <c r="J4451" s="4" t="s">
        <v>54</v>
      </c>
      <c r="K4451" t="str">
        <f t="shared" si="222"/>
        <v>2+2</v>
      </c>
      <c r="L4451">
        <f>VLOOKUP(A4451,'ZONE 1 PREMIUM'!$A$4:$N$16,14,0)</f>
        <v>4</v>
      </c>
      <c r="M4451">
        <f>VLOOKUP(D4451,DROPDOWN!B:C,2,0)</f>
        <v>13</v>
      </c>
      <c r="N4451" t="str">
        <f t="shared" si="223"/>
        <v>CO113:DG124</v>
      </c>
      <c r="O4451" s="4">
        <f t="shared" ca="1" si="221"/>
        <v>164142.01</v>
      </c>
    </row>
    <row r="4452" spans="1:15">
      <c r="A4452" s="2" t="s">
        <v>14</v>
      </c>
      <c r="B4452" t="s">
        <v>31</v>
      </c>
      <c r="C4452" t="s">
        <v>32</v>
      </c>
      <c r="D4452">
        <v>60</v>
      </c>
      <c r="E4452" t="s">
        <v>46</v>
      </c>
      <c r="F4452">
        <v>4</v>
      </c>
      <c r="G4452">
        <v>2</v>
      </c>
      <c r="H4452">
        <v>2</v>
      </c>
      <c r="I4452">
        <v>1</v>
      </c>
      <c r="J4452" s="4" t="s">
        <v>54</v>
      </c>
      <c r="K4452" t="str">
        <f t="shared" si="222"/>
        <v>2+2</v>
      </c>
      <c r="L4452">
        <f>VLOOKUP(A4452,'ZONE 1 PREMIUM'!$A$4:$N$16,14,0)</f>
        <v>5</v>
      </c>
      <c r="M4452">
        <f>VLOOKUP(D4452,DROPDOWN!B:C,2,0)</f>
        <v>13</v>
      </c>
      <c r="N4452" t="str">
        <f t="shared" si="223"/>
        <v>CO113:DG124</v>
      </c>
      <c r="O4452" s="4">
        <f t="shared" ca="1" si="221"/>
        <v>181299.7</v>
      </c>
    </row>
    <row r="4453" spans="1:15">
      <c r="A4453" s="2" t="s">
        <v>15</v>
      </c>
      <c r="B4453" t="s">
        <v>33</v>
      </c>
      <c r="C4453" t="s">
        <v>34</v>
      </c>
      <c r="D4453">
        <v>60</v>
      </c>
      <c r="E4453" t="s">
        <v>46</v>
      </c>
      <c r="F4453">
        <v>4</v>
      </c>
      <c r="G4453">
        <v>2</v>
      </c>
      <c r="H4453">
        <v>2</v>
      </c>
      <c r="I4453">
        <v>1</v>
      </c>
      <c r="J4453" s="4" t="s">
        <v>54</v>
      </c>
      <c r="K4453" t="str">
        <f t="shared" si="222"/>
        <v>2+2</v>
      </c>
      <c r="L4453">
        <f>VLOOKUP(A4453,'ZONE 1 PREMIUM'!$A$4:$N$16,14,0)</f>
        <v>6</v>
      </c>
      <c r="M4453">
        <f>VLOOKUP(D4453,DROPDOWN!B:C,2,0)</f>
        <v>13</v>
      </c>
      <c r="N4453" t="str">
        <f t="shared" si="223"/>
        <v>CO113:DG124</v>
      </c>
      <c r="O4453" s="4">
        <f t="shared" ca="1" si="221"/>
        <v>221783.39</v>
      </c>
    </row>
    <row r="4454" spans="1:15">
      <c r="A4454" s="2" t="s">
        <v>16</v>
      </c>
      <c r="B4454" t="s">
        <v>35</v>
      </c>
      <c r="C4454" t="s">
        <v>36</v>
      </c>
      <c r="D4454">
        <v>60</v>
      </c>
      <c r="E4454" t="s">
        <v>46</v>
      </c>
      <c r="F4454">
        <v>4</v>
      </c>
      <c r="G4454">
        <v>2</v>
      </c>
      <c r="H4454">
        <v>2</v>
      </c>
      <c r="I4454">
        <v>1</v>
      </c>
      <c r="J4454" s="4" t="s">
        <v>54</v>
      </c>
      <c r="K4454" t="str">
        <f t="shared" si="222"/>
        <v>2+2</v>
      </c>
      <c r="L4454">
        <f>VLOOKUP(A4454,'ZONE 1 PREMIUM'!$A$4:$N$16,14,0)</f>
        <v>7</v>
      </c>
      <c r="M4454">
        <f>VLOOKUP(D4454,DROPDOWN!B:C,2,0)</f>
        <v>13</v>
      </c>
      <c r="N4454" t="str">
        <f t="shared" si="223"/>
        <v>CO113:DG124</v>
      </c>
      <c r="O4454" s="4">
        <f t="shared" ca="1" si="221"/>
        <v>296502.89</v>
      </c>
    </row>
    <row r="4455" spans="1:15">
      <c r="A4455" s="2" t="s">
        <v>17</v>
      </c>
      <c r="B4455" t="s">
        <v>37</v>
      </c>
      <c r="C4455" t="s">
        <v>38</v>
      </c>
      <c r="D4455">
        <v>60</v>
      </c>
      <c r="E4455" t="s">
        <v>46</v>
      </c>
      <c r="F4455">
        <v>4</v>
      </c>
      <c r="G4455">
        <v>2</v>
      </c>
      <c r="H4455">
        <v>2</v>
      </c>
      <c r="I4455">
        <v>1</v>
      </c>
      <c r="J4455" s="4" t="s">
        <v>54</v>
      </c>
      <c r="K4455" t="str">
        <f t="shared" si="222"/>
        <v>2+2</v>
      </c>
      <c r="L4455">
        <f>VLOOKUP(A4455,'ZONE 1 PREMIUM'!$A$4:$N$16,14,0)</f>
        <v>8</v>
      </c>
      <c r="M4455">
        <f>VLOOKUP(D4455,DROPDOWN!B:C,2,0)</f>
        <v>13</v>
      </c>
      <c r="N4455" t="str">
        <f t="shared" si="223"/>
        <v>CO113:DG124</v>
      </c>
      <c r="O4455" s="4">
        <f t="shared" ca="1" si="221"/>
        <v>388622.06000000006</v>
      </c>
    </row>
    <row r="4456" spans="1:15">
      <c r="A4456" s="2" t="s">
        <v>18</v>
      </c>
      <c r="B4456" t="s">
        <v>39</v>
      </c>
      <c r="C4456" t="s">
        <v>40</v>
      </c>
      <c r="D4456">
        <v>60</v>
      </c>
      <c r="E4456" t="s">
        <v>46</v>
      </c>
      <c r="F4456">
        <v>4</v>
      </c>
      <c r="G4456">
        <v>2</v>
      </c>
      <c r="H4456">
        <v>2</v>
      </c>
      <c r="I4456">
        <v>1</v>
      </c>
      <c r="J4456" s="4" t="s">
        <v>54</v>
      </c>
      <c r="K4456" t="str">
        <f t="shared" si="222"/>
        <v>2+2</v>
      </c>
      <c r="L4456">
        <f>VLOOKUP(A4456,'ZONE 1 PREMIUM'!$A$4:$N$16,14,0)</f>
        <v>9</v>
      </c>
      <c r="M4456">
        <f>VLOOKUP(D4456,DROPDOWN!B:C,2,0)</f>
        <v>13</v>
      </c>
      <c r="N4456" t="str">
        <f t="shared" si="223"/>
        <v>CO113:DG124</v>
      </c>
      <c r="O4456" s="4">
        <f t="shared" ca="1" si="221"/>
        <v>515937.33</v>
      </c>
    </row>
    <row r="4457" spans="1:15">
      <c r="A4457" s="2" t="s">
        <v>19</v>
      </c>
      <c r="B4457" t="s">
        <v>41</v>
      </c>
      <c r="C4457" t="s">
        <v>42</v>
      </c>
      <c r="D4457">
        <v>60</v>
      </c>
      <c r="E4457" t="s">
        <v>46</v>
      </c>
      <c r="F4457">
        <v>4</v>
      </c>
      <c r="G4457">
        <v>2</v>
      </c>
      <c r="H4457">
        <v>2</v>
      </c>
      <c r="I4457">
        <v>1</v>
      </c>
      <c r="J4457" s="4" t="s">
        <v>54</v>
      </c>
      <c r="K4457" t="str">
        <f t="shared" si="222"/>
        <v>2+2</v>
      </c>
      <c r="L4457">
        <f>VLOOKUP(A4457,'ZONE 1 PREMIUM'!$A$4:$N$16,14,0)</f>
        <v>10</v>
      </c>
      <c r="M4457">
        <f>VLOOKUP(D4457,DROPDOWN!B:C,2,0)</f>
        <v>13</v>
      </c>
      <c r="N4457" t="str">
        <f t="shared" si="223"/>
        <v>CO113:DG124</v>
      </c>
      <c r="O4457" s="4">
        <f t="shared" ca="1" si="221"/>
        <v>665210.65</v>
      </c>
    </row>
    <row r="4458" spans="1:15">
      <c r="A4458" s="2" t="s">
        <v>20</v>
      </c>
      <c r="B4458" t="s">
        <v>43</v>
      </c>
      <c r="C4458" t="s">
        <v>44</v>
      </c>
      <c r="D4458">
        <v>60</v>
      </c>
      <c r="E4458" t="s">
        <v>46</v>
      </c>
      <c r="F4458">
        <v>4</v>
      </c>
      <c r="G4458">
        <v>2</v>
      </c>
      <c r="H4458">
        <v>2</v>
      </c>
      <c r="I4458">
        <v>1</v>
      </c>
      <c r="J4458" s="4" t="s">
        <v>54</v>
      </c>
      <c r="K4458" t="str">
        <f t="shared" si="222"/>
        <v>2+2</v>
      </c>
      <c r="L4458">
        <f>VLOOKUP(A4458,'ZONE 1 PREMIUM'!$A$4:$N$16,14,0)</f>
        <v>11</v>
      </c>
      <c r="M4458">
        <f>VLOOKUP(D4458,DROPDOWN!B:C,2,0)</f>
        <v>13</v>
      </c>
      <c r="N4458" t="str">
        <f t="shared" si="223"/>
        <v>CO113:DG124</v>
      </c>
      <c r="O4458" s="4">
        <f t="shared" ca="1" si="221"/>
        <v>801855.2300000001</v>
      </c>
    </row>
    <row r="4459" spans="1:15">
      <c r="A4459" s="2" t="s">
        <v>21</v>
      </c>
      <c r="B4459" t="s">
        <v>22</v>
      </c>
      <c r="D4459">
        <v>60</v>
      </c>
      <c r="E4459" t="s">
        <v>46</v>
      </c>
      <c r="F4459">
        <v>4</v>
      </c>
      <c r="G4459">
        <v>2</v>
      </c>
      <c r="H4459">
        <v>2</v>
      </c>
      <c r="I4459">
        <v>1</v>
      </c>
      <c r="J4459" s="4" t="s">
        <v>54</v>
      </c>
      <c r="K4459" t="str">
        <f t="shared" si="222"/>
        <v>2+2</v>
      </c>
      <c r="L4459">
        <f>VLOOKUP(A4459,'ZONE 1 PREMIUM'!$A$4:$N$16,14,0)</f>
        <v>12</v>
      </c>
      <c r="M4459">
        <f>VLOOKUP(D4459,DROPDOWN!B:C,2,0)</f>
        <v>13</v>
      </c>
      <c r="N4459" t="str">
        <f t="shared" si="223"/>
        <v>CO113:DG124</v>
      </c>
      <c r="O4459" s="4">
        <f t="shared" ca="1" si="221"/>
        <v>999431.9</v>
      </c>
    </row>
    <row r="4460" spans="1:15">
      <c r="A4460" s="2" t="s">
        <v>11</v>
      </c>
      <c r="B4460" t="s">
        <v>45</v>
      </c>
      <c r="C4460" t="s">
        <v>25</v>
      </c>
      <c r="D4460">
        <v>60</v>
      </c>
      <c r="E4460" t="s">
        <v>46</v>
      </c>
      <c r="F4460">
        <v>5</v>
      </c>
      <c r="G4460">
        <v>2</v>
      </c>
      <c r="H4460">
        <v>3</v>
      </c>
      <c r="I4460">
        <v>1</v>
      </c>
      <c r="J4460" s="4" t="s">
        <v>54</v>
      </c>
      <c r="K4460" t="str">
        <f t="shared" si="222"/>
        <v>2+3</v>
      </c>
      <c r="L4460">
        <f>VLOOKUP(A4460,'ZONE 1 PREMIUM'!$A$4:$N$16,14,0)</f>
        <v>2</v>
      </c>
      <c r="M4460">
        <f>VLOOKUP(D4460,DROPDOWN!B:C,2,0)</f>
        <v>13</v>
      </c>
      <c r="N4460" t="str">
        <f t="shared" si="223"/>
        <v>CO128:DG139</v>
      </c>
      <c r="O4460" s="4">
        <f t="shared" ca="1" si="221"/>
        <v>156423.72</v>
      </c>
    </row>
    <row r="4461" spans="1:15">
      <c r="A4461" s="2" t="s">
        <v>12</v>
      </c>
      <c r="B4461" t="s">
        <v>27</v>
      </c>
      <c r="C4461" t="s">
        <v>28</v>
      </c>
      <c r="D4461">
        <v>60</v>
      </c>
      <c r="E4461" t="s">
        <v>46</v>
      </c>
      <c r="F4461">
        <v>5</v>
      </c>
      <c r="G4461">
        <v>2</v>
      </c>
      <c r="H4461">
        <v>3</v>
      </c>
      <c r="I4461">
        <v>1</v>
      </c>
      <c r="J4461" s="4" t="s">
        <v>54</v>
      </c>
      <c r="K4461" t="str">
        <f t="shared" si="222"/>
        <v>2+3</v>
      </c>
      <c r="L4461">
        <f>VLOOKUP(A4461,'ZONE 1 PREMIUM'!$A$4:$N$16,14,0)</f>
        <v>3</v>
      </c>
      <c r="M4461">
        <f>VLOOKUP(D4461,DROPDOWN!B:C,2,0)</f>
        <v>13</v>
      </c>
      <c r="N4461" t="str">
        <f t="shared" si="223"/>
        <v>CO128:DG139</v>
      </c>
      <c r="O4461" s="4">
        <f t="shared" ca="1" si="221"/>
        <v>169524.43000000002</v>
      </c>
    </row>
    <row r="4462" spans="1:15">
      <c r="A4462" s="2" t="s">
        <v>13</v>
      </c>
      <c r="B4462" t="s">
        <v>29</v>
      </c>
      <c r="C4462" t="s">
        <v>30</v>
      </c>
      <c r="D4462">
        <v>60</v>
      </c>
      <c r="E4462" t="s">
        <v>46</v>
      </c>
      <c r="F4462">
        <v>5</v>
      </c>
      <c r="G4462">
        <v>2</v>
      </c>
      <c r="H4462">
        <v>3</v>
      </c>
      <c r="I4462">
        <v>1</v>
      </c>
      <c r="J4462" s="4" t="s">
        <v>54</v>
      </c>
      <c r="K4462" t="str">
        <f t="shared" si="222"/>
        <v>2+3</v>
      </c>
      <c r="L4462">
        <f>VLOOKUP(A4462,'ZONE 1 PREMIUM'!$A$4:$N$16,14,0)</f>
        <v>4</v>
      </c>
      <c r="M4462">
        <f>VLOOKUP(D4462,DROPDOWN!B:C,2,0)</f>
        <v>13</v>
      </c>
      <c r="N4462" t="str">
        <f t="shared" si="223"/>
        <v>CO128:DG139</v>
      </c>
      <c r="O4462" s="4">
        <f t="shared" ca="1" si="221"/>
        <v>183914.61000000002</v>
      </c>
    </row>
    <row r="4463" spans="1:15">
      <c r="A4463" s="2" t="s">
        <v>14</v>
      </c>
      <c r="B4463" t="s">
        <v>31</v>
      </c>
      <c r="C4463" t="s">
        <v>32</v>
      </c>
      <c r="D4463">
        <v>60</v>
      </c>
      <c r="E4463" t="s">
        <v>46</v>
      </c>
      <c r="F4463">
        <v>5</v>
      </c>
      <c r="G4463">
        <v>2</v>
      </c>
      <c r="H4463">
        <v>3</v>
      </c>
      <c r="I4463">
        <v>1</v>
      </c>
      <c r="J4463" s="4" t="s">
        <v>54</v>
      </c>
      <c r="K4463" t="str">
        <f t="shared" si="222"/>
        <v>2+3</v>
      </c>
      <c r="L4463">
        <f>VLOOKUP(A4463,'ZONE 1 PREMIUM'!$A$4:$N$16,14,0)</f>
        <v>5</v>
      </c>
      <c r="M4463">
        <f>VLOOKUP(D4463,DROPDOWN!B:C,2,0)</f>
        <v>13</v>
      </c>
      <c r="N4463" t="str">
        <f t="shared" si="223"/>
        <v>CO128:DG139</v>
      </c>
      <c r="O4463" s="4">
        <f t="shared" ca="1" si="221"/>
        <v>202457.69</v>
      </c>
    </row>
    <row r="4464" spans="1:15">
      <c r="A4464" s="2" t="s">
        <v>15</v>
      </c>
      <c r="B4464" t="s">
        <v>33</v>
      </c>
      <c r="C4464" t="s">
        <v>34</v>
      </c>
      <c r="D4464">
        <v>60</v>
      </c>
      <c r="E4464" t="s">
        <v>46</v>
      </c>
      <c r="F4464">
        <v>5</v>
      </c>
      <c r="G4464">
        <v>2</v>
      </c>
      <c r="H4464">
        <v>3</v>
      </c>
      <c r="I4464">
        <v>1</v>
      </c>
      <c r="J4464" s="4" t="s">
        <v>54</v>
      </c>
      <c r="K4464" t="str">
        <f t="shared" si="222"/>
        <v>2+3</v>
      </c>
      <c r="L4464">
        <f>VLOOKUP(A4464,'ZONE 1 PREMIUM'!$A$4:$N$16,14,0)</f>
        <v>6</v>
      </c>
      <c r="M4464">
        <f>VLOOKUP(D4464,DROPDOWN!B:C,2,0)</f>
        <v>13</v>
      </c>
      <c r="N4464" t="str">
        <f t="shared" si="223"/>
        <v>CO128:DG139</v>
      </c>
      <c r="O4464" s="4">
        <f t="shared" ca="1" si="221"/>
        <v>245437.48</v>
      </c>
    </row>
    <row r="4465" spans="1:15">
      <c r="A4465" s="2" t="s">
        <v>16</v>
      </c>
      <c r="B4465" t="s">
        <v>35</v>
      </c>
      <c r="C4465" t="s">
        <v>36</v>
      </c>
      <c r="D4465">
        <v>60</v>
      </c>
      <c r="E4465" t="s">
        <v>46</v>
      </c>
      <c r="F4465">
        <v>5</v>
      </c>
      <c r="G4465">
        <v>2</v>
      </c>
      <c r="H4465">
        <v>3</v>
      </c>
      <c r="I4465">
        <v>1</v>
      </c>
      <c r="J4465" s="4" t="s">
        <v>54</v>
      </c>
      <c r="K4465" t="str">
        <f t="shared" si="222"/>
        <v>2+3</v>
      </c>
      <c r="L4465">
        <f>VLOOKUP(A4465,'ZONE 1 PREMIUM'!$A$4:$N$16,14,0)</f>
        <v>7</v>
      </c>
      <c r="M4465">
        <f>VLOOKUP(D4465,DROPDOWN!B:C,2,0)</f>
        <v>13</v>
      </c>
      <c r="N4465" t="str">
        <f t="shared" si="223"/>
        <v>CO128:DG139</v>
      </c>
      <c r="O4465" s="4">
        <f t="shared" ca="1" si="221"/>
        <v>319571.65000000002</v>
      </c>
    </row>
    <row r="4466" spans="1:15">
      <c r="A4466" s="2" t="s">
        <v>17</v>
      </c>
      <c r="B4466" t="s">
        <v>37</v>
      </c>
      <c r="C4466" t="s">
        <v>38</v>
      </c>
      <c r="D4466">
        <v>60</v>
      </c>
      <c r="E4466" t="s">
        <v>46</v>
      </c>
      <c r="F4466">
        <v>5</v>
      </c>
      <c r="G4466">
        <v>2</v>
      </c>
      <c r="H4466">
        <v>3</v>
      </c>
      <c r="I4466">
        <v>1</v>
      </c>
      <c r="J4466" s="4" t="s">
        <v>54</v>
      </c>
      <c r="K4466" t="str">
        <f t="shared" si="222"/>
        <v>2+3</v>
      </c>
      <c r="L4466">
        <f>VLOOKUP(A4466,'ZONE 1 PREMIUM'!$A$4:$N$16,14,0)</f>
        <v>8</v>
      </c>
      <c r="M4466">
        <f>VLOOKUP(D4466,DROPDOWN!B:C,2,0)</f>
        <v>13</v>
      </c>
      <c r="N4466" t="str">
        <f t="shared" si="223"/>
        <v>CO128:DG139</v>
      </c>
      <c r="O4466" s="4">
        <f t="shared" ca="1" si="221"/>
        <v>408908.05000000005</v>
      </c>
    </row>
    <row r="4467" spans="1:15">
      <c r="A4467" s="2" t="s">
        <v>18</v>
      </c>
      <c r="B4467" t="s">
        <v>39</v>
      </c>
      <c r="C4467" t="s">
        <v>40</v>
      </c>
      <c r="D4467">
        <v>60</v>
      </c>
      <c r="E4467" t="s">
        <v>46</v>
      </c>
      <c r="F4467">
        <v>5</v>
      </c>
      <c r="G4467">
        <v>2</v>
      </c>
      <c r="H4467">
        <v>3</v>
      </c>
      <c r="I4467">
        <v>1</v>
      </c>
      <c r="J4467" s="4" t="s">
        <v>54</v>
      </c>
      <c r="K4467" t="str">
        <f t="shared" si="222"/>
        <v>2+3</v>
      </c>
      <c r="L4467">
        <f>VLOOKUP(A4467,'ZONE 1 PREMIUM'!$A$4:$N$16,14,0)</f>
        <v>9</v>
      </c>
      <c r="M4467">
        <f>VLOOKUP(D4467,DROPDOWN!B:C,2,0)</f>
        <v>13</v>
      </c>
      <c r="N4467" t="str">
        <f t="shared" si="223"/>
        <v>CO128:DG139</v>
      </c>
      <c r="O4467" s="4">
        <f t="shared" ca="1" si="221"/>
        <v>535923.57000000007</v>
      </c>
    </row>
    <row r="4468" spans="1:15">
      <c r="A4468" s="2" t="s">
        <v>19</v>
      </c>
      <c r="B4468" t="s">
        <v>41</v>
      </c>
      <c r="C4468" t="s">
        <v>42</v>
      </c>
      <c r="D4468">
        <v>60</v>
      </c>
      <c r="E4468" t="s">
        <v>46</v>
      </c>
      <c r="F4468">
        <v>5</v>
      </c>
      <c r="G4468">
        <v>2</v>
      </c>
      <c r="H4468">
        <v>3</v>
      </c>
      <c r="I4468">
        <v>1</v>
      </c>
      <c r="J4468" s="4" t="s">
        <v>54</v>
      </c>
      <c r="K4468" t="str">
        <f t="shared" si="222"/>
        <v>2+3</v>
      </c>
      <c r="L4468">
        <f>VLOOKUP(A4468,'ZONE 1 PREMIUM'!$A$4:$N$16,14,0)</f>
        <v>10</v>
      </c>
      <c r="M4468">
        <f>VLOOKUP(D4468,DROPDOWN!B:C,2,0)</f>
        <v>13</v>
      </c>
      <c r="N4468" t="str">
        <f t="shared" si="223"/>
        <v>CO128:DG139</v>
      </c>
      <c r="O4468" s="4">
        <f t="shared" ca="1" si="221"/>
        <v>683771.17</v>
      </c>
    </row>
    <row r="4469" spans="1:15">
      <c r="A4469" s="2" t="s">
        <v>20</v>
      </c>
      <c r="B4469" t="s">
        <v>43</v>
      </c>
      <c r="C4469" t="s">
        <v>44</v>
      </c>
      <c r="D4469">
        <v>60</v>
      </c>
      <c r="E4469" t="s">
        <v>46</v>
      </c>
      <c r="F4469">
        <v>5</v>
      </c>
      <c r="G4469">
        <v>2</v>
      </c>
      <c r="H4469">
        <v>3</v>
      </c>
      <c r="I4469">
        <v>1</v>
      </c>
      <c r="J4469" s="4" t="s">
        <v>54</v>
      </c>
      <c r="K4469" t="str">
        <f t="shared" si="222"/>
        <v>2+3</v>
      </c>
      <c r="L4469">
        <f>VLOOKUP(A4469,'ZONE 1 PREMIUM'!$A$4:$N$16,14,0)</f>
        <v>11</v>
      </c>
      <c r="M4469">
        <f>VLOOKUP(D4469,DROPDOWN!B:C,2,0)</f>
        <v>13</v>
      </c>
      <c r="N4469" t="str">
        <f t="shared" si="223"/>
        <v>CO128:DG139</v>
      </c>
      <c r="O4469" s="4">
        <f t="shared" ca="1" si="221"/>
        <v>823025.21000000008</v>
      </c>
    </row>
    <row r="4470" spans="1:15">
      <c r="A4470" s="2" t="s">
        <v>21</v>
      </c>
      <c r="B4470" t="s">
        <v>22</v>
      </c>
      <c r="D4470">
        <v>60</v>
      </c>
      <c r="E4470" t="s">
        <v>46</v>
      </c>
      <c r="F4470">
        <v>5</v>
      </c>
      <c r="G4470">
        <v>2</v>
      </c>
      <c r="H4470">
        <v>3</v>
      </c>
      <c r="I4470">
        <v>1</v>
      </c>
      <c r="J4470" s="4" t="s">
        <v>54</v>
      </c>
      <c r="K4470" t="str">
        <f t="shared" si="222"/>
        <v>2+3</v>
      </c>
      <c r="L4470">
        <f>VLOOKUP(A4470,'ZONE 1 PREMIUM'!$A$4:$N$16,14,0)</f>
        <v>12</v>
      </c>
      <c r="M4470">
        <f>VLOOKUP(D4470,DROPDOWN!B:C,2,0)</f>
        <v>13</v>
      </c>
      <c r="N4470" t="str">
        <f t="shared" si="223"/>
        <v>CO128:DG139</v>
      </c>
      <c r="O4470" s="4">
        <f t="shared" ca="1" si="221"/>
        <v>1022320.81</v>
      </c>
    </row>
    <row r="4471" spans="1:15">
      <c r="A4471" s="2" t="s">
        <v>11</v>
      </c>
      <c r="B4471" t="s">
        <v>45</v>
      </c>
      <c r="C4471" t="s">
        <v>25</v>
      </c>
      <c r="D4471">
        <v>60</v>
      </c>
      <c r="E4471" t="s">
        <v>46</v>
      </c>
      <c r="F4471">
        <v>6</v>
      </c>
      <c r="G4471">
        <v>2</v>
      </c>
      <c r="H4471">
        <v>4</v>
      </c>
      <c r="I4471">
        <v>1</v>
      </c>
      <c r="J4471" s="4" t="s">
        <v>54</v>
      </c>
      <c r="K4471" t="str">
        <f t="shared" si="222"/>
        <v>2+4</v>
      </c>
      <c r="L4471">
        <f>VLOOKUP(A4471,'ZONE 1 PREMIUM'!$A$4:$N$16,14,0)</f>
        <v>2</v>
      </c>
      <c r="M4471">
        <f>VLOOKUP(D4471,DROPDOWN!B:C,2,0)</f>
        <v>13</v>
      </c>
      <c r="N4471" t="str">
        <f t="shared" si="223"/>
        <v>CO143:DG154</v>
      </c>
      <c r="O4471" s="4">
        <f t="shared" ca="1" si="221"/>
        <v>173755.81000000003</v>
      </c>
    </row>
    <row r="4472" spans="1:15">
      <c r="A4472" s="2" t="s">
        <v>12</v>
      </c>
      <c r="B4472" t="s">
        <v>27</v>
      </c>
      <c r="C4472" t="s">
        <v>28</v>
      </c>
      <c r="D4472">
        <v>60</v>
      </c>
      <c r="E4472" t="s">
        <v>46</v>
      </c>
      <c r="F4472">
        <v>6</v>
      </c>
      <c r="G4472">
        <v>2</v>
      </c>
      <c r="H4472">
        <v>4</v>
      </c>
      <c r="I4472">
        <v>1</v>
      </c>
      <c r="J4472" s="4" t="s">
        <v>54</v>
      </c>
      <c r="K4472" t="str">
        <f t="shared" si="222"/>
        <v>2+4</v>
      </c>
      <c r="L4472">
        <f>VLOOKUP(A4472,'ZONE 1 PREMIUM'!$A$4:$N$16,14,0)</f>
        <v>3</v>
      </c>
      <c r="M4472">
        <f>VLOOKUP(D4472,DROPDOWN!B:C,2,0)</f>
        <v>13</v>
      </c>
      <c r="N4472" t="str">
        <f t="shared" si="223"/>
        <v>CO143:DG154</v>
      </c>
      <c r="O4472" s="4">
        <f t="shared" ca="1" si="221"/>
        <v>186606.91</v>
      </c>
    </row>
    <row r="4473" spans="1:15">
      <c r="A4473" s="2" t="s">
        <v>13</v>
      </c>
      <c r="B4473" t="s">
        <v>29</v>
      </c>
      <c r="C4473" t="s">
        <v>30</v>
      </c>
      <c r="D4473">
        <v>60</v>
      </c>
      <c r="E4473" t="s">
        <v>46</v>
      </c>
      <c r="F4473">
        <v>6</v>
      </c>
      <c r="G4473">
        <v>2</v>
      </c>
      <c r="H4473">
        <v>4</v>
      </c>
      <c r="I4473">
        <v>1</v>
      </c>
      <c r="J4473" s="4" t="s">
        <v>54</v>
      </c>
      <c r="K4473" t="str">
        <f t="shared" si="222"/>
        <v>2+4</v>
      </c>
      <c r="L4473">
        <f>VLOOKUP(A4473,'ZONE 1 PREMIUM'!$A$4:$N$16,14,0)</f>
        <v>4</v>
      </c>
      <c r="M4473">
        <f>VLOOKUP(D4473,DROPDOWN!B:C,2,0)</f>
        <v>13</v>
      </c>
      <c r="N4473" t="str">
        <f t="shared" si="223"/>
        <v>CO143:DG154</v>
      </c>
      <c r="O4473" s="4">
        <f t="shared" ca="1" si="221"/>
        <v>203687.21000000002</v>
      </c>
    </row>
    <row r="4474" spans="1:15">
      <c r="A4474" s="2" t="s">
        <v>14</v>
      </c>
      <c r="B4474" t="s">
        <v>31</v>
      </c>
      <c r="C4474" t="s">
        <v>32</v>
      </c>
      <c r="D4474">
        <v>60</v>
      </c>
      <c r="E4474" t="s">
        <v>46</v>
      </c>
      <c r="F4474">
        <v>6</v>
      </c>
      <c r="G4474">
        <v>2</v>
      </c>
      <c r="H4474">
        <v>4</v>
      </c>
      <c r="I4474">
        <v>1</v>
      </c>
      <c r="J4474" s="4" t="s">
        <v>54</v>
      </c>
      <c r="K4474" t="str">
        <f t="shared" si="222"/>
        <v>2+4</v>
      </c>
      <c r="L4474">
        <f>VLOOKUP(A4474,'ZONE 1 PREMIUM'!$A$4:$N$16,14,0)</f>
        <v>5</v>
      </c>
      <c r="M4474">
        <f>VLOOKUP(D4474,DROPDOWN!B:C,2,0)</f>
        <v>13</v>
      </c>
      <c r="N4474" t="str">
        <f t="shared" si="223"/>
        <v>CO143:DG154</v>
      </c>
      <c r="O4474" s="4">
        <f t="shared" ca="1" si="221"/>
        <v>223614.59000000003</v>
      </c>
    </row>
    <row r="4475" spans="1:15">
      <c r="A4475" s="2" t="s">
        <v>15</v>
      </c>
      <c r="B4475" t="s">
        <v>33</v>
      </c>
      <c r="C4475" t="s">
        <v>34</v>
      </c>
      <c r="D4475">
        <v>60</v>
      </c>
      <c r="E4475" t="s">
        <v>46</v>
      </c>
      <c r="F4475">
        <v>6</v>
      </c>
      <c r="G4475">
        <v>2</v>
      </c>
      <c r="H4475">
        <v>4</v>
      </c>
      <c r="I4475">
        <v>1</v>
      </c>
      <c r="J4475" s="4" t="s">
        <v>54</v>
      </c>
      <c r="K4475" t="str">
        <f t="shared" si="222"/>
        <v>2+4</v>
      </c>
      <c r="L4475">
        <f>VLOOKUP(A4475,'ZONE 1 PREMIUM'!$A$4:$N$16,14,0)</f>
        <v>6</v>
      </c>
      <c r="M4475">
        <f>VLOOKUP(D4475,DROPDOWN!B:C,2,0)</f>
        <v>13</v>
      </c>
      <c r="N4475" t="str">
        <f t="shared" si="223"/>
        <v>CO143:DG154</v>
      </c>
      <c r="O4475" s="4">
        <f t="shared" ca="1" si="221"/>
        <v>269091.57</v>
      </c>
    </row>
    <row r="4476" spans="1:15">
      <c r="A4476" s="2" t="s">
        <v>16</v>
      </c>
      <c r="B4476" t="s">
        <v>35</v>
      </c>
      <c r="C4476" t="s">
        <v>36</v>
      </c>
      <c r="D4476">
        <v>60</v>
      </c>
      <c r="E4476" t="s">
        <v>46</v>
      </c>
      <c r="F4476">
        <v>6</v>
      </c>
      <c r="G4476">
        <v>2</v>
      </c>
      <c r="H4476">
        <v>4</v>
      </c>
      <c r="I4476">
        <v>1</v>
      </c>
      <c r="J4476" s="4" t="s">
        <v>54</v>
      </c>
      <c r="K4476" t="str">
        <f t="shared" si="222"/>
        <v>2+4</v>
      </c>
      <c r="L4476">
        <f>VLOOKUP(A4476,'ZONE 1 PREMIUM'!$A$4:$N$16,14,0)</f>
        <v>7</v>
      </c>
      <c r="M4476">
        <f>VLOOKUP(D4476,DROPDOWN!B:C,2,0)</f>
        <v>13</v>
      </c>
      <c r="N4476" t="str">
        <f t="shared" si="223"/>
        <v>CO143:DG154</v>
      </c>
      <c r="O4476" s="4">
        <f t="shared" ca="1" si="221"/>
        <v>340181.37000000005</v>
      </c>
    </row>
    <row r="4477" spans="1:15">
      <c r="A4477" s="2" t="s">
        <v>17</v>
      </c>
      <c r="B4477" t="s">
        <v>37</v>
      </c>
      <c r="C4477" t="s">
        <v>38</v>
      </c>
      <c r="D4477">
        <v>60</v>
      </c>
      <c r="E4477" t="s">
        <v>46</v>
      </c>
      <c r="F4477">
        <v>6</v>
      </c>
      <c r="G4477">
        <v>2</v>
      </c>
      <c r="H4477">
        <v>4</v>
      </c>
      <c r="I4477">
        <v>1</v>
      </c>
      <c r="J4477" s="4" t="s">
        <v>54</v>
      </c>
      <c r="K4477" t="str">
        <f t="shared" si="222"/>
        <v>2+4</v>
      </c>
      <c r="L4477">
        <f>VLOOKUP(A4477,'ZONE 1 PREMIUM'!$A$4:$N$16,14,0)</f>
        <v>8</v>
      </c>
      <c r="M4477">
        <f>VLOOKUP(D4477,DROPDOWN!B:C,2,0)</f>
        <v>13</v>
      </c>
      <c r="N4477" t="str">
        <f t="shared" si="223"/>
        <v>CO143:DG154</v>
      </c>
      <c r="O4477" s="4">
        <f t="shared" ca="1" si="221"/>
        <v>429038.17000000004</v>
      </c>
    </row>
    <row r="4478" spans="1:15">
      <c r="A4478" s="2" t="s">
        <v>18</v>
      </c>
      <c r="B4478" t="s">
        <v>39</v>
      </c>
      <c r="C4478" t="s">
        <v>40</v>
      </c>
      <c r="D4478">
        <v>60</v>
      </c>
      <c r="E4478" t="s">
        <v>46</v>
      </c>
      <c r="F4478">
        <v>6</v>
      </c>
      <c r="G4478">
        <v>2</v>
      </c>
      <c r="H4478">
        <v>4</v>
      </c>
      <c r="I4478">
        <v>1</v>
      </c>
      <c r="J4478" s="4" t="s">
        <v>54</v>
      </c>
      <c r="K4478" t="str">
        <f t="shared" si="222"/>
        <v>2+4</v>
      </c>
      <c r="L4478">
        <f>VLOOKUP(A4478,'ZONE 1 PREMIUM'!$A$4:$N$16,14,0)</f>
        <v>9</v>
      </c>
      <c r="M4478">
        <f>VLOOKUP(D4478,DROPDOWN!B:C,2,0)</f>
        <v>13</v>
      </c>
      <c r="N4478" t="str">
        <f t="shared" si="223"/>
        <v>CO143:DG154</v>
      </c>
      <c r="O4478" s="4">
        <f t="shared" ca="1" si="221"/>
        <v>554973.5</v>
      </c>
    </row>
    <row r="4479" spans="1:15">
      <c r="A4479" s="2" t="s">
        <v>19</v>
      </c>
      <c r="B4479" t="s">
        <v>41</v>
      </c>
      <c r="C4479" t="s">
        <v>42</v>
      </c>
      <c r="D4479">
        <v>60</v>
      </c>
      <c r="E4479" t="s">
        <v>46</v>
      </c>
      <c r="F4479">
        <v>6</v>
      </c>
      <c r="G4479">
        <v>2</v>
      </c>
      <c r="H4479">
        <v>4</v>
      </c>
      <c r="I4479">
        <v>1</v>
      </c>
      <c r="J4479" s="4" t="s">
        <v>54</v>
      </c>
      <c r="K4479" t="str">
        <f t="shared" si="222"/>
        <v>2+4</v>
      </c>
      <c r="L4479">
        <f>VLOOKUP(A4479,'ZONE 1 PREMIUM'!$A$4:$N$16,14,0)</f>
        <v>10</v>
      </c>
      <c r="M4479">
        <f>VLOOKUP(D4479,DROPDOWN!B:C,2,0)</f>
        <v>13</v>
      </c>
      <c r="N4479" t="str">
        <f t="shared" si="223"/>
        <v>CO143:DG154</v>
      </c>
      <c r="O4479" s="4">
        <f t="shared" ca="1" si="221"/>
        <v>705037.07000000007</v>
      </c>
    </row>
    <row r="4480" spans="1:15">
      <c r="A4480" s="2" t="s">
        <v>20</v>
      </c>
      <c r="B4480" t="s">
        <v>43</v>
      </c>
      <c r="C4480" t="s">
        <v>44</v>
      </c>
      <c r="D4480">
        <v>60</v>
      </c>
      <c r="E4480" t="s">
        <v>46</v>
      </c>
      <c r="F4480">
        <v>6</v>
      </c>
      <c r="G4480">
        <v>2</v>
      </c>
      <c r="H4480">
        <v>4</v>
      </c>
      <c r="I4480">
        <v>1</v>
      </c>
      <c r="J4480" s="4" t="s">
        <v>54</v>
      </c>
      <c r="K4480" t="str">
        <f t="shared" si="222"/>
        <v>2+4</v>
      </c>
      <c r="L4480">
        <f>VLOOKUP(A4480,'ZONE 1 PREMIUM'!$A$4:$N$16,14,0)</f>
        <v>11</v>
      </c>
      <c r="M4480">
        <f>VLOOKUP(D4480,DROPDOWN!B:C,2,0)</f>
        <v>13</v>
      </c>
      <c r="N4480" t="str">
        <f t="shared" si="223"/>
        <v>CO143:DG154</v>
      </c>
      <c r="O4480" s="4">
        <f t="shared" ca="1" si="221"/>
        <v>842420.67</v>
      </c>
    </row>
    <row r="4481" spans="1:15">
      <c r="A4481" s="2" t="s">
        <v>21</v>
      </c>
      <c r="B4481" t="s">
        <v>22</v>
      </c>
      <c r="D4481">
        <v>60</v>
      </c>
      <c r="E4481" t="s">
        <v>46</v>
      </c>
      <c r="F4481">
        <v>6</v>
      </c>
      <c r="G4481">
        <v>2</v>
      </c>
      <c r="H4481">
        <v>4</v>
      </c>
      <c r="I4481">
        <v>1</v>
      </c>
      <c r="J4481" s="4" t="s">
        <v>54</v>
      </c>
      <c r="K4481" t="str">
        <f t="shared" si="222"/>
        <v>2+4</v>
      </c>
      <c r="L4481">
        <f>VLOOKUP(A4481,'ZONE 1 PREMIUM'!$A$4:$N$16,14,0)</f>
        <v>12</v>
      </c>
      <c r="M4481">
        <f>VLOOKUP(D4481,DROPDOWN!B:C,2,0)</f>
        <v>13</v>
      </c>
      <c r="N4481" t="str">
        <f t="shared" si="223"/>
        <v>CO143:DG154</v>
      </c>
      <c r="O4481" s="4">
        <f t="shared" ca="1" si="221"/>
        <v>1037898.0000000001</v>
      </c>
    </row>
    <row r="4482" spans="1:15">
      <c r="A4482" s="2" t="s">
        <v>9</v>
      </c>
      <c r="B4482" t="s">
        <v>47</v>
      </c>
      <c r="C4482" t="s">
        <v>48</v>
      </c>
      <c r="D4482">
        <v>75</v>
      </c>
      <c r="E4482" t="s">
        <v>26</v>
      </c>
      <c r="F4482">
        <v>1</v>
      </c>
      <c r="H4482">
        <v>1</v>
      </c>
      <c r="I4482">
        <v>1</v>
      </c>
      <c r="J4482" s="4" t="s">
        <v>52</v>
      </c>
      <c r="K4482" t="str">
        <f t="shared" si="222"/>
        <v>+1</v>
      </c>
      <c r="L4482">
        <f>VLOOKUP(A4482,'ZONE 1 PREMIUM'!$A$3:$M$16,13,0)</f>
        <v>2</v>
      </c>
      <c r="M4482">
        <f>VLOOKUP(D4482,DROPDOWN!B:C,2,0)</f>
        <v>14</v>
      </c>
      <c r="N4482" t="e">
        <f t="shared" ref="N4482:N4545" si="224">VLOOKUP(K4482,$AQ$3:$AR$12,2,0)</f>
        <v>#N/A</v>
      </c>
      <c r="O4482" s="13">
        <v>17689.077688884896</v>
      </c>
    </row>
    <row r="4483" spans="1:15">
      <c r="A4483" s="2" t="s">
        <v>10</v>
      </c>
      <c r="B4483" t="s">
        <v>49</v>
      </c>
      <c r="C4483" t="s">
        <v>50</v>
      </c>
      <c r="D4483">
        <v>75</v>
      </c>
      <c r="E4483" t="s">
        <v>26</v>
      </c>
      <c r="F4483">
        <v>1</v>
      </c>
      <c r="G4483">
        <v>1</v>
      </c>
      <c r="H4483">
        <v>0</v>
      </c>
      <c r="I4483">
        <v>1</v>
      </c>
      <c r="J4483" s="4" t="s">
        <v>52</v>
      </c>
      <c r="K4483" t="str">
        <f t="shared" si="222"/>
        <v>1+0</v>
      </c>
      <c r="L4483">
        <f>VLOOKUP(A4483,'ZONE 1 PREMIUM'!$A$3:$M$16,13,0)</f>
        <v>3</v>
      </c>
      <c r="M4483">
        <f>VLOOKUP(D4483,DROPDOWN!B:C,2,0)</f>
        <v>14</v>
      </c>
      <c r="N4483" t="str">
        <f t="shared" si="224"/>
        <v>X3:AP16</v>
      </c>
      <c r="O4483" s="4">
        <f t="shared" ref="O4483:O4545" ca="1" si="225">INDEX(INDIRECT(N4483),L4483,M4483)</f>
        <v>32718.649999999998</v>
      </c>
    </row>
    <row r="4484" spans="1:15">
      <c r="A4484" s="2" t="s">
        <v>11</v>
      </c>
      <c r="B4484" t="s">
        <v>45</v>
      </c>
      <c r="C4484" t="s">
        <v>25</v>
      </c>
      <c r="D4484">
        <v>75</v>
      </c>
      <c r="E4484" t="s">
        <v>26</v>
      </c>
      <c r="F4484">
        <v>1</v>
      </c>
      <c r="G4484">
        <v>1</v>
      </c>
      <c r="H4484">
        <v>0</v>
      </c>
      <c r="I4484">
        <v>1</v>
      </c>
      <c r="J4484" s="4" t="s">
        <v>52</v>
      </c>
      <c r="K4484" t="str">
        <f t="shared" ref="K4484:K4547" si="226">G4484&amp;"+"&amp;H4484</f>
        <v>1+0</v>
      </c>
      <c r="L4484">
        <f>VLOOKUP(A4484,'ZONE 1 PREMIUM'!$A$3:$M$16,13,0)</f>
        <v>4</v>
      </c>
      <c r="M4484">
        <f>VLOOKUP(D4484,DROPDOWN!B:C,2,0)</f>
        <v>14</v>
      </c>
      <c r="N4484" t="str">
        <f t="shared" si="224"/>
        <v>X3:AP16</v>
      </c>
      <c r="O4484" s="4">
        <f t="shared" ca="1" si="225"/>
        <v>105253.74999999999</v>
      </c>
    </row>
    <row r="4485" spans="1:15">
      <c r="A4485" s="2" t="s">
        <v>12</v>
      </c>
      <c r="B4485" t="s">
        <v>27</v>
      </c>
      <c r="C4485" t="s">
        <v>28</v>
      </c>
      <c r="D4485">
        <v>75</v>
      </c>
      <c r="E4485" t="s">
        <v>26</v>
      </c>
      <c r="F4485">
        <v>1</v>
      </c>
      <c r="G4485">
        <v>1</v>
      </c>
      <c r="H4485">
        <v>0</v>
      </c>
      <c r="I4485">
        <v>1</v>
      </c>
      <c r="J4485" s="4" t="s">
        <v>52</v>
      </c>
      <c r="K4485" t="str">
        <f t="shared" si="226"/>
        <v>1+0</v>
      </c>
      <c r="L4485">
        <f>VLOOKUP(A4485,'ZONE 1 PREMIUM'!$A$3:$M$16,13,0)</f>
        <v>5</v>
      </c>
      <c r="M4485">
        <f>VLOOKUP(D4485,DROPDOWN!B:C,2,0)</f>
        <v>14</v>
      </c>
      <c r="N4485" t="str">
        <f t="shared" si="224"/>
        <v>X3:AP16</v>
      </c>
      <c r="O4485" s="4">
        <f t="shared" ca="1" si="225"/>
        <v>121761.99999999999</v>
      </c>
    </row>
    <row r="4486" spans="1:15">
      <c r="A4486" s="2" t="s">
        <v>13</v>
      </c>
      <c r="B4486" t="s">
        <v>29</v>
      </c>
      <c r="C4486" t="s">
        <v>30</v>
      </c>
      <c r="D4486">
        <v>75</v>
      </c>
      <c r="E4486" t="s">
        <v>26</v>
      </c>
      <c r="F4486">
        <v>1</v>
      </c>
      <c r="G4486">
        <v>1</v>
      </c>
      <c r="H4486">
        <v>0</v>
      </c>
      <c r="I4486">
        <v>1</v>
      </c>
      <c r="J4486" s="4" t="s">
        <v>52</v>
      </c>
      <c r="K4486" t="str">
        <f t="shared" si="226"/>
        <v>1+0</v>
      </c>
      <c r="L4486">
        <f>VLOOKUP(A4486,'ZONE 1 PREMIUM'!$A$3:$M$16,13,0)</f>
        <v>6</v>
      </c>
      <c r="M4486">
        <f>VLOOKUP(D4486,DROPDOWN!B:C,2,0)</f>
        <v>14</v>
      </c>
      <c r="N4486" t="str">
        <f t="shared" si="224"/>
        <v>X3:AP16</v>
      </c>
      <c r="O4486" s="4">
        <f t="shared" ca="1" si="225"/>
        <v>132074.04999999999</v>
      </c>
    </row>
    <row r="4487" spans="1:15">
      <c r="A4487" s="2" t="s">
        <v>14</v>
      </c>
      <c r="B4487" t="s">
        <v>31</v>
      </c>
      <c r="C4487" t="s">
        <v>32</v>
      </c>
      <c r="D4487">
        <v>75</v>
      </c>
      <c r="E4487" t="s">
        <v>26</v>
      </c>
      <c r="F4487">
        <v>1</v>
      </c>
      <c r="G4487">
        <v>1</v>
      </c>
      <c r="H4487">
        <v>0</v>
      </c>
      <c r="I4487">
        <v>1</v>
      </c>
      <c r="J4487" s="4" t="s">
        <v>52</v>
      </c>
      <c r="K4487" t="str">
        <f t="shared" si="226"/>
        <v>1+0</v>
      </c>
      <c r="L4487">
        <f>VLOOKUP(A4487,'ZONE 1 PREMIUM'!$A$3:$M$16,13,0)</f>
        <v>7</v>
      </c>
      <c r="M4487">
        <f>VLOOKUP(D4487,DROPDOWN!B:C,2,0)</f>
        <v>14</v>
      </c>
      <c r="N4487" t="str">
        <f t="shared" si="224"/>
        <v>X3:AP16</v>
      </c>
      <c r="O4487" s="4">
        <f t="shared" ca="1" si="225"/>
        <v>151704.54999999999</v>
      </c>
    </row>
    <row r="4488" spans="1:15">
      <c r="A4488" s="2" t="s">
        <v>15</v>
      </c>
      <c r="B4488" t="s">
        <v>33</v>
      </c>
      <c r="C4488" t="s">
        <v>34</v>
      </c>
      <c r="D4488">
        <v>75</v>
      </c>
      <c r="E4488" t="s">
        <v>26</v>
      </c>
      <c r="F4488">
        <v>1</v>
      </c>
      <c r="G4488">
        <v>1</v>
      </c>
      <c r="H4488">
        <v>0</v>
      </c>
      <c r="I4488">
        <v>1</v>
      </c>
      <c r="J4488" s="4" t="s">
        <v>52</v>
      </c>
      <c r="K4488" t="str">
        <f t="shared" si="226"/>
        <v>1+0</v>
      </c>
      <c r="L4488">
        <f>VLOOKUP(A4488,'ZONE 1 PREMIUM'!$A$3:$M$16,13,0)</f>
        <v>8</v>
      </c>
      <c r="M4488">
        <f>VLOOKUP(D4488,DROPDOWN!B:C,2,0)</f>
        <v>14</v>
      </c>
      <c r="N4488" t="str">
        <f t="shared" si="224"/>
        <v>X3:AP16</v>
      </c>
      <c r="O4488" s="4">
        <f t="shared" ca="1" si="225"/>
        <v>186076.9</v>
      </c>
    </row>
    <row r="4489" spans="1:15">
      <c r="A4489" s="2" t="s">
        <v>16</v>
      </c>
      <c r="B4489" t="s">
        <v>35</v>
      </c>
      <c r="C4489" t="s">
        <v>36</v>
      </c>
      <c r="D4489">
        <v>75</v>
      </c>
      <c r="E4489" t="s">
        <v>26</v>
      </c>
      <c r="F4489">
        <v>1</v>
      </c>
      <c r="G4489">
        <v>1</v>
      </c>
      <c r="H4489">
        <v>0</v>
      </c>
      <c r="I4489">
        <v>1</v>
      </c>
      <c r="J4489" s="4" t="s">
        <v>52</v>
      </c>
      <c r="K4489" t="str">
        <f t="shared" si="226"/>
        <v>1+0</v>
      </c>
      <c r="L4489">
        <f>VLOOKUP(A4489,'ZONE 1 PREMIUM'!$A$3:$M$16,13,0)</f>
        <v>9</v>
      </c>
      <c r="M4489">
        <f>VLOOKUP(D4489,DROPDOWN!B:C,2,0)</f>
        <v>14</v>
      </c>
      <c r="N4489" t="str">
        <f t="shared" si="224"/>
        <v>X3:AP16</v>
      </c>
      <c r="O4489" s="4">
        <f t="shared" ca="1" si="225"/>
        <v>257778.24999999997</v>
      </c>
    </row>
    <row r="4490" spans="1:15">
      <c r="A4490" s="2" t="s">
        <v>17</v>
      </c>
      <c r="B4490" t="s">
        <v>37</v>
      </c>
      <c r="C4490" t="s">
        <v>38</v>
      </c>
      <c r="D4490">
        <v>75</v>
      </c>
      <c r="E4490" t="s">
        <v>26</v>
      </c>
      <c r="F4490">
        <v>1</v>
      </c>
      <c r="G4490">
        <v>1</v>
      </c>
      <c r="H4490">
        <v>0</v>
      </c>
      <c r="I4490">
        <v>1</v>
      </c>
      <c r="J4490" s="4" t="s">
        <v>52</v>
      </c>
      <c r="K4490" t="str">
        <f t="shared" si="226"/>
        <v>1+0</v>
      </c>
      <c r="L4490">
        <f>VLOOKUP(A4490,'ZONE 1 PREMIUM'!$A$3:$M$16,13,0)</f>
        <v>10</v>
      </c>
      <c r="M4490">
        <f>VLOOKUP(D4490,DROPDOWN!B:C,2,0)</f>
        <v>14</v>
      </c>
      <c r="N4490" t="str">
        <f t="shared" si="224"/>
        <v>X3:AP16</v>
      </c>
      <c r="O4490" s="4">
        <f t="shared" ca="1" si="225"/>
        <v>345761.3</v>
      </c>
    </row>
    <row r="4491" spans="1:15">
      <c r="A4491" s="2" t="s">
        <v>18</v>
      </c>
      <c r="B4491" t="s">
        <v>39</v>
      </c>
      <c r="C4491" t="s">
        <v>40</v>
      </c>
      <c r="D4491">
        <v>75</v>
      </c>
      <c r="E4491" t="s">
        <v>26</v>
      </c>
      <c r="F4491">
        <v>1</v>
      </c>
      <c r="G4491">
        <v>1</v>
      </c>
      <c r="H4491">
        <v>0</v>
      </c>
      <c r="I4491">
        <v>1</v>
      </c>
      <c r="J4491" s="4" t="s">
        <v>52</v>
      </c>
      <c r="K4491" t="str">
        <f t="shared" si="226"/>
        <v>1+0</v>
      </c>
      <c r="L4491">
        <f>VLOOKUP(A4491,'ZONE 1 PREMIUM'!$A$3:$M$16,13,0)</f>
        <v>11</v>
      </c>
      <c r="M4491">
        <f>VLOOKUP(D4491,DROPDOWN!B:C,2,0)</f>
        <v>14</v>
      </c>
      <c r="N4491" t="str">
        <f t="shared" si="224"/>
        <v>X3:AP16</v>
      </c>
      <c r="O4491" s="4">
        <f t="shared" ca="1" si="225"/>
        <v>477765.19999999995</v>
      </c>
    </row>
    <row r="4492" spans="1:15">
      <c r="A4492" s="2" t="s">
        <v>19</v>
      </c>
      <c r="B4492" t="s">
        <v>41</v>
      </c>
      <c r="C4492" t="s">
        <v>42</v>
      </c>
      <c r="D4492">
        <v>75</v>
      </c>
      <c r="E4492" t="s">
        <v>26</v>
      </c>
      <c r="F4492">
        <v>1</v>
      </c>
      <c r="G4492">
        <v>1</v>
      </c>
      <c r="H4492">
        <v>0</v>
      </c>
      <c r="I4492">
        <v>1</v>
      </c>
      <c r="J4492" s="4" t="s">
        <v>52</v>
      </c>
      <c r="K4492" t="str">
        <f t="shared" si="226"/>
        <v>1+0</v>
      </c>
      <c r="L4492">
        <f>VLOOKUP(A4492,'ZONE 1 PREMIUM'!$A$3:$M$16,13,0)</f>
        <v>12</v>
      </c>
      <c r="M4492">
        <f>VLOOKUP(D4492,DROPDOWN!B:C,2,0)</f>
        <v>14</v>
      </c>
      <c r="N4492" t="str">
        <f t="shared" si="224"/>
        <v>X3:AP16</v>
      </c>
      <c r="O4492" s="4">
        <f t="shared" ca="1" si="225"/>
        <v>612501.5</v>
      </c>
    </row>
    <row r="4493" spans="1:15">
      <c r="A4493" s="2" t="s">
        <v>20</v>
      </c>
      <c r="B4493" t="s">
        <v>43</v>
      </c>
      <c r="C4493" t="s">
        <v>44</v>
      </c>
      <c r="D4493">
        <v>75</v>
      </c>
      <c r="E4493" t="s">
        <v>26</v>
      </c>
      <c r="F4493">
        <v>1</v>
      </c>
      <c r="G4493">
        <v>1</v>
      </c>
      <c r="H4493">
        <v>0</v>
      </c>
      <c r="I4493">
        <v>1</v>
      </c>
      <c r="J4493" s="4" t="s">
        <v>52</v>
      </c>
      <c r="K4493" t="str">
        <f t="shared" si="226"/>
        <v>1+0</v>
      </c>
      <c r="L4493">
        <f>VLOOKUP(A4493,'ZONE 1 PREMIUM'!$A$3:$M$16,13,0)</f>
        <v>13</v>
      </c>
      <c r="M4493">
        <f>VLOOKUP(D4493,DROPDOWN!B:C,2,0)</f>
        <v>14</v>
      </c>
      <c r="N4493" t="str">
        <f t="shared" si="224"/>
        <v>X3:AP16</v>
      </c>
      <c r="O4493" s="4">
        <f t="shared" ca="1" si="225"/>
        <v>725204.95</v>
      </c>
    </row>
    <row r="4494" spans="1:15">
      <c r="A4494" s="2" t="s">
        <v>21</v>
      </c>
      <c r="B4494" t="s">
        <v>22</v>
      </c>
      <c r="D4494">
        <v>75</v>
      </c>
      <c r="E4494" t="s">
        <v>26</v>
      </c>
      <c r="F4494">
        <v>1</v>
      </c>
      <c r="G4494">
        <v>1</v>
      </c>
      <c r="H4494">
        <v>0</v>
      </c>
      <c r="I4494">
        <v>1</v>
      </c>
      <c r="J4494" s="4" t="s">
        <v>52</v>
      </c>
      <c r="K4494" t="str">
        <f t="shared" si="226"/>
        <v>1+0</v>
      </c>
      <c r="L4494">
        <f>VLOOKUP(A4494,'ZONE 1 PREMIUM'!$A$3:$M$16,13,0)</f>
        <v>14</v>
      </c>
      <c r="M4494">
        <f>VLOOKUP(D4494,DROPDOWN!B:C,2,0)</f>
        <v>14</v>
      </c>
      <c r="N4494" t="str">
        <f t="shared" si="224"/>
        <v>X3:AP16</v>
      </c>
      <c r="O4494" s="4">
        <f t="shared" ca="1" si="225"/>
        <v>958587.1</v>
      </c>
    </row>
    <row r="4495" spans="1:15">
      <c r="A4495" s="2" t="s">
        <v>11</v>
      </c>
      <c r="B4495" t="s">
        <v>45</v>
      </c>
      <c r="C4495" t="s">
        <v>25</v>
      </c>
      <c r="D4495">
        <v>75</v>
      </c>
      <c r="E4495" t="s">
        <v>46</v>
      </c>
      <c r="F4495">
        <v>2</v>
      </c>
      <c r="G4495">
        <v>1</v>
      </c>
      <c r="H4495">
        <v>1</v>
      </c>
      <c r="I4495">
        <v>1</v>
      </c>
      <c r="J4495" s="4" t="s">
        <v>52</v>
      </c>
      <c r="K4495" t="str">
        <f t="shared" si="226"/>
        <v>1+1</v>
      </c>
      <c r="L4495">
        <f>VLOOKUP(A4495,'ZONE 1 PREMIUM'!$A$4:$N$16,14,0)</f>
        <v>2</v>
      </c>
      <c r="M4495">
        <f>VLOOKUP(D4495,DROPDOWN!B:C,2,0)</f>
        <v>14</v>
      </c>
      <c r="N4495" t="str">
        <f t="shared" si="224"/>
        <v>X20:AP31</v>
      </c>
      <c r="O4495" s="4">
        <f t="shared" ca="1" si="225"/>
        <v>111071.59999999999</v>
      </c>
    </row>
    <row r="4496" spans="1:15">
      <c r="A4496" s="2" t="s">
        <v>12</v>
      </c>
      <c r="B4496" t="s">
        <v>27</v>
      </c>
      <c r="C4496" t="s">
        <v>28</v>
      </c>
      <c r="D4496">
        <v>75</v>
      </c>
      <c r="E4496" t="s">
        <v>46</v>
      </c>
      <c r="F4496">
        <v>2</v>
      </c>
      <c r="G4496">
        <v>1</v>
      </c>
      <c r="H4496">
        <v>1</v>
      </c>
      <c r="I4496">
        <v>1</v>
      </c>
      <c r="J4496" s="4" t="s">
        <v>52</v>
      </c>
      <c r="K4496" t="str">
        <f t="shared" si="226"/>
        <v>1+1</v>
      </c>
      <c r="L4496">
        <f>VLOOKUP(A4496,'ZONE 1 PREMIUM'!$A$4:$N$16,14,0)</f>
        <v>3</v>
      </c>
      <c r="M4496">
        <f>VLOOKUP(D4496,DROPDOWN!B:C,2,0)</f>
        <v>14</v>
      </c>
      <c r="N4496" t="str">
        <f t="shared" si="224"/>
        <v>X20:AP31</v>
      </c>
      <c r="O4496" s="4">
        <f t="shared" ca="1" si="225"/>
        <v>124190.79999999999</v>
      </c>
    </row>
    <row r="4497" spans="1:15">
      <c r="A4497" s="2" t="s">
        <v>13</v>
      </c>
      <c r="B4497" t="s">
        <v>29</v>
      </c>
      <c r="C4497" t="s">
        <v>30</v>
      </c>
      <c r="D4497">
        <v>75</v>
      </c>
      <c r="E4497" t="s">
        <v>46</v>
      </c>
      <c r="F4497">
        <v>2</v>
      </c>
      <c r="G4497">
        <v>1</v>
      </c>
      <c r="H4497">
        <v>1</v>
      </c>
      <c r="I4497">
        <v>1</v>
      </c>
      <c r="J4497" s="4" t="s">
        <v>52</v>
      </c>
      <c r="K4497" t="str">
        <f t="shared" si="226"/>
        <v>1+1</v>
      </c>
      <c r="L4497">
        <f>VLOOKUP(A4497,'ZONE 1 PREMIUM'!$A$4:$N$16,14,0)</f>
        <v>4</v>
      </c>
      <c r="M4497">
        <f>VLOOKUP(D4497,DROPDOWN!B:C,2,0)</f>
        <v>14</v>
      </c>
      <c r="N4497" t="str">
        <f t="shared" si="224"/>
        <v>X20:AP31</v>
      </c>
      <c r="O4497" s="4">
        <f t="shared" ca="1" si="225"/>
        <v>136874.15</v>
      </c>
    </row>
    <row r="4498" spans="1:15">
      <c r="A4498" s="2" t="s">
        <v>14</v>
      </c>
      <c r="B4498" t="s">
        <v>31</v>
      </c>
      <c r="C4498" t="s">
        <v>32</v>
      </c>
      <c r="D4498">
        <v>75</v>
      </c>
      <c r="E4498" t="s">
        <v>46</v>
      </c>
      <c r="F4498">
        <v>2</v>
      </c>
      <c r="G4498">
        <v>1</v>
      </c>
      <c r="H4498">
        <v>1</v>
      </c>
      <c r="I4498">
        <v>1</v>
      </c>
      <c r="J4498" s="4" t="s">
        <v>52</v>
      </c>
      <c r="K4498" t="str">
        <f t="shared" si="226"/>
        <v>1+1</v>
      </c>
      <c r="L4498">
        <f>VLOOKUP(A4498,'ZONE 1 PREMIUM'!$A$4:$N$16,14,0)</f>
        <v>5</v>
      </c>
      <c r="M4498">
        <f>VLOOKUP(D4498,DROPDOWN!B:C,2,0)</f>
        <v>14</v>
      </c>
      <c r="N4498" t="str">
        <f t="shared" si="224"/>
        <v>X20:AP31</v>
      </c>
      <c r="O4498" s="4">
        <f t="shared" ca="1" si="225"/>
        <v>160013.29999999999</v>
      </c>
    </row>
    <row r="4499" spans="1:15">
      <c r="A4499" s="2" t="s">
        <v>15</v>
      </c>
      <c r="B4499" t="s">
        <v>33</v>
      </c>
      <c r="C4499" t="s">
        <v>34</v>
      </c>
      <c r="D4499">
        <v>75</v>
      </c>
      <c r="E4499" t="s">
        <v>46</v>
      </c>
      <c r="F4499">
        <v>2</v>
      </c>
      <c r="G4499">
        <v>1</v>
      </c>
      <c r="H4499">
        <v>1</v>
      </c>
      <c r="I4499">
        <v>1</v>
      </c>
      <c r="J4499" s="4" t="s">
        <v>52</v>
      </c>
      <c r="K4499" t="str">
        <f t="shared" si="226"/>
        <v>1+1</v>
      </c>
      <c r="L4499">
        <f>VLOOKUP(A4499,'ZONE 1 PREMIUM'!$A$4:$N$16,14,0)</f>
        <v>6</v>
      </c>
      <c r="M4499">
        <f>VLOOKUP(D4499,DROPDOWN!B:C,2,0)</f>
        <v>14</v>
      </c>
      <c r="N4499" t="str">
        <f t="shared" si="224"/>
        <v>X20:AP31</v>
      </c>
      <c r="O4499" s="4">
        <f t="shared" ca="1" si="225"/>
        <v>196071.55</v>
      </c>
    </row>
    <row r="4500" spans="1:15">
      <c r="A4500" s="2" t="s">
        <v>16</v>
      </c>
      <c r="B4500" t="s">
        <v>35</v>
      </c>
      <c r="C4500" t="s">
        <v>36</v>
      </c>
      <c r="D4500">
        <v>75</v>
      </c>
      <c r="E4500" t="s">
        <v>46</v>
      </c>
      <c r="F4500">
        <v>2</v>
      </c>
      <c r="G4500">
        <v>1</v>
      </c>
      <c r="H4500">
        <v>1</v>
      </c>
      <c r="I4500">
        <v>1</v>
      </c>
      <c r="J4500" s="4" t="s">
        <v>52</v>
      </c>
      <c r="K4500" t="str">
        <f t="shared" si="226"/>
        <v>1+1</v>
      </c>
      <c r="L4500">
        <f>VLOOKUP(A4500,'ZONE 1 PREMIUM'!$A$4:$N$16,14,0)</f>
        <v>7</v>
      </c>
      <c r="M4500">
        <f>VLOOKUP(D4500,DROPDOWN!B:C,2,0)</f>
        <v>14</v>
      </c>
      <c r="N4500" t="str">
        <f t="shared" si="224"/>
        <v>X20:AP31</v>
      </c>
      <c r="O4500" s="4">
        <f t="shared" ca="1" si="225"/>
        <v>265280.84999999998</v>
      </c>
    </row>
    <row r="4501" spans="1:15">
      <c r="A4501" s="2" t="s">
        <v>17</v>
      </c>
      <c r="B4501" t="s">
        <v>37</v>
      </c>
      <c r="C4501" t="s">
        <v>38</v>
      </c>
      <c r="D4501">
        <v>75</v>
      </c>
      <c r="E4501" t="s">
        <v>46</v>
      </c>
      <c r="F4501">
        <v>2</v>
      </c>
      <c r="G4501">
        <v>1</v>
      </c>
      <c r="H4501">
        <v>1</v>
      </c>
      <c r="I4501">
        <v>1</v>
      </c>
      <c r="J4501" s="4" t="s">
        <v>52</v>
      </c>
      <c r="K4501" t="str">
        <f t="shared" si="226"/>
        <v>1+1</v>
      </c>
      <c r="L4501">
        <f>VLOOKUP(A4501,'ZONE 1 PREMIUM'!$A$4:$N$16,14,0)</f>
        <v>8</v>
      </c>
      <c r="M4501">
        <f>VLOOKUP(D4501,DROPDOWN!B:C,2,0)</f>
        <v>14</v>
      </c>
      <c r="N4501" t="str">
        <f t="shared" si="224"/>
        <v>X20:AP31</v>
      </c>
      <c r="O4501" s="4">
        <f t="shared" ca="1" si="225"/>
        <v>353165</v>
      </c>
    </row>
    <row r="4502" spans="1:15">
      <c r="A4502" s="2" t="s">
        <v>18</v>
      </c>
      <c r="B4502" t="s">
        <v>39</v>
      </c>
      <c r="C4502" t="s">
        <v>40</v>
      </c>
      <c r="D4502">
        <v>75</v>
      </c>
      <c r="E4502" t="s">
        <v>46</v>
      </c>
      <c r="F4502">
        <v>2</v>
      </c>
      <c r="G4502">
        <v>1</v>
      </c>
      <c r="H4502">
        <v>1</v>
      </c>
      <c r="I4502">
        <v>1</v>
      </c>
      <c r="J4502" s="4" t="s">
        <v>52</v>
      </c>
      <c r="K4502" t="str">
        <f t="shared" si="226"/>
        <v>1+1</v>
      </c>
      <c r="L4502">
        <f>VLOOKUP(A4502,'ZONE 1 PREMIUM'!$A$4:$N$16,14,0)</f>
        <v>9</v>
      </c>
      <c r="M4502">
        <f>VLOOKUP(D4502,DROPDOWN!B:C,2,0)</f>
        <v>14</v>
      </c>
      <c r="N4502" t="str">
        <f t="shared" si="224"/>
        <v>X20:AP31</v>
      </c>
      <c r="O4502" s="4">
        <f t="shared" ca="1" si="225"/>
        <v>490394.49999999994</v>
      </c>
    </row>
    <row r="4503" spans="1:15">
      <c r="A4503" s="2" t="s">
        <v>19</v>
      </c>
      <c r="B4503" t="s">
        <v>41</v>
      </c>
      <c r="C4503" t="s">
        <v>42</v>
      </c>
      <c r="D4503">
        <v>75</v>
      </c>
      <c r="E4503" t="s">
        <v>46</v>
      </c>
      <c r="F4503">
        <v>2</v>
      </c>
      <c r="G4503">
        <v>1</v>
      </c>
      <c r="H4503">
        <v>1</v>
      </c>
      <c r="I4503">
        <v>1</v>
      </c>
      <c r="J4503" s="4" t="s">
        <v>52</v>
      </c>
      <c r="K4503" t="str">
        <f t="shared" si="226"/>
        <v>1+1</v>
      </c>
      <c r="L4503">
        <f>VLOOKUP(A4503,'ZONE 1 PREMIUM'!$A$4:$N$16,14,0)</f>
        <v>10</v>
      </c>
      <c r="M4503">
        <f>VLOOKUP(D4503,DROPDOWN!B:C,2,0)</f>
        <v>14</v>
      </c>
      <c r="N4503" t="str">
        <f t="shared" si="224"/>
        <v>X20:AP31</v>
      </c>
      <c r="O4503" s="4">
        <f t="shared" ca="1" si="225"/>
        <v>625382.64999999991</v>
      </c>
    </row>
    <row r="4504" spans="1:15">
      <c r="A4504" s="2" t="s">
        <v>20</v>
      </c>
      <c r="B4504" t="s">
        <v>43</v>
      </c>
      <c r="C4504" t="s">
        <v>44</v>
      </c>
      <c r="D4504">
        <v>75</v>
      </c>
      <c r="E4504" t="s">
        <v>46</v>
      </c>
      <c r="F4504">
        <v>2</v>
      </c>
      <c r="G4504">
        <v>1</v>
      </c>
      <c r="H4504">
        <v>1</v>
      </c>
      <c r="I4504">
        <v>1</v>
      </c>
      <c r="J4504" s="4" t="s">
        <v>52</v>
      </c>
      <c r="K4504" t="str">
        <f t="shared" si="226"/>
        <v>1+1</v>
      </c>
      <c r="L4504">
        <f>VLOOKUP(A4504,'ZONE 1 PREMIUM'!$A$4:$N$16,14,0)</f>
        <v>11</v>
      </c>
      <c r="M4504">
        <f>VLOOKUP(D4504,DROPDOWN!B:C,2,0)</f>
        <v>14</v>
      </c>
      <c r="N4504" t="str">
        <f t="shared" si="224"/>
        <v>X20:AP31</v>
      </c>
      <c r="O4504" s="4">
        <f t="shared" ca="1" si="225"/>
        <v>729319.64999999991</v>
      </c>
    </row>
    <row r="4505" spans="1:15">
      <c r="A4505" s="2" t="s">
        <v>21</v>
      </c>
      <c r="B4505" t="s">
        <v>22</v>
      </c>
      <c r="D4505">
        <v>75</v>
      </c>
      <c r="E4505" t="s">
        <v>46</v>
      </c>
      <c r="F4505">
        <v>2</v>
      </c>
      <c r="G4505">
        <v>1</v>
      </c>
      <c r="H4505">
        <v>1</v>
      </c>
      <c r="I4505">
        <v>1</v>
      </c>
      <c r="J4505" s="4" t="s">
        <v>52</v>
      </c>
      <c r="K4505" t="str">
        <f t="shared" si="226"/>
        <v>1+1</v>
      </c>
      <c r="L4505">
        <f>VLOOKUP(A4505,'ZONE 1 PREMIUM'!$A$4:$N$16,14,0)</f>
        <v>12</v>
      </c>
      <c r="M4505">
        <f>VLOOKUP(D4505,DROPDOWN!B:C,2,0)</f>
        <v>14</v>
      </c>
      <c r="N4505" t="str">
        <f t="shared" si="224"/>
        <v>X20:AP31</v>
      </c>
      <c r="O4505" s="4">
        <f t="shared" ca="1" si="225"/>
        <v>977864.54999999993</v>
      </c>
    </row>
    <row r="4506" spans="1:15">
      <c r="A4506" s="2" t="s">
        <v>11</v>
      </c>
      <c r="B4506" t="s">
        <v>45</v>
      </c>
      <c r="C4506" t="s">
        <v>25</v>
      </c>
      <c r="D4506">
        <v>75</v>
      </c>
      <c r="E4506" t="s">
        <v>46</v>
      </c>
      <c r="F4506">
        <v>3</v>
      </c>
      <c r="G4506">
        <v>1</v>
      </c>
      <c r="H4506">
        <v>2</v>
      </c>
      <c r="I4506">
        <v>1</v>
      </c>
      <c r="J4506" s="4" t="s">
        <v>52</v>
      </c>
      <c r="K4506" t="str">
        <f t="shared" si="226"/>
        <v>1+2</v>
      </c>
      <c r="L4506">
        <f>VLOOKUP(A4506,'ZONE 1 PREMIUM'!$A$4:$N$16,14,0)</f>
        <v>2</v>
      </c>
      <c r="M4506">
        <f>VLOOKUP(D4506,DROPDOWN!B:C,2,0)</f>
        <v>14</v>
      </c>
      <c r="N4506" t="str">
        <f t="shared" si="224"/>
        <v>X35:AP46</v>
      </c>
      <c r="O4506" s="4">
        <f t="shared" ca="1" si="225"/>
        <v>139752.59999999998</v>
      </c>
    </row>
    <row r="4507" spans="1:15">
      <c r="A4507" s="2" t="s">
        <v>12</v>
      </c>
      <c r="B4507" t="s">
        <v>27</v>
      </c>
      <c r="C4507" t="s">
        <v>28</v>
      </c>
      <c r="D4507">
        <v>75</v>
      </c>
      <c r="E4507" t="s">
        <v>46</v>
      </c>
      <c r="F4507">
        <v>3</v>
      </c>
      <c r="G4507">
        <v>1</v>
      </c>
      <c r="H4507">
        <v>2</v>
      </c>
      <c r="I4507">
        <v>1</v>
      </c>
      <c r="J4507" s="4" t="s">
        <v>52</v>
      </c>
      <c r="K4507" t="str">
        <f t="shared" si="226"/>
        <v>1+2</v>
      </c>
      <c r="L4507">
        <f>VLOOKUP(A4507,'ZONE 1 PREMIUM'!$A$4:$N$16,14,0)</f>
        <v>3</v>
      </c>
      <c r="M4507">
        <f>VLOOKUP(D4507,DROPDOWN!B:C,2,0)</f>
        <v>14</v>
      </c>
      <c r="N4507" t="str">
        <f t="shared" si="224"/>
        <v>X35:AP46</v>
      </c>
      <c r="O4507" s="4">
        <f t="shared" ca="1" si="225"/>
        <v>151826.44999999998</v>
      </c>
    </row>
    <row r="4508" spans="1:15">
      <c r="A4508" s="2" t="s">
        <v>13</v>
      </c>
      <c r="B4508" t="s">
        <v>29</v>
      </c>
      <c r="C4508" t="s">
        <v>30</v>
      </c>
      <c r="D4508">
        <v>75</v>
      </c>
      <c r="E4508" t="s">
        <v>46</v>
      </c>
      <c r="F4508">
        <v>3</v>
      </c>
      <c r="G4508">
        <v>1</v>
      </c>
      <c r="H4508">
        <v>2</v>
      </c>
      <c r="I4508">
        <v>1</v>
      </c>
      <c r="J4508" s="4" t="s">
        <v>52</v>
      </c>
      <c r="K4508" t="str">
        <f t="shared" si="226"/>
        <v>1+2</v>
      </c>
      <c r="L4508">
        <f>VLOOKUP(A4508,'ZONE 1 PREMIUM'!$A$4:$N$16,14,0)</f>
        <v>4</v>
      </c>
      <c r="M4508">
        <f>VLOOKUP(D4508,DROPDOWN!B:C,2,0)</f>
        <v>14</v>
      </c>
      <c r="N4508" t="str">
        <f t="shared" si="224"/>
        <v>X35:AP46</v>
      </c>
      <c r="O4508" s="4">
        <f t="shared" ca="1" si="225"/>
        <v>168949.94999999998</v>
      </c>
    </row>
    <row r="4509" spans="1:15">
      <c r="A4509" s="2" t="s">
        <v>14</v>
      </c>
      <c r="B4509" t="s">
        <v>31</v>
      </c>
      <c r="C4509" t="s">
        <v>32</v>
      </c>
      <c r="D4509">
        <v>75</v>
      </c>
      <c r="E4509" t="s">
        <v>46</v>
      </c>
      <c r="F4509">
        <v>3</v>
      </c>
      <c r="G4509">
        <v>1</v>
      </c>
      <c r="H4509">
        <v>2</v>
      </c>
      <c r="I4509">
        <v>1</v>
      </c>
      <c r="J4509" s="4" t="s">
        <v>52</v>
      </c>
      <c r="K4509" t="str">
        <f t="shared" si="226"/>
        <v>1+2</v>
      </c>
      <c r="L4509">
        <f>VLOOKUP(A4509,'ZONE 1 PREMIUM'!$A$4:$N$16,14,0)</f>
        <v>5</v>
      </c>
      <c r="M4509">
        <f>VLOOKUP(D4509,DROPDOWN!B:C,2,0)</f>
        <v>14</v>
      </c>
      <c r="N4509" t="str">
        <f t="shared" si="224"/>
        <v>X35:AP46</v>
      </c>
      <c r="O4509" s="4">
        <f t="shared" ca="1" si="225"/>
        <v>188917.4</v>
      </c>
    </row>
    <row r="4510" spans="1:15">
      <c r="A4510" s="2" t="s">
        <v>15</v>
      </c>
      <c r="B4510" t="s">
        <v>33</v>
      </c>
      <c r="C4510" t="s">
        <v>34</v>
      </c>
      <c r="D4510">
        <v>75</v>
      </c>
      <c r="E4510" t="s">
        <v>46</v>
      </c>
      <c r="F4510">
        <v>3</v>
      </c>
      <c r="G4510">
        <v>1</v>
      </c>
      <c r="H4510">
        <v>2</v>
      </c>
      <c r="I4510">
        <v>1</v>
      </c>
      <c r="J4510" s="4" t="s">
        <v>52</v>
      </c>
      <c r="K4510" t="str">
        <f t="shared" si="226"/>
        <v>1+2</v>
      </c>
      <c r="L4510">
        <f>VLOOKUP(A4510,'ZONE 1 PREMIUM'!$A$4:$N$16,14,0)</f>
        <v>6</v>
      </c>
      <c r="M4510">
        <f>VLOOKUP(D4510,DROPDOWN!B:C,2,0)</f>
        <v>14</v>
      </c>
      <c r="N4510" t="str">
        <f t="shared" si="224"/>
        <v>X35:AP46</v>
      </c>
      <c r="O4510" s="4">
        <f t="shared" ca="1" si="225"/>
        <v>235315.3</v>
      </c>
    </row>
    <row r="4511" spans="1:15">
      <c r="A4511" s="2" t="s">
        <v>16</v>
      </c>
      <c r="B4511" t="s">
        <v>35</v>
      </c>
      <c r="C4511" t="s">
        <v>36</v>
      </c>
      <c r="D4511">
        <v>75</v>
      </c>
      <c r="E4511" t="s">
        <v>46</v>
      </c>
      <c r="F4511">
        <v>3</v>
      </c>
      <c r="G4511">
        <v>1</v>
      </c>
      <c r="H4511">
        <v>2</v>
      </c>
      <c r="I4511">
        <v>1</v>
      </c>
      <c r="J4511" s="4" t="s">
        <v>52</v>
      </c>
      <c r="K4511" t="str">
        <f t="shared" si="226"/>
        <v>1+2</v>
      </c>
      <c r="L4511">
        <f>VLOOKUP(A4511,'ZONE 1 PREMIUM'!$A$4:$N$16,14,0)</f>
        <v>7</v>
      </c>
      <c r="M4511">
        <f>VLOOKUP(D4511,DROPDOWN!B:C,2,0)</f>
        <v>14</v>
      </c>
      <c r="N4511" t="str">
        <f t="shared" si="224"/>
        <v>X35:AP46</v>
      </c>
      <c r="O4511" s="4">
        <f t="shared" ca="1" si="225"/>
        <v>313398</v>
      </c>
    </row>
    <row r="4512" spans="1:15">
      <c r="A4512" s="2" t="s">
        <v>17</v>
      </c>
      <c r="B4512" t="s">
        <v>37</v>
      </c>
      <c r="C4512" t="s">
        <v>38</v>
      </c>
      <c r="D4512">
        <v>75</v>
      </c>
      <c r="E4512" t="s">
        <v>46</v>
      </c>
      <c r="F4512">
        <v>3</v>
      </c>
      <c r="G4512">
        <v>1</v>
      </c>
      <c r="H4512">
        <v>2</v>
      </c>
      <c r="I4512">
        <v>1</v>
      </c>
      <c r="J4512" s="4" t="s">
        <v>52</v>
      </c>
      <c r="K4512" t="str">
        <f t="shared" si="226"/>
        <v>1+2</v>
      </c>
      <c r="L4512">
        <f>VLOOKUP(A4512,'ZONE 1 PREMIUM'!$A$4:$N$16,14,0)</f>
        <v>8</v>
      </c>
      <c r="M4512">
        <f>VLOOKUP(D4512,DROPDOWN!B:C,2,0)</f>
        <v>14</v>
      </c>
      <c r="N4512" t="str">
        <f t="shared" si="224"/>
        <v>X35:AP46</v>
      </c>
      <c r="O4512" s="4">
        <f t="shared" ca="1" si="225"/>
        <v>404832.19999999995</v>
      </c>
    </row>
    <row r="4513" spans="1:15">
      <c r="A4513" s="2" t="s">
        <v>18</v>
      </c>
      <c r="B4513" t="s">
        <v>39</v>
      </c>
      <c r="C4513" t="s">
        <v>40</v>
      </c>
      <c r="D4513">
        <v>75</v>
      </c>
      <c r="E4513" t="s">
        <v>46</v>
      </c>
      <c r="F4513">
        <v>3</v>
      </c>
      <c r="G4513">
        <v>1</v>
      </c>
      <c r="H4513">
        <v>2</v>
      </c>
      <c r="I4513">
        <v>1</v>
      </c>
      <c r="J4513" s="4" t="s">
        <v>52</v>
      </c>
      <c r="K4513" t="str">
        <f t="shared" si="226"/>
        <v>1+2</v>
      </c>
      <c r="L4513">
        <f>VLOOKUP(A4513,'ZONE 1 PREMIUM'!$A$4:$N$16,14,0)</f>
        <v>9</v>
      </c>
      <c r="M4513">
        <f>VLOOKUP(D4513,DROPDOWN!B:C,2,0)</f>
        <v>14</v>
      </c>
      <c r="N4513" t="str">
        <f t="shared" si="224"/>
        <v>X35:AP46</v>
      </c>
      <c r="O4513" s="4">
        <f t="shared" ca="1" si="225"/>
        <v>530988.35</v>
      </c>
    </row>
    <row r="4514" spans="1:15">
      <c r="A4514" s="2" t="s">
        <v>19</v>
      </c>
      <c r="B4514" t="s">
        <v>41</v>
      </c>
      <c r="C4514" t="s">
        <v>42</v>
      </c>
      <c r="D4514">
        <v>75</v>
      </c>
      <c r="E4514" t="s">
        <v>46</v>
      </c>
      <c r="F4514">
        <v>3</v>
      </c>
      <c r="G4514">
        <v>1</v>
      </c>
      <c r="H4514">
        <v>2</v>
      </c>
      <c r="I4514">
        <v>1</v>
      </c>
      <c r="J4514" s="4" t="s">
        <v>52</v>
      </c>
      <c r="K4514" t="str">
        <f t="shared" si="226"/>
        <v>1+2</v>
      </c>
      <c r="L4514">
        <f>VLOOKUP(A4514,'ZONE 1 PREMIUM'!$A$4:$N$16,14,0)</f>
        <v>10</v>
      </c>
      <c r="M4514">
        <f>VLOOKUP(D4514,DROPDOWN!B:C,2,0)</f>
        <v>14</v>
      </c>
      <c r="N4514" t="str">
        <f t="shared" si="224"/>
        <v>X35:AP46</v>
      </c>
      <c r="O4514" s="4">
        <f t="shared" ca="1" si="225"/>
        <v>676298.89999999991</v>
      </c>
    </row>
    <row r="4515" spans="1:15">
      <c r="A4515" s="2" t="s">
        <v>20</v>
      </c>
      <c r="B4515" t="s">
        <v>43</v>
      </c>
      <c r="C4515" t="s">
        <v>44</v>
      </c>
      <c r="D4515">
        <v>75</v>
      </c>
      <c r="E4515" t="s">
        <v>46</v>
      </c>
      <c r="F4515">
        <v>3</v>
      </c>
      <c r="G4515">
        <v>1</v>
      </c>
      <c r="H4515">
        <v>2</v>
      </c>
      <c r="I4515">
        <v>1</v>
      </c>
      <c r="J4515" s="4" t="s">
        <v>52</v>
      </c>
      <c r="K4515" t="str">
        <f t="shared" si="226"/>
        <v>1+2</v>
      </c>
      <c r="L4515">
        <f>VLOOKUP(A4515,'ZONE 1 PREMIUM'!$A$4:$N$16,14,0)</f>
        <v>11</v>
      </c>
      <c r="M4515">
        <f>VLOOKUP(D4515,DROPDOWN!B:C,2,0)</f>
        <v>14</v>
      </c>
      <c r="N4515" t="str">
        <f t="shared" si="224"/>
        <v>X35:AP46</v>
      </c>
      <c r="O4515" s="4">
        <f t="shared" ca="1" si="225"/>
        <v>790538.74999999988</v>
      </c>
    </row>
    <row r="4516" spans="1:15">
      <c r="A4516" s="2" t="s">
        <v>21</v>
      </c>
      <c r="B4516" t="s">
        <v>22</v>
      </c>
      <c r="D4516">
        <v>75</v>
      </c>
      <c r="E4516" t="s">
        <v>46</v>
      </c>
      <c r="F4516">
        <v>3</v>
      </c>
      <c r="G4516">
        <v>1</v>
      </c>
      <c r="H4516">
        <v>2</v>
      </c>
      <c r="I4516">
        <v>1</v>
      </c>
      <c r="J4516" s="4" t="s">
        <v>52</v>
      </c>
      <c r="K4516" t="str">
        <f t="shared" si="226"/>
        <v>1+2</v>
      </c>
      <c r="L4516">
        <f>VLOOKUP(A4516,'ZONE 1 PREMIUM'!$A$4:$N$16,14,0)</f>
        <v>12</v>
      </c>
      <c r="M4516">
        <f>VLOOKUP(D4516,DROPDOWN!B:C,2,0)</f>
        <v>14</v>
      </c>
      <c r="N4516" t="str">
        <f t="shared" si="224"/>
        <v>X35:AP46</v>
      </c>
      <c r="O4516" s="4">
        <f t="shared" ca="1" si="225"/>
        <v>1021919.8999999999</v>
      </c>
    </row>
    <row r="4517" spans="1:15">
      <c r="A4517" s="2" t="s">
        <v>11</v>
      </c>
      <c r="B4517" t="s">
        <v>45</v>
      </c>
      <c r="C4517" t="s">
        <v>25</v>
      </c>
      <c r="D4517">
        <v>75</v>
      </c>
      <c r="E4517" t="s">
        <v>46</v>
      </c>
      <c r="F4517">
        <v>4</v>
      </c>
      <c r="G4517">
        <v>1</v>
      </c>
      <c r="H4517">
        <v>3</v>
      </c>
      <c r="I4517">
        <v>1</v>
      </c>
      <c r="J4517" s="4" t="s">
        <v>52</v>
      </c>
      <c r="K4517" t="str">
        <f t="shared" si="226"/>
        <v>1+3</v>
      </c>
      <c r="L4517">
        <f>VLOOKUP(A4517,'ZONE 1 PREMIUM'!$A$4:$N$16,14,0)</f>
        <v>2</v>
      </c>
      <c r="M4517">
        <f>VLOOKUP(D4517,DROPDOWN!B:C,2,0)</f>
        <v>14</v>
      </c>
      <c r="N4517" t="str">
        <f t="shared" si="224"/>
        <v>X50:AP61</v>
      </c>
      <c r="O4517" s="4">
        <f t="shared" ca="1" si="225"/>
        <v>168433.59999999998</v>
      </c>
    </row>
    <row r="4518" spans="1:15">
      <c r="A4518" s="2" t="s">
        <v>12</v>
      </c>
      <c r="B4518" t="s">
        <v>27</v>
      </c>
      <c r="C4518" t="s">
        <v>28</v>
      </c>
      <c r="D4518">
        <v>75</v>
      </c>
      <c r="E4518" t="s">
        <v>46</v>
      </c>
      <c r="F4518">
        <v>4</v>
      </c>
      <c r="G4518">
        <v>1</v>
      </c>
      <c r="H4518">
        <v>3</v>
      </c>
      <c r="I4518">
        <v>1</v>
      </c>
      <c r="J4518" s="4" t="s">
        <v>52</v>
      </c>
      <c r="K4518" t="str">
        <f t="shared" si="226"/>
        <v>1+3</v>
      </c>
      <c r="L4518">
        <f>VLOOKUP(A4518,'ZONE 1 PREMIUM'!$A$4:$N$16,14,0)</f>
        <v>3</v>
      </c>
      <c r="M4518">
        <f>VLOOKUP(D4518,DROPDOWN!B:C,2,0)</f>
        <v>14</v>
      </c>
      <c r="N4518" t="str">
        <f t="shared" si="224"/>
        <v>X50:AP61</v>
      </c>
      <c r="O4518" s="4">
        <f t="shared" ca="1" si="225"/>
        <v>180080.8</v>
      </c>
    </row>
    <row r="4519" spans="1:15">
      <c r="A4519" s="2" t="s">
        <v>13</v>
      </c>
      <c r="B4519" t="s">
        <v>29</v>
      </c>
      <c r="C4519" t="s">
        <v>30</v>
      </c>
      <c r="D4519">
        <v>75</v>
      </c>
      <c r="E4519" t="s">
        <v>46</v>
      </c>
      <c r="F4519">
        <v>4</v>
      </c>
      <c r="G4519">
        <v>1</v>
      </c>
      <c r="H4519">
        <v>3</v>
      </c>
      <c r="I4519">
        <v>1</v>
      </c>
      <c r="J4519" s="4" t="s">
        <v>52</v>
      </c>
      <c r="K4519" t="str">
        <f t="shared" si="226"/>
        <v>1+3</v>
      </c>
      <c r="L4519">
        <f>VLOOKUP(A4519,'ZONE 1 PREMIUM'!$A$4:$N$16,14,0)</f>
        <v>4</v>
      </c>
      <c r="M4519">
        <f>VLOOKUP(D4519,DROPDOWN!B:C,2,0)</f>
        <v>14</v>
      </c>
      <c r="N4519" t="str">
        <f t="shared" si="224"/>
        <v>X50:AP61</v>
      </c>
      <c r="O4519" s="4">
        <f t="shared" ca="1" si="225"/>
        <v>201707.69999999998</v>
      </c>
    </row>
    <row r="4520" spans="1:15">
      <c r="A4520" s="2" t="s">
        <v>14</v>
      </c>
      <c r="B4520" t="s">
        <v>31</v>
      </c>
      <c r="C4520" t="s">
        <v>32</v>
      </c>
      <c r="D4520">
        <v>75</v>
      </c>
      <c r="E4520" t="s">
        <v>46</v>
      </c>
      <c r="F4520">
        <v>4</v>
      </c>
      <c r="G4520">
        <v>1</v>
      </c>
      <c r="H4520">
        <v>3</v>
      </c>
      <c r="I4520">
        <v>1</v>
      </c>
      <c r="J4520" s="4" t="s">
        <v>52</v>
      </c>
      <c r="K4520" t="str">
        <f t="shared" si="226"/>
        <v>1+3</v>
      </c>
      <c r="L4520">
        <f>VLOOKUP(A4520,'ZONE 1 PREMIUM'!$A$4:$N$16,14,0)</f>
        <v>5</v>
      </c>
      <c r="M4520">
        <f>VLOOKUP(D4520,DROPDOWN!B:C,2,0)</f>
        <v>14</v>
      </c>
      <c r="N4520" t="str">
        <f t="shared" si="224"/>
        <v>X50:AP61</v>
      </c>
      <c r="O4520" s="4">
        <f t="shared" ca="1" si="225"/>
        <v>223976.3</v>
      </c>
    </row>
    <row r="4521" spans="1:15">
      <c r="A4521" s="2" t="s">
        <v>15</v>
      </c>
      <c r="B4521" t="s">
        <v>33</v>
      </c>
      <c r="C4521" t="s">
        <v>34</v>
      </c>
      <c r="D4521">
        <v>75</v>
      </c>
      <c r="E4521" t="s">
        <v>46</v>
      </c>
      <c r="F4521">
        <v>4</v>
      </c>
      <c r="G4521">
        <v>1</v>
      </c>
      <c r="H4521">
        <v>3</v>
      </c>
      <c r="I4521">
        <v>1</v>
      </c>
      <c r="J4521" s="4" t="s">
        <v>52</v>
      </c>
      <c r="K4521" t="str">
        <f t="shared" si="226"/>
        <v>1+3</v>
      </c>
      <c r="L4521">
        <f>VLOOKUP(A4521,'ZONE 1 PREMIUM'!$A$4:$N$16,14,0)</f>
        <v>6</v>
      </c>
      <c r="M4521">
        <f>VLOOKUP(D4521,DROPDOWN!B:C,2,0)</f>
        <v>14</v>
      </c>
      <c r="N4521" t="str">
        <f t="shared" si="224"/>
        <v>X50:AP61</v>
      </c>
      <c r="O4521" s="4">
        <f t="shared" ca="1" si="225"/>
        <v>274560.19999999995</v>
      </c>
    </row>
    <row r="4522" spans="1:15">
      <c r="A4522" s="2" t="s">
        <v>16</v>
      </c>
      <c r="B4522" t="s">
        <v>35</v>
      </c>
      <c r="C4522" t="s">
        <v>36</v>
      </c>
      <c r="D4522">
        <v>75</v>
      </c>
      <c r="E4522" t="s">
        <v>46</v>
      </c>
      <c r="F4522">
        <v>4</v>
      </c>
      <c r="G4522">
        <v>1</v>
      </c>
      <c r="H4522">
        <v>3</v>
      </c>
      <c r="I4522">
        <v>1</v>
      </c>
      <c r="J4522" s="4" t="s">
        <v>52</v>
      </c>
      <c r="K4522" t="str">
        <f t="shared" si="226"/>
        <v>1+3</v>
      </c>
      <c r="L4522">
        <f>VLOOKUP(A4522,'ZONE 1 PREMIUM'!$A$4:$N$16,14,0)</f>
        <v>7</v>
      </c>
      <c r="M4522">
        <f>VLOOKUP(D4522,DROPDOWN!B:C,2,0)</f>
        <v>14</v>
      </c>
      <c r="N4522" t="str">
        <f t="shared" si="224"/>
        <v>X50:AP61</v>
      </c>
      <c r="O4522" s="4">
        <f t="shared" ca="1" si="225"/>
        <v>356092.89999999997</v>
      </c>
    </row>
    <row r="4523" spans="1:15">
      <c r="A4523" s="2" t="s">
        <v>17</v>
      </c>
      <c r="B4523" t="s">
        <v>37</v>
      </c>
      <c r="C4523" t="s">
        <v>38</v>
      </c>
      <c r="D4523">
        <v>75</v>
      </c>
      <c r="E4523" t="s">
        <v>46</v>
      </c>
      <c r="F4523">
        <v>4</v>
      </c>
      <c r="G4523">
        <v>1</v>
      </c>
      <c r="H4523">
        <v>3</v>
      </c>
      <c r="I4523">
        <v>1</v>
      </c>
      <c r="J4523" s="4" t="s">
        <v>52</v>
      </c>
      <c r="K4523" t="str">
        <f t="shared" si="226"/>
        <v>1+3</v>
      </c>
      <c r="L4523">
        <f>VLOOKUP(A4523,'ZONE 1 PREMIUM'!$A$4:$N$16,14,0)</f>
        <v>8</v>
      </c>
      <c r="M4523">
        <f>VLOOKUP(D4523,DROPDOWN!B:C,2,0)</f>
        <v>14</v>
      </c>
      <c r="N4523" t="str">
        <f t="shared" si="224"/>
        <v>X50:AP61</v>
      </c>
      <c r="O4523" s="4">
        <f t="shared" ca="1" si="225"/>
        <v>441663.24999999994</v>
      </c>
    </row>
    <row r="4524" spans="1:15">
      <c r="A4524" s="2" t="s">
        <v>18</v>
      </c>
      <c r="B4524" t="s">
        <v>39</v>
      </c>
      <c r="C4524" t="s">
        <v>40</v>
      </c>
      <c r="D4524">
        <v>75</v>
      </c>
      <c r="E4524" t="s">
        <v>46</v>
      </c>
      <c r="F4524">
        <v>4</v>
      </c>
      <c r="G4524">
        <v>1</v>
      </c>
      <c r="H4524">
        <v>3</v>
      </c>
      <c r="I4524">
        <v>1</v>
      </c>
      <c r="J4524" s="4" t="s">
        <v>52</v>
      </c>
      <c r="K4524" t="str">
        <f t="shared" si="226"/>
        <v>1+3</v>
      </c>
      <c r="L4524">
        <f>VLOOKUP(A4524,'ZONE 1 PREMIUM'!$A$4:$N$16,14,0)</f>
        <v>9</v>
      </c>
      <c r="M4524">
        <f>VLOOKUP(D4524,DROPDOWN!B:C,2,0)</f>
        <v>14</v>
      </c>
      <c r="N4524" t="str">
        <f t="shared" si="224"/>
        <v>X50:AP61</v>
      </c>
      <c r="O4524" s="4">
        <f t="shared" ca="1" si="225"/>
        <v>571870.85</v>
      </c>
    </row>
    <row r="4525" spans="1:15">
      <c r="A4525" s="2" t="s">
        <v>19</v>
      </c>
      <c r="B4525" t="s">
        <v>41</v>
      </c>
      <c r="C4525" t="s">
        <v>42</v>
      </c>
      <c r="D4525">
        <v>75</v>
      </c>
      <c r="E4525" t="s">
        <v>46</v>
      </c>
      <c r="F4525">
        <v>4</v>
      </c>
      <c r="G4525">
        <v>1</v>
      </c>
      <c r="H4525">
        <v>3</v>
      </c>
      <c r="I4525">
        <v>1</v>
      </c>
      <c r="J4525" s="4" t="s">
        <v>52</v>
      </c>
      <c r="K4525" t="str">
        <f t="shared" si="226"/>
        <v>1+3</v>
      </c>
      <c r="L4525">
        <f>VLOOKUP(A4525,'ZONE 1 PREMIUM'!$A$4:$N$16,14,0)</f>
        <v>10</v>
      </c>
      <c r="M4525">
        <f>VLOOKUP(D4525,DROPDOWN!B:C,2,0)</f>
        <v>14</v>
      </c>
      <c r="N4525" t="str">
        <f t="shared" si="224"/>
        <v>X50:AP61</v>
      </c>
      <c r="O4525" s="4">
        <f t="shared" ca="1" si="225"/>
        <v>707730.7</v>
      </c>
    </row>
    <row r="4526" spans="1:15">
      <c r="A4526" s="2" t="s">
        <v>20</v>
      </c>
      <c r="B4526" t="s">
        <v>43</v>
      </c>
      <c r="C4526" t="s">
        <v>44</v>
      </c>
      <c r="D4526">
        <v>75</v>
      </c>
      <c r="E4526" t="s">
        <v>46</v>
      </c>
      <c r="F4526">
        <v>4</v>
      </c>
      <c r="G4526">
        <v>1</v>
      </c>
      <c r="H4526">
        <v>3</v>
      </c>
      <c r="I4526">
        <v>1</v>
      </c>
      <c r="J4526" s="4" t="s">
        <v>52</v>
      </c>
      <c r="K4526" t="str">
        <f t="shared" si="226"/>
        <v>1+3</v>
      </c>
      <c r="L4526">
        <f>VLOOKUP(A4526,'ZONE 1 PREMIUM'!$A$4:$N$16,14,0)</f>
        <v>11</v>
      </c>
      <c r="M4526">
        <f>VLOOKUP(D4526,DROPDOWN!B:C,2,0)</f>
        <v>14</v>
      </c>
      <c r="N4526" t="str">
        <f t="shared" si="224"/>
        <v>X50:AP61</v>
      </c>
      <c r="O4526" s="4">
        <f t="shared" ca="1" si="225"/>
        <v>820071.89999999991</v>
      </c>
    </row>
    <row r="4527" spans="1:15">
      <c r="A4527" s="2" t="s">
        <v>21</v>
      </c>
      <c r="B4527" t="s">
        <v>22</v>
      </c>
      <c r="D4527">
        <v>75</v>
      </c>
      <c r="E4527" t="s">
        <v>46</v>
      </c>
      <c r="F4527">
        <v>4</v>
      </c>
      <c r="G4527">
        <v>1</v>
      </c>
      <c r="H4527">
        <v>3</v>
      </c>
      <c r="I4527">
        <v>1</v>
      </c>
      <c r="J4527" s="4" t="s">
        <v>52</v>
      </c>
      <c r="K4527" t="str">
        <f t="shared" si="226"/>
        <v>1+3</v>
      </c>
      <c r="L4527">
        <f>VLOOKUP(A4527,'ZONE 1 PREMIUM'!$A$4:$N$16,14,0)</f>
        <v>12</v>
      </c>
      <c r="M4527">
        <f>VLOOKUP(D4527,DROPDOWN!B:C,2,0)</f>
        <v>14</v>
      </c>
      <c r="N4527" t="str">
        <f t="shared" si="224"/>
        <v>X50:AP61</v>
      </c>
      <c r="O4527" s="4">
        <f t="shared" ca="1" si="225"/>
        <v>1053632.2999999998</v>
      </c>
    </row>
    <row r="4528" spans="1:15">
      <c r="A4528" s="2" t="s">
        <v>11</v>
      </c>
      <c r="B4528" t="s">
        <v>45</v>
      </c>
      <c r="C4528" t="s">
        <v>25</v>
      </c>
      <c r="D4528">
        <v>75</v>
      </c>
      <c r="E4528" t="s">
        <v>46</v>
      </c>
      <c r="F4528">
        <v>5</v>
      </c>
      <c r="G4528">
        <v>1</v>
      </c>
      <c r="H4528">
        <v>4</v>
      </c>
      <c r="I4528">
        <v>1</v>
      </c>
      <c r="J4528" s="4" t="s">
        <v>52</v>
      </c>
      <c r="K4528" t="str">
        <f t="shared" si="226"/>
        <v>1+4</v>
      </c>
      <c r="L4528">
        <f>VLOOKUP(A4528,'ZONE 1 PREMIUM'!$A$4:$N$16,14,0)</f>
        <v>2</v>
      </c>
      <c r="M4528">
        <f>VLOOKUP(D4528,DROPDOWN!B:C,2,0)</f>
        <v>14</v>
      </c>
      <c r="N4528" t="str">
        <f t="shared" si="224"/>
        <v>X65:AP76</v>
      </c>
      <c r="O4528" s="4">
        <f t="shared" ca="1" si="225"/>
        <v>197114.59999999998</v>
      </c>
    </row>
    <row r="4529" spans="1:15">
      <c r="A4529" s="2" t="s">
        <v>12</v>
      </c>
      <c r="B4529" t="s">
        <v>27</v>
      </c>
      <c r="C4529" t="s">
        <v>28</v>
      </c>
      <c r="D4529">
        <v>75</v>
      </c>
      <c r="E4529" t="s">
        <v>46</v>
      </c>
      <c r="F4529">
        <v>5</v>
      </c>
      <c r="G4529">
        <v>1</v>
      </c>
      <c r="H4529">
        <v>4</v>
      </c>
      <c r="I4529">
        <v>1</v>
      </c>
      <c r="J4529" s="4" t="s">
        <v>52</v>
      </c>
      <c r="K4529" t="str">
        <f t="shared" si="226"/>
        <v>1+4</v>
      </c>
      <c r="L4529">
        <f>VLOOKUP(A4529,'ZONE 1 PREMIUM'!$A$4:$N$16,14,0)</f>
        <v>3</v>
      </c>
      <c r="M4529">
        <f>VLOOKUP(D4529,DROPDOWN!B:C,2,0)</f>
        <v>14</v>
      </c>
      <c r="N4529" t="str">
        <f t="shared" si="224"/>
        <v>X65:AP76</v>
      </c>
      <c r="O4529" s="4">
        <f t="shared" ca="1" si="225"/>
        <v>208335.15</v>
      </c>
    </row>
    <row r="4530" spans="1:15">
      <c r="A4530" s="2" t="s">
        <v>13</v>
      </c>
      <c r="B4530" t="s">
        <v>29</v>
      </c>
      <c r="C4530" t="s">
        <v>30</v>
      </c>
      <c r="D4530">
        <v>75</v>
      </c>
      <c r="E4530" t="s">
        <v>46</v>
      </c>
      <c r="F4530">
        <v>5</v>
      </c>
      <c r="G4530">
        <v>1</v>
      </c>
      <c r="H4530">
        <v>4</v>
      </c>
      <c r="I4530">
        <v>1</v>
      </c>
      <c r="J4530" s="4" t="s">
        <v>52</v>
      </c>
      <c r="K4530" t="str">
        <f t="shared" si="226"/>
        <v>1+4</v>
      </c>
      <c r="L4530">
        <f>VLOOKUP(A4530,'ZONE 1 PREMIUM'!$A$4:$N$16,14,0)</f>
        <v>4</v>
      </c>
      <c r="M4530">
        <f>VLOOKUP(D4530,DROPDOWN!B:C,2,0)</f>
        <v>14</v>
      </c>
      <c r="N4530" t="str">
        <f t="shared" si="224"/>
        <v>X65:AP76</v>
      </c>
      <c r="O4530" s="4">
        <f t="shared" ca="1" si="225"/>
        <v>234465.44999999998</v>
      </c>
    </row>
    <row r="4531" spans="1:15">
      <c r="A4531" s="2" t="s">
        <v>14</v>
      </c>
      <c r="B4531" t="s">
        <v>31</v>
      </c>
      <c r="C4531" t="s">
        <v>32</v>
      </c>
      <c r="D4531">
        <v>75</v>
      </c>
      <c r="E4531" t="s">
        <v>46</v>
      </c>
      <c r="F4531">
        <v>5</v>
      </c>
      <c r="G4531">
        <v>1</v>
      </c>
      <c r="H4531">
        <v>4</v>
      </c>
      <c r="I4531">
        <v>1</v>
      </c>
      <c r="J4531" s="4" t="s">
        <v>52</v>
      </c>
      <c r="K4531" t="str">
        <f t="shared" si="226"/>
        <v>1+4</v>
      </c>
      <c r="L4531">
        <f>VLOOKUP(A4531,'ZONE 1 PREMIUM'!$A$4:$N$16,14,0)</f>
        <v>5</v>
      </c>
      <c r="M4531">
        <f>VLOOKUP(D4531,DROPDOWN!B:C,2,0)</f>
        <v>14</v>
      </c>
      <c r="N4531" t="str">
        <f t="shared" si="224"/>
        <v>X65:AP76</v>
      </c>
      <c r="O4531" s="4">
        <f t="shared" ca="1" si="225"/>
        <v>259035.19999999998</v>
      </c>
    </row>
    <row r="4532" spans="1:15">
      <c r="A4532" s="2" t="s">
        <v>15</v>
      </c>
      <c r="B4532" t="s">
        <v>33</v>
      </c>
      <c r="C4532" t="s">
        <v>34</v>
      </c>
      <c r="D4532">
        <v>75</v>
      </c>
      <c r="E4532" t="s">
        <v>46</v>
      </c>
      <c r="F4532">
        <v>5</v>
      </c>
      <c r="G4532">
        <v>1</v>
      </c>
      <c r="H4532">
        <v>4</v>
      </c>
      <c r="I4532">
        <v>1</v>
      </c>
      <c r="J4532" s="4" t="s">
        <v>52</v>
      </c>
      <c r="K4532" t="str">
        <f t="shared" si="226"/>
        <v>1+4</v>
      </c>
      <c r="L4532">
        <f>VLOOKUP(A4532,'ZONE 1 PREMIUM'!$A$4:$N$16,14,0)</f>
        <v>6</v>
      </c>
      <c r="M4532">
        <f>VLOOKUP(D4532,DROPDOWN!B:C,2,0)</f>
        <v>14</v>
      </c>
      <c r="N4532" t="str">
        <f t="shared" si="224"/>
        <v>X65:AP76</v>
      </c>
      <c r="O4532" s="4">
        <f t="shared" ca="1" si="225"/>
        <v>313803.94999999995</v>
      </c>
    </row>
    <row r="4533" spans="1:15">
      <c r="A4533" s="2" t="s">
        <v>16</v>
      </c>
      <c r="B4533" t="s">
        <v>35</v>
      </c>
      <c r="C4533" t="s">
        <v>36</v>
      </c>
      <c r="D4533">
        <v>75</v>
      </c>
      <c r="E4533" t="s">
        <v>46</v>
      </c>
      <c r="F4533">
        <v>5</v>
      </c>
      <c r="G4533">
        <v>1</v>
      </c>
      <c r="H4533">
        <v>4</v>
      </c>
      <c r="I4533">
        <v>1</v>
      </c>
      <c r="J4533" s="4" t="s">
        <v>52</v>
      </c>
      <c r="K4533" t="str">
        <f t="shared" si="226"/>
        <v>1+4</v>
      </c>
      <c r="L4533">
        <f>VLOOKUP(A4533,'ZONE 1 PREMIUM'!$A$4:$N$16,14,0)</f>
        <v>7</v>
      </c>
      <c r="M4533">
        <f>VLOOKUP(D4533,DROPDOWN!B:C,2,0)</f>
        <v>14</v>
      </c>
      <c r="N4533" t="str">
        <f t="shared" si="224"/>
        <v>X65:AP76</v>
      </c>
      <c r="O4533" s="4">
        <f t="shared" ca="1" si="225"/>
        <v>391200.1</v>
      </c>
    </row>
    <row r="4534" spans="1:15">
      <c r="A4534" s="2" t="s">
        <v>17</v>
      </c>
      <c r="B4534" t="s">
        <v>37</v>
      </c>
      <c r="C4534" t="s">
        <v>38</v>
      </c>
      <c r="D4534">
        <v>75</v>
      </c>
      <c r="E4534" t="s">
        <v>46</v>
      </c>
      <c r="F4534">
        <v>5</v>
      </c>
      <c r="G4534">
        <v>1</v>
      </c>
      <c r="H4534">
        <v>4</v>
      </c>
      <c r="I4534">
        <v>1</v>
      </c>
      <c r="J4534" s="4" t="s">
        <v>52</v>
      </c>
      <c r="K4534" t="str">
        <f t="shared" si="226"/>
        <v>1+4</v>
      </c>
      <c r="L4534">
        <f>VLOOKUP(A4534,'ZONE 1 PREMIUM'!$A$4:$N$16,14,0)</f>
        <v>8</v>
      </c>
      <c r="M4534">
        <f>VLOOKUP(D4534,DROPDOWN!B:C,2,0)</f>
        <v>14</v>
      </c>
      <c r="N4534" t="str">
        <f t="shared" si="224"/>
        <v>X65:AP76</v>
      </c>
      <c r="O4534" s="4">
        <f t="shared" ca="1" si="225"/>
        <v>475135.14999999997</v>
      </c>
    </row>
    <row r="4535" spans="1:15">
      <c r="A4535" s="2" t="s">
        <v>18</v>
      </c>
      <c r="B4535" t="s">
        <v>39</v>
      </c>
      <c r="C4535" t="s">
        <v>40</v>
      </c>
      <c r="D4535">
        <v>75</v>
      </c>
      <c r="E4535" t="s">
        <v>46</v>
      </c>
      <c r="F4535">
        <v>5</v>
      </c>
      <c r="G4535">
        <v>1</v>
      </c>
      <c r="H4535">
        <v>4</v>
      </c>
      <c r="I4535">
        <v>1</v>
      </c>
      <c r="J4535" s="4" t="s">
        <v>52</v>
      </c>
      <c r="K4535" t="str">
        <f t="shared" si="226"/>
        <v>1+4</v>
      </c>
      <c r="L4535">
        <f>VLOOKUP(A4535,'ZONE 1 PREMIUM'!$A$4:$N$16,14,0)</f>
        <v>9</v>
      </c>
      <c r="M4535">
        <f>VLOOKUP(D4535,DROPDOWN!B:C,2,0)</f>
        <v>14</v>
      </c>
      <c r="N4535" t="str">
        <f t="shared" si="224"/>
        <v>X65:AP76</v>
      </c>
      <c r="O4535" s="4">
        <f t="shared" ca="1" si="225"/>
        <v>605882.1</v>
      </c>
    </row>
    <row r="4536" spans="1:15">
      <c r="A4536" s="2" t="s">
        <v>19</v>
      </c>
      <c r="B4536" t="s">
        <v>41</v>
      </c>
      <c r="C4536" t="s">
        <v>42</v>
      </c>
      <c r="D4536">
        <v>75</v>
      </c>
      <c r="E4536" t="s">
        <v>46</v>
      </c>
      <c r="F4536">
        <v>5</v>
      </c>
      <c r="G4536">
        <v>1</v>
      </c>
      <c r="H4536">
        <v>4</v>
      </c>
      <c r="I4536">
        <v>1</v>
      </c>
      <c r="J4536" s="4" t="s">
        <v>52</v>
      </c>
      <c r="K4536" t="str">
        <f t="shared" si="226"/>
        <v>1+4</v>
      </c>
      <c r="L4536">
        <f>VLOOKUP(A4536,'ZONE 1 PREMIUM'!$A$4:$N$16,14,0)</f>
        <v>10</v>
      </c>
      <c r="M4536">
        <f>VLOOKUP(D4536,DROPDOWN!B:C,2,0)</f>
        <v>14</v>
      </c>
      <c r="N4536" t="str">
        <f t="shared" si="224"/>
        <v>X65:AP76</v>
      </c>
      <c r="O4536" s="4">
        <f t="shared" ca="1" si="225"/>
        <v>740675.89999999991</v>
      </c>
    </row>
    <row r="4537" spans="1:15">
      <c r="A4537" s="2" t="s">
        <v>20</v>
      </c>
      <c r="B4537" t="s">
        <v>43</v>
      </c>
      <c r="C4537" t="s">
        <v>44</v>
      </c>
      <c r="D4537">
        <v>75</v>
      </c>
      <c r="E4537" t="s">
        <v>46</v>
      </c>
      <c r="F4537">
        <v>5</v>
      </c>
      <c r="G4537">
        <v>1</v>
      </c>
      <c r="H4537">
        <v>4</v>
      </c>
      <c r="I4537">
        <v>1</v>
      </c>
      <c r="J4537" s="4" t="s">
        <v>52</v>
      </c>
      <c r="K4537" t="str">
        <f t="shared" si="226"/>
        <v>1+4</v>
      </c>
      <c r="L4537">
        <f>VLOOKUP(A4537,'ZONE 1 PREMIUM'!$A$4:$N$16,14,0)</f>
        <v>11</v>
      </c>
      <c r="M4537">
        <f>VLOOKUP(D4537,DROPDOWN!B:C,2,0)</f>
        <v>14</v>
      </c>
      <c r="N4537" t="str">
        <f t="shared" si="224"/>
        <v>X65:AP76</v>
      </c>
      <c r="O4537" s="4">
        <f t="shared" ca="1" si="225"/>
        <v>853120.6</v>
      </c>
    </row>
    <row r="4538" spans="1:15">
      <c r="A4538" s="2" t="s">
        <v>21</v>
      </c>
      <c r="B4538" t="s">
        <v>22</v>
      </c>
      <c r="D4538">
        <v>75</v>
      </c>
      <c r="E4538" t="s">
        <v>46</v>
      </c>
      <c r="F4538">
        <v>5</v>
      </c>
      <c r="G4538">
        <v>1</v>
      </c>
      <c r="H4538">
        <v>4</v>
      </c>
      <c r="I4538">
        <v>1</v>
      </c>
      <c r="J4538" s="4" t="s">
        <v>52</v>
      </c>
      <c r="K4538" t="str">
        <f t="shared" si="226"/>
        <v>1+4</v>
      </c>
      <c r="L4538">
        <f>VLOOKUP(A4538,'ZONE 1 PREMIUM'!$A$4:$N$16,14,0)</f>
        <v>12</v>
      </c>
      <c r="M4538">
        <f>VLOOKUP(D4538,DROPDOWN!B:C,2,0)</f>
        <v>14</v>
      </c>
      <c r="N4538" t="str">
        <f t="shared" si="224"/>
        <v>X65:AP76</v>
      </c>
      <c r="O4538" s="4">
        <f t="shared" ca="1" si="225"/>
        <v>1087949.45</v>
      </c>
    </row>
    <row r="4539" spans="1:15">
      <c r="A4539" s="2" t="s">
        <v>11</v>
      </c>
      <c r="B4539" t="s">
        <v>45</v>
      </c>
      <c r="C4539" t="s">
        <v>25</v>
      </c>
      <c r="D4539">
        <v>75</v>
      </c>
      <c r="E4539" t="s">
        <v>46</v>
      </c>
      <c r="F4539">
        <v>2</v>
      </c>
      <c r="G4539">
        <v>2</v>
      </c>
      <c r="H4539">
        <v>0</v>
      </c>
      <c r="I4539">
        <v>1</v>
      </c>
      <c r="J4539" s="4" t="s">
        <v>52</v>
      </c>
      <c r="K4539" t="str">
        <f t="shared" si="226"/>
        <v>2+0</v>
      </c>
      <c r="L4539">
        <f>VLOOKUP(A4539,'ZONE 1 PREMIUM'!$A$4:$N$16,14,0)</f>
        <v>2</v>
      </c>
      <c r="M4539">
        <f>VLOOKUP(D4539,DROPDOWN!B:C,2,0)</f>
        <v>14</v>
      </c>
      <c r="N4539" t="str">
        <f t="shared" si="224"/>
        <v>X81:AP92</v>
      </c>
      <c r="O4539" s="4">
        <f t="shared" ca="1" si="225"/>
        <v>164454.59999999998</v>
      </c>
    </row>
    <row r="4540" spans="1:15">
      <c r="A4540" s="2" t="s">
        <v>12</v>
      </c>
      <c r="B4540" t="s">
        <v>27</v>
      </c>
      <c r="C4540" t="s">
        <v>28</v>
      </c>
      <c r="D4540">
        <v>75</v>
      </c>
      <c r="E4540" t="s">
        <v>46</v>
      </c>
      <c r="F4540">
        <v>2</v>
      </c>
      <c r="G4540">
        <v>2</v>
      </c>
      <c r="H4540">
        <v>0</v>
      </c>
      <c r="I4540">
        <v>1</v>
      </c>
      <c r="J4540" s="4" t="s">
        <v>52</v>
      </c>
      <c r="K4540" t="str">
        <f t="shared" si="226"/>
        <v>2+0</v>
      </c>
      <c r="L4540">
        <f>VLOOKUP(A4540,'ZONE 1 PREMIUM'!$A$4:$N$16,14,0)</f>
        <v>3</v>
      </c>
      <c r="M4540">
        <f>VLOOKUP(D4540,DROPDOWN!B:C,2,0)</f>
        <v>14</v>
      </c>
      <c r="N4540" t="str">
        <f t="shared" si="224"/>
        <v>X81:AP92</v>
      </c>
      <c r="O4540" s="4">
        <f t="shared" ca="1" si="225"/>
        <v>188372.3</v>
      </c>
    </row>
    <row r="4541" spans="1:15">
      <c r="A4541" s="2" t="s">
        <v>13</v>
      </c>
      <c r="B4541" t="s">
        <v>29</v>
      </c>
      <c r="C4541" t="s">
        <v>30</v>
      </c>
      <c r="D4541">
        <v>75</v>
      </c>
      <c r="E4541" t="s">
        <v>46</v>
      </c>
      <c r="F4541">
        <v>2</v>
      </c>
      <c r="G4541">
        <v>2</v>
      </c>
      <c r="H4541">
        <v>0</v>
      </c>
      <c r="I4541">
        <v>1</v>
      </c>
      <c r="J4541" s="4" t="s">
        <v>52</v>
      </c>
      <c r="K4541" t="str">
        <f t="shared" si="226"/>
        <v>2+0</v>
      </c>
      <c r="L4541">
        <f>VLOOKUP(A4541,'ZONE 1 PREMIUM'!$A$4:$N$16,14,0)</f>
        <v>4</v>
      </c>
      <c r="M4541">
        <f>VLOOKUP(D4541,DROPDOWN!B:C,2,0)</f>
        <v>14</v>
      </c>
      <c r="N4541" t="str">
        <f t="shared" si="224"/>
        <v>X81:AP92</v>
      </c>
      <c r="O4541" s="4">
        <f t="shared" ca="1" si="225"/>
        <v>200766.99999999997</v>
      </c>
    </row>
    <row r="4542" spans="1:15">
      <c r="A4542" s="2" t="s">
        <v>14</v>
      </c>
      <c r="B4542" t="s">
        <v>31</v>
      </c>
      <c r="C4542" t="s">
        <v>32</v>
      </c>
      <c r="D4542">
        <v>75</v>
      </c>
      <c r="E4542" t="s">
        <v>46</v>
      </c>
      <c r="F4542">
        <v>2</v>
      </c>
      <c r="G4542">
        <v>2</v>
      </c>
      <c r="H4542">
        <v>0</v>
      </c>
      <c r="I4542">
        <v>1</v>
      </c>
      <c r="J4542" s="4" t="s">
        <v>52</v>
      </c>
      <c r="K4542" t="str">
        <f t="shared" si="226"/>
        <v>2+0</v>
      </c>
      <c r="L4542">
        <f>VLOOKUP(A4542,'ZONE 1 PREMIUM'!$A$4:$N$16,14,0)</f>
        <v>5</v>
      </c>
      <c r="M4542">
        <f>VLOOKUP(D4542,DROPDOWN!B:C,2,0)</f>
        <v>14</v>
      </c>
      <c r="N4542" t="str">
        <f t="shared" si="224"/>
        <v>X81:AP92</v>
      </c>
      <c r="O4542" s="4">
        <f t="shared" ca="1" si="225"/>
        <v>226302.74999999997</v>
      </c>
    </row>
    <row r="4543" spans="1:15">
      <c r="A4543" s="2" t="s">
        <v>15</v>
      </c>
      <c r="B4543" t="s">
        <v>33</v>
      </c>
      <c r="C4543" t="s">
        <v>34</v>
      </c>
      <c r="D4543">
        <v>75</v>
      </c>
      <c r="E4543" t="s">
        <v>46</v>
      </c>
      <c r="F4543">
        <v>2</v>
      </c>
      <c r="G4543">
        <v>2</v>
      </c>
      <c r="H4543">
        <v>0</v>
      </c>
      <c r="I4543">
        <v>1</v>
      </c>
      <c r="J4543" s="4" t="s">
        <v>52</v>
      </c>
      <c r="K4543" t="str">
        <f t="shared" si="226"/>
        <v>2+0</v>
      </c>
      <c r="L4543">
        <f>VLOOKUP(A4543,'ZONE 1 PREMIUM'!$A$4:$N$16,14,0)</f>
        <v>6</v>
      </c>
      <c r="M4543">
        <f>VLOOKUP(D4543,DROPDOWN!B:C,2,0)</f>
        <v>14</v>
      </c>
      <c r="N4543" t="str">
        <f t="shared" si="224"/>
        <v>X81:AP92</v>
      </c>
      <c r="O4543" s="4">
        <f t="shared" ca="1" si="225"/>
        <v>286373</v>
      </c>
    </row>
    <row r="4544" spans="1:15">
      <c r="A4544" s="2" t="s">
        <v>16</v>
      </c>
      <c r="B4544" t="s">
        <v>35</v>
      </c>
      <c r="C4544" t="s">
        <v>36</v>
      </c>
      <c r="D4544">
        <v>75</v>
      </c>
      <c r="E4544" t="s">
        <v>46</v>
      </c>
      <c r="F4544">
        <v>2</v>
      </c>
      <c r="G4544">
        <v>2</v>
      </c>
      <c r="H4544">
        <v>0</v>
      </c>
      <c r="I4544">
        <v>1</v>
      </c>
      <c r="J4544" s="4" t="s">
        <v>52</v>
      </c>
      <c r="K4544" t="str">
        <f t="shared" si="226"/>
        <v>2+0</v>
      </c>
      <c r="L4544">
        <f>VLOOKUP(A4544,'ZONE 1 PREMIUM'!$A$4:$N$16,14,0)</f>
        <v>7</v>
      </c>
      <c r="M4544">
        <f>VLOOKUP(D4544,DROPDOWN!B:C,2,0)</f>
        <v>14</v>
      </c>
      <c r="N4544" t="str">
        <f t="shared" si="224"/>
        <v>X81:AP92</v>
      </c>
      <c r="O4544" s="4">
        <f t="shared" ca="1" si="225"/>
        <v>391246.1</v>
      </c>
    </row>
    <row r="4545" spans="1:15">
      <c r="A4545" s="2" t="s">
        <v>17</v>
      </c>
      <c r="B4545" t="s">
        <v>37</v>
      </c>
      <c r="C4545" t="s">
        <v>38</v>
      </c>
      <c r="D4545">
        <v>75</v>
      </c>
      <c r="E4545" t="s">
        <v>46</v>
      </c>
      <c r="F4545">
        <v>2</v>
      </c>
      <c r="G4545">
        <v>2</v>
      </c>
      <c r="H4545">
        <v>0</v>
      </c>
      <c r="I4545">
        <v>1</v>
      </c>
      <c r="J4545" s="4" t="s">
        <v>52</v>
      </c>
      <c r="K4545" t="str">
        <f t="shared" si="226"/>
        <v>2+0</v>
      </c>
      <c r="L4545">
        <f>VLOOKUP(A4545,'ZONE 1 PREMIUM'!$A$4:$N$16,14,0)</f>
        <v>8</v>
      </c>
      <c r="M4545">
        <f>VLOOKUP(D4545,DROPDOWN!B:C,2,0)</f>
        <v>14</v>
      </c>
      <c r="N4545" t="str">
        <f t="shared" si="224"/>
        <v>X81:AP92</v>
      </c>
      <c r="O4545" s="4">
        <f t="shared" ca="1" si="225"/>
        <v>542986.29999999993</v>
      </c>
    </row>
    <row r="4546" spans="1:15">
      <c r="A4546" s="2" t="s">
        <v>18</v>
      </c>
      <c r="B4546" t="s">
        <v>39</v>
      </c>
      <c r="C4546" t="s">
        <v>40</v>
      </c>
      <c r="D4546">
        <v>75</v>
      </c>
      <c r="E4546" t="s">
        <v>46</v>
      </c>
      <c r="F4546">
        <v>2</v>
      </c>
      <c r="G4546">
        <v>2</v>
      </c>
      <c r="H4546">
        <v>0</v>
      </c>
      <c r="I4546">
        <v>1</v>
      </c>
      <c r="J4546" s="4" t="s">
        <v>52</v>
      </c>
      <c r="K4546" t="str">
        <f t="shared" si="226"/>
        <v>2+0</v>
      </c>
      <c r="L4546">
        <f>VLOOKUP(A4546,'ZONE 1 PREMIUM'!$A$4:$N$16,14,0)</f>
        <v>9</v>
      </c>
      <c r="M4546">
        <f>VLOOKUP(D4546,DROPDOWN!B:C,2,0)</f>
        <v>14</v>
      </c>
      <c r="N4546" t="str">
        <f t="shared" ref="N4546:N4593" si="227">VLOOKUP(K4546,$AQ$3:$AR$12,2,0)</f>
        <v>X81:AP92</v>
      </c>
      <c r="O4546" s="4">
        <f t="shared" ref="O4546:O4609" ca="1" si="228">INDEX(INDIRECT(N4546),L4546,M4546)</f>
        <v>763672.45</v>
      </c>
    </row>
    <row r="4547" spans="1:15">
      <c r="A4547" s="2" t="s">
        <v>19</v>
      </c>
      <c r="B4547" t="s">
        <v>41</v>
      </c>
      <c r="C4547" t="s">
        <v>42</v>
      </c>
      <c r="D4547">
        <v>75</v>
      </c>
      <c r="E4547" t="s">
        <v>46</v>
      </c>
      <c r="F4547">
        <v>2</v>
      </c>
      <c r="G4547">
        <v>2</v>
      </c>
      <c r="H4547">
        <v>0</v>
      </c>
      <c r="I4547">
        <v>1</v>
      </c>
      <c r="J4547" s="4" t="s">
        <v>52</v>
      </c>
      <c r="K4547" t="str">
        <f t="shared" si="226"/>
        <v>2+0</v>
      </c>
      <c r="L4547">
        <f>VLOOKUP(A4547,'ZONE 1 PREMIUM'!$A$4:$N$16,14,0)</f>
        <v>10</v>
      </c>
      <c r="M4547">
        <f>VLOOKUP(D4547,DROPDOWN!B:C,2,0)</f>
        <v>14</v>
      </c>
      <c r="N4547" t="str">
        <f t="shared" si="227"/>
        <v>X81:AP92</v>
      </c>
      <c r="O4547" s="4">
        <f t="shared" ca="1" si="228"/>
        <v>1061708.75</v>
      </c>
    </row>
    <row r="4548" spans="1:15">
      <c r="A4548" s="2" t="s">
        <v>20</v>
      </c>
      <c r="B4548" t="s">
        <v>43</v>
      </c>
      <c r="C4548" t="s">
        <v>44</v>
      </c>
      <c r="D4548">
        <v>75</v>
      </c>
      <c r="E4548" t="s">
        <v>46</v>
      </c>
      <c r="F4548">
        <v>2</v>
      </c>
      <c r="G4548">
        <v>2</v>
      </c>
      <c r="H4548">
        <v>0</v>
      </c>
      <c r="I4548">
        <v>1</v>
      </c>
      <c r="J4548" s="4" t="s">
        <v>52</v>
      </c>
      <c r="K4548" t="str">
        <f t="shared" ref="K4548:K4611" si="229">G4548&amp;"+"&amp;H4548</f>
        <v>2+0</v>
      </c>
      <c r="L4548">
        <f>VLOOKUP(A4548,'ZONE 1 PREMIUM'!$A$4:$N$16,14,0)</f>
        <v>11</v>
      </c>
      <c r="M4548">
        <f>VLOOKUP(D4548,DROPDOWN!B:C,2,0)</f>
        <v>14</v>
      </c>
      <c r="N4548" t="str">
        <f t="shared" si="227"/>
        <v>X81:AP92</v>
      </c>
      <c r="O4548" s="4">
        <f t="shared" ca="1" si="228"/>
        <v>1300324.5499999998</v>
      </c>
    </row>
    <row r="4549" spans="1:15">
      <c r="A4549" s="2" t="s">
        <v>21</v>
      </c>
      <c r="B4549" t="s">
        <v>22</v>
      </c>
      <c r="D4549">
        <v>75</v>
      </c>
      <c r="E4549" t="s">
        <v>46</v>
      </c>
      <c r="F4549">
        <v>2</v>
      </c>
      <c r="G4549">
        <v>2</v>
      </c>
      <c r="H4549">
        <v>0</v>
      </c>
      <c r="I4549">
        <v>1</v>
      </c>
      <c r="J4549" s="4" t="s">
        <v>52</v>
      </c>
      <c r="K4549" t="str">
        <f t="shared" si="229"/>
        <v>2+0</v>
      </c>
      <c r="L4549">
        <f>VLOOKUP(A4549,'ZONE 1 PREMIUM'!$A$4:$N$16,14,0)</f>
        <v>12</v>
      </c>
      <c r="M4549">
        <f>VLOOKUP(D4549,DROPDOWN!B:C,2,0)</f>
        <v>14</v>
      </c>
      <c r="N4549" t="str">
        <f t="shared" si="227"/>
        <v>X81:AP92</v>
      </c>
      <c r="O4549" s="4">
        <f t="shared" ca="1" si="228"/>
        <v>1637476.95</v>
      </c>
    </row>
    <row r="4550" spans="1:15">
      <c r="A4550" s="2" t="s">
        <v>11</v>
      </c>
      <c r="B4550" t="s">
        <v>45</v>
      </c>
      <c r="C4550" t="s">
        <v>25</v>
      </c>
      <c r="D4550">
        <v>75</v>
      </c>
      <c r="E4550" t="s">
        <v>46</v>
      </c>
      <c r="F4550">
        <v>3</v>
      </c>
      <c r="G4550">
        <v>2</v>
      </c>
      <c r="H4550">
        <v>1</v>
      </c>
      <c r="I4550">
        <v>1</v>
      </c>
      <c r="J4550" s="4" t="s">
        <v>52</v>
      </c>
      <c r="K4550" t="str">
        <f t="shared" si="229"/>
        <v>2+1</v>
      </c>
      <c r="L4550">
        <f>VLOOKUP(A4550,'ZONE 1 PREMIUM'!$A$4:$N$16,14,0)</f>
        <v>2</v>
      </c>
      <c r="M4550">
        <f>VLOOKUP(D4550,DROPDOWN!B:C,2,0)</f>
        <v>14</v>
      </c>
      <c r="N4550" t="str">
        <f t="shared" si="227"/>
        <v>X98:AP109</v>
      </c>
      <c r="O4550" s="4">
        <f t="shared" ca="1" si="228"/>
        <v>193298.9</v>
      </c>
    </row>
    <row r="4551" spans="1:15">
      <c r="A4551" s="2" t="s">
        <v>12</v>
      </c>
      <c r="B4551" t="s">
        <v>27</v>
      </c>
      <c r="C4551" t="s">
        <v>28</v>
      </c>
      <c r="D4551">
        <v>75</v>
      </c>
      <c r="E4551" t="s">
        <v>46</v>
      </c>
      <c r="F4551">
        <v>3</v>
      </c>
      <c r="G4551">
        <v>2</v>
      </c>
      <c r="H4551">
        <v>1</v>
      </c>
      <c r="I4551">
        <v>1</v>
      </c>
      <c r="J4551" s="4" t="s">
        <v>52</v>
      </c>
      <c r="K4551" t="str">
        <f t="shared" si="229"/>
        <v>2+1</v>
      </c>
      <c r="L4551">
        <f>VLOOKUP(A4551,'ZONE 1 PREMIUM'!$A$4:$N$16,14,0)</f>
        <v>3</v>
      </c>
      <c r="M4551">
        <f>VLOOKUP(D4551,DROPDOWN!B:C,2,0)</f>
        <v>14</v>
      </c>
      <c r="N4551" t="str">
        <f t="shared" si="227"/>
        <v>X98:AP109</v>
      </c>
      <c r="O4551" s="4">
        <f t="shared" ca="1" si="228"/>
        <v>216788.8</v>
      </c>
    </row>
    <row r="4552" spans="1:15">
      <c r="A4552" s="2" t="s">
        <v>13</v>
      </c>
      <c r="B4552" t="s">
        <v>29</v>
      </c>
      <c r="C4552" t="s">
        <v>30</v>
      </c>
      <c r="D4552">
        <v>75</v>
      </c>
      <c r="E4552" t="s">
        <v>46</v>
      </c>
      <c r="F4552">
        <v>3</v>
      </c>
      <c r="G4552">
        <v>2</v>
      </c>
      <c r="H4552">
        <v>1</v>
      </c>
      <c r="I4552">
        <v>1</v>
      </c>
      <c r="J4552" s="4" t="s">
        <v>52</v>
      </c>
      <c r="K4552" t="str">
        <f t="shared" si="229"/>
        <v>2+1</v>
      </c>
      <c r="L4552">
        <f>VLOOKUP(A4552,'ZONE 1 PREMIUM'!$A$4:$N$16,14,0)</f>
        <v>4</v>
      </c>
      <c r="M4552">
        <f>VLOOKUP(D4552,DROPDOWN!B:C,2,0)</f>
        <v>14</v>
      </c>
      <c r="N4552" t="str">
        <f t="shared" si="227"/>
        <v>X98:AP109</v>
      </c>
      <c r="O4552" s="4">
        <f t="shared" ca="1" si="228"/>
        <v>233761.65</v>
      </c>
    </row>
    <row r="4553" spans="1:15">
      <c r="A4553" s="2" t="s">
        <v>14</v>
      </c>
      <c r="B4553" t="s">
        <v>31</v>
      </c>
      <c r="C4553" t="s">
        <v>32</v>
      </c>
      <c r="D4553">
        <v>75</v>
      </c>
      <c r="E4553" t="s">
        <v>46</v>
      </c>
      <c r="F4553">
        <v>3</v>
      </c>
      <c r="G4553">
        <v>2</v>
      </c>
      <c r="H4553">
        <v>1</v>
      </c>
      <c r="I4553">
        <v>1</v>
      </c>
      <c r="J4553" s="4" t="s">
        <v>52</v>
      </c>
      <c r="K4553" t="str">
        <f t="shared" si="229"/>
        <v>2+1</v>
      </c>
      <c r="L4553">
        <f>VLOOKUP(A4553,'ZONE 1 PREMIUM'!$A$4:$N$16,14,0)</f>
        <v>5</v>
      </c>
      <c r="M4553">
        <f>VLOOKUP(D4553,DROPDOWN!B:C,2,0)</f>
        <v>14</v>
      </c>
      <c r="N4553" t="str">
        <f t="shared" si="227"/>
        <v>X98:AP109</v>
      </c>
      <c r="O4553" s="4">
        <f t="shared" ca="1" si="228"/>
        <v>261651.44999999998</v>
      </c>
    </row>
    <row r="4554" spans="1:15">
      <c r="A4554" s="2" t="s">
        <v>15</v>
      </c>
      <c r="B4554" t="s">
        <v>33</v>
      </c>
      <c r="C4554" t="s">
        <v>34</v>
      </c>
      <c r="D4554">
        <v>75</v>
      </c>
      <c r="E4554" t="s">
        <v>46</v>
      </c>
      <c r="F4554">
        <v>3</v>
      </c>
      <c r="G4554">
        <v>2</v>
      </c>
      <c r="H4554">
        <v>1</v>
      </c>
      <c r="I4554">
        <v>1</v>
      </c>
      <c r="J4554" s="4" t="s">
        <v>52</v>
      </c>
      <c r="K4554" t="str">
        <f t="shared" si="229"/>
        <v>2+1</v>
      </c>
      <c r="L4554">
        <f>VLOOKUP(A4554,'ZONE 1 PREMIUM'!$A$4:$N$16,14,0)</f>
        <v>6</v>
      </c>
      <c r="M4554">
        <f>VLOOKUP(D4554,DROPDOWN!B:C,2,0)</f>
        <v>14</v>
      </c>
      <c r="N4554" t="str">
        <f t="shared" si="227"/>
        <v>X98:AP109</v>
      </c>
      <c r="O4554" s="4">
        <f t="shared" ca="1" si="228"/>
        <v>325970.94999999995</v>
      </c>
    </row>
    <row r="4555" spans="1:15">
      <c r="A4555" s="2" t="s">
        <v>16</v>
      </c>
      <c r="B4555" t="s">
        <v>35</v>
      </c>
      <c r="C4555" t="s">
        <v>36</v>
      </c>
      <c r="D4555">
        <v>75</v>
      </c>
      <c r="E4555" t="s">
        <v>46</v>
      </c>
      <c r="F4555">
        <v>3</v>
      </c>
      <c r="G4555">
        <v>2</v>
      </c>
      <c r="H4555">
        <v>1</v>
      </c>
      <c r="I4555">
        <v>1</v>
      </c>
      <c r="J4555" s="4" t="s">
        <v>52</v>
      </c>
      <c r="K4555" t="str">
        <f t="shared" si="229"/>
        <v>2+1</v>
      </c>
      <c r="L4555">
        <f>VLOOKUP(A4555,'ZONE 1 PREMIUM'!$A$4:$N$16,14,0)</f>
        <v>7</v>
      </c>
      <c r="M4555">
        <f>VLOOKUP(D4555,DROPDOWN!B:C,2,0)</f>
        <v>14</v>
      </c>
      <c r="N4555" t="str">
        <f t="shared" si="227"/>
        <v>X98:AP109</v>
      </c>
      <c r="O4555" s="4">
        <f t="shared" ca="1" si="228"/>
        <v>439823.24999999994</v>
      </c>
    </row>
    <row r="4556" spans="1:15">
      <c r="A4556" s="2" t="s">
        <v>17</v>
      </c>
      <c r="B4556" t="s">
        <v>37</v>
      </c>
      <c r="C4556" t="s">
        <v>38</v>
      </c>
      <c r="D4556">
        <v>75</v>
      </c>
      <c r="E4556" t="s">
        <v>46</v>
      </c>
      <c r="F4556">
        <v>3</v>
      </c>
      <c r="G4556">
        <v>2</v>
      </c>
      <c r="H4556">
        <v>1</v>
      </c>
      <c r="I4556">
        <v>1</v>
      </c>
      <c r="J4556" s="4" t="s">
        <v>52</v>
      </c>
      <c r="K4556" t="str">
        <f t="shared" si="229"/>
        <v>2+1</v>
      </c>
      <c r="L4556">
        <f>VLOOKUP(A4556,'ZONE 1 PREMIUM'!$A$4:$N$16,14,0)</f>
        <v>8</v>
      </c>
      <c r="M4556">
        <f>VLOOKUP(D4556,DROPDOWN!B:C,2,0)</f>
        <v>14</v>
      </c>
      <c r="N4556" t="str">
        <f t="shared" si="227"/>
        <v>X98:AP109</v>
      </c>
      <c r="O4556" s="4">
        <f t="shared" ca="1" si="228"/>
        <v>595156.04999999993</v>
      </c>
    </row>
    <row r="4557" spans="1:15">
      <c r="A4557" s="2" t="s">
        <v>18</v>
      </c>
      <c r="B4557" t="s">
        <v>39</v>
      </c>
      <c r="C4557" t="s">
        <v>40</v>
      </c>
      <c r="D4557">
        <v>75</v>
      </c>
      <c r="E4557" t="s">
        <v>46</v>
      </c>
      <c r="F4557">
        <v>3</v>
      </c>
      <c r="G4557">
        <v>2</v>
      </c>
      <c r="H4557">
        <v>1</v>
      </c>
      <c r="I4557">
        <v>1</v>
      </c>
      <c r="J4557" s="4" t="s">
        <v>52</v>
      </c>
      <c r="K4557" t="str">
        <f t="shared" si="229"/>
        <v>2+1</v>
      </c>
      <c r="L4557">
        <f>VLOOKUP(A4557,'ZONE 1 PREMIUM'!$A$4:$N$16,14,0)</f>
        <v>9</v>
      </c>
      <c r="M4557">
        <f>VLOOKUP(D4557,DROPDOWN!B:C,2,0)</f>
        <v>14</v>
      </c>
      <c r="N4557" t="str">
        <f t="shared" si="227"/>
        <v>X98:AP109</v>
      </c>
      <c r="O4557" s="4">
        <f t="shared" ca="1" si="228"/>
        <v>816740.35</v>
      </c>
    </row>
    <row r="4558" spans="1:15">
      <c r="A4558" s="2" t="s">
        <v>19</v>
      </c>
      <c r="B4558" t="s">
        <v>41</v>
      </c>
      <c r="C4558" t="s">
        <v>42</v>
      </c>
      <c r="D4558">
        <v>75</v>
      </c>
      <c r="E4558" t="s">
        <v>46</v>
      </c>
      <c r="F4558">
        <v>3</v>
      </c>
      <c r="G4558">
        <v>2</v>
      </c>
      <c r="H4558">
        <v>1</v>
      </c>
      <c r="I4558">
        <v>1</v>
      </c>
      <c r="J4558" s="4" t="s">
        <v>52</v>
      </c>
      <c r="K4558" t="str">
        <f t="shared" si="229"/>
        <v>2+1</v>
      </c>
      <c r="L4558">
        <f>VLOOKUP(A4558,'ZONE 1 PREMIUM'!$A$4:$N$16,14,0)</f>
        <v>10</v>
      </c>
      <c r="M4558">
        <f>VLOOKUP(D4558,DROPDOWN!B:C,2,0)</f>
        <v>14</v>
      </c>
      <c r="N4558" t="str">
        <f t="shared" si="227"/>
        <v>X98:AP109</v>
      </c>
      <c r="O4558" s="4">
        <f t="shared" ca="1" si="228"/>
        <v>1090409.2999999998</v>
      </c>
    </row>
    <row r="4559" spans="1:15">
      <c r="A4559" s="2" t="s">
        <v>20</v>
      </c>
      <c r="B4559" t="s">
        <v>43</v>
      </c>
      <c r="C4559" t="s">
        <v>44</v>
      </c>
      <c r="D4559">
        <v>75</v>
      </c>
      <c r="E4559" t="s">
        <v>46</v>
      </c>
      <c r="F4559">
        <v>3</v>
      </c>
      <c r="G4559">
        <v>2</v>
      </c>
      <c r="H4559">
        <v>1</v>
      </c>
      <c r="I4559">
        <v>1</v>
      </c>
      <c r="J4559" s="4" t="s">
        <v>52</v>
      </c>
      <c r="K4559" t="str">
        <f t="shared" si="229"/>
        <v>2+1</v>
      </c>
      <c r="L4559">
        <f>VLOOKUP(A4559,'ZONE 1 PREMIUM'!$A$4:$N$16,14,0)</f>
        <v>11</v>
      </c>
      <c r="M4559">
        <f>VLOOKUP(D4559,DROPDOWN!B:C,2,0)</f>
        <v>14</v>
      </c>
      <c r="N4559" t="str">
        <f t="shared" si="227"/>
        <v>X98:AP109</v>
      </c>
      <c r="O4559" s="4">
        <f t="shared" ca="1" si="228"/>
        <v>1320540.3999999999</v>
      </c>
    </row>
    <row r="4560" spans="1:15">
      <c r="A4560" s="2" t="s">
        <v>21</v>
      </c>
      <c r="B4560" t="s">
        <v>22</v>
      </c>
      <c r="D4560">
        <v>75</v>
      </c>
      <c r="E4560" t="s">
        <v>46</v>
      </c>
      <c r="F4560">
        <v>3</v>
      </c>
      <c r="G4560">
        <v>2</v>
      </c>
      <c r="H4560">
        <v>1</v>
      </c>
      <c r="I4560">
        <v>1</v>
      </c>
      <c r="J4560" s="4" t="s">
        <v>52</v>
      </c>
      <c r="K4560" t="str">
        <f t="shared" si="229"/>
        <v>2+1</v>
      </c>
      <c r="L4560">
        <f>VLOOKUP(A4560,'ZONE 1 PREMIUM'!$A$4:$N$16,14,0)</f>
        <v>12</v>
      </c>
      <c r="M4560">
        <f>VLOOKUP(D4560,DROPDOWN!B:C,2,0)</f>
        <v>14</v>
      </c>
      <c r="N4560" t="str">
        <f t="shared" si="227"/>
        <v>X98:AP109</v>
      </c>
      <c r="O4560" s="4">
        <f t="shared" ca="1" si="228"/>
        <v>1656895.8499999999</v>
      </c>
    </row>
    <row r="4561" spans="1:15">
      <c r="A4561" s="2" t="s">
        <v>11</v>
      </c>
      <c r="B4561" t="s">
        <v>45</v>
      </c>
      <c r="C4561" t="s">
        <v>25</v>
      </c>
      <c r="D4561">
        <v>75</v>
      </c>
      <c r="E4561" t="s">
        <v>46</v>
      </c>
      <c r="F4561">
        <v>4</v>
      </c>
      <c r="G4561">
        <v>2</v>
      </c>
      <c r="H4561">
        <v>2</v>
      </c>
      <c r="I4561">
        <v>1</v>
      </c>
      <c r="J4561" s="4" t="s">
        <v>52</v>
      </c>
      <c r="K4561" t="str">
        <f t="shared" si="229"/>
        <v>2+2</v>
      </c>
      <c r="L4561">
        <f>VLOOKUP(A4561,'ZONE 1 PREMIUM'!$A$4:$N$16,14,0)</f>
        <v>2</v>
      </c>
      <c r="M4561">
        <f>VLOOKUP(D4561,DROPDOWN!B:C,2,0)</f>
        <v>14</v>
      </c>
      <c r="N4561" t="str">
        <f t="shared" si="227"/>
        <v>X113:AP124</v>
      </c>
      <c r="O4561" s="4">
        <f t="shared" ca="1" si="228"/>
        <v>221979.9</v>
      </c>
    </row>
    <row r="4562" spans="1:15">
      <c r="A4562" s="2" t="s">
        <v>12</v>
      </c>
      <c r="B4562" t="s">
        <v>27</v>
      </c>
      <c r="C4562" t="s">
        <v>28</v>
      </c>
      <c r="D4562">
        <v>75</v>
      </c>
      <c r="E4562" t="s">
        <v>46</v>
      </c>
      <c r="F4562">
        <v>4</v>
      </c>
      <c r="G4562">
        <v>2</v>
      </c>
      <c r="H4562">
        <v>2</v>
      </c>
      <c r="I4562">
        <v>1</v>
      </c>
      <c r="J4562" s="4" t="s">
        <v>52</v>
      </c>
      <c r="K4562" t="str">
        <f t="shared" si="229"/>
        <v>2+2</v>
      </c>
      <c r="L4562">
        <f>VLOOKUP(A4562,'ZONE 1 PREMIUM'!$A$4:$N$16,14,0)</f>
        <v>3</v>
      </c>
      <c r="M4562">
        <f>VLOOKUP(D4562,DROPDOWN!B:C,2,0)</f>
        <v>14</v>
      </c>
      <c r="N4562" t="str">
        <f t="shared" si="227"/>
        <v>X113:AP124</v>
      </c>
      <c r="O4562" s="4">
        <f t="shared" ca="1" si="228"/>
        <v>245043.15</v>
      </c>
    </row>
    <row r="4563" spans="1:15">
      <c r="A4563" s="2" t="s">
        <v>13</v>
      </c>
      <c r="B4563" t="s">
        <v>29</v>
      </c>
      <c r="C4563" t="s">
        <v>30</v>
      </c>
      <c r="D4563">
        <v>75</v>
      </c>
      <c r="E4563" t="s">
        <v>46</v>
      </c>
      <c r="F4563">
        <v>4</v>
      </c>
      <c r="G4563">
        <v>2</v>
      </c>
      <c r="H4563">
        <v>2</v>
      </c>
      <c r="I4563">
        <v>1</v>
      </c>
      <c r="J4563" s="4" t="s">
        <v>52</v>
      </c>
      <c r="K4563" t="str">
        <f t="shared" si="229"/>
        <v>2+2</v>
      </c>
      <c r="L4563">
        <f>VLOOKUP(A4563,'ZONE 1 PREMIUM'!$A$4:$N$16,14,0)</f>
        <v>4</v>
      </c>
      <c r="M4563">
        <f>VLOOKUP(D4563,DROPDOWN!B:C,2,0)</f>
        <v>14</v>
      </c>
      <c r="N4563" t="str">
        <f t="shared" si="227"/>
        <v>X113:AP124</v>
      </c>
      <c r="O4563" s="4">
        <f t="shared" ca="1" si="228"/>
        <v>266519.39999999997</v>
      </c>
    </row>
    <row r="4564" spans="1:15">
      <c r="A4564" s="2" t="s">
        <v>14</v>
      </c>
      <c r="B4564" t="s">
        <v>31</v>
      </c>
      <c r="C4564" t="s">
        <v>32</v>
      </c>
      <c r="D4564">
        <v>75</v>
      </c>
      <c r="E4564" t="s">
        <v>46</v>
      </c>
      <c r="F4564">
        <v>4</v>
      </c>
      <c r="G4564">
        <v>2</v>
      </c>
      <c r="H4564">
        <v>2</v>
      </c>
      <c r="I4564">
        <v>1</v>
      </c>
      <c r="J4564" s="4" t="s">
        <v>52</v>
      </c>
      <c r="K4564" t="str">
        <f t="shared" si="229"/>
        <v>2+2</v>
      </c>
      <c r="L4564">
        <f>VLOOKUP(A4564,'ZONE 1 PREMIUM'!$A$4:$N$16,14,0)</f>
        <v>5</v>
      </c>
      <c r="M4564">
        <f>VLOOKUP(D4564,DROPDOWN!B:C,2,0)</f>
        <v>14</v>
      </c>
      <c r="N4564" t="str">
        <f t="shared" si="227"/>
        <v>X113:AP124</v>
      </c>
      <c r="O4564" s="4">
        <f t="shared" ca="1" si="228"/>
        <v>296709.19999999995</v>
      </c>
    </row>
    <row r="4565" spans="1:15">
      <c r="A4565" s="2" t="s">
        <v>15</v>
      </c>
      <c r="B4565" t="s">
        <v>33</v>
      </c>
      <c r="C4565" t="s">
        <v>34</v>
      </c>
      <c r="D4565">
        <v>75</v>
      </c>
      <c r="E4565" t="s">
        <v>46</v>
      </c>
      <c r="F4565">
        <v>4</v>
      </c>
      <c r="G4565">
        <v>2</v>
      </c>
      <c r="H4565">
        <v>2</v>
      </c>
      <c r="I4565">
        <v>1</v>
      </c>
      <c r="J4565" s="4" t="s">
        <v>52</v>
      </c>
      <c r="K4565" t="str">
        <f t="shared" si="229"/>
        <v>2+2</v>
      </c>
      <c r="L4565">
        <f>VLOOKUP(A4565,'ZONE 1 PREMIUM'!$A$4:$N$16,14,0)</f>
        <v>6</v>
      </c>
      <c r="M4565">
        <f>VLOOKUP(D4565,DROPDOWN!B:C,2,0)</f>
        <v>14</v>
      </c>
      <c r="N4565" t="str">
        <f t="shared" si="227"/>
        <v>X113:AP124</v>
      </c>
      <c r="O4565" s="4">
        <f t="shared" ca="1" si="228"/>
        <v>365214.69999999995</v>
      </c>
    </row>
    <row r="4566" spans="1:15">
      <c r="A4566" s="2" t="s">
        <v>16</v>
      </c>
      <c r="B4566" t="s">
        <v>35</v>
      </c>
      <c r="C4566" t="s">
        <v>36</v>
      </c>
      <c r="D4566">
        <v>75</v>
      </c>
      <c r="E4566" t="s">
        <v>46</v>
      </c>
      <c r="F4566">
        <v>4</v>
      </c>
      <c r="G4566">
        <v>2</v>
      </c>
      <c r="H4566">
        <v>2</v>
      </c>
      <c r="I4566">
        <v>1</v>
      </c>
      <c r="J4566" s="4" t="s">
        <v>52</v>
      </c>
      <c r="K4566" t="str">
        <f t="shared" si="229"/>
        <v>2+2</v>
      </c>
      <c r="L4566">
        <f>VLOOKUP(A4566,'ZONE 1 PREMIUM'!$A$4:$N$16,14,0)</f>
        <v>7</v>
      </c>
      <c r="M4566">
        <f>VLOOKUP(D4566,DROPDOWN!B:C,2,0)</f>
        <v>14</v>
      </c>
      <c r="N4566" t="str">
        <f t="shared" si="227"/>
        <v>X113:AP124</v>
      </c>
      <c r="O4566" s="4">
        <f t="shared" ca="1" si="228"/>
        <v>487940.39999999997</v>
      </c>
    </row>
    <row r="4567" spans="1:15">
      <c r="A4567" s="2" t="s">
        <v>17</v>
      </c>
      <c r="B4567" t="s">
        <v>37</v>
      </c>
      <c r="C4567" t="s">
        <v>38</v>
      </c>
      <c r="D4567">
        <v>75</v>
      </c>
      <c r="E4567" t="s">
        <v>46</v>
      </c>
      <c r="F4567">
        <v>4</v>
      </c>
      <c r="G4567">
        <v>2</v>
      </c>
      <c r="H4567">
        <v>2</v>
      </c>
      <c r="I4567">
        <v>1</v>
      </c>
      <c r="J4567" s="4" t="s">
        <v>52</v>
      </c>
      <c r="K4567" t="str">
        <f t="shared" si="229"/>
        <v>2+2</v>
      </c>
      <c r="L4567">
        <f>VLOOKUP(A4567,'ZONE 1 PREMIUM'!$A$4:$N$16,14,0)</f>
        <v>8</v>
      </c>
      <c r="M4567">
        <f>VLOOKUP(D4567,DROPDOWN!B:C,2,0)</f>
        <v>14</v>
      </c>
      <c r="N4567" t="str">
        <f t="shared" si="227"/>
        <v>X113:AP124</v>
      </c>
      <c r="O4567" s="4">
        <f t="shared" ca="1" si="228"/>
        <v>639385.04999999993</v>
      </c>
    </row>
    <row r="4568" spans="1:15">
      <c r="A4568" s="2" t="s">
        <v>18</v>
      </c>
      <c r="B4568" t="s">
        <v>39</v>
      </c>
      <c r="C4568" t="s">
        <v>40</v>
      </c>
      <c r="D4568">
        <v>75</v>
      </c>
      <c r="E4568" t="s">
        <v>46</v>
      </c>
      <c r="F4568">
        <v>4</v>
      </c>
      <c r="G4568">
        <v>2</v>
      </c>
      <c r="H4568">
        <v>2</v>
      </c>
      <c r="I4568">
        <v>1</v>
      </c>
      <c r="J4568" s="4" t="s">
        <v>52</v>
      </c>
      <c r="K4568" t="str">
        <f t="shared" si="229"/>
        <v>2+2</v>
      </c>
      <c r="L4568">
        <f>VLOOKUP(A4568,'ZONE 1 PREMIUM'!$A$4:$N$16,14,0)</f>
        <v>9</v>
      </c>
      <c r="M4568">
        <f>VLOOKUP(D4568,DROPDOWN!B:C,2,0)</f>
        <v>14</v>
      </c>
      <c r="N4568" t="str">
        <f t="shared" si="227"/>
        <v>X113:AP124</v>
      </c>
      <c r="O4568" s="4">
        <f t="shared" ca="1" si="228"/>
        <v>850604.39999999991</v>
      </c>
    </row>
    <row r="4569" spans="1:15">
      <c r="A4569" s="2" t="s">
        <v>19</v>
      </c>
      <c r="B4569" t="s">
        <v>41</v>
      </c>
      <c r="C4569" t="s">
        <v>42</v>
      </c>
      <c r="D4569">
        <v>75</v>
      </c>
      <c r="E4569" t="s">
        <v>46</v>
      </c>
      <c r="F4569">
        <v>4</v>
      </c>
      <c r="G4569">
        <v>2</v>
      </c>
      <c r="H4569">
        <v>2</v>
      </c>
      <c r="I4569">
        <v>1</v>
      </c>
      <c r="J4569" s="4" t="s">
        <v>52</v>
      </c>
      <c r="K4569" t="str">
        <f t="shared" si="229"/>
        <v>2+2</v>
      </c>
      <c r="L4569">
        <f>VLOOKUP(A4569,'ZONE 1 PREMIUM'!$A$4:$N$16,14,0)</f>
        <v>10</v>
      </c>
      <c r="M4569">
        <f>VLOOKUP(D4569,DROPDOWN!B:C,2,0)</f>
        <v>14</v>
      </c>
      <c r="N4569" t="str">
        <f t="shared" si="227"/>
        <v>X113:AP124</v>
      </c>
      <c r="O4569" s="4">
        <f t="shared" ca="1" si="228"/>
        <v>1101067.5</v>
      </c>
    </row>
    <row r="4570" spans="1:15">
      <c r="A4570" s="2" t="s">
        <v>20</v>
      </c>
      <c r="B4570" t="s">
        <v>43</v>
      </c>
      <c r="C4570" t="s">
        <v>44</v>
      </c>
      <c r="D4570">
        <v>75</v>
      </c>
      <c r="E4570" t="s">
        <v>46</v>
      </c>
      <c r="F4570">
        <v>4</v>
      </c>
      <c r="G4570">
        <v>2</v>
      </c>
      <c r="H4570">
        <v>2</v>
      </c>
      <c r="I4570">
        <v>1</v>
      </c>
      <c r="J4570" s="4" t="s">
        <v>52</v>
      </c>
      <c r="K4570" t="str">
        <f t="shared" si="229"/>
        <v>2+2</v>
      </c>
      <c r="L4570">
        <f>VLOOKUP(A4570,'ZONE 1 PREMIUM'!$A$4:$N$16,14,0)</f>
        <v>11</v>
      </c>
      <c r="M4570">
        <f>VLOOKUP(D4570,DROPDOWN!B:C,2,0)</f>
        <v>14</v>
      </c>
      <c r="N4570" t="str">
        <f t="shared" si="227"/>
        <v>X113:AP124</v>
      </c>
      <c r="O4570" s="4">
        <f t="shared" ca="1" si="228"/>
        <v>1333518.1499999999</v>
      </c>
    </row>
    <row r="4571" spans="1:15">
      <c r="A4571" s="2" t="s">
        <v>21</v>
      </c>
      <c r="B4571" t="s">
        <v>22</v>
      </c>
      <c r="D4571">
        <v>75</v>
      </c>
      <c r="E4571" t="s">
        <v>46</v>
      </c>
      <c r="F4571">
        <v>4</v>
      </c>
      <c r="G4571">
        <v>2</v>
      </c>
      <c r="H4571">
        <v>2</v>
      </c>
      <c r="I4571">
        <v>1</v>
      </c>
      <c r="J4571" s="4" t="s">
        <v>52</v>
      </c>
      <c r="K4571" t="str">
        <f t="shared" si="229"/>
        <v>2+2</v>
      </c>
      <c r="L4571">
        <f>VLOOKUP(A4571,'ZONE 1 PREMIUM'!$A$4:$N$16,14,0)</f>
        <v>12</v>
      </c>
      <c r="M4571">
        <f>VLOOKUP(D4571,DROPDOWN!B:C,2,0)</f>
        <v>14</v>
      </c>
      <c r="N4571" t="str">
        <f t="shared" si="227"/>
        <v>X113:AP124</v>
      </c>
      <c r="O4571" s="4">
        <f t="shared" ca="1" si="228"/>
        <v>1671432.9999999998</v>
      </c>
    </row>
    <row r="4572" spans="1:15">
      <c r="A4572" s="2" t="s">
        <v>11</v>
      </c>
      <c r="B4572" t="s">
        <v>45</v>
      </c>
      <c r="C4572" t="s">
        <v>25</v>
      </c>
      <c r="D4572">
        <v>75</v>
      </c>
      <c r="E4572" t="s">
        <v>46</v>
      </c>
      <c r="F4572">
        <v>5</v>
      </c>
      <c r="G4572">
        <v>2</v>
      </c>
      <c r="H4572">
        <v>3</v>
      </c>
      <c r="I4572">
        <v>1</v>
      </c>
      <c r="J4572" s="4" t="s">
        <v>52</v>
      </c>
      <c r="K4572" t="str">
        <f t="shared" si="229"/>
        <v>2+3</v>
      </c>
      <c r="L4572">
        <f>VLOOKUP(A4572,'ZONE 1 PREMIUM'!$A$4:$N$16,14,0)</f>
        <v>2</v>
      </c>
      <c r="M4572">
        <f>VLOOKUP(D4572,DROPDOWN!B:C,2,0)</f>
        <v>14</v>
      </c>
      <c r="N4572" t="str">
        <f t="shared" si="227"/>
        <v>X128:AP139</v>
      </c>
      <c r="O4572" s="4">
        <f t="shared" ca="1" si="228"/>
        <v>250660.9</v>
      </c>
    </row>
    <row r="4573" spans="1:15">
      <c r="A4573" s="2" t="s">
        <v>12</v>
      </c>
      <c r="B4573" t="s">
        <v>27</v>
      </c>
      <c r="C4573" t="s">
        <v>28</v>
      </c>
      <c r="D4573">
        <v>75</v>
      </c>
      <c r="E4573" t="s">
        <v>46</v>
      </c>
      <c r="F4573">
        <v>5</v>
      </c>
      <c r="G4573">
        <v>2</v>
      </c>
      <c r="H4573">
        <v>3</v>
      </c>
      <c r="I4573">
        <v>1</v>
      </c>
      <c r="J4573" s="4" t="s">
        <v>52</v>
      </c>
      <c r="K4573" t="str">
        <f t="shared" si="229"/>
        <v>2+3</v>
      </c>
      <c r="L4573">
        <f>VLOOKUP(A4573,'ZONE 1 PREMIUM'!$A$4:$N$16,14,0)</f>
        <v>3</v>
      </c>
      <c r="M4573">
        <f>VLOOKUP(D4573,DROPDOWN!B:C,2,0)</f>
        <v>14</v>
      </c>
      <c r="N4573" t="str">
        <f t="shared" si="227"/>
        <v>X128:AP139</v>
      </c>
      <c r="O4573" s="4">
        <f t="shared" ca="1" si="228"/>
        <v>273297.5</v>
      </c>
    </row>
    <row r="4574" spans="1:15">
      <c r="A4574" s="2" t="s">
        <v>13</v>
      </c>
      <c r="B4574" t="s">
        <v>29</v>
      </c>
      <c r="C4574" t="s">
        <v>30</v>
      </c>
      <c r="D4574">
        <v>75</v>
      </c>
      <c r="E4574" t="s">
        <v>46</v>
      </c>
      <c r="F4574">
        <v>5</v>
      </c>
      <c r="G4574">
        <v>2</v>
      </c>
      <c r="H4574">
        <v>3</v>
      </c>
      <c r="I4574">
        <v>1</v>
      </c>
      <c r="J4574" s="4" t="s">
        <v>52</v>
      </c>
      <c r="K4574" t="str">
        <f t="shared" si="229"/>
        <v>2+3</v>
      </c>
      <c r="L4574">
        <f>VLOOKUP(A4574,'ZONE 1 PREMIUM'!$A$4:$N$16,14,0)</f>
        <v>4</v>
      </c>
      <c r="M4574">
        <f>VLOOKUP(D4574,DROPDOWN!B:C,2,0)</f>
        <v>14</v>
      </c>
      <c r="N4574" t="str">
        <f t="shared" si="227"/>
        <v>X128:AP139</v>
      </c>
      <c r="O4574" s="4">
        <f t="shared" ca="1" si="228"/>
        <v>299276</v>
      </c>
    </row>
    <row r="4575" spans="1:15">
      <c r="A4575" s="2" t="s">
        <v>14</v>
      </c>
      <c r="B4575" t="s">
        <v>31</v>
      </c>
      <c r="C4575" t="s">
        <v>32</v>
      </c>
      <c r="D4575">
        <v>75</v>
      </c>
      <c r="E4575" t="s">
        <v>46</v>
      </c>
      <c r="F4575">
        <v>5</v>
      </c>
      <c r="G4575">
        <v>2</v>
      </c>
      <c r="H4575">
        <v>3</v>
      </c>
      <c r="I4575">
        <v>1</v>
      </c>
      <c r="J4575" s="4" t="s">
        <v>52</v>
      </c>
      <c r="K4575" t="str">
        <f t="shared" si="229"/>
        <v>2+3</v>
      </c>
      <c r="L4575">
        <f>VLOOKUP(A4575,'ZONE 1 PREMIUM'!$A$4:$N$16,14,0)</f>
        <v>5</v>
      </c>
      <c r="M4575">
        <f>VLOOKUP(D4575,DROPDOWN!B:C,2,0)</f>
        <v>14</v>
      </c>
      <c r="N4575" t="str">
        <f t="shared" si="227"/>
        <v>X128:AP139</v>
      </c>
      <c r="O4575" s="4">
        <f t="shared" ca="1" si="228"/>
        <v>331768.09999999998</v>
      </c>
    </row>
    <row r="4576" spans="1:15">
      <c r="A4576" s="2" t="s">
        <v>15</v>
      </c>
      <c r="B4576" t="s">
        <v>33</v>
      </c>
      <c r="C4576" t="s">
        <v>34</v>
      </c>
      <c r="D4576">
        <v>75</v>
      </c>
      <c r="E4576" t="s">
        <v>46</v>
      </c>
      <c r="F4576">
        <v>5</v>
      </c>
      <c r="G4576">
        <v>2</v>
      </c>
      <c r="H4576">
        <v>3</v>
      </c>
      <c r="I4576">
        <v>1</v>
      </c>
      <c r="J4576" s="4" t="s">
        <v>52</v>
      </c>
      <c r="K4576" t="str">
        <f t="shared" si="229"/>
        <v>2+3</v>
      </c>
      <c r="L4576">
        <f>VLOOKUP(A4576,'ZONE 1 PREMIUM'!$A$4:$N$16,14,0)</f>
        <v>6</v>
      </c>
      <c r="M4576">
        <f>VLOOKUP(D4576,DROPDOWN!B:C,2,0)</f>
        <v>14</v>
      </c>
      <c r="N4576" t="str">
        <f t="shared" si="227"/>
        <v>X128:AP139</v>
      </c>
      <c r="O4576" s="4">
        <f t="shared" ca="1" si="228"/>
        <v>404458.44999999995</v>
      </c>
    </row>
    <row r="4577" spans="1:15">
      <c r="A4577" s="2" t="s">
        <v>16</v>
      </c>
      <c r="B4577" t="s">
        <v>35</v>
      </c>
      <c r="C4577" t="s">
        <v>36</v>
      </c>
      <c r="D4577">
        <v>75</v>
      </c>
      <c r="E4577" t="s">
        <v>46</v>
      </c>
      <c r="F4577">
        <v>5</v>
      </c>
      <c r="G4577">
        <v>2</v>
      </c>
      <c r="H4577">
        <v>3</v>
      </c>
      <c r="I4577">
        <v>1</v>
      </c>
      <c r="J4577" s="4" t="s">
        <v>52</v>
      </c>
      <c r="K4577" t="str">
        <f t="shared" si="229"/>
        <v>2+3</v>
      </c>
      <c r="L4577">
        <f>VLOOKUP(A4577,'ZONE 1 PREMIUM'!$A$4:$N$16,14,0)</f>
        <v>7</v>
      </c>
      <c r="M4577">
        <f>VLOOKUP(D4577,DROPDOWN!B:C,2,0)</f>
        <v>14</v>
      </c>
      <c r="N4577" t="str">
        <f t="shared" si="227"/>
        <v>X128:AP139</v>
      </c>
      <c r="O4577" s="4">
        <f t="shared" ca="1" si="228"/>
        <v>526409.04999999993</v>
      </c>
    </row>
    <row r="4578" spans="1:15">
      <c r="A4578" s="2" t="s">
        <v>17</v>
      </c>
      <c r="B4578" t="s">
        <v>37</v>
      </c>
      <c r="C4578" t="s">
        <v>38</v>
      </c>
      <c r="D4578">
        <v>75</v>
      </c>
      <c r="E4578" t="s">
        <v>46</v>
      </c>
      <c r="F4578">
        <v>5</v>
      </c>
      <c r="G4578">
        <v>2</v>
      </c>
      <c r="H4578">
        <v>3</v>
      </c>
      <c r="I4578">
        <v>1</v>
      </c>
      <c r="J4578" s="4" t="s">
        <v>52</v>
      </c>
      <c r="K4578" t="str">
        <f t="shared" si="229"/>
        <v>2+3</v>
      </c>
      <c r="L4578">
        <f>VLOOKUP(A4578,'ZONE 1 PREMIUM'!$A$4:$N$16,14,0)</f>
        <v>8</v>
      </c>
      <c r="M4578">
        <f>VLOOKUP(D4578,DROPDOWN!B:C,2,0)</f>
        <v>14</v>
      </c>
      <c r="N4578" t="str">
        <f t="shared" si="227"/>
        <v>X128:AP139</v>
      </c>
      <c r="O4578" s="4">
        <f t="shared" ca="1" si="228"/>
        <v>673344.54999999993</v>
      </c>
    </row>
    <row r="4579" spans="1:15">
      <c r="A4579" s="2" t="s">
        <v>18</v>
      </c>
      <c r="B4579" t="s">
        <v>39</v>
      </c>
      <c r="C4579" t="s">
        <v>40</v>
      </c>
      <c r="D4579">
        <v>75</v>
      </c>
      <c r="E4579" t="s">
        <v>46</v>
      </c>
      <c r="F4579">
        <v>5</v>
      </c>
      <c r="G4579">
        <v>2</v>
      </c>
      <c r="H4579">
        <v>3</v>
      </c>
      <c r="I4579">
        <v>1</v>
      </c>
      <c r="J4579" s="4" t="s">
        <v>52</v>
      </c>
      <c r="K4579" t="str">
        <f t="shared" si="229"/>
        <v>2+3</v>
      </c>
      <c r="L4579">
        <f>VLOOKUP(A4579,'ZONE 1 PREMIUM'!$A$4:$N$16,14,0)</f>
        <v>9</v>
      </c>
      <c r="M4579">
        <f>VLOOKUP(D4579,DROPDOWN!B:C,2,0)</f>
        <v>14</v>
      </c>
      <c r="N4579" t="str">
        <f t="shared" si="227"/>
        <v>X128:AP139</v>
      </c>
      <c r="O4579" s="4">
        <f t="shared" ca="1" si="228"/>
        <v>884053.29999999993</v>
      </c>
    </row>
    <row r="4580" spans="1:15">
      <c r="A4580" s="2" t="s">
        <v>19</v>
      </c>
      <c r="B4580" t="s">
        <v>41</v>
      </c>
      <c r="C4580" t="s">
        <v>42</v>
      </c>
      <c r="D4580">
        <v>75</v>
      </c>
      <c r="E4580" t="s">
        <v>46</v>
      </c>
      <c r="F4580">
        <v>5</v>
      </c>
      <c r="G4580">
        <v>2</v>
      </c>
      <c r="H4580">
        <v>3</v>
      </c>
      <c r="I4580">
        <v>1</v>
      </c>
      <c r="J4580" s="4" t="s">
        <v>52</v>
      </c>
      <c r="K4580" t="str">
        <f t="shared" si="229"/>
        <v>2+3</v>
      </c>
      <c r="L4580">
        <f>VLOOKUP(A4580,'ZONE 1 PREMIUM'!$A$4:$N$16,14,0)</f>
        <v>10</v>
      </c>
      <c r="M4580">
        <f>VLOOKUP(D4580,DROPDOWN!B:C,2,0)</f>
        <v>14</v>
      </c>
      <c r="N4580" t="str">
        <f t="shared" si="227"/>
        <v>X128:AP139</v>
      </c>
      <c r="O4580" s="4">
        <f t="shared" ca="1" si="228"/>
        <v>1132130.1499999999</v>
      </c>
    </row>
    <row r="4581" spans="1:15">
      <c r="A4581" s="2" t="s">
        <v>20</v>
      </c>
      <c r="B4581" t="s">
        <v>43</v>
      </c>
      <c r="C4581" t="s">
        <v>44</v>
      </c>
      <c r="D4581">
        <v>75</v>
      </c>
      <c r="E4581" t="s">
        <v>46</v>
      </c>
      <c r="F4581">
        <v>5</v>
      </c>
      <c r="G4581">
        <v>2</v>
      </c>
      <c r="H4581">
        <v>3</v>
      </c>
      <c r="I4581">
        <v>1</v>
      </c>
      <c r="J4581" s="4" t="s">
        <v>52</v>
      </c>
      <c r="K4581" t="str">
        <f t="shared" si="229"/>
        <v>2+3</v>
      </c>
      <c r="L4581">
        <f>VLOOKUP(A4581,'ZONE 1 PREMIUM'!$A$4:$N$16,14,0)</f>
        <v>11</v>
      </c>
      <c r="M4581">
        <f>VLOOKUP(D4581,DROPDOWN!B:C,2,0)</f>
        <v>14</v>
      </c>
      <c r="N4581" t="str">
        <f t="shared" si="227"/>
        <v>X128:AP139</v>
      </c>
      <c r="O4581" s="4">
        <f t="shared" ca="1" si="228"/>
        <v>1368833.5</v>
      </c>
    </row>
    <row r="4582" spans="1:15">
      <c r="A4582" s="2" t="s">
        <v>21</v>
      </c>
      <c r="B4582" t="s">
        <v>22</v>
      </c>
      <c r="D4582">
        <v>75</v>
      </c>
      <c r="E4582" t="s">
        <v>46</v>
      </c>
      <c r="F4582">
        <v>5</v>
      </c>
      <c r="G4582">
        <v>2</v>
      </c>
      <c r="H4582">
        <v>3</v>
      </c>
      <c r="I4582">
        <v>1</v>
      </c>
      <c r="J4582" s="4" t="s">
        <v>52</v>
      </c>
      <c r="K4582" t="str">
        <f t="shared" si="229"/>
        <v>2+3</v>
      </c>
      <c r="L4582">
        <f>VLOOKUP(A4582,'ZONE 1 PREMIUM'!$A$4:$N$16,14,0)</f>
        <v>12</v>
      </c>
      <c r="M4582">
        <f>VLOOKUP(D4582,DROPDOWN!B:C,2,0)</f>
        <v>14</v>
      </c>
      <c r="N4582" t="str">
        <f t="shared" si="227"/>
        <v>X128:AP139</v>
      </c>
      <c r="O4582" s="4">
        <f t="shared" ca="1" si="228"/>
        <v>1709520.9999999998</v>
      </c>
    </row>
    <row r="4583" spans="1:15">
      <c r="A4583" s="2" t="s">
        <v>11</v>
      </c>
      <c r="B4583" t="s">
        <v>45</v>
      </c>
      <c r="C4583" t="s">
        <v>25</v>
      </c>
      <c r="D4583">
        <v>75</v>
      </c>
      <c r="E4583" t="s">
        <v>46</v>
      </c>
      <c r="F4583">
        <v>6</v>
      </c>
      <c r="G4583">
        <v>2</v>
      </c>
      <c r="H4583">
        <v>4</v>
      </c>
      <c r="I4583">
        <v>1</v>
      </c>
      <c r="J4583" s="4" t="s">
        <v>52</v>
      </c>
      <c r="K4583" t="str">
        <f t="shared" si="229"/>
        <v>2+4</v>
      </c>
      <c r="L4583">
        <f>VLOOKUP(A4583,'ZONE 1 PREMIUM'!$A$4:$N$16,14,0)</f>
        <v>2</v>
      </c>
      <c r="M4583">
        <f>VLOOKUP(D4583,DROPDOWN!B:C,2,0)</f>
        <v>14</v>
      </c>
      <c r="N4583" t="str">
        <f t="shared" si="227"/>
        <v>X143:AP154</v>
      </c>
      <c r="O4583" s="4">
        <f t="shared" ca="1" si="228"/>
        <v>279341.89999999997</v>
      </c>
    </row>
    <row r="4584" spans="1:15">
      <c r="A4584" s="2" t="s">
        <v>12</v>
      </c>
      <c r="B4584" t="s">
        <v>27</v>
      </c>
      <c r="C4584" t="s">
        <v>28</v>
      </c>
      <c r="D4584">
        <v>75</v>
      </c>
      <c r="E4584" t="s">
        <v>46</v>
      </c>
      <c r="F4584">
        <v>6</v>
      </c>
      <c r="G4584">
        <v>2</v>
      </c>
      <c r="H4584">
        <v>4</v>
      </c>
      <c r="I4584">
        <v>1</v>
      </c>
      <c r="J4584" s="4" t="s">
        <v>52</v>
      </c>
      <c r="K4584" t="str">
        <f t="shared" si="229"/>
        <v>2+4</v>
      </c>
      <c r="L4584">
        <f>VLOOKUP(A4584,'ZONE 1 PREMIUM'!$A$4:$N$16,14,0)</f>
        <v>3</v>
      </c>
      <c r="M4584">
        <f>VLOOKUP(D4584,DROPDOWN!B:C,2,0)</f>
        <v>14</v>
      </c>
      <c r="N4584" t="str">
        <f t="shared" si="227"/>
        <v>X143:AP154</v>
      </c>
      <c r="O4584" s="4">
        <f t="shared" ca="1" si="228"/>
        <v>301550.69999999995</v>
      </c>
    </row>
    <row r="4585" spans="1:15">
      <c r="A4585" s="2" t="s">
        <v>13</v>
      </c>
      <c r="B4585" t="s">
        <v>29</v>
      </c>
      <c r="C4585" t="s">
        <v>30</v>
      </c>
      <c r="D4585">
        <v>75</v>
      </c>
      <c r="E4585" t="s">
        <v>46</v>
      </c>
      <c r="F4585">
        <v>6</v>
      </c>
      <c r="G4585">
        <v>2</v>
      </c>
      <c r="H4585">
        <v>4</v>
      </c>
      <c r="I4585">
        <v>1</v>
      </c>
      <c r="J4585" s="4" t="s">
        <v>52</v>
      </c>
      <c r="K4585" t="str">
        <f t="shared" si="229"/>
        <v>2+4</v>
      </c>
      <c r="L4585">
        <f>VLOOKUP(A4585,'ZONE 1 PREMIUM'!$A$4:$N$16,14,0)</f>
        <v>4</v>
      </c>
      <c r="M4585">
        <f>VLOOKUP(D4585,DROPDOWN!B:C,2,0)</f>
        <v>14</v>
      </c>
      <c r="N4585" t="str">
        <f t="shared" si="227"/>
        <v>X143:AP154</v>
      </c>
      <c r="O4585" s="4">
        <f t="shared" ca="1" si="228"/>
        <v>332033.75</v>
      </c>
    </row>
    <row r="4586" spans="1:15">
      <c r="A4586" s="2" t="s">
        <v>14</v>
      </c>
      <c r="B4586" t="s">
        <v>31</v>
      </c>
      <c r="C4586" t="s">
        <v>32</v>
      </c>
      <c r="D4586">
        <v>75</v>
      </c>
      <c r="E4586" t="s">
        <v>46</v>
      </c>
      <c r="F4586">
        <v>6</v>
      </c>
      <c r="G4586">
        <v>2</v>
      </c>
      <c r="H4586">
        <v>4</v>
      </c>
      <c r="I4586">
        <v>1</v>
      </c>
      <c r="J4586" s="4" t="s">
        <v>52</v>
      </c>
      <c r="K4586" t="str">
        <f t="shared" si="229"/>
        <v>2+4</v>
      </c>
      <c r="L4586">
        <f>VLOOKUP(A4586,'ZONE 1 PREMIUM'!$A$4:$N$16,14,0)</f>
        <v>5</v>
      </c>
      <c r="M4586">
        <f>VLOOKUP(D4586,DROPDOWN!B:C,2,0)</f>
        <v>14</v>
      </c>
      <c r="N4586" t="str">
        <f t="shared" si="227"/>
        <v>X143:AP154</v>
      </c>
      <c r="O4586" s="4">
        <f t="shared" ca="1" si="228"/>
        <v>366827</v>
      </c>
    </row>
    <row r="4587" spans="1:15">
      <c r="A4587" s="2" t="s">
        <v>15</v>
      </c>
      <c r="B4587" t="s">
        <v>33</v>
      </c>
      <c r="C4587" t="s">
        <v>34</v>
      </c>
      <c r="D4587">
        <v>75</v>
      </c>
      <c r="E4587" t="s">
        <v>46</v>
      </c>
      <c r="F4587">
        <v>6</v>
      </c>
      <c r="G4587">
        <v>2</v>
      </c>
      <c r="H4587">
        <v>4</v>
      </c>
      <c r="I4587">
        <v>1</v>
      </c>
      <c r="J4587" s="4" t="s">
        <v>52</v>
      </c>
      <c r="K4587" t="str">
        <f t="shared" si="229"/>
        <v>2+4</v>
      </c>
      <c r="L4587">
        <f>VLOOKUP(A4587,'ZONE 1 PREMIUM'!$A$4:$N$16,14,0)</f>
        <v>6</v>
      </c>
      <c r="M4587">
        <f>VLOOKUP(D4587,DROPDOWN!B:C,2,0)</f>
        <v>14</v>
      </c>
      <c r="N4587" t="str">
        <f t="shared" si="227"/>
        <v>X143:AP154</v>
      </c>
      <c r="O4587" s="4">
        <f t="shared" ca="1" si="228"/>
        <v>443703.35</v>
      </c>
    </row>
    <row r="4588" spans="1:15">
      <c r="A4588" s="2" t="s">
        <v>16</v>
      </c>
      <c r="B4588" t="s">
        <v>35</v>
      </c>
      <c r="C4588" t="s">
        <v>36</v>
      </c>
      <c r="D4588">
        <v>75</v>
      </c>
      <c r="E4588" t="s">
        <v>46</v>
      </c>
      <c r="F4588">
        <v>6</v>
      </c>
      <c r="G4588">
        <v>2</v>
      </c>
      <c r="H4588">
        <v>4</v>
      </c>
      <c r="I4588">
        <v>1</v>
      </c>
      <c r="J4588" s="4" t="s">
        <v>52</v>
      </c>
      <c r="K4588" t="str">
        <f t="shared" si="229"/>
        <v>2+4</v>
      </c>
      <c r="L4588">
        <f>VLOOKUP(A4588,'ZONE 1 PREMIUM'!$A$4:$N$16,14,0)</f>
        <v>7</v>
      </c>
      <c r="M4588">
        <f>VLOOKUP(D4588,DROPDOWN!B:C,2,0)</f>
        <v>14</v>
      </c>
      <c r="N4588" t="str">
        <f t="shared" si="227"/>
        <v>X143:AP154</v>
      </c>
      <c r="O4588" s="4">
        <f t="shared" ca="1" si="228"/>
        <v>560809</v>
      </c>
    </row>
    <row r="4589" spans="1:15">
      <c r="A4589" s="2" t="s">
        <v>17</v>
      </c>
      <c r="B4589" t="s">
        <v>37</v>
      </c>
      <c r="C4589" t="s">
        <v>38</v>
      </c>
      <c r="D4589">
        <v>75</v>
      </c>
      <c r="E4589" t="s">
        <v>46</v>
      </c>
      <c r="F4589">
        <v>6</v>
      </c>
      <c r="G4589">
        <v>2</v>
      </c>
      <c r="H4589">
        <v>4</v>
      </c>
      <c r="I4589">
        <v>1</v>
      </c>
      <c r="J4589" s="4" t="s">
        <v>52</v>
      </c>
      <c r="K4589" t="str">
        <f t="shared" si="229"/>
        <v>2+4</v>
      </c>
      <c r="L4589">
        <f>VLOOKUP(A4589,'ZONE 1 PREMIUM'!$A$4:$N$16,14,0)</f>
        <v>8</v>
      </c>
      <c r="M4589">
        <f>VLOOKUP(D4589,DROPDOWN!B:C,2,0)</f>
        <v>14</v>
      </c>
      <c r="N4589" t="str">
        <f t="shared" si="227"/>
        <v>X143:AP154</v>
      </c>
      <c r="O4589" s="4">
        <f t="shared" ca="1" si="228"/>
        <v>707023.45</v>
      </c>
    </row>
    <row r="4590" spans="1:15">
      <c r="A4590" s="2" t="s">
        <v>18</v>
      </c>
      <c r="B4590" t="s">
        <v>39</v>
      </c>
      <c r="C4590" t="s">
        <v>40</v>
      </c>
      <c r="D4590">
        <v>75</v>
      </c>
      <c r="E4590" t="s">
        <v>46</v>
      </c>
      <c r="F4590">
        <v>6</v>
      </c>
      <c r="G4590">
        <v>2</v>
      </c>
      <c r="H4590">
        <v>4</v>
      </c>
      <c r="I4590">
        <v>1</v>
      </c>
      <c r="J4590" s="4" t="s">
        <v>52</v>
      </c>
      <c r="K4590" t="str">
        <f t="shared" si="229"/>
        <v>2+4</v>
      </c>
      <c r="L4590">
        <f>VLOOKUP(A4590,'ZONE 1 PREMIUM'!$A$4:$N$16,14,0)</f>
        <v>9</v>
      </c>
      <c r="M4590">
        <f>VLOOKUP(D4590,DROPDOWN!B:C,2,0)</f>
        <v>14</v>
      </c>
      <c r="N4590" t="str">
        <f t="shared" si="227"/>
        <v>X143:AP154</v>
      </c>
      <c r="O4590" s="4">
        <f t="shared" ca="1" si="228"/>
        <v>915939.35</v>
      </c>
    </row>
    <row r="4591" spans="1:15">
      <c r="A4591" s="2" t="s">
        <v>19</v>
      </c>
      <c r="B4591" t="s">
        <v>41</v>
      </c>
      <c r="C4591" t="s">
        <v>42</v>
      </c>
      <c r="D4591">
        <v>75</v>
      </c>
      <c r="E4591" t="s">
        <v>46</v>
      </c>
      <c r="F4591">
        <v>6</v>
      </c>
      <c r="G4591">
        <v>2</v>
      </c>
      <c r="H4591">
        <v>4</v>
      </c>
      <c r="I4591">
        <v>1</v>
      </c>
      <c r="J4591" s="4" t="s">
        <v>52</v>
      </c>
      <c r="K4591" t="str">
        <f t="shared" si="229"/>
        <v>2+4</v>
      </c>
      <c r="L4591">
        <f>VLOOKUP(A4591,'ZONE 1 PREMIUM'!$A$4:$N$16,14,0)</f>
        <v>10</v>
      </c>
      <c r="M4591">
        <f>VLOOKUP(D4591,DROPDOWN!B:C,2,0)</f>
        <v>14</v>
      </c>
      <c r="N4591" t="str">
        <f t="shared" si="227"/>
        <v>X143:AP154</v>
      </c>
      <c r="O4591" s="4">
        <f t="shared" ca="1" si="228"/>
        <v>1167661.7</v>
      </c>
    </row>
    <row r="4592" spans="1:15">
      <c r="A4592" s="2" t="s">
        <v>20</v>
      </c>
      <c r="B4592" t="s">
        <v>43</v>
      </c>
      <c r="C4592" t="s">
        <v>44</v>
      </c>
      <c r="D4592">
        <v>75</v>
      </c>
      <c r="E4592" t="s">
        <v>46</v>
      </c>
      <c r="F4592">
        <v>6</v>
      </c>
      <c r="G4592">
        <v>2</v>
      </c>
      <c r="H4592">
        <v>4</v>
      </c>
      <c r="I4592">
        <v>1</v>
      </c>
      <c r="J4592" s="4" t="s">
        <v>52</v>
      </c>
      <c r="K4592" t="str">
        <f t="shared" si="229"/>
        <v>2+4</v>
      </c>
      <c r="L4592">
        <f>VLOOKUP(A4592,'ZONE 1 PREMIUM'!$A$4:$N$16,14,0)</f>
        <v>11</v>
      </c>
      <c r="M4592">
        <f>VLOOKUP(D4592,DROPDOWN!B:C,2,0)</f>
        <v>14</v>
      </c>
      <c r="N4592" t="str">
        <f t="shared" si="227"/>
        <v>X143:AP154</v>
      </c>
      <c r="O4592" s="4">
        <f t="shared" ca="1" si="228"/>
        <v>1401195.65</v>
      </c>
    </row>
    <row r="4593" spans="1:15">
      <c r="A4593" s="2" t="s">
        <v>21</v>
      </c>
      <c r="B4593" t="s">
        <v>22</v>
      </c>
      <c r="D4593">
        <v>75</v>
      </c>
      <c r="E4593" t="s">
        <v>46</v>
      </c>
      <c r="F4593">
        <v>6</v>
      </c>
      <c r="G4593">
        <v>2</v>
      </c>
      <c r="H4593">
        <v>4</v>
      </c>
      <c r="I4593">
        <v>1</v>
      </c>
      <c r="J4593" s="4" t="s">
        <v>52</v>
      </c>
      <c r="K4593" t="str">
        <f t="shared" si="229"/>
        <v>2+4</v>
      </c>
      <c r="L4593">
        <f>VLOOKUP(A4593,'ZONE 1 PREMIUM'!$A$4:$N$16,14,0)</f>
        <v>12</v>
      </c>
      <c r="M4593">
        <f>VLOOKUP(D4593,DROPDOWN!B:C,2,0)</f>
        <v>14</v>
      </c>
      <c r="N4593" t="str">
        <f t="shared" si="227"/>
        <v>X143:AP154</v>
      </c>
      <c r="O4593" s="4">
        <f t="shared" ca="1" si="228"/>
        <v>1735387.95</v>
      </c>
    </row>
    <row r="4594" spans="1:15">
      <c r="A4594" s="2" t="s">
        <v>9</v>
      </c>
      <c r="B4594" t="s">
        <v>47</v>
      </c>
      <c r="C4594" t="s">
        <v>48</v>
      </c>
      <c r="D4594">
        <v>75</v>
      </c>
      <c r="E4594" t="s">
        <v>26</v>
      </c>
      <c r="F4594">
        <v>1</v>
      </c>
      <c r="H4594">
        <v>1</v>
      </c>
      <c r="I4594">
        <v>1</v>
      </c>
      <c r="J4594" s="4" t="s">
        <v>55</v>
      </c>
      <c r="K4594" t="str">
        <f t="shared" si="229"/>
        <v>+1</v>
      </c>
      <c r="N4594" t="e">
        <f t="shared" ref="N4594:N4657" si="230">VLOOKUP(K4594,$BN$3:$BO$12,2,0)</f>
        <v>#N/A</v>
      </c>
      <c r="O4594" s="7">
        <v>16220.881020668139</v>
      </c>
    </row>
    <row r="4595" spans="1:15">
      <c r="A4595" s="2" t="s">
        <v>10</v>
      </c>
      <c r="B4595" t="s">
        <v>49</v>
      </c>
      <c r="C4595" t="s">
        <v>50</v>
      </c>
      <c r="D4595">
        <v>75</v>
      </c>
      <c r="E4595" t="s">
        <v>26</v>
      </c>
      <c r="F4595">
        <v>1</v>
      </c>
      <c r="G4595">
        <v>1</v>
      </c>
      <c r="H4595">
        <v>0</v>
      </c>
      <c r="I4595">
        <v>1</v>
      </c>
      <c r="J4595" s="4" t="s">
        <v>55</v>
      </c>
      <c r="K4595" t="str">
        <f t="shared" si="229"/>
        <v>1+0</v>
      </c>
      <c r="L4595">
        <f>VLOOKUP(A4595,'ZONE 1 PREMIUM'!$A$3:$M$16,13,0)</f>
        <v>3</v>
      </c>
      <c r="M4595">
        <f>VLOOKUP(D4595,DROPDOWN!B:C,2,0)</f>
        <v>14</v>
      </c>
      <c r="N4595" t="str">
        <f t="shared" si="230"/>
        <v>AU3:BM16</v>
      </c>
      <c r="O4595" s="4">
        <f t="shared" ca="1" si="228"/>
        <v>28986.75</v>
      </c>
    </row>
    <row r="4596" spans="1:15">
      <c r="A4596" s="2" t="s">
        <v>11</v>
      </c>
      <c r="B4596" t="s">
        <v>45</v>
      </c>
      <c r="C4596" t="s">
        <v>25</v>
      </c>
      <c r="D4596">
        <v>75</v>
      </c>
      <c r="E4596" t="s">
        <v>26</v>
      </c>
      <c r="F4596">
        <v>1</v>
      </c>
      <c r="G4596">
        <v>1</v>
      </c>
      <c r="H4596">
        <v>0</v>
      </c>
      <c r="I4596">
        <v>1</v>
      </c>
      <c r="J4596" s="4" t="s">
        <v>55</v>
      </c>
      <c r="K4596" t="str">
        <f t="shared" si="229"/>
        <v>1+0</v>
      </c>
      <c r="L4596">
        <f>VLOOKUP(A4596,'ZONE 1 PREMIUM'!$A$3:$M$16,13,0)</f>
        <v>4</v>
      </c>
      <c r="M4596">
        <f>VLOOKUP(D4596,DROPDOWN!B:C,2,0)</f>
        <v>14</v>
      </c>
      <c r="N4596" t="str">
        <f t="shared" si="230"/>
        <v>AU3:BM16</v>
      </c>
      <c r="O4596" s="4">
        <f t="shared" ca="1" si="228"/>
        <v>93253.5</v>
      </c>
    </row>
    <row r="4597" spans="1:15">
      <c r="A4597" s="2" t="s">
        <v>12</v>
      </c>
      <c r="B4597" t="s">
        <v>27</v>
      </c>
      <c r="C4597" t="s">
        <v>28</v>
      </c>
      <c r="D4597">
        <v>75</v>
      </c>
      <c r="E4597" t="s">
        <v>26</v>
      </c>
      <c r="F4597">
        <v>1</v>
      </c>
      <c r="G4597">
        <v>1</v>
      </c>
      <c r="H4597">
        <v>0</v>
      </c>
      <c r="I4597">
        <v>1</v>
      </c>
      <c r="J4597" s="4" t="s">
        <v>55</v>
      </c>
      <c r="K4597" t="str">
        <f t="shared" si="229"/>
        <v>1+0</v>
      </c>
      <c r="L4597">
        <f>VLOOKUP(A4597,'ZONE 1 PREMIUM'!$A$3:$M$16,13,0)</f>
        <v>5</v>
      </c>
      <c r="M4597">
        <f>VLOOKUP(D4597,DROPDOWN!B:C,2,0)</f>
        <v>14</v>
      </c>
      <c r="N4597" t="str">
        <f t="shared" si="230"/>
        <v>AU3:BM16</v>
      </c>
      <c r="O4597" s="4">
        <f t="shared" ca="1" si="228"/>
        <v>107890.875</v>
      </c>
    </row>
    <row r="4598" spans="1:15">
      <c r="A4598" s="2" t="s">
        <v>13</v>
      </c>
      <c r="B4598" t="s">
        <v>29</v>
      </c>
      <c r="C4598" t="s">
        <v>30</v>
      </c>
      <c r="D4598">
        <v>75</v>
      </c>
      <c r="E4598" t="s">
        <v>26</v>
      </c>
      <c r="F4598">
        <v>1</v>
      </c>
      <c r="G4598">
        <v>1</v>
      </c>
      <c r="H4598">
        <v>0</v>
      </c>
      <c r="I4598">
        <v>1</v>
      </c>
      <c r="J4598" s="4" t="s">
        <v>55</v>
      </c>
      <c r="K4598" t="str">
        <f t="shared" si="229"/>
        <v>1+0</v>
      </c>
      <c r="L4598">
        <f>VLOOKUP(A4598,'ZONE 1 PREMIUM'!$A$3:$M$16,13,0)</f>
        <v>6</v>
      </c>
      <c r="M4598">
        <f>VLOOKUP(D4598,DROPDOWN!B:C,2,0)</f>
        <v>14</v>
      </c>
      <c r="N4598" t="str">
        <f t="shared" si="230"/>
        <v>AU3:BM16</v>
      </c>
      <c r="O4598" s="4">
        <f t="shared" ca="1" si="228"/>
        <v>117021.375</v>
      </c>
    </row>
    <row r="4599" spans="1:15">
      <c r="A4599" s="2" t="s">
        <v>14</v>
      </c>
      <c r="B4599" t="s">
        <v>31</v>
      </c>
      <c r="C4599" t="s">
        <v>32</v>
      </c>
      <c r="D4599">
        <v>75</v>
      </c>
      <c r="E4599" t="s">
        <v>26</v>
      </c>
      <c r="F4599">
        <v>1</v>
      </c>
      <c r="G4599">
        <v>1</v>
      </c>
      <c r="H4599">
        <v>0</v>
      </c>
      <c r="I4599">
        <v>1</v>
      </c>
      <c r="J4599" s="4" t="s">
        <v>55</v>
      </c>
      <c r="K4599" t="str">
        <f t="shared" si="229"/>
        <v>1+0</v>
      </c>
      <c r="L4599">
        <f>VLOOKUP(A4599,'ZONE 1 PREMIUM'!$A$3:$M$16,13,0)</f>
        <v>7</v>
      </c>
      <c r="M4599">
        <f>VLOOKUP(D4599,DROPDOWN!B:C,2,0)</f>
        <v>14</v>
      </c>
      <c r="N4599" t="str">
        <f t="shared" si="230"/>
        <v>AU3:BM16</v>
      </c>
      <c r="O4599" s="4">
        <f t="shared" ca="1" si="228"/>
        <v>134404.875</v>
      </c>
    </row>
    <row r="4600" spans="1:15">
      <c r="A4600" s="2" t="s">
        <v>15</v>
      </c>
      <c r="B4600" t="s">
        <v>33</v>
      </c>
      <c r="C4600" t="s">
        <v>34</v>
      </c>
      <c r="D4600">
        <v>75</v>
      </c>
      <c r="E4600" t="s">
        <v>26</v>
      </c>
      <c r="F4600">
        <v>1</v>
      </c>
      <c r="G4600">
        <v>1</v>
      </c>
      <c r="H4600">
        <v>0</v>
      </c>
      <c r="I4600">
        <v>1</v>
      </c>
      <c r="J4600" s="4" t="s">
        <v>55</v>
      </c>
      <c r="K4600" t="str">
        <f t="shared" si="229"/>
        <v>1+0</v>
      </c>
      <c r="L4600">
        <f>VLOOKUP(A4600,'ZONE 1 PREMIUM'!$A$3:$M$16,13,0)</f>
        <v>8</v>
      </c>
      <c r="M4600">
        <f>VLOOKUP(D4600,DROPDOWN!B:C,2,0)</f>
        <v>14</v>
      </c>
      <c r="N4600" t="str">
        <f t="shared" si="230"/>
        <v>AU3:BM16</v>
      </c>
      <c r="O4600" s="4">
        <f t="shared" ca="1" si="228"/>
        <v>164862</v>
      </c>
    </row>
    <row r="4601" spans="1:15">
      <c r="A4601" s="2" t="s">
        <v>16</v>
      </c>
      <c r="B4601" t="s">
        <v>35</v>
      </c>
      <c r="C4601" t="s">
        <v>36</v>
      </c>
      <c r="D4601">
        <v>75</v>
      </c>
      <c r="E4601" t="s">
        <v>26</v>
      </c>
      <c r="F4601">
        <v>1</v>
      </c>
      <c r="G4601">
        <v>1</v>
      </c>
      <c r="H4601">
        <v>0</v>
      </c>
      <c r="I4601">
        <v>1</v>
      </c>
      <c r="J4601" s="4" t="s">
        <v>55</v>
      </c>
      <c r="K4601" t="str">
        <f t="shared" si="229"/>
        <v>1+0</v>
      </c>
      <c r="L4601">
        <f>VLOOKUP(A4601,'ZONE 1 PREMIUM'!$A$3:$M$16,13,0)</f>
        <v>9</v>
      </c>
      <c r="M4601">
        <f>VLOOKUP(D4601,DROPDOWN!B:C,2,0)</f>
        <v>14</v>
      </c>
      <c r="N4601" t="str">
        <f t="shared" si="230"/>
        <v>AU3:BM16</v>
      </c>
      <c r="O4601" s="4">
        <f t="shared" ca="1" si="228"/>
        <v>228355.875</v>
      </c>
    </row>
    <row r="4602" spans="1:15">
      <c r="A4602" s="2" t="s">
        <v>17</v>
      </c>
      <c r="B4602" t="s">
        <v>37</v>
      </c>
      <c r="C4602" t="s">
        <v>38</v>
      </c>
      <c r="D4602">
        <v>75</v>
      </c>
      <c r="E4602" t="s">
        <v>26</v>
      </c>
      <c r="F4602">
        <v>1</v>
      </c>
      <c r="G4602">
        <v>1</v>
      </c>
      <c r="H4602">
        <v>0</v>
      </c>
      <c r="I4602">
        <v>1</v>
      </c>
      <c r="J4602" s="4" t="s">
        <v>55</v>
      </c>
      <c r="K4602" t="str">
        <f t="shared" si="229"/>
        <v>1+0</v>
      </c>
      <c r="L4602">
        <f>VLOOKUP(A4602,'ZONE 1 PREMIUM'!$A$3:$M$16,13,0)</f>
        <v>10</v>
      </c>
      <c r="M4602">
        <f>VLOOKUP(D4602,DROPDOWN!B:C,2,0)</f>
        <v>14</v>
      </c>
      <c r="N4602" t="str">
        <f t="shared" si="230"/>
        <v>AU3:BM16</v>
      </c>
      <c r="O4602" s="4">
        <f t="shared" ca="1" si="228"/>
        <v>306295.875</v>
      </c>
    </row>
    <row r="4603" spans="1:15">
      <c r="A4603" s="2" t="s">
        <v>18</v>
      </c>
      <c r="B4603" t="s">
        <v>39</v>
      </c>
      <c r="C4603" t="s">
        <v>40</v>
      </c>
      <c r="D4603">
        <v>75</v>
      </c>
      <c r="E4603" t="s">
        <v>26</v>
      </c>
      <c r="F4603">
        <v>1</v>
      </c>
      <c r="G4603">
        <v>1</v>
      </c>
      <c r="H4603">
        <v>0</v>
      </c>
      <c r="I4603">
        <v>1</v>
      </c>
      <c r="J4603" s="4" t="s">
        <v>55</v>
      </c>
      <c r="K4603" t="str">
        <f t="shared" si="229"/>
        <v>1+0</v>
      </c>
      <c r="L4603">
        <f>VLOOKUP(A4603,'ZONE 1 PREMIUM'!$A$3:$M$16,13,0)</f>
        <v>11</v>
      </c>
      <c r="M4603">
        <f>VLOOKUP(D4603,DROPDOWN!B:C,2,0)</f>
        <v>14</v>
      </c>
      <c r="N4603" t="str">
        <f t="shared" si="230"/>
        <v>AU3:BM16</v>
      </c>
      <c r="O4603" s="4">
        <f t="shared" ca="1" si="228"/>
        <v>423189</v>
      </c>
    </row>
    <row r="4604" spans="1:15">
      <c r="A4604" s="2" t="s">
        <v>19</v>
      </c>
      <c r="B4604" t="s">
        <v>41</v>
      </c>
      <c r="C4604" t="s">
        <v>42</v>
      </c>
      <c r="D4604">
        <v>75</v>
      </c>
      <c r="E4604" t="s">
        <v>26</v>
      </c>
      <c r="F4604">
        <v>1</v>
      </c>
      <c r="G4604">
        <v>1</v>
      </c>
      <c r="H4604">
        <v>0</v>
      </c>
      <c r="I4604">
        <v>1</v>
      </c>
      <c r="J4604" s="4" t="s">
        <v>55</v>
      </c>
      <c r="K4604" t="str">
        <f t="shared" si="229"/>
        <v>1+0</v>
      </c>
      <c r="L4604">
        <f>VLOOKUP(A4604,'ZONE 1 PREMIUM'!$A$3:$M$16,13,0)</f>
        <v>12</v>
      </c>
      <c r="M4604">
        <f>VLOOKUP(D4604,DROPDOWN!B:C,2,0)</f>
        <v>14</v>
      </c>
      <c r="N4604" t="str">
        <f t="shared" si="230"/>
        <v>AU3:BM16</v>
      </c>
      <c r="O4604" s="4">
        <f t="shared" ca="1" si="228"/>
        <v>542515.5</v>
      </c>
    </row>
    <row r="4605" spans="1:15">
      <c r="A4605" s="2" t="s">
        <v>20</v>
      </c>
      <c r="B4605" t="s">
        <v>43</v>
      </c>
      <c r="C4605" t="s">
        <v>44</v>
      </c>
      <c r="D4605">
        <v>75</v>
      </c>
      <c r="E4605" t="s">
        <v>26</v>
      </c>
      <c r="F4605">
        <v>1</v>
      </c>
      <c r="G4605">
        <v>1</v>
      </c>
      <c r="H4605">
        <v>0</v>
      </c>
      <c r="I4605">
        <v>1</v>
      </c>
      <c r="J4605" s="4" t="s">
        <v>55</v>
      </c>
      <c r="K4605" t="str">
        <f t="shared" si="229"/>
        <v>1+0</v>
      </c>
      <c r="L4605">
        <f>VLOOKUP(A4605,'ZONE 1 PREMIUM'!$A$3:$M$16,13,0)</f>
        <v>13</v>
      </c>
      <c r="M4605">
        <f>VLOOKUP(D4605,DROPDOWN!B:C,2,0)</f>
        <v>14</v>
      </c>
      <c r="N4605" t="str">
        <f t="shared" si="230"/>
        <v>AU3:BM16</v>
      </c>
      <c r="O4605" s="4">
        <f t="shared" ca="1" si="228"/>
        <v>642318.75</v>
      </c>
    </row>
    <row r="4606" spans="1:15">
      <c r="A4606" s="2" t="s">
        <v>21</v>
      </c>
      <c r="B4606" t="s">
        <v>22</v>
      </c>
      <c r="D4606">
        <v>75</v>
      </c>
      <c r="E4606" t="s">
        <v>26</v>
      </c>
      <c r="F4606">
        <v>1</v>
      </c>
      <c r="G4606">
        <v>1</v>
      </c>
      <c r="H4606">
        <v>0</v>
      </c>
      <c r="I4606">
        <v>1</v>
      </c>
      <c r="J4606" s="4" t="s">
        <v>55</v>
      </c>
      <c r="K4606" t="str">
        <f t="shared" si="229"/>
        <v>1+0</v>
      </c>
      <c r="L4606">
        <f>VLOOKUP(A4606,'ZONE 1 PREMIUM'!$A$3:$M$16,13,0)</f>
        <v>14</v>
      </c>
      <c r="M4606">
        <f>VLOOKUP(D4606,DROPDOWN!B:C,2,0)</f>
        <v>14</v>
      </c>
      <c r="N4606" t="str">
        <f t="shared" si="230"/>
        <v>AU3:BM16</v>
      </c>
      <c r="O4606" s="4">
        <f t="shared" ca="1" si="228"/>
        <v>848984.625</v>
      </c>
    </row>
    <row r="4607" spans="1:15">
      <c r="A4607" s="2" t="s">
        <v>11</v>
      </c>
      <c r="B4607" t="s">
        <v>45</v>
      </c>
      <c r="C4607" t="s">
        <v>25</v>
      </c>
      <c r="D4607">
        <v>75</v>
      </c>
      <c r="E4607" t="s">
        <v>46</v>
      </c>
      <c r="F4607">
        <v>2</v>
      </c>
      <c r="G4607">
        <v>1</v>
      </c>
      <c r="H4607">
        <v>1</v>
      </c>
      <c r="I4607">
        <v>1</v>
      </c>
      <c r="J4607" s="4" t="s">
        <v>55</v>
      </c>
      <c r="K4607" t="str">
        <f t="shared" si="229"/>
        <v>1+1</v>
      </c>
      <c r="L4607">
        <f>VLOOKUP(A4607,'ZONE 1 PREMIUM'!$A$4:$N$16,14,0)</f>
        <v>2</v>
      </c>
      <c r="M4607">
        <f>VLOOKUP(D4607,DROPDOWN!B:C,2,0)</f>
        <v>14</v>
      </c>
      <c r="N4607" t="str">
        <f t="shared" si="230"/>
        <v>AU20:BM31</v>
      </c>
      <c r="O4607" s="4">
        <f t="shared" ca="1" si="228"/>
        <v>98417.25</v>
      </c>
    </row>
    <row r="4608" spans="1:15">
      <c r="A4608" s="2" t="s">
        <v>12</v>
      </c>
      <c r="B4608" t="s">
        <v>27</v>
      </c>
      <c r="C4608" t="s">
        <v>28</v>
      </c>
      <c r="D4608">
        <v>75</v>
      </c>
      <c r="E4608" t="s">
        <v>46</v>
      </c>
      <c r="F4608">
        <v>2</v>
      </c>
      <c r="G4608">
        <v>1</v>
      </c>
      <c r="H4608">
        <v>1</v>
      </c>
      <c r="I4608">
        <v>1</v>
      </c>
      <c r="J4608" s="4" t="s">
        <v>55</v>
      </c>
      <c r="K4608" t="str">
        <f t="shared" si="229"/>
        <v>1+1</v>
      </c>
      <c r="L4608">
        <f>VLOOKUP(A4608,'ZONE 1 PREMIUM'!$A$4:$N$16,14,0)</f>
        <v>3</v>
      </c>
      <c r="M4608">
        <f>VLOOKUP(D4608,DROPDOWN!B:C,2,0)</f>
        <v>14</v>
      </c>
      <c r="N4608" t="str">
        <f t="shared" si="230"/>
        <v>AU20:BM31</v>
      </c>
      <c r="O4608" s="4">
        <f t="shared" ca="1" si="228"/>
        <v>110054.25</v>
      </c>
    </row>
    <row r="4609" spans="1:15">
      <c r="A4609" s="2" t="s">
        <v>13</v>
      </c>
      <c r="B4609" t="s">
        <v>29</v>
      </c>
      <c r="C4609" t="s">
        <v>30</v>
      </c>
      <c r="D4609">
        <v>75</v>
      </c>
      <c r="E4609" t="s">
        <v>46</v>
      </c>
      <c r="F4609">
        <v>2</v>
      </c>
      <c r="G4609">
        <v>1</v>
      </c>
      <c r="H4609">
        <v>1</v>
      </c>
      <c r="I4609">
        <v>1</v>
      </c>
      <c r="J4609" s="4" t="s">
        <v>55</v>
      </c>
      <c r="K4609" t="str">
        <f t="shared" si="229"/>
        <v>1+1</v>
      </c>
      <c r="L4609">
        <f>VLOOKUP(A4609,'ZONE 1 PREMIUM'!$A$4:$N$16,14,0)</f>
        <v>4</v>
      </c>
      <c r="M4609">
        <f>VLOOKUP(D4609,DROPDOWN!B:C,2,0)</f>
        <v>14</v>
      </c>
      <c r="N4609" t="str">
        <f t="shared" si="230"/>
        <v>AU20:BM31</v>
      </c>
      <c r="O4609" s="4">
        <f t="shared" ca="1" si="228"/>
        <v>121291.875</v>
      </c>
    </row>
    <row r="4610" spans="1:15">
      <c r="A4610" s="2" t="s">
        <v>14</v>
      </c>
      <c r="B4610" t="s">
        <v>31</v>
      </c>
      <c r="C4610" t="s">
        <v>32</v>
      </c>
      <c r="D4610">
        <v>75</v>
      </c>
      <c r="E4610" t="s">
        <v>46</v>
      </c>
      <c r="F4610">
        <v>2</v>
      </c>
      <c r="G4610">
        <v>1</v>
      </c>
      <c r="H4610">
        <v>1</v>
      </c>
      <c r="I4610">
        <v>1</v>
      </c>
      <c r="J4610" s="4" t="s">
        <v>55</v>
      </c>
      <c r="K4610" t="str">
        <f t="shared" si="229"/>
        <v>1+1</v>
      </c>
      <c r="L4610">
        <f>VLOOKUP(A4610,'ZONE 1 PREMIUM'!$A$4:$N$16,14,0)</f>
        <v>5</v>
      </c>
      <c r="M4610">
        <f>VLOOKUP(D4610,DROPDOWN!B:C,2,0)</f>
        <v>14</v>
      </c>
      <c r="N4610" t="str">
        <f t="shared" si="230"/>
        <v>AU20:BM31</v>
      </c>
      <c r="O4610" s="4">
        <f t="shared" ref="O4610:O4673" ca="1" si="231">INDEX(INDIRECT(N4610),L4610,M4610)</f>
        <v>141789.375</v>
      </c>
    </row>
    <row r="4611" spans="1:15">
      <c r="A4611" s="2" t="s">
        <v>15</v>
      </c>
      <c r="B4611" t="s">
        <v>33</v>
      </c>
      <c r="C4611" t="s">
        <v>34</v>
      </c>
      <c r="D4611">
        <v>75</v>
      </c>
      <c r="E4611" t="s">
        <v>46</v>
      </c>
      <c r="F4611">
        <v>2</v>
      </c>
      <c r="G4611">
        <v>1</v>
      </c>
      <c r="H4611">
        <v>1</v>
      </c>
      <c r="I4611">
        <v>1</v>
      </c>
      <c r="J4611" s="4" t="s">
        <v>55</v>
      </c>
      <c r="K4611" t="str">
        <f t="shared" si="229"/>
        <v>1+1</v>
      </c>
      <c r="L4611">
        <f>VLOOKUP(A4611,'ZONE 1 PREMIUM'!$A$4:$N$16,14,0)</f>
        <v>6</v>
      </c>
      <c r="M4611">
        <f>VLOOKUP(D4611,DROPDOWN!B:C,2,0)</f>
        <v>14</v>
      </c>
      <c r="N4611" t="str">
        <f t="shared" si="230"/>
        <v>AU20:BM31</v>
      </c>
      <c r="O4611" s="4">
        <f t="shared" ca="1" si="231"/>
        <v>173740.5</v>
      </c>
    </row>
    <row r="4612" spans="1:15">
      <c r="A4612" s="2" t="s">
        <v>16</v>
      </c>
      <c r="B4612" t="s">
        <v>35</v>
      </c>
      <c r="C4612" t="s">
        <v>36</v>
      </c>
      <c r="D4612">
        <v>75</v>
      </c>
      <c r="E4612" t="s">
        <v>46</v>
      </c>
      <c r="F4612">
        <v>2</v>
      </c>
      <c r="G4612">
        <v>1</v>
      </c>
      <c r="H4612">
        <v>1</v>
      </c>
      <c r="I4612">
        <v>1</v>
      </c>
      <c r="J4612" s="4" t="s">
        <v>55</v>
      </c>
      <c r="K4612" t="str">
        <f t="shared" ref="K4612:K4675" si="232">G4612&amp;"+"&amp;H4612</f>
        <v>1+1</v>
      </c>
      <c r="L4612">
        <f>VLOOKUP(A4612,'ZONE 1 PREMIUM'!$A$4:$N$16,14,0)</f>
        <v>7</v>
      </c>
      <c r="M4612">
        <f>VLOOKUP(D4612,DROPDOWN!B:C,2,0)</f>
        <v>14</v>
      </c>
      <c r="N4612" t="str">
        <f t="shared" si="230"/>
        <v>AU20:BM31</v>
      </c>
      <c r="O4612" s="4">
        <f t="shared" ca="1" si="231"/>
        <v>235036.125</v>
      </c>
    </row>
    <row r="4613" spans="1:15">
      <c r="A4613" s="2" t="s">
        <v>17</v>
      </c>
      <c r="B4613" t="s">
        <v>37</v>
      </c>
      <c r="C4613" t="s">
        <v>38</v>
      </c>
      <c r="D4613">
        <v>75</v>
      </c>
      <c r="E4613" t="s">
        <v>46</v>
      </c>
      <c r="F4613">
        <v>2</v>
      </c>
      <c r="G4613">
        <v>1</v>
      </c>
      <c r="H4613">
        <v>1</v>
      </c>
      <c r="I4613">
        <v>1</v>
      </c>
      <c r="J4613" s="4" t="s">
        <v>55</v>
      </c>
      <c r="K4613" t="str">
        <f t="shared" si="232"/>
        <v>1+1</v>
      </c>
      <c r="L4613">
        <f>VLOOKUP(A4613,'ZONE 1 PREMIUM'!$A$4:$N$16,14,0)</f>
        <v>8</v>
      </c>
      <c r="M4613">
        <f>VLOOKUP(D4613,DROPDOWN!B:C,2,0)</f>
        <v>14</v>
      </c>
      <c r="N4613" t="str">
        <f t="shared" si="230"/>
        <v>AU20:BM31</v>
      </c>
      <c r="O4613" s="4">
        <f t="shared" ca="1" si="231"/>
        <v>312891.75</v>
      </c>
    </row>
    <row r="4614" spans="1:15">
      <c r="A4614" s="2" t="s">
        <v>18</v>
      </c>
      <c r="B4614" t="s">
        <v>39</v>
      </c>
      <c r="C4614" t="s">
        <v>40</v>
      </c>
      <c r="D4614">
        <v>75</v>
      </c>
      <c r="E4614" t="s">
        <v>46</v>
      </c>
      <c r="F4614">
        <v>2</v>
      </c>
      <c r="G4614">
        <v>1</v>
      </c>
      <c r="H4614">
        <v>1</v>
      </c>
      <c r="I4614">
        <v>1</v>
      </c>
      <c r="J4614" s="4" t="s">
        <v>55</v>
      </c>
      <c r="K4614" t="str">
        <f t="shared" si="232"/>
        <v>1+1</v>
      </c>
      <c r="L4614">
        <f>VLOOKUP(A4614,'ZONE 1 PREMIUM'!$A$4:$N$16,14,0)</f>
        <v>9</v>
      </c>
      <c r="M4614">
        <f>VLOOKUP(D4614,DROPDOWN!B:C,2,0)</f>
        <v>14</v>
      </c>
      <c r="N4614" t="str">
        <f t="shared" si="230"/>
        <v>AU20:BM31</v>
      </c>
      <c r="O4614" s="4">
        <f t="shared" ca="1" si="231"/>
        <v>434417.625</v>
      </c>
    </row>
    <row r="4615" spans="1:15">
      <c r="A4615" s="2" t="s">
        <v>19</v>
      </c>
      <c r="B4615" t="s">
        <v>41</v>
      </c>
      <c r="C4615" t="s">
        <v>42</v>
      </c>
      <c r="D4615">
        <v>75</v>
      </c>
      <c r="E4615" t="s">
        <v>46</v>
      </c>
      <c r="F4615">
        <v>2</v>
      </c>
      <c r="G4615">
        <v>1</v>
      </c>
      <c r="H4615">
        <v>1</v>
      </c>
      <c r="I4615">
        <v>1</v>
      </c>
      <c r="J4615" s="4" t="s">
        <v>55</v>
      </c>
      <c r="K4615" t="str">
        <f t="shared" si="232"/>
        <v>1+1</v>
      </c>
      <c r="L4615">
        <f>VLOOKUP(A4615,'ZONE 1 PREMIUM'!$A$4:$N$16,14,0)</f>
        <v>10</v>
      </c>
      <c r="M4615">
        <f>VLOOKUP(D4615,DROPDOWN!B:C,2,0)</f>
        <v>14</v>
      </c>
      <c r="N4615" t="str">
        <f t="shared" si="230"/>
        <v>AU20:BM31</v>
      </c>
      <c r="O4615" s="4">
        <f t="shared" ca="1" si="231"/>
        <v>553962.375</v>
      </c>
    </row>
    <row r="4616" spans="1:15">
      <c r="A4616" s="2" t="s">
        <v>20</v>
      </c>
      <c r="B4616" t="s">
        <v>43</v>
      </c>
      <c r="C4616" t="s">
        <v>44</v>
      </c>
      <c r="D4616">
        <v>75</v>
      </c>
      <c r="E4616" t="s">
        <v>46</v>
      </c>
      <c r="F4616">
        <v>2</v>
      </c>
      <c r="G4616">
        <v>1</v>
      </c>
      <c r="H4616">
        <v>1</v>
      </c>
      <c r="I4616">
        <v>1</v>
      </c>
      <c r="J4616" s="4" t="s">
        <v>55</v>
      </c>
      <c r="K4616" t="str">
        <f t="shared" si="232"/>
        <v>1+1</v>
      </c>
      <c r="L4616">
        <f>VLOOKUP(A4616,'ZONE 1 PREMIUM'!$A$4:$N$16,14,0)</f>
        <v>11</v>
      </c>
      <c r="M4616">
        <f>VLOOKUP(D4616,DROPDOWN!B:C,2,0)</f>
        <v>14</v>
      </c>
      <c r="N4616" t="str">
        <f t="shared" si="230"/>
        <v>AU20:BM31</v>
      </c>
      <c r="O4616" s="4">
        <f t="shared" ca="1" si="231"/>
        <v>646002</v>
      </c>
    </row>
    <row r="4617" spans="1:15">
      <c r="A4617" s="2" t="s">
        <v>21</v>
      </c>
      <c r="B4617" t="s">
        <v>22</v>
      </c>
      <c r="D4617">
        <v>75</v>
      </c>
      <c r="E4617" t="s">
        <v>46</v>
      </c>
      <c r="F4617">
        <v>2</v>
      </c>
      <c r="G4617">
        <v>1</v>
      </c>
      <c r="H4617">
        <v>1</v>
      </c>
      <c r="I4617">
        <v>1</v>
      </c>
      <c r="J4617" s="4" t="s">
        <v>55</v>
      </c>
      <c r="K4617" t="str">
        <f t="shared" si="232"/>
        <v>1+1</v>
      </c>
      <c r="L4617">
        <f>VLOOKUP(A4617,'ZONE 1 PREMIUM'!$A$4:$N$16,14,0)</f>
        <v>12</v>
      </c>
      <c r="M4617">
        <f>VLOOKUP(D4617,DROPDOWN!B:C,2,0)</f>
        <v>14</v>
      </c>
      <c r="N4617" t="str">
        <f t="shared" si="230"/>
        <v>AU20:BM31</v>
      </c>
      <c r="O4617" s="4">
        <f t="shared" ca="1" si="231"/>
        <v>866101.5</v>
      </c>
    </row>
    <row r="4618" spans="1:15">
      <c r="A4618" s="2" t="s">
        <v>11</v>
      </c>
      <c r="B4618" t="s">
        <v>45</v>
      </c>
      <c r="C4618" t="s">
        <v>25</v>
      </c>
      <c r="D4618">
        <v>75</v>
      </c>
      <c r="E4618" t="s">
        <v>46</v>
      </c>
      <c r="F4618">
        <v>3</v>
      </c>
      <c r="G4618">
        <v>1</v>
      </c>
      <c r="H4618">
        <v>2</v>
      </c>
      <c r="I4618">
        <v>1</v>
      </c>
      <c r="J4618" s="4" t="s">
        <v>55</v>
      </c>
      <c r="K4618" t="str">
        <f t="shared" si="232"/>
        <v>1+2</v>
      </c>
      <c r="L4618">
        <f>VLOOKUP(A4618,'ZONE 1 PREMIUM'!$A$4:$N$16,14,0)</f>
        <v>2</v>
      </c>
      <c r="M4618">
        <f>VLOOKUP(D4618,DROPDOWN!B:C,2,0)</f>
        <v>14</v>
      </c>
      <c r="N4618" t="str">
        <f t="shared" si="230"/>
        <v>AU35:BM46</v>
      </c>
      <c r="O4618" s="4">
        <f t="shared" ca="1" si="231"/>
        <v>123815.25</v>
      </c>
    </row>
    <row r="4619" spans="1:15">
      <c r="A4619" s="2" t="s">
        <v>12</v>
      </c>
      <c r="B4619" t="s">
        <v>27</v>
      </c>
      <c r="C4619" t="s">
        <v>28</v>
      </c>
      <c r="D4619">
        <v>75</v>
      </c>
      <c r="E4619" t="s">
        <v>46</v>
      </c>
      <c r="F4619">
        <v>3</v>
      </c>
      <c r="G4619">
        <v>1</v>
      </c>
      <c r="H4619">
        <v>2</v>
      </c>
      <c r="I4619">
        <v>1</v>
      </c>
      <c r="J4619" s="4" t="s">
        <v>55</v>
      </c>
      <c r="K4619" t="str">
        <f t="shared" si="232"/>
        <v>1+2</v>
      </c>
      <c r="L4619">
        <f>VLOOKUP(A4619,'ZONE 1 PREMIUM'!$A$4:$N$16,14,0)</f>
        <v>3</v>
      </c>
      <c r="M4619">
        <f>VLOOKUP(D4619,DROPDOWN!B:C,2,0)</f>
        <v>14</v>
      </c>
      <c r="N4619" t="str">
        <f t="shared" si="230"/>
        <v>AU35:BM46</v>
      </c>
      <c r="O4619" s="4">
        <f t="shared" ca="1" si="231"/>
        <v>134526.375</v>
      </c>
    </row>
    <row r="4620" spans="1:15">
      <c r="A4620" s="2" t="s">
        <v>13</v>
      </c>
      <c r="B4620" t="s">
        <v>29</v>
      </c>
      <c r="C4620" t="s">
        <v>30</v>
      </c>
      <c r="D4620">
        <v>75</v>
      </c>
      <c r="E4620" t="s">
        <v>46</v>
      </c>
      <c r="F4620">
        <v>3</v>
      </c>
      <c r="G4620">
        <v>1</v>
      </c>
      <c r="H4620">
        <v>2</v>
      </c>
      <c r="I4620">
        <v>1</v>
      </c>
      <c r="J4620" s="4" t="s">
        <v>55</v>
      </c>
      <c r="K4620" t="str">
        <f t="shared" si="232"/>
        <v>1+2</v>
      </c>
      <c r="L4620">
        <f>VLOOKUP(A4620,'ZONE 1 PREMIUM'!$A$4:$N$16,14,0)</f>
        <v>4</v>
      </c>
      <c r="M4620">
        <f>VLOOKUP(D4620,DROPDOWN!B:C,2,0)</f>
        <v>14</v>
      </c>
      <c r="N4620" t="str">
        <f t="shared" si="230"/>
        <v>AU35:BM46</v>
      </c>
      <c r="O4620" s="4">
        <f t="shared" ca="1" si="231"/>
        <v>149695.875</v>
      </c>
    </row>
    <row r="4621" spans="1:15">
      <c r="A4621" s="2" t="s">
        <v>14</v>
      </c>
      <c r="B4621" t="s">
        <v>31</v>
      </c>
      <c r="C4621" t="s">
        <v>32</v>
      </c>
      <c r="D4621">
        <v>75</v>
      </c>
      <c r="E4621" t="s">
        <v>46</v>
      </c>
      <c r="F4621">
        <v>3</v>
      </c>
      <c r="G4621">
        <v>1</v>
      </c>
      <c r="H4621">
        <v>2</v>
      </c>
      <c r="I4621">
        <v>1</v>
      </c>
      <c r="J4621" s="4" t="s">
        <v>55</v>
      </c>
      <c r="K4621" t="str">
        <f t="shared" si="232"/>
        <v>1+2</v>
      </c>
      <c r="L4621">
        <f>VLOOKUP(A4621,'ZONE 1 PREMIUM'!$A$4:$N$16,14,0)</f>
        <v>5</v>
      </c>
      <c r="M4621">
        <f>VLOOKUP(D4621,DROPDOWN!B:C,2,0)</f>
        <v>14</v>
      </c>
      <c r="N4621" t="str">
        <f t="shared" si="230"/>
        <v>AU35:BM46</v>
      </c>
      <c r="O4621" s="4">
        <f t="shared" ca="1" si="231"/>
        <v>167382</v>
      </c>
    </row>
    <row r="4622" spans="1:15">
      <c r="A4622" s="2" t="s">
        <v>15</v>
      </c>
      <c r="B4622" t="s">
        <v>33</v>
      </c>
      <c r="C4622" t="s">
        <v>34</v>
      </c>
      <c r="D4622">
        <v>75</v>
      </c>
      <c r="E4622" t="s">
        <v>46</v>
      </c>
      <c r="F4622">
        <v>3</v>
      </c>
      <c r="G4622">
        <v>1</v>
      </c>
      <c r="H4622">
        <v>2</v>
      </c>
      <c r="I4622">
        <v>1</v>
      </c>
      <c r="J4622" s="4" t="s">
        <v>55</v>
      </c>
      <c r="K4622" t="str">
        <f t="shared" si="232"/>
        <v>1+2</v>
      </c>
      <c r="L4622">
        <f>VLOOKUP(A4622,'ZONE 1 PREMIUM'!$A$4:$N$16,14,0)</f>
        <v>6</v>
      </c>
      <c r="M4622">
        <f>VLOOKUP(D4622,DROPDOWN!B:C,2,0)</f>
        <v>14</v>
      </c>
      <c r="N4622" t="str">
        <f t="shared" si="230"/>
        <v>AU35:BM46</v>
      </c>
      <c r="O4622" s="4">
        <f t="shared" ca="1" si="231"/>
        <v>208492.875</v>
      </c>
    </row>
    <row r="4623" spans="1:15">
      <c r="A4623" s="2" t="s">
        <v>16</v>
      </c>
      <c r="B4623" t="s">
        <v>35</v>
      </c>
      <c r="C4623" t="s">
        <v>36</v>
      </c>
      <c r="D4623">
        <v>75</v>
      </c>
      <c r="E4623" t="s">
        <v>46</v>
      </c>
      <c r="F4623">
        <v>3</v>
      </c>
      <c r="G4623">
        <v>1</v>
      </c>
      <c r="H4623">
        <v>2</v>
      </c>
      <c r="I4623">
        <v>1</v>
      </c>
      <c r="J4623" s="4" t="s">
        <v>55</v>
      </c>
      <c r="K4623" t="str">
        <f t="shared" si="232"/>
        <v>1+2</v>
      </c>
      <c r="L4623">
        <f>VLOOKUP(A4623,'ZONE 1 PREMIUM'!$A$4:$N$16,14,0)</f>
        <v>7</v>
      </c>
      <c r="M4623">
        <f>VLOOKUP(D4623,DROPDOWN!B:C,2,0)</f>
        <v>14</v>
      </c>
      <c r="N4623" t="str">
        <f t="shared" si="230"/>
        <v>AU35:BM46</v>
      </c>
      <c r="O4623" s="4">
        <f t="shared" ca="1" si="231"/>
        <v>277645.5</v>
      </c>
    </row>
    <row r="4624" spans="1:15">
      <c r="A4624" s="2" t="s">
        <v>17</v>
      </c>
      <c r="B4624" t="s">
        <v>37</v>
      </c>
      <c r="C4624" t="s">
        <v>38</v>
      </c>
      <c r="D4624">
        <v>75</v>
      </c>
      <c r="E4624" t="s">
        <v>46</v>
      </c>
      <c r="F4624">
        <v>3</v>
      </c>
      <c r="G4624">
        <v>1</v>
      </c>
      <c r="H4624">
        <v>2</v>
      </c>
      <c r="I4624">
        <v>1</v>
      </c>
      <c r="J4624" s="4" t="s">
        <v>55</v>
      </c>
      <c r="K4624" t="str">
        <f t="shared" si="232"/>
        <v>1+2</v>
      </c>
      <c r="L4624">
        <f>VLOOKUP(A4624,'ZONE 1 PREMIUM'!$A$4:$N$16,14,0)</f>
        <v>8</v>
      </c>
      <c r="M4624">
        <f>VLOOKUP(D4624,DROPDOWN!B:C,2,0)</f>
        <v>14</v>
      </c>
      <c r="N4624" t="str">
        <f t="shared" si="230"/>
        <v>AU35:BM46</v>
      </c>
      <c r="O4624" s="4">
        <f t="shared" ca="1" si="231"/>
        <v>358644.375</v>
      </c>
    </row>
    <row r="4625" spans="1:15">
      <c r="A4625" s="2" t="s">
        <v>18</v>
      </c>
      <c r="B4625" t="s">
        <v>39</v>
      </c>
      <c r="C4625" t="s">
        <v>40</v>
      </c>
      <c r="D4625">
        <v>75</v>
      </c>
      <c r="E4625" t="s">
        <v>46</v>
      </c>
      <c r="F4625">
        <v>3</v>
      </c>
      <c r="G4625">
        <v>1</v>
      </c>
      <c r="H4625">
        <v>2</v>
      </c>
      <c r="I4625">
        <v>1</v>
      </c>
      <c r="J4625" s="4" t="s">
        <v>55</v>
      </c>
      <c r="K4625" t="str">
        <f t="shared" si="232"/>
        <v>1+2</v>
      </c>
      <c r="L4625">
        <f>VLOOKUP(A4625,'ZONE 1 PREMIUM'!$A$4:$N$16,14,0)</f>
        <v>9</v>
      </c>
      <c r="M4625">
        <f>VLOOKUP(D4625,DROPDOWN!B:C,2,0)</f>
        <v>14</v>
      </c>
      <c r="N4625" t="str">
        <f t="shared" si="230"/>
        <v>AU35:BM46</v>
      </c>
      <c r="O4625" s="4">
        <f t="shared" ca="1" si="231"/>
        <v>470360.25</v>
      </c>
    </row>
    <row r="4626" spans="1:15">
      <c r="A4626" s="2" t="s">
        <v>19</v>
      </c>
      <c r="B4626" t="s">
        <v>41</v>
      </c>
      <c r="C4626" t="s">
        <v>42</v>
      </c>
      <c r="D4626">
        <v>75</v>
      </c>
      <c r="E4626" t="s">
        <v>46</v>
      </c>
      <c r="F4626">
        <v>3</v>
      </c>
      <c r="G4626">
        <v>1</v>
      </c>
      <c r="H4626">
        <v>2</v>
      </c>
      <c r="I4626">
        <v>1</v>
      </c>
      <c r="J4626" s="4" t="s">
        <v>55</v>
      </c>
      <c r="K4626" t="str">
        <f t="shared" si="232"/>
        <v>1+2</v>
      </c>
      <c r="L4626">
        <f>VLOOKUP(A4626,'ZONE 1 PREMIUM'!$A$4:$N$16,14,0)</f>
        <v>10</v>
      </c>
      <c r="M4626">
        <f>VLOOKUP(D4626,DROPDOWN!B:C,2,0)</f>
        <v>14</v>
      </c>
      <c r="N4626" t="str">
        <f t="shared" si="230"/>
        <v>AU35:BM46</v>
      </c>
      <c r="O4626" s="4">
        <f t="shared" ca="1" si="231"/>
        <v>599049</v>
      </c>
    </row>
    <row r="4627" spans="1:15">
      <c r="A4627" s="2" t="s">
        <v>20</v>
      </c>
      <c r="B4627" t="s">
        <v>43</v>
      </c>
      <c r="C4627" t="s">
        <v>44</v>
      </c>
      <c r="D4627">
        <v>75</v>
      </c>
      <c r="E4627" t="s">
        <v>46</v>
      </c>
      <c r="F4627">
        <v>3</v>
      </c>
      <c r="G4627">
        <v>1</v>
      </c>
      <c r="H4627">
        <v>2</v>
      </c>
      <c r="I4627">
        <v>1</v>
      </c>
      <c r="J4627" s="4" t="s">
        <v>55</v>
      </c>
      <c r="K4627" t="str">
        <f t="shared" si="232"/>
        <v>1+2</v>
      </c>
      <c r="L4627">
        <f>VLOOKUP(A4627,'ZONE 1 PREMIUM'!$A$4:$N$16,14,0)</f>
        <v>11</v>
      </c>
      <c r="M4627">
        <f>VLOOKUP(D4627,DROPDOWN!B:C,2,0)</f>
        <v>14</v>
      </c>
      <c r="N4627" t="str">
        <f t="shared" si="230"/>
        <v>AU35:BM46</v>
      </c>
      <c r="O4627" s="4">
        <f t="shared" ca="1" si="231"/>
        <v>700214.625</v>
      </c>
    </row>
    <row r="4628" spans="1:15">
      <c r="A4628" s="2" t="s">
        <v>21</v>
      </c>
      <c r="B4628" t="s">
        <v>22</v>
      </c>
      <c r="D4628">
        <v>75</v>
      </c>
      <c r="E4628" t="s">
        <v>46</v>
      </c>
      <c r="F4628">
        <v>3</v>
      </c>
      <c r="G4628">
        <v>1</v>
      </c>
      <c r="H4628">
        <v>2</v>
      </c>
      <c r="I4628">
        <v>1</v>
      </c>
      <c r="J4628" s="4" t="s">
        <v>55</v>
      </c>
      <c r="K4628" t="str">
        <f t="shared" si="232"/>
        <v>1+2</v>
      </c>
      <c r="L4628">
        <f>VLOOKUP(A4628,'ZONE 1 PREMIUM'!$A$4:$N$16,14,0)</f>
        <v>12</v>
      </c>
      <c r="M4628">
        <f>VLOOKUP(D4628,DROPDOWN!B:C,2,0)</f>
        <v>14</v>
      </c>
      <c r="N4628" t="str">
        <f t="shared" si="230"/>
        <v>AU35:BM46</v>
      </c>
      <c r="O4628" s="4">
        <f t="shared" ca="1" si="231"/>
        <v>905112</v>
      </c>
    </row>
    <row r="4629" spans="1:15">
      <c r="A4629" s="2" t="s">
        <v>11</v>
      </c>
      <c r="B4629" t="s">
        <v>45</v>
      </c>
      <c r="C4629" t="s">
        <v>25</v>
      </c>
      <c r="D4629">
        <v>75</v>
      </c>
      <c r="E4629" t="s">
        <v>46</v>
      </c>
      <c r="F4629">
        <v>4</v>
      </c>
      <c r="G4629">
        <v>1</v>
      </c>
      <c r="H4629">
        <v>3</v>
      </c>
      <c r="I4629">
        <v>1</v>
      </c>
      <c r="J4629" s="4" t="s">
        <v>55</v>
      </c>
      <c r="K4629" t="str">
        <f t="shared" si="232"/>
        <v>1+3</v>
      </c>
      <c r="L4629">
        <f>VLOOKUP(A4629,'ZONE 1 PREMIUM'!$A$4:$N$16,14,0)</f>
        <v>2</v>
      </c>
      <c r="M4629">
        <f>VLOOKUP(D4629,DROPDOWN!B:C,2,0)</f>
        <v>14</v>
      </c>
      <c r="N4629" t="str">
        <f t="shared" si="230"/>
        <v>AU50:BM61</v>
      </c>
      <c r="O4629" s="4">
        <f t="shared" ca="1" si="231"/>
        <v>149213.25</v>
      </c>
    </row>
    <row r="4630" spans="1:15">
      <c r="A4630" s="2" t="s">
        <v>12</v>
      </c>
      <c r="B4630" t="s">
        <v>27</v>
      </c>
      <c r="C4630" t="s">
        <v>28</v>
      </c>
      <c r="D4630">
        <v>75</v>
      </c>
      <c r="E4630" t="s">
        <v>46</v>
      </c>
      <c r="F4630">
        <v>4</v>
      </c>
      <c r="G4630">
        <v>1</v>
      </c>
      <c r="H4630">
        <v>3</v>
      </c>
      <c r="I4630">
        <v>1</v>
      </c>
      <c r="J4630" s="4" t="s">
        <v>55</v>
      </c>
      <c r="K4630" t="str">
        <f t="shared" si="232"/>
        <v>1+3</v>
      </c>
      <c r="L4630">
        <f>VLOOKUP(A4630,'ZONE 1 PREMIUM'!$A$4:$N$16,14,0)</f>
        <v>3</v>
      </c>
      <c r="M4630">
        <f>VLOOKUP(D4630,DROPDOWN!B:C,2,0)</f>
        <v>14</v>
      </c>
      <c r="N4630" t="str">
        <f t="shared" si="230"/>
        <v>AU50:BM61</v>
      </c>
      <c r="O4630" s="4">
        <f t="shared" ca="1" si="231"/>
        <v>159546.375</v>
      </c>
    </row>
    <row r="4631" spans="1:15">
      <c r="A4631" s="2" t="s">
        <v>13</v>
      </c>
      <c r="B4631" t="s">
        <v>29</v>
      </c>
      <c r="C4631" t="s">
        <v>30</v>
      </c>
      <c r="D4631">
        <v>75</v>
      </c>
      <c r="E4631" t="s">
        <v>46</v>
      </c>
      <c r="F4631">
        <v>4</v>
      </c>
      <c r="G4631">
        <v>1</v>
      </c>
      <c r="H4631">
        <v>3</v>
      </c>
      <c r="I4631">
        <v>1</v>
      </c>
      <c r="J4631" s="4" t="s">
        <v>55</v>
      </c>
      <c r="K4631" t="str">
        <f t="shared" si="232"/>
        <v>1+3</v>
      </c>
      <c r="L4631">
        <f>VLOOKUP(A4631,'ZONE 1 PREMIUM'!$A$4:$N$16,14,0)</f>
        <v>4</v>
      </c>
      <c r="M4631">
        <f>VLOOKUP(D4631,DROPDOWN!B:C,2,0)</f>
        <v>14</v>
      </c>
      <c r="N4631" t="str">
        <f t="shared" si="230"/>
        <v>AU50:BM61</v>
      </c>
      <c r="O4631" s="4">
        <f t="shared" ca="1" si="231"/>
        <v>178704</v>
      </c>
    </row>
    <row r="4632" spans="1:15">
      <c r="A4632" s="2" t="s">
        <v>14</v>
      </c>
      <c r="B4632" t="s">
        <v>31</v>
      </c>
      <c r="C4632" t="s">
        <v>32</v>
      </c>
      <c r="D4632">
        <v>75</v>
      </c>
      <c r="E4632" t="s">
        <v>46</v>
      </c>
      <c r="F4632">
        <v>4</v>
      </c>
      <c r="G4632">
        <v>1</v>
      </c>
      <c r="H4632">
        <v>3</v>
      </c>
      <c r="I4632">
        <v>1</v>
      </c>
      <c r="J4632" s="4" t="s">
        <v>55</v>
      </c>
      <c r="K4632" t="str">
        <f t="shared" si="232"/>
        <v>1+3</v>
      </c>
      <c r="L4632">
        <f>VLOOKUP(A4632,'ZONE 1 PREMIUM'!$A$4:$N$16,14,0)</f>
        <v>5</v>
      </c>
      <c r="M4632">
        <f>VLOOKUP(D4632,DROPDOWN!B:C,2,0)</f>
        <v>14</v>
      </c>
      <c r="N4632" t="str">
        <f t="shared" si="230"/>
        <v>AU50:BM61</v>
      </c>
      <c r="O4632" s="4">
        <f t="shared" ca="1" si="231"/>
        <v>198427.5</v>
      </c>
    </row>
    <row r="4633" spans="1:15">
      <c r="A4633" s="2" t="s">
        <v>15</v>
      </c>
      <c r="B4633" t="s">
        <v>33</v>
      </c>
      <c r="C4633" t="s">
        <v>34</v>
      </c>
      <c r="D4633">
        <v>75</v>
      </c>
      <c r="E4633" t="s">
        <v>46</v>
      </c>
      <c r="F4633">
        <v>4</v>
      </c>
      <c r="G4633">
        <v>1</v>
      </c>
      <c r="H4633">
        <v>3</v>
      </c>
      <c r="I4633">
        <v>1</v>
      </c>
      <c r="J4633" s="4" t="s">
        <v>55</v>
      </c>
      <c r="K4633" t="str">
        <f t="shared" si="232"/>
        <v>1+3</v>
      </c>
      <c r="L4633">
        <f>VLOOKUP(A4633,'ZONE 1 PREMIUM'!$A$4:$N$16,14,0)</f>
        <v>6</v>
      </c>
      <c r="M4633">
        <f>VLOOKUP(D4633,DROPDOWN!B:C,2,0)</f>
        <v>14</v>
      </c>
      <c r="N4633" t="str">
        <f t="shared" si="230"/>
        <v>AU50:BM61</v>
      </c>
      <c r="O4633" s="4">
        <f t="shared" ca="1" si="231"/>
        <v>243244.125</v>
      </c>
    </row>
    <row r="4634" spans="1:15">
      <c r="A4634" s="2" t="s">
        <v>16</v>
      </c>
      <c r="B4634" t="s">
        <v>35</v>
      </c>
      <c r="C4634" t="s">
        <v>36</v>
      </c>
      <c r="D4634">
        <v>75</v>
      </c>
      <c r="E4634" t="s">
        <v>46</v>
      </c>
      <c r="F4634">
        <v>4</v>
      </c>
      <c r="G4634">
        <v>1</v>
      </c>
      <c r="H4634">
        <v>3</v>
      </c>
      <c r="I4634">
        <v>1</v>
      </c>
      <c r="J4634" s="4" t="s">
        <v>55</v>
      </c>
      <c r="K4634" t="str">
        <f t="shared" si="232"/>
        <v>1+3</v>
      </c>
      <c r="L4634">
        <f>VLOOKUP(A4634,'ZONE 1 PREMIUM'!$A$4:$N$16,14,0)</f>
        <v>7</v>
      </c>
      <c r="M4634">
        <f>VLOOKUP(D4634,DROPDOWN!B:C,2,0)</f>
        <v>14</v>
      </c>
      <c r="N4634" t="str">
        <f t="shared" si="230"/>
        <v>AU50:BM61</v>
      </c>
      <c r="O4634" s="4">
        <f t="shared" ca="1" si="231"/>
        <v>315451.125</v>
      </c>
    </row>
    <row r="4635" spans="1:15">
      <c r="A4635" s="2" t="s">
        <v>17</v>
      </c>
      <c r="B4635" t="s">
        <v>37</v>
      </c>
      <c r="C4635" t="s">
        <v>38</v>
      </c>
      <c r="D4635">
        <v>75</v>
      </c>
      <c r="E4635" t="s">
        <v>46</v>
      </c>
      <c r="F4635">
        <v>4</v>
      </c>
      <c r="G4635">
        <v>1</v>
      </c>
      <c r="H4635">
        <v>3</v>
      </c>
      <c r="I4635">
        <v>1</v>
      </c>
      <c r="J4635" s="4" t="s">
        <v>55</v>
      </c>
      <c r="K4635" t="str">
        <f t="shared" si="232"/>
        <v>1+3</v>
      </c>
      <c r="L4635">
        <f>VLOOKUP(A4635,'ZONE 1 PREMIUM'!$A$4:$N$16,14,0)</f>
        <v>8</v>
      </c>
      <c r="M4635">
        <f>VLOOKUP(D4635,DROPDOWN!B:C,2,0)</f>
        <v>14</v>
      </c>
      <c r="N4635" t="str">
        <f t="shared" si="230"/>
        <v>AU50:BM61</v>
      </c>
      <c r="O4635" s="4">
        <f t="shared" ca="1" si="231"/>
        <v>391254.75</v>
      </c>
    </row>
    <row r="4636" spans="1:15">
      <c r="A4636" s="2" t="s">
        <v>18</v>
      </c>
      <c r="B4636" t="s">
        <v>39</v>
      </c>
      <c r="C4636" t="s">
        <v>40</v>
      </c>
      <c r="D4636">
        <v>75</v>
      </c>
      <c r="E4636" t="s">
        <v>46</v>
      </c>
      <c r="F4636">
        <v>4</v>
      </c>
      <c r="G4636">
        <v>1</v>
      </c>
      <c r="H4636">
        <v>3</v>
      </c>
      <c r="I4636">
        <v>1</v>
      </c>
      <c r="J4636" s="4" t="s">
        <v>55</v>
      </c>
      <c r="K4636" t="str">
        <f t="shared" si="232"/>
        <v>1+3</v>
      </c>
      <c r="L4636">
        <f>VLOOKUP(A4636,'ZONE 1 PREMIUM'!$A$4:$N$16,14,0)</f>
        <v>9</v>
      </c>
      <c r="M4636">
        <f>VLOOKUP(D4636,DROPDOWN!B:C,2,0)</f>
        <v>14</v>
      </c>
      <c r="N4636" t="str">
        <f t="shared" si="230"/>
        <v>AU50:BM61</v>
      </c>
      <c r="O4636" s="4">
        <f t="shared" ca="1" si="231"/>
        <v>506560.5</v>
      </c>
    </row>
    <row r="4637" spans="1:15">
      <c r="A4637" s="2" t="s">
        <v>19</v>
      </c>
      <c r="B4637" t="s">
        <v>41</v>
      </c>
      <c r="C4637" t="s">
        <v>42</v>
      </c>
      <c r="D4637">
        <v>75</v>
      </c>
      <c r="E4637" t="s">
        <v>46</v>
      </c>
      <c r="F4637">
        <v>4</v>
      </c>
      <c r="G4637">
        <v>1</v>
      </c>
      <c r="H4637">
        <v>3</v>
      </c>
      <c r="I4637">
        <v>1</v>
      </c>
      <c r="J4637" s="4" t="s">
        <v>55</v>
      </c>
      <c r="K4637" t="str">
        <f t="shared" si="232"/>
        <v>1+3</v>
      </c>
      <c r="L4637">
        <f>VLOOKUP(A4637,'ZONE 1 PREMIUM'!$A$4:$N$16,14,0)</f>
        <v>10</v>
      </c>
      <c r="M4637">
        <f>VLOOKUP(D4637,DROPDOWN!B:C,2,0)</f>
        <v>14</v>
      </c>
      <c r="N4637" t="str">
        <f t="shared" si="230"/>
        <v>AU50:BM61</v>
      </c>
      <c r="O4637" s="4">
        <f t="shared" ca="1" si="231"/>
        <v>626878.125</v>
      </c>
    </row>
    <row r="4638" spans="1:15">
      <c r="A4638" s="2" t="s">
        <v>20</v>
      </c>
      <c r="B4638" t="s">
        <v>43</v>
      </c>
      <c r="C4638" t="s">
        <v>44</v>
      </c>
      <c r="D4638">
        <v>75</v>
      </c>
      <c r="E4638" t="s">
        <v>46</v>
      </c>
      <c r="F4638">
        <v>4</v>
      </c>
      <c r="G4638">
        <v>1</v>
      </c>
      <c r="H4638">
        <v>3</v>
      </c>
      <c r="I4638">
        <v>1</v>
      </c>
      <c r="J4638" s="4" t="s">
        <v>55</v>
      </c>
      <c r="K4638" t="str">
        <f t="shared" si="232"/>
        <v>1+3</v>
      </c>
      <c r="L4638">
        <f>VLOOKUP(A4638,'ZONE 1 PREMIUM'!$A$4:$N$16,14,0)</f>
        <v>11</v>
      </c>
      <c r="M4638">
        <f>VLOOKUP(D4638,DROPDOWN!B:C,2,0)</f>
        <v>14</v>
      </c>
      <c r="N4638" t="str">
        <f t="shared" si="230"/>
        <v>AU50:BM61</v>
      </c>
      <c r="O4638" s="4">
        <f t="shared" ca="1" si="231"/>
        <v>726361.875</v>
      </c>
    </row>
    <row r="4639" spans="1:15">
      <c r="A4639" s="2" t="s">
        <v>21</v>
      </c>
      <c r="B4639" t="s">
        <v>22</v>
      </c>
      <c r="D4639">
        <v>75</v>
      </c>
      <c r="E4639" t="s">
        <v>46</v>
      </c>
      <c r="F4639">
        <v>4</v>
      </c>
      <c r="G4639">
        <v>1</v>
      </c>
      <c r="H4639">
        <v>3</v>
      </c>
      <c r="I4639">
        <v>1</v>
      </c>
      <c r="J4639" s="4" t="s">
        <v>55</v>
      </c>
      <c r="K4639" t="str">
        <f t="shared" si="232"/>
        <v>1+3</v>
      </c>
      <c r="L4639">
        <f>VLOOKUP(A4639,'ZONE 1 PREMIUM'!$A$4:$N$16,14,0)</f>
        <v>12</v>
      </c>
      <c r="M4639">
        <f>VLOOKUP(D4639,DROPDOWN!B:C,2,0)</f>
        <v>14</v>
      </c>
      <c r="N4639" t="str">
        <f t="shared" si="230"/>
        <v>AU50:BM61</v>
      </c>
      <c r="O4639" s="4">
        <f t="shared" ca="1" si="231"/>
        <v>933189.75</v>
      </c>
    </row>
    <row r="4640" spans="1:15">
      <c r="A4640" s="2" t="s">
        <v>11</v>
      </c>
      <c r="B4640" t="s">
        <v>45</v>
      </c>
      <c r="C4640" t="s">
        <v>25</v>
      </c>
      <c r="D4640">
        <v>75</v>
      </c>
      <c r="E4640" t="s">
        <v>46</v>
      </c>
      <c r="F4640">
        <v>5</v>
      </c>
      <c r="G4640">
        <v>1</v>
      </c>
      <c r="H4640">
        <v>4</v>
      </c>
      <c r="I4640">
        <v>1</v>
      </c>
      <c r="J4640" s="4" t="s">
        <v>55</v>
      </c>
      <c r="K4640" t="str">
        <f t="shared" si="232"/>
        <v>1+4</v>
      </c>
      <c r="L4640">
        <f>VLOOKUP(A4640,'ZONE 1 PREMIUM'!$A$4:$N$16,14,0)</f>
        <v>2</v>
      </c>
      <c r="M4640">
        <f>VLOOKUP(D4640,DROPDOWN!B:C,2,0)</f>
        <v>14</v>
      </c>
      <c r="N4640" t="str">
        <f t="shared" si="230"/>
        <v>AU65:BM76</v>
      </c>
      <c r="O4640" s="4">
        <f t="shared" ca="1" si="231"/>
        <v>174611.25</v>
      </c>
    </row>
    <row r="4641" spans="1:15">
      <c r="A4641" s="2" t="s">
        <v>12</v>
      </c>
      <c r="B4641" t="s">
        <v>27</v>
      </c>
      <c r="C4641" t="s">
        <v>28</v>
      </c>
      <c r="D4641">
        <v>75</v>
      </c>
      <c r="E4641" t="s">
        <v>46</v>
      </c>
      <c r="F4641">
        <v>5</v>
      </c>
      <c r="G4641">
        <v>1</v>
      </c>
      <c r="H4641">
        <v>4</v>
      </c>
      <c r="I4641">
        <v>1</v>
      </c>
      <c r="J4641" s="4" t="s">
        <v>55</v>
      </c>
      <c r="K4641" t="str">
        <f t="shared" si="232"/>
        <v>1+4</v>
      </c>
      <c r="L4641">
        <f>VLOOKUP(A4641,'ZONE 1 PREMIUM'!$A$4:$N$16,14,0)</f>
        <v>3</v>
      </c>
      <c r="M4641">
        <f>VLOOKUP(D4641,DROPDOWN!B:C,2,0)</f>
        <v>14</v>
      </c>
      <c r="N4641" t="str">
        <f t="shared" si="230"/>
        <v>AU65:BM76</v>
      </c>
      <c r="O4641" s="4">
        <f t="shared" ca="1" si="231"/>
        <v>184566.375</v>
      </c>
    </row>
    <row r="4642" spans="1:15">
      <c r="A4642" s="2" t="s">
        <v>13</v>
      </c>
      <c r="B4642" t="s">
        <v>29</v>
      </c>
      <c r="C4642" t="s">
        <v>30</v>
      </c>
      <c r="D4642">
        <v>75</v>
      </c>
      <c r="E4642" t="s">
        <v>46</v>
      </c>
      <c r="F4642">
        <v>5</v>
      </c>
      <c r="G4642">
        <v>1</v>
      </c>
      <c r="H4642">
        <v>4</v>
      </c>
      <c r="I4642">
        <v>1</v>
      </c>
      <c r="J4642" s="4" t="s">
        <v>55</v>
      </c>
      <c r="K4642" t="str">
        <f t="shared" si="232"/>
        <v>1+4</v>
      </c>
      <c r="L4642">
        <f>VLOOKUP(A4642,'ZONE 1 PREMIUM'!$A$4:$N$16,14,0)</f>
        <v>4</v>
      </c>
      <c r="M4642">
        <f>VLOOKUP(D4642,DROPDOWN!B:C,2,0)</f>
        <v>14</v>
      </c>
      <c r="N4642" t="str">
        <f t="shared" si="230"/>
        <v>AU65:BM76</v>
      </c>
      <c r="O4642" s="4">
        <f t="shared" ca="1" si="231"/>
        <v>207711</v>
      </c>
    </row>
    <row r="4643" spans="1:15">
      <c r="A4643" s="2" t="s">
        <v>14</v>
      </c>
      <c r="B4643" t="s">
        <v>31</v>
      </c>
      <c r="C4643" t="s">
        <v>32</v>
      </c>
      <c r="D4643">
        <v>75</v>
      </c>
      <c r="E4643" t="s">
        <v>46</v>
      </c>
      <c r="F4643">
        <v>5</v>
      </c>
      <c r="G4643">
        <v>1</v>
      </c>
      <c r="H4643">
        <v>4</v>
      </c>
      <c r="I4643">
        <v>1</v>
      </c>
      <c r="J4643" s="4" t="s">
        <v>55</v>
      </c>
      <c r="K4643" t="str">
        <f t="shared" si="232"/>
        <v>1+4</v>
      </c>
      <c r="L4643">
        <f>VLOOKUP(A4643,'ZONE 1 PREMIUM'!$A$4:$N$16,14,0)</f>
        <v>5</v>
      </c>
      <c r="M4643">
        <f>VLOOKUP(D4643,DROPDOWN!B:C,2,0)</f>
        <v>14</v>
      </c>
      <c r="N4643" t="str">
        <f t="shared" si="230"/>
        <v>AU65:BM76</v>
      </c>
      <c r="O4643" s="4">
        <f t="shared" ca="1" si="231"/>
        <v>229473</v>
      </c>
    </row>
    <row r="4644" spans="1:15">
      <c r="A4644" s="2" t="s">
        <v>15</v>
      </c>
      <c r="B4644" t="s">
        <v>33</v>
      </c>
      <c r="C4644" t="s">
        <v>34</v>
      </c>
      <c r="D4644">
        <v>75</v>
      </c>
      <c r="E4644" t="s">
        <v>46</v>
      </c>
      <c r="F4644">
        <v>5</v>
      </c>
      <c r="G4644">
        <v>1</v>
      </c>
      <c r="H4644">
        <v>4</v>
      </c>
      <c r="I4644">
        <v>1</v>
      </c>
      <c r="J4644" s="4" t="s">
        <v>55</v>
      </c>
      <c r="K4644" t="str">
        <f t="shared" si="232"/>
        <v>1+4</v>
      </c>
      <c r="L4644">
        <f>VLOOKUP(A4644,'ZONE 1 PREMIUM'!$A$4:$N$16,14,0)</f>
        <v>6</v>
      </c>
      <c r="M4644">
        <f>VLOOKUP(D4644,DROPDOWN!B:C,2,0)</f>
        <v>14</v>
      </c>
      <c r="N4644" t="str">
        <f t="shared" si="230"/>
        <v>AU65:BM76</v>
      </c>
      <c r="O4644" s="4">
        <f t="shared" ca="1" si="231"/>
        <v>277996.5</v>
      </c>
    </row>
    <row r="4645" spans="1:15">
      <c r="A4645" s="2" t="s">
        <v>16</v>
      </c>
      <c r="B4645" t="s">
        <v>35</v>
      </c>
      <c r="C4645" t="s">
        <v>36</v>
      </c>
      <c r="D4645">
        <v>75</v>
      </c>
      <c r="E4645" t="s">
        <v>46</v>
      </c>
      <c r="F4645">
        <v>5</v>
      </c>
      <c r="G4645">
        <v>1</v>
      </c>
      <c r="H4645">
        <v>4</v>
      </c>
      <c r="I4645">
        <v>1</v>
      </c>
      <c r="J4645" s="4" t="s">
        <v>55</v>
      </c>
      <c r="K4645" t="str">
        <f t="shared" si="232"/>
        <v>1+4</v>
      </c>
      <c r="L4645">
        <f>VLOOKUP(A4645,'ZONE 1 PREMIUM'!$A$4:$N$16,14,0)</f>
        <v>7</v>
      </c>
      <c r="M4645">
        <f>VLOOKUP(D4645,DROPDOWN!B:C,2,0)</f>
        <v>14</v>
      </c>
      <c r="N4645" t="str">
        <f t="shared" si="230"/>
        <v>AU65:BM76</v>
      </c>
      <c r="O4645" s="4">
        <f t="shared" ca="1" si="231"/>
        <v>346536</v>
      </c>
    </row>
    <row r="4646" spans="1:15">
      <c r="A4646" s="2" t="s">
        <v>17</v>
      </c>
      <c r="B4646" t="s">
        <v>37</v>
      </c>
      <c r="C4646" t="s">
        <v>38</v>
      </c>
      <c r="D4646">
        <v>75</v>
      </c>
      <c r="E4646" t="s">
        <v>46</v>
      </c>
      <c r="F4646">
        <v>5</v>
      </c>
      <c r="G4646">
        <v>1</v>
      </c>
      <c r="H4646">
        <v>4</v>
      </c>
      <c r="I4646">
        <v>1</v>
      </c>
      <c r="J4646" s="4" t="s">
        <v>55</v>
      </c>
      <c r="K4646" t="str">
        <f t="shared" si="232"/>
        <v>1+4</v>
      </c>
      <c r="L4646">
        <f>VLOOKUP(A4646,'ZONE 1 PREMIUM'!$A$4:$N$16,14,0)</f>
        <v>8</v>
      </c>
      <c r="M4646">
        <f>VLOOKUP(D4646,DROPDOWN!B:C,2,0)</f>
        <v>14</v>
      </c>
      <c r="N4646" t="str">
        <f t="shared" si="230"/>
        <v>AU65:BM76</v>
      </c>
      <c r="O4646" s="4">
        <f t="shared" ca="1" si="231"/>
        <v>420890.625</v>
      </c>
    </row>
    <row r="4647" spans="1:15">
      <c r="A4647" s="2" t="s">
        <v>18</v>
      </c>
      <c r="B4647" t="s">
        <v>39</v>
      </c>
      <c r="C4647" t="s">
        <v>40</v>
      </c>
      <c r="D4647">
        <v>75</v>
      </c>
      <c r="E4647" t="s">
        <v>46</v>
      </c>
      <c r="F4647">
        <v>5</v>
      </c>
      <c r="G4647">
        <v>1</v>
      </c>
      <c r="H4647">
        <v>4</v>
      </c>
      <c r="I4647">
        <v>1</v>
      </c>
      <c r="J4647" s="4" t="s">
        <v>55</v>
      </c>
      <c r="K4647" t="str">
        <f t="shared" si="232"/>
        <v>1+4</v>
      </c>
      <c r="L4647">
        <f>VLOOKUP(A4647,'ZONE 1 PREMIUM'!$A$4:$N$16,14,0)</f>
        <v>9</v>
      </c>
      <c r="M4647">
        <f>VLOOKUP(D4647,DROPDOWN!B:C,2,0)</f>
        <v>14</v>
      </c>
      <c r="N4647" t="str">
        <f t="shared" si="230"/>
        <v>AU65:BM76</v>
      </c>
      <c r="O4647" s="4">
        <f t="shared" ca="1" si="231"/>
        <v>536674.5</v>
      </c>
    </row>
    <row r="4648" spans="1:15">
      <c r="A4648" s="2" t="s">
        <v>19</v>
      </c>
      <c r="B4648" t="s">
        <v>41</v>
      </c>
      <c r="C4648" t="s">
        <v>42</v>
      </c>
      <c r="D4648">
        <v>75</v>
      </c>
      <c r="E4648" t="s">
        <v>46</v>
      </c>
      <c r="F4648">
        <v>5</v>
      </c>
      <c r="G4648">
        <v>1</v>
      </c>
      <c r="H4648">
        <v>4</v>
      </c>
      <c r="I4648">
        <v>1</v>
      </c>
      <c r="J4648" s="4" t="s">
        <v>55</v>
      </c>
      <c r="K4648" t="str">
        <f t="shared" si="232"/>
        <v>1+4</v>
      </c>
      <c r="L4648">
        <f>VLOOKUP(A4648,'ZONE 1 PREMIUM'!$A$4:$N$16,14,0)</f>
        <v>10</v>
      </c>
      <c r="M4648">
        <f>VLOOKUP(D4648,DROPDOWN!B:C,2,0)</f>
        <v>14</v>
      </c>
      <c r="N4648" t="str">
        <f t="shared" si="230"/>
        <v>AU65:BM76</v>
      </c>
      <c r="O4648" s="4">
        <f t="shared" ca="1" si="231"/>
        <v>656047.125</v>
      </c>
    </row>
    <row r="4649" spans="1:15">
      <c r="A4649" s="2" t="s">
        <v>20</v>
      </c>
      <c r="B4649" t="s">
        <v>43</v>
      </c>
      <c r="C4649" t="s">
        <v>44</v>
      </c>
      <c r="D4649">
        <v>75</v>
      </c>
      <c r="E4649" t="s">
        <v>46</v>
      </c>
      <c r="F4649">
        <v>5</v>
      </c>
      <c r="G4649">
        <v>1</v>
      </c>
      <c r="H4649">
        <v>4</v>
      </c>
      <c r="I4649">
        <v>1</v>
      </c>
      <c r="J4649" s="4" t="s">
        <v>55</v>
      </c>
      <c r="K4649" t="str">
        <f t="shared" si="232"/>
        <v>1+4</v>
      </c>
      <c r="L4649">
        <f>VLOOKUP(A4649,'ZONE 1 PREMIUM'!$A$4:$N$16,14,0)</f>
        <v>11</v>
      </c>
      <c r="M4649">
        <f>VLOOKUP(D4649,DROPDOWN!B:C,2,0)</f>
        <v>14</v>
      </c>
      <c r="N4649" t="str">
        <f t="shared" si="230"/>
        <v>AU65:BM76</v>
      </c>
      <c r="O4649" s="4">
        <f t="shared" ca="1" si="231"/>
        <v>755624.25</v>
      </c>
    </row>
    <row r="4650" spans="1:15">
      <c r="A4650" s="2" t="s">
        <v>21</v>
      </c>
      <c r="B4650" t="s">
        <v>22</v>
      </c>
      <c r="D4650">
        <v>75</v>
      </c>
      <c r="E4650" t="s">
        <v>46</v>
      </c>
      <c r="F4650">
        <v>5</v>
      </c>
      <c r="G4650">
        <v>1</v>
      </c>
      <c r="H4650">
        <v>4</v>
      </c>
      <c r="I4650">
        <v>1</v>
      </c>
      <c r="J4650" s="4" t="s">
        <v>55</v>
      </c>
      <c r="K4650" t="str">
        <f t="shared" si="232"/>
        <v>1+4</v>
      </c>
      <c r="L4650">
        <f>VLOOKUP(A4650,'ZONE 1 PREMIUM'!$A$4:$N$16,14,0)</f>
        <v>12</v>
      </c>
      <c r="M4650">
        <f>VLOOKUP(D4650,DROPDOWN!B:C,2,0)</f>
        <v>14</v>
      </c>
      <c r="N4650" t="str">
        <f t="shared" si="230"/>
        <v>AU65:BM76</v>
      </c>
      <c r="O4650" s="4">
        <f t="shared" ca="1" si="231"/>
        <v>963576</v>
      </c>
    </row>
    <row r="4651" spans="1:15">
      <c r="A4651" s="2" t="s">
        <v>11</v>
      </c>
      <c r="B4651" t="s">
        <v>45</v>
      </c>
      <c r="C4651" t="s">
        <v>25</v>
      </c>
      <c r="D4651">
        <v>75</v>
      </c>
      <c r="E4651" t="s">
        <v>46</v>
      </c>
      <c r="F4651">
        <v>2</v>
      </c>
      <c r="G4651">
        <v>2</v>
      </c>
      <c r="H4651">
        <v>0</v>
      </c>
      <c r="I4651">
        <v>1</v>
      </c>
      <c r="J4651" s="4" t="s">
        <v>55</v>
      </c>
      <c r="K4651" t="str">
        <f t="shared" si="232"/>
        <v>2+0</v>
      </c>
      <c r="L4651">
        <f>VLOOKUP(A4651,'ZONE 1 PREMIUM'!$A$4:$N$16,14,0)</f>
        <v>2</v>
      </c>
      <c r="M4651">
        <f>VLOOKUP(D4651,DROPDOWN!B:C,2,0)</f>
        <v>14</v>
      </c>
      <c r="N4651" t="str">
        <f t="shared" si="230"/>
        <v>AU81:BM92</v>
      </c>
      <c r="O4651" s="4">
        <f t="shared" ca="1" si="231"/>
        <v>145724.625</v>
      </c>
    </row>
    <row r="4652" spans="1:15">
      <c r="A4652" s="2" t="s">
        <v>12</v>
      </c>
      <c r="B4652" t="s">
        <v>27</v>
      </c>
      <c r="C4652" t="s">
        <v>28</v>
      </c>
      <c r="D4652">
        <v>75</v>
      </c>
      <c r="E4652" t="s">
        <v>46</v>
      </c>
      <c r="F4652">
        <v>2</v>
      </c>
      <c r="G4652">
        <v>2</v>
      </c>
      <c r="H4652">
        <v>0</v>
      </c>
      <c r="I4652">
        <v>1</v>
      </c>
      <c r="J4652" s="4" t="s">
        <v>55</v>
      </c>
      <c r="K4652" t="str">
        <f t="shared" si="232"/>
        <v>2+0</v>
      </c>
      <c r="L4652">
        <f>VLOOKUP(A4652,'ZONE 1 PREMIUM'!$A$4:$N$16,14,0)</f>
        <v>3</v>
      </c>
      <c r="M4652">
        <f>VLOOKUP(D4652,DROPDOWN!B:C,2,0)</f>
        <v>14</v>
      </c>
      <c r="N4652" t="str">
        <f t="shared" si="230"/>
        <v>AU81:BM92</v>
      </c>
      <c r="O4652" s="4">
        <f t="shared" ca="1" si="231"/>
        <v>166938.75</v>
      </c>
    </row>
    <row r="4653" spans="1:15">
      <c r="A4653" s="2" t="s">
        <v>13</v>
      </c>
      <c r="B4653" t="s">
        <v>29</v>
      </c>
      <c r="C4653" t="s">
        <v>30</v>
      </c>
      <c r="D4653">
        <v>75</v>
      </c>
      <c r="E4653" t="s">
        <v>46</v>
      </c>
      <c r="F4653">
        <v>2</v>
      </c>
      <c r="G4653">
        <v>2</v>
      </c>
      <c r="H4653">
        <v>0</v>
      </c>
      <c r="I4653">
        <v>1</v>
      </c>
      <c r="J4653" s="4" t="s">
        <v>55</v>
      </c>
      <c r="K4653" t="str">
        <f t="shared" si="232"/>
        <v>2+0</v>
      </c>
      <c r="L4653">
        <f>VLOOKUP(A4653,'ZONE 1 PREMIUM'!$A$4:$N$16,14,0)</f>
        <v>4</v>
      </c>
      <c r="M4653">
        <f>VLOOKUP(D4653,DROPDOWN!B:C,2,0)</f>
        <v>14</v>
      </c>
      <c r="N4653" t="str">
        <f t="shared" si="230"/>
        <v>AU81:BM92</v>
      </c>
      <c r="O4653" s="4">
        <f t="shared" ca="1" si="231"/>
        <v>177917.625</v>
      </c>
    </row>
    <row r="4654" spans="1:15">
      <c r="A4654" s="2" t="s">
        <v>14</v>
      </c>
      <c r="B4654" t="s">
        <v>31</v>
      </c>
      <c r="C4654" t="s">
        <v>32</v>
      </c>
      <c r="D4654">
        <v>75</v>
      </c>
      <c r="E4654" t="s">
        <v>46</v>
      </c>
      <c r="F4654">
        <v>2</v>
      </c>
      <c r="G4654">
        <v>2</v>
      </c>
      <c r="H4654">
        <v>0</v>
      </c>
      <c r="I4654">
        <v>1</v>
      </c>
      <c r="J4654" s="4" t="s">
        <v>55</v>
      </c>
      <c r="K4654" t="str">
        <f t="shared" si="232"/>
        <v>2+0</v>
      </c>
      <c r="L4654">
        <f>VLOOKUP(A4654,'ZONE 1 PREMIUM'!$A$4:$N$16,14,0)</f>
        <v>5</v>
      </c>
      <c r="M4654">
        <f>VLOOKUP(D4654,DROPDOWN!B:C,2,0)</f>
        <v>14</v>
      </c>
      <c r="N4654" t="str">
        <f t="shared" si="230"/>
        <v>AU81:BM92</v>
      </c>
      <c r="O4654" s="4">
        <f t="shared" ca="1" si="231"/>
        <v>200530.125</v>
      </c>
    </row>
    <row r="4655" spans="1:15">
      <c r="A4655" s="2" t="s">
        <v>15</v>
      </c>
      <c r="B4655" t="s">
        <v>33</v>
      </c>
      <c r="C4655" t="s">
        <v>34</v>
      </c>
      <c r="D4655">
        <v>75</v>
      </c>
      <c r="E4655" t="s">
        <v>46</v>
      </c>
      <c r="F4655">
        <v>2</v>
      </c>
      <c r="G4655">
        <v>2</v>
      </c>
      <c r="H4655">
        <v>0</v>
      </c>
      <c r="I4655">
        <v>1</v>
      </c>
      <c r="J4655" s="4" t="s">
        <v>55</v>
      </c>
      <c r="K4655" t="str">
        <f t="shared" si="232"/>
        <v>2+0</v>
      </c>
      <c r="L4655">
        <f>VLOOKUP(A4655,'ZONE 1 PREMIUM'!$A$4:$N$16,14,0)</f>
        <v>6</v>
      </c>
      <c r="M4655">
        <f>VLOOKUP(D4655,DROPDOWN!B:C,2,0)</f>
        <v>14</v>
      </c>
      <c r="N4655" t="str">
        <f t="shared" si="230"/>
        <v>AU81:BM92</v>
      </c>
      <c r="O4655" s="4">
        <f t="shared" ca="1" si="231"/>
        <v>253749.375</v>
      </c>
    </row>
    <row r="4656" spans="1:15">
      <c r="A4656" s="2" t="s">
        <v>16</v>
      </c>
      <c r="B4656" t="s">
        <v>35</v>
      </c>
      <c r="C4656" t="s">
        <v>36</v>
      </c>
      <c r="D4656">
        <v>75</v>
      </c>
      <c r="E4656" t="s">
        <v>46</v>
      </c>
      <c r="F4656">
        <v>2</v>
      </c>
      <c r="G4656">
        <v>2</v>
      </c>
      <c r="H4656">
        <v>0</v>
      </c>
      <c r="I4656">
        <v>1</v>
      </c>
      <c r="J4656" s="4" t="s">
        <v>55</v>
      </c>
      <c r="K4656" t="str">
        <f t="shared" si="232"/>
        <v>2+0</v>
      </c>
      <c r="L4656">
        <f>VLOOKUP(A4656,'ZONE 1 PREMIUM'!$A$4:$N$16,14,0)</f>
        <v>7</v>
      </c>
      <c r="M4656">
        <f>VLOOKUP(D4656,DROPDOWN!B:C,2,0)</f>
        <v>14</v>
      </c>
      <c r="N4656" t="str">
        <f t="shared" si="230"/>
        <v>AU81:BM92</v>
      </c>
      <c r="O4656" s="4">
        <f t="shared" ca="1" si="231"/>
        <v>346630.5</v>
      </c>
    </row>
    <row r="4657" spans="1:15">
      <c r="A4657" s="2" t="s">
        <v>17</v>
      </c>
      <c r="B4657" t="s">
        <v>37</v>
      </c>
      <c r="C4657" t="s">
        <v>38</v>
      </c>
      <c r="D4657">
        <v>75</v>
      </c>
      <c r="E4657" t="s">
        <v>46</v>
      </c>
      <c r="F4657">
        <v>2</v>
      </c>
      <c r="G4657">
        <v>2</v>
      </c>
      <c r="H4657">
        <v>0</v>
      </c>
      <c r="I4657">
        <v>1</v>
      </c>
      <c r="J4657" s="4" t="s">
        <v>55</v>
      </c>
      <c r="K4657" t="str">
        <f t="shared" si="232"/>
        <v>2+0</v>
      </c>
      <c r="L4657">
        <f>VLOOKUP(A4657,'ZONE 1 PREMIUM'!$A$4:$N$16,14,0)</f>
        <v>8</v>
      </c>
      <c r="M4657">
        <f>VLOOKUP(D4657,DROPDOWN!B:C,2,0)</f>
        <v>14</v>
      </c>
      <c r="N4657" t="str">
        <f t="shared" si="230"/>
        <v>AU81:BM92</v>
      </c>
      <c r="O4657" s="4">
        <f t="shared" ca="1" si="231"/>
        <v>481037.625</v>
      </c>
    </row>
    <row r="4658" spans="1:15">
      <c r="A4658" s="2" t="s">
        <v>18</v>
      </c>
      <c r="B4658" t="s">
        <v>39</v>
      </c>
      <c r="C4658" t="s">
        <v>40</v>
      </c>
      <c r="D4658">
        <v>75</v>
      </c>
      <c r="E4658" t="s">
        <v>46</v>
      </c>
      <c r="F4658">
        <v>2</v>
      </c>
      <c r="G4658">
        <v>2</v>
      </c>
      <c r="H4658">
        <v>0</v>
      </c>
      <c r="I4658">
        <v>1</v>
      </c>
      <c r="J4658" s="4" t="s">
        <v>55</v>
      </c>
      <c r="K4658" t="str">
        <f t="shared" si="232"/>
        <v>2+0</v>
      </c>
      <c r="L4658">
        <f>VLOOKUP(A4658,'ZONE 1 PREMIUM'!$A$4:$N$16,14,0)</f>
        <v>9</v>
      </c>
      <c r="M4658">
        <f>VLOOKUP(D4658,DROPDOWN!B:C,2,0)</f>
        <v>14</v>
      </c>
      <c r="N4658" t="str">
        <f t="shared" ref="N4658:N4705" si="233">VLOOKUP(K4658,$BN$3:$BO$12,2,0)</f>
        <v>AU81:BM92</v>
      </c>
      <c r="O4658" s="4">
        <f t="shared" ca="1" si="231"/>
        <v>676481.625</v>
      </c>
    </row>
    <row r="4659" spans="1:15">
      <c r="A4659" s="2" t="s">
        <v>19</v>
      </c>
      <c r="B4659" t="s">
        <v>41</v>
      </c>
      <c r="C4659" t="s">
        <v>42</v>
      </c>
      <c r="D4659">
        <v>75</v>
      </c>
      <c r="E4659" t="s">
        <v>46</v>
      </c>
      <c r="F4659">
        <v>2</v>
      </c>
      <c r="G4659">
        <v>2</v>
      </c>
      <c r="H4659">
        <v>0</v>
      </c>
      <c r="I4659">
        <v>1</v>
      </c>
      <c r="J4659" s="4" t="s">
        <v>55</v>
      </c>
      <c r="K4659" t="str">
        <f t="shared" si="232"/>
        <v>2+0</v>
      </c>
      <c r="L4659">
        <f>VLOOKUP(A4659,'ZONE 1 PREMIUM'!$A$4:$N$16,14,0)</f>
        <v>10</v>
      </c>
      <c r="M4659">
        <f>VLOOKUP(D4659,DROPDOWN!B:C,2,0)</f>
        <v>14</v>
      </c>
      <c r="N4659" t="str">
        <f t="shared" si="233"/>
        <v>AU81:BM92</v>
      </c>
      <c r="O4659" s="4">
        <f t="shared" ca="1" si="231"/>
        <v>940421.25</v>
      </c>
    </row>
    <row r="4660" spans="1:15">
      <c r="A4660" s="2" t="s">
        <v>20</v>
      </c>
      <c r="B4660" t="s">
        <v>43</v>
      </c>
      <c r="C4660" t="s">
        <v>44</v>
      </c>
      <c r="D4660">
        <v>75</v>
      </c>
      <c r="E4660" t="s">
        <v>46</v>
      </c>
      <c r="F4660">
        <v>2</v>
      </c>
      <c r="G4660">
        <v>2</v>
      </c>
      <c r="H4660">
        <v>0</v>
      </c>
      <c r="I4660">
        <v>1</v>
      </c>
      <c r="J4660" s="4" t="s">
        <v>55</v>
      </c>
      <c r="K4660" t="str">
        <f t="shared" si="232"/>
        <v>2+0</v>
      </c>
      <c r="L4660">
        <f>VLOOKUP(A4660,'ZONE 1 PREMIUM'!$A$4:$N$16,14,0)</f>
        <v>11</v>
      </c>
      <c r="M4660">
        <f>VLOOKUP(D4660,DROPDOWN!B:C,2,0)</f>
        <v>14</v>
      </c>
      <c r="N4660" t="str">
        <f t="shared" si="233"/>
        <v>AU81:BM92</v>
      </c>
      <c r="O4660" s="4">
        <f t="shared" ca="1" si="231"/>
        <v>1151728.875</v>
      </c>
    </row>
    <row r="4661" spans="1:15">
      <c r="A4661" s="2" t="s">
        <v>21</v>
      </c>
      <c r="B4661" t="s">
        <v>22</v>
      </c>
      <c r="D4661">
        <v>75</v>
      </c>
      <c r="E4661" t="s">
        <v>46</v>
      </c>
      <c r="F4661">
        <v>2</v>
      </c>
      <c r="G4661">
        <v>2</v>
      </c>
      <c r="H4661">
        <v>0</v>
      </c>
      <c r="I4661">
        <v>1</v>
      </c>
      <c r="J4661" s="4" t="s">
        <v>55</v>
      </c>
      <c r="K4661" t="str">
        <f t="shared" si="232"/>
        <v>2+0</v>
      </c>
      <c r="L4661">
        <f>VLOOKUP(A4661,'ZONE 1 PREMIUM'!$A$4:$N$16,14,0)</f>
        <v>12</v>
      </c>
      <c r="M4661">
        <f>VLOOKUP(D4661,DROPDOWN!B:C,2,0)</f>
        <v>14</v>
      </c>
      <c r="N4661" t="str">
        <f t="shared" si="233"/>
        <v>AU81:BM92</v>
      </c>
      <c r="O4661" s="4">
        <f t="shared" ca="1" si="231"/>
        <v>1450283.625</v>
      </c>
    </row>
    <row r="4662" spans="1:15">
      <c r="A4662" s="2" t="s">
        <v>11</v>
      </c>
      <c r="B4662" t="s">
        <v>45</v>
      </c>
      <c r="C4662" t="s">
        <v>25</v>
      </c>
      <c r="D4662">
        <v>75</v>
      </c>
      <c r="E4662" t="s">
        <v>46</v>
      </c>
      <c r="F4662">
        <v>3</v>
      </c>
      <c r="G4662">
        <v>2</v>
      </c>
      <c r="H4662">
        <v>1</v>
      </c>
      <c r="I4662">
        <v>1</v>
      </c>
      <c r="J4662" s="4" t="s">
        <v>55</v>
      </c>
      <c r="K4662" t="str">
        <f t="shared" si="232"/>
        <v>2+1</v>
      </c>
      <c r="L4662">
        <f>VLOOKUP(A4662,'ZONE 1 PREMIUM'!$A$4:$N$16,14,0)</f>
        <v>2</v>
      </c>
      <c r="M4662">
        <f>VLOOKUP(D4662,DROPDOWN!B:C,2,0)</f>
        <v>14</v>
      </c>
      <c r="N4662" t="str">
        <f t="shared" si="233"/>
        <v>AU98:BM109</v>
      </c>
      <c r="O4662" s="4">
        <f t="shared" ca="1" si="231"/>
        <v>171279</v>
      </c>
    </row>
    <row r="4663" spans="1:15">
      <c r="A4663" s="2" t="s">
        <v>12</v>
      </c>
      <c r="B4663" t="s">
        <v>27</v>
      </c>
      <c r="C4663" t="s">
        <v>28</v>
      </c>
      <c r="D4663">
        <v>75</v>
      </c>
      <c r="E4663" t="s">
        <v>46</v>
      </c>
      <c r="F4663">
        <v>3</v>
      </c>
      <c r="G4663">
        <v>2</v>
      </c>
      <c r="H4663">
        <v>1</v>
      </c>
      <c r="I4663">
        <v>1</v>
      </c>
      <c r="J4663" s="4" t="s">
        <v>55</v>
      </c>
      <c r="K4663" t="str">
        <f t="shared" si="232"/>
        <v>2+1</v>
      </c>
      <c r="L4663">
        <f>VLOOKUP(A4663,'ZONE 1 PREMIUM'!$A$4:$N$16,14,0)</f>
        <v>3</v>
      </c>
      <c r="M4663">
        <f>VLOOKUP(D4663,DROPDOWN!B:C,2,0)</f>
        <v>14</v>
      </c>
      <c r="N4663" t="str">
        <f t="shared" si="233"/>
        <v>AU98:BM109</v>
      </c>
      <c r="O4663" s="4">
        <f t="shared" ca="1" si="231"/>
        <v>192115.125</v>
      </c>
    </row>
    <row r="4664" spans="1:15">
      <c r="A4664" s="2" t="s">
        <v>13</v>
      </c>
      <c r="B4664" t="s">
        <v>29</v>
      </c>
      <c r="C4664" t="s">
        <v>30</v>
      </c>
      <c r="D4664">
        <v>75</v>
      </c>
      <c r="E4664" t="s">
        <v>46</v>
      </c>
      <c r="F4664">
        <v>3</v>
      </c>
      <c r="G4664">
        <v>2</v>
      </c>
      <c r="H4664">
        <v>1</v>
      </c>
      <c r="I4664">
        <v>1</v>
      </c>
      <c r="J4664" s="4" t="s">
        <v>55</v>
      </c>
      <c r="K4664" t="str">
        <f t="shared" si="232"/>
        <v>2+1</v>
      </c>
      <c r="L4664">
        <f>VLOOKUP(A4664,'ZONE 1 PREMIUM'!$A$4:$N$16,14,0)</f>
        <v>4</v>
      </c>
      <c r="M4664">
        <f>VLOOKUP(D4664,DROPDOWN!B:C,2,0)</f>
        <v>14</v>
      </c>
      <c r="N4664" t="str">
        <f t="shared" si="233"/>
        <v>AU98:BM109</v>
      </c>
      <c r="O4664" s="4">
        <f t="shared" ca="1" si="231"/>
        <v>207154.125</v>
      </c>
    </row>
    <row r="4665" spans="1:15">
      <c r="A4665" s="2" t="s">
        <v>14</v>
      </c>
      <c r="B4665" t="s">
        <v>31</v>
      </c>
      <c r="C4665" t="s">
        <v>32</v>
      </c>
      <c r="D4665">
        <v>75</v>
      </c>
      <c r="E4665" t="s">
        <v>46</v>
      </c>
      <c r="F4665">
        <v>3</v>
      </c>
      <c r="G4665">
        <v>2</v>
      </c>
      <c r="H4665">
        <v>1</v>
      </c>
      <c r="I4665">
        <v>1</v>
      </c>
      <c r="J4665" s="4" t="s">
        <v>55</v>
      </c>
      <c r="K4665" t="str">
        <f t="shared" si="232"/>
        <v>2+1</v>
      </c>
      <c r="L4665">
        <f>VLOOKUP(A4665,'ZONE 1 PREMIUM'!$A$4:$N$16,14,0)</f>
        <v>5</v>
      </c>
      <c r="M4665">
        <f>VLOOKUP(D4665,DROPDOWN!B:C,2,0)</f>
        <v>14</v>
      </c>
      <c r="N4665" t="str">
        <f t="shared" si="233"/>
        <v>AU98:BM109</v>
      </c>
      <c r="O4665" s="4">
        <f t="shared" ca="1" si="231"/>
        <v>231855.75</v>
      </c>
    </row>
    <row r="4666" spans="1:15">
      <c r="A4666" s="2" t="s">
        <v>15</v>
      </c>
      <c r="B4666" t="s">
        <v>33</v>
      </c>
      <c r="C4666" t="s">
        <v>34</v>
      </c>
      <c r="D4666">
        <v>75</v>
      </c>
      <c r="E4666" t="s">
        <v>46</v>
      </c>
      <c r="F4666">
        <v>3</v>
      </c>
      <c r="G4666">
        <v>2</v>
      </c>
      <c r="H4666">
        <v>1</v>
      </c>
      <c r="I4666">
        <v>1</v>
      </c>
      <c r="J4666" s="4" t="s">
        <v>55</v>
      </c>
      <c r="K4666" t="str">
        <f t="shared" si="232"/>
        <v>2+1</v>
      </c>
      <c r="L4666">
        <f>VLOOKUP(A4666,'ZONE 1 PREMIUM'!$A$4:$N$16,14,0)</f>
        <v>6</v>
      </c>
      <c r="M4666">
        <f>VLOOKUP(D4666,DROPDOWN!B:C,2,0)</f>
        <v>14</v>
      </c>
      <c r="N4666" t="str">
        <f t="shared" si="233"/>
        <v>AU98:BM109</v>
      </c>
      <c r="O4666" s="4">
        <f t="shared" ca="1" si="231"/>
        <v>288842.625</v>
      </c>
    </row>
    <row r="4667" spans="1:15">
      <c r="A4667" s="2" t="s">
        <v>16</v>
      </c>
      <c r="B4667" t="s">
        <v>35</v>
      </c>
      <c r="C4667" t="s">
        <v>36</v>
      </c>
      <c r="D4667">
        <v>75</v>
      </c>
      <c r="E4667" t="s">
        <v>46</v>
      </c>
      <c r="F4667">
        <v>3</v>
      </c>
      <c r="G4667">
        <v>2</v>
      </c>
      <c r="H4667">
        <v>1</v>
      </c>
      <c r="I4667">
        <v>1</v>
      </c>
      <c r="J4667" s="4" t="s">
        <v>55</v>
      </c>
      <c r="K4667" t="str">
        <f t="shared" si="232"/>
        <v>2+1</v>
      </c>
      <c r="L4667">
        <f>VLOOKUP(A4667,'ZONE 1 PREMIUM'!$A$4:$N$16,14,0)</f>
        <v>7</v>
      </c>
      <c r="M4667">
        <f>VLOOKUP(D4667,DROPDOWN!B:C,2,0)</f>
        <v>14</v>
      </c>
      <c r="N4667" t="str">
        <f t="shared" si="233"/>
        <v>AU98:BM109</v>
      </c>
      <c r="O4667" s="4">
        <f t="shared" ca="1" si="231"/>
        <v>389684.25</v>
      </c>
    </row>
    <row r="4668" spans="1:15">
      <c r="A4668" s="2" t="s">
        <v>17</v>
      </c>
      <c r="B4668" t="s">
        <v>37</v>
      </c>
      <c r="C4668" t="s">
        <v>38</v>
      </c>
      <c r="D4668">
        <v>75</v>
      </c>
      <c r="E4668" t="s">
        <v>46</v>
      </c>
      <c r="F4668">
        <v>3</v>
      </c>
      <c r="G4668">
        <v>2</v>
      </c>
      <c r="H4668">
        <v>1</v>
      </c>
      <c r="I4668">
        <v>1</v>
      </c>
      <c r="J4668" s="4" t="s">
        <v>55</v>
      </c>
      <c r="K4668" t="str">
        <f t="shared" si="232"/>
        <v>2+1</v>
      </c>
      <c r="L4668">
        <f>VLOOKUP(A4668,'ZONE 1 PREMIUM'!$A$4:$N$16,14,0)</f>
        <v>8</v>
      </c>
      <c r="M4668">
        <f>VLOOKUP(D4668,DROPDOWN!B:C,2,0)</f>
        <v>14</v>
      </c>
      <c r="N4668" t="str">
        <f t="shared" si="233"/>
        <v>AU98:BM109</v>
      </c>
      <c r="O4668" s="4">
        <f t="shared" ca="1" si="231"/>
        <v>527276.25</v>
      </c>
    </row>
    <row r="4669" spans="1:15">
      <c r="A4669" s="2" t="s">
        <v>18</v>
      </c>
      <c r="B4669" t="s">
        <v>39</v>
      </c>
      <c r="C4669" t="s">
        <v>40</v>
      </c>
      <c r="D4669">
        <v>75</v>
      </c>
      <c r="E4669" t="s">
        <v>46</v>
      </c>
      <c r="F4669">
        <v>3</v>
      </c>
      <c r="G4669">
        <v>2</v>
      </c>
      <c r="H4669">
        <v>1</v>
      </c>
      <c r="I4669">
        <v>1</v>
      </c>
      <c r="J4669" s="4" t="s">
        <v>55</v>
      </c>
      <c r="K4669" t="str">
        <f t="shared" si="232"/>
        <v>2+1</v>
      </c>
      <c r="L4669">
        <f>VLOOKUP(A4669,'ZONE 1 PREMIUM'!$A$4:$N$16,14,0)</f>
        <v>9</v>
      </c>
      <c r="M4669">
        <f>VLOOKUP(D4669,DROPDOWN!B:C,2,0)</f>
        <v>14</v>
      </c>
      <c r="N4669" t="str">
        <f t="shared" si="233"/>
        <v>AU98:BM109</v>
      </c>
      <c r="O4669" s="4">
        <f t="shared" ca="1" si="231"/>
        <v>723515.625</v>
      </c>
    </row>
    <row r="4670" spans="1:15">
      <c r="A4670" s="2" t="s">
        <v>19</v>
      </c>
      <c r="B4670" t="s">
        <v>41</v>
      </c>
      <c r="C4670" t="s">
        <v>42</v>
      </c>
      <c r="D4670">
        <v>75</v>
      </c>
      <c r="E4670" t="s">
        <v>46</v>
      </c>
      <c r="F4670">
        <v>3</v>
      </c>
      <c r="G4670">
        <v>2</v>
      </c>
      <c r="H4670">
        <v>1</v>
      </c>
      <c r="I4670">
        <v>1</v>
      </c>
      <c r="J4670" s="4" t="s">
        <v>55</v>
      </c>
      <c r="K4670" t="str">
        <f t="shared" si="232"/>
        <v>2+1</v>
      </c>
      <c r="L4670">
        <f>VLOOKUP(A4670,'ZONE 1 PREMIUM'!$A$4:$N$16,14,0)</f>
        <v>10</v>
      </c>
      <c r="M4670">
        <f>VLOOKUP(D4670,DROPDOWN!B:C,2,0)</f>
        <v>14</v>
      </c>
      <c r="N4670" t="str">
        <f t="shared" si="233"/>
        <v>AU98:BM109</v>
      </c>
      <c r="O4670" s="4">
        <f t="shared" ca="1" si="231"/>
        <v>965873.25</v>
      </c>
    </row>
    <row r="4671" spans="1:15">
      <c r="A4671" s="2" t="s">
        <v>20</v>
      </c>
      <c r="B4671" t="s">
        <v>43</v>
      </c>
      <c r="C4671" t="s">
        <v>44</v>
      </c>
      <c r="D4671">
        <v>75</v>
      </c>
      <c r="E4671" t="s">
        <v>46</v>
      </c>
      <c r="F4671">
        <v>3</v>
      </c>
      <c r="G4671">
        <v>2</v>
      </c>
      <c r="H4671">
        <v>1</v>
      </c>
      <c r="I4671">
        <v>1</v>
      </c>
      <c r="J4671" s="4" t="s">
        <v>55</v>
      </c>
      <c r="K4671" t="str">
        <f t="shared" si="232"/>
        <v>2+1</v>
      </c>
      <c r="L4671">
        <f>VLOOKUP(A4671,'ZONE 1 PREMIUM'!$A$4:$N$16,14,0)</f>
        <v>11</v>
      </c>
      <c r="M4671">
        <f>VLOOKUP(D4671,DROPDOWN!B:C,2,0)</f>
        <v>14</v>
      </c>
      <c r="N4671" t="str">
        <f t="shared" si="233"/>
        <v>AU98:BM109</v>
      </c>
      <c r="O4671" s="4">
        <f t="shared" ca="1" si="231"/>
        <v>1169668.125</v>
      </c>
    </row>
    <row r="4672" spans="1:15">
      <c r="A4672" s="2" t="s">
        <v>21</v>
      </c>
      <c r="B4672" t="s">
        <v>22</v>
      </c>
      <c r="D4672">
        <v>75</v>
      </c>
      <c r="E4672" t="s">
        <v>46</v>
      </c>
      <c r="F4672">
        <v>3</v>
      </c>
      <c r="G4672">
        <v>2</v>
      </c>
      <c r="H4672">
        <v>1</v>
      </c>
      <c r="I4672">
        <v>1</v>
      </c>
      <c r="J4672" s="4" t="s">
        <v>55</v>
      </c>
      <c r="K4672" t="str">
        <f t="shared" si="232"/>
        <v>2+1</v>
      </c>
      <c r="L4672">
        <f>VLOOKUP(A4672,'ZONE 1 PREMIUM'!$A$4:$N$16,14,0)</f>
        <v>12</v>
      </c>
      <c r="M4672">
        <f>VLOOKUP(D4672,DROPDOWN!B:C,2,0)</f>
        <v>14</v>
      </c>
      <c r="N4672" t="str">
        <f t="shared" si="233"/>
        <v>AU98:BM109</v>
      </c>
      <c r="O4672" s="4">
        <f t="shared" ca="1" si="231"/>
        <v>1467518.625</v>
      </c>
    </row>
    <row r="4673" spans="1:15">
      <c r="A4673" s="2" t="s">
        <v>11</v>
      </c>
      <c r="B4673" t="s">
        <v>45</v>
      </c>
      <c r="C4673" t="s">
        <v>25</v>
      </c>
      <c r="D4673">
        <v>75</v>
      </c>
      <c r="E4673" t="s">
        <v>46</v>
      </c>
      <c r="F4673">
        <v>4</v>
      </c>
      <c r="G4673">
        <v>2</v>
      </c>
      <c r="H4673">
        <v>2</v>
      </c>
      <c r="I4673">
        <v>1</v>
      </c>
      <c r="J4673" s="4" t="s">
        <v>55</v>
      </c>
      <c r="K4673" t="str">
        <f t="shared" si="232"/>
        <v>2+2</v>
      </c>
      <c r="L4673">
        <f>VLOOKUP(A4673,'ZONE 1 PREMIUM'!$A$4:$N$16,14,0)</f>
        <v>2</v>
      </c>
      <c r="M4673">
        <f>VLOOKUP(D4673,DROPDOWN!B:C,2,0)</f>
        <v>14</v>
      </c>
      <c r="N4673" t="str">
        <f t="shared" si="233"/>
        <v>AU113:BM124</v>
      </c>
      <c r="O4673" s="4">
        <f t="shared" ca="1" si="231"/>
        <v>196677</v>
      </c>
    </row>
    <row r="4674" spans="1:15">
      <c r="A4674" s="2" t="s">
        <v>12</v>
      </c>
      <c r="B4674" t="s">
        <v>27</v>
      </c>
      <c r="C4674" t="s">
        <v>28</v>
      </c>
      <c r="D4674">
        <v>75</v>
      </c>
      <c r="E4674" t="s">
        <v>46</v>
      </c>
      <c r="F4674">
        <v>4</v>
      </c>
      <c r="G4674">
        <v>2</v>
      </c>
      <c r="H4674">
        <v>2</v>
      </c>
      <c r="I4674">
        <v>1</v>
      </c>
      <c r="J4674" s="4" t="s">
        <v>55</v>
      </c>
      <c r="K4674" t="str">
        <f t="shared" si="232"/>
        <v>2+2</v>
      </c>
      <c r="L4674">
        <f>VLOOKUP(A4674,'ZONE 1 PREMIUM'!$A$4:$N$16,14,0)</f>
        <v>3</v>
      </c>
      <c r="M4674">
        <f>VLOOKUP(D4674,DROPDOWN!B:C,2,0)</f>
        <v>14</v>
      </c>
      <c r="N4674" t="str">
        <f t="shared" si="233"/>
        <v>AU113:BM124</v>
      </c>
      <c r="O4674" s="4">
        <f t="shared" ref="O4674:O4737" ca="1" si="234">INDEX(INDIRECT(N4674),L4674,M4674)</f>
        <v>217135.125</v>
      </c>
    </row>
    <row r="4675" spans="1:15">
      <c r="A4675" s="2" t="s">
        <v>13</v>
      </c>
      <c r="B4675" t="s">
        <v>29</v>
      </c>
      <c r="C4675" t="s">
        <v>30</v>
      </c>
      <c r="D4675">
        <v>75</v>
      </c>
      <c r="E4675" t="s">
        <v>46</v>
      </c>
      <c r="F4675">
        <v>4</v>
      </c>
      <c r="G4675">
        <v>2</v>
      </c>
      <c r="H4675">
        <v>2</v>
      </c>
      <c r="I4675">
        <v>1</v>
      </c>
      <c r="J4675" s="4" t="s">
        <v>55</v>
      </c>
      <c r="K4675" t="str">
        <f t="shared" si="232"/>
        <v>2+2</v>
      </c>
      <c r="L4675">
        <f>VLOOKUP(A4675,'ZONE 1 PREMIUM'!$A$4:$N$16,14,0)</f>
        <v>4</v>
      </c>
      <c r="M4675">
        <f>VLOOKUP(D4675,DROPDOWN!B:C,2,0)</f>
        <v>14</v>
      </c>
      <c r="N4675" t="str">
        <f t="shared" si="233"/>
        <v>AU113:BM124</v>
      </c>
      <c r="O4675" s="4">
        <f t="shared" ca="1" si="234"/>
        <v>236162.25</v>
      </c>
    </row>
    <row r="4676" spans="1:15">
      <c r="A4676" s="2" t="s">
        <v>14</v>
      </c>
      <c r="B4676" t="s">
        <v>31</v>
      </c>
      <c r="C4676" t="s">
        <v>32</v>
      </c>
      <c r="D4676">
        <v>75</v>
      </c>
      <c r="E4676" t="s">
        <v>46</v>
      </c>
      <c r="F4676">
        <v>4</v>
      </c>
      <c r="G4676">
        <v>2</v>
      </c>
      <c r="H4676">
        <v>2</v>
      </c>
      <c r="I4676">
        <v>1</v>
      </c>
      <c r="J4676" s="4" t="s">
        <v>55</v>
      </c>
      <c r="K4676" t="str">
        <f t="shared" ref="K4676:K4739" si="235">G4676&amp;"+"&amp;H4676</f>
        <v>2+2</v>
      </c>
      <c r="L4676">
        <f>VLOOKUP(A4676,'ZONE 1 PREMIUM'!$A$4:$N$16,14,0)</f>
        <v>5</v>
      </c>
      <c r="M4676">
        <f>VLOOKUP(D4676,DROPDOWN!B:C,2,0)</f>
        <v>14</v>
      </c>
      <c r="N4676" t="str">
        <f t="shared" si="233"/>
        <v>AU113:BM124</v>
      </c>
      <c r="O4676" s="4">
        <f t="shared" ca="1" si="234"/>
        <v>262901.25</v>
      </c>
    </row>
    <row r="4677" spans="1:15">
      <c r="A4677" s="2" t="s">
        <v>15</v>
      </c>
      <c r="B4677" t="s">
        <v>33</v>
      </c>
      <c r="C4677" t="s">
        <v>34</v>
      </c>
      <c r="D4677">
        <v>75</v>
      </c>
      <c r="E4677" t="s">
        <v>46</v>
      </c>
      <c r="F4677">
        <v>4</v>
      </c>
      <c r="G4677">
        <v>2</v>
      </c>
      <c r="H4677">
        <v>2</v>
      </c>
      <c r="I4677">
        <v>1</v>
      </c>
      <c r="J4677" s="4" t="s">
        <v>55</v>
      </c>
      <c r="K4677" t="str">
        <f t="shared" si="235"/>
        <v>2+2</v>
      </c>
      <c r="L4677">
        <f>VLOOKUP(A4677,'ZONE 1 PREMIUM'!$A$4:$N$16,14,0)</f>
        <v>6</v>
      </c>
      <c r="M4677">
        <f>VLOOKUP(D4677,DROPDOWN!B:C,2,0)</f>
        <v>14</v>
      </c>
      <c r="N4677" t="str">
        <f t="shared" si="233"/>
        <v>AU113:BM124</v>
      </c>
      <c r="O4677" s="4">
        <f t="shared" ca="1" si="234"/>
        <v>323593.875</v>
      </c>
    </row>
    <row r="4678" spans="1:15">
      <c r="A4678" s="2" t="s">
        <v>16</v>
      </c>
      <c r="B4678" t="s">
        <v>35</v>
      </c>
      <c r="C4678" t="s">
        <v>36</v>
      </c>
      <c r="D4678">
        <v>75</v>
      </c>
      <c r="E4678" t="s">
        <v>46</v>
      </c>
      <c r="F4678">
        <v>4</v>
      </c>
      <c r="G4678">
        <v>2</v>
      </c>
      <c r="H4678">
        <v>2</v>
      </c>
      <c r="I4678">
        <v>1</v>
      </c>
      <c r="J4678" s="4" t="s">
        <v>55</v>
      </c>
      <c r="K4678" t="str">
        <f t="shared" si="235"/>
        <v>2+2</v>
      </c>
      <c r="L4678">
        <f>VLOOKUP(A4678,'ZONE 1 PREMIUM'!$A$4:$N$16,14,0)</f>
        <v>7</v>
      </c>
      <c r="M4678">
        <f>VLOOKUP(D4678,DROPDOWN!B:C,2,0)</f>
        <v>14</v>
      </c>
      <c r="N4678" t="str">
        <f t="shared" si="233"/>
        <v>AU113:BM124</v>
      </c>
      <c r="O4678" s="4">
        <f t="shared" ca="1" si="234"/>
        <v>432293.625</v>
      </c>
    </row>
    <row r="4679" spans="1:15">
      <c r="A4679" s="2" t="s">
        <v>17</v>
      </c>
      <c r="B4679" t="s">
        <v>37</v>
      </c>
      <c r="C4679" t="s">
        <v>38</v>
      </c>
      <c r="D4679">
        <v>75</v>
      </c>
      <c r="E4679" t="s">
        <v>46</v>
      </c>
      <c r="F4679">
        <v>4</v>
      </c>
      <c r="G4679">
        <v>2</v>
      </c>
      <c r="H4679">
        <v>2</v>
      </c>
      <c r="I4679">
        <v>1</v>
      </c>
      <c r="J4679" s="4" t="s">
        <v>55</v>
      </c>
      <c r="K4679" t="str">
        <f t="shared" si="235"/>
        <v>2+2</v>
      </c>
      <c r="L4679">
        <f>VLOOKUP(A4679,'ZONE 1 PREMIUM'!$A$4:$N$16,14,0)</f>
        <v>8</v>
      </c>
      <c r="M4679">
        <f>VLOOKUP(D4679,DROPDOWN!B:C,2,0)</f>
        <v>14</v>
      </c>
      <c r="N4679" t="str">
        <f t="shared" si="233"/>
        <v>AU113:BM124</v>
      </c>
      <c r="O4679" s="4">
        <f t="shared" ca="1" si="234"/>
        <v>566438.625</v>
      </c>
    </row>
    <row r="4680" spans="1:15">
      <c r="A4680" s="2" t="s">
        <v>18</v>
      </c>
      <c r="B4680" t="s">
        <v>39</v>
      </c>
      <c r="C4680" t="s">
        <v>40</v>
      </c>
      <c r="D4680">
        <v>75</v>
      </c>
      <c r="E4680" t="s">
        <v>46</v>
      </c>
      <c r="F4680">
        <v>4</v>
      </c>
      <c r="G4680">
        <v>2</v>
      </c>
      <c r="H4680">
        <v>2</v>
      </c>
      <c r="I4680">
        <v>1</v>
      </c>
      <c r="J4680" s="4" t="s">
        <v>55</v>
      </c>
      <c r="K4680" t="str">
        <f t="shared" si="235"/>
        <v>2+2</v>
      </c>
      <c r="L4680">
        <f>VLOOKUP(A4680,'ZONE 1 PREMIUM'!$A$4:$N$16,14,0)</f>
        <v>9</v>
      </c>
      <c r="M4680">
        <f>VLOOKUP(D4680,DROPDOWN!B:C,2,0)</f>
        <v>14</v>
      </c>
      <c r="N4680" t="str">
        <f t="shared" si="233"/>
        <v>AU113:BM124</v>
      </c>
      <c r="O4680" s="4">
        <f t="shared" ca="1" si="234"/>
        <v>753498</v>
      </c>
    </row>
    <row r="4681" spans="1:15">
      <c r="A4681" s="2" t="s">
        <v>19</v>
      </c>
      <c r="B4681" t="s">
        <v>41</v>
      </c>
      <c r="C4681" t="s">
        <v>42</v>
      </c>
      <c r="D4681">
        <v>75</v>
      </c>
      <c r="E4681" t="s">
        <v>46</v>
      </c>
      <c r="F4681">
        <v>4</v>
      </c>
      <c r="G4681">
        <v>2</v>
      </c>
      <c r="H4681">
        <v>2</v>
      </c>
      <c r="I4681">
        <v>1</v>
      </c>
      <c r="J4681" s="4" t="s">
        <v>55</v>
      </c>
      <c r="K4681" t="str">
        <f t="shared" si="235"/>
        <v>2+2</v>
      </c>
      <c r="L4681">
        <f>VLOOKUP(A4681,'ZONE 1 PREMIUM'!$A$4:$N$16,14,0)</f>
        <v>10</v>
      </c>
      <c r="M4681">
        <f>VLOOKUP(D4681,DROPDOWN!B:C,2,0)</f>
        <v>14</v>
      </c>
      <c r="N4681" t="str">
        <f t="shared" si="233"/>
        <v>AU113:BM124</v>
      </c>
      <c r="O4681" s="4">
        <f t="shared" ca="1" si="234"/>
        <v>975300.75</v>
      </c>
    </row>
    <row r="4682" spans="1:15">
      <c r="A4682" s="2" t="s">
        <v>20</v>
      </c>
      <c r="B4682" t="s">
        <v>43</v>
      </c>
      <c r="C4682" t="s">
        <v>44</v>
      </c>
      <c r="D4682">
        <v>75</v>
      </c>
      <c r="E4682" t="s">
        <v>46</v>
      </c>
      <c r="F4682">
        <v>4</v>
      </c>
      <c r="G4682">
        <v>2</v>
      </c>
      <c r="H4682">
        <v>2</v>
      </c>
      <c r="I4682">
        <v>1</v>
      </c>
      <c r="J4682" s="4" t="s">
        <v>55</v>
      </c>
      <c r="K4682" t="str">
        <f t="shared" si="235"/>
        <v>2+2</v>
      </c>
      <c r="L4682">
        <f>VLOOKUP(A4682,'ZONE 1 PREMIUM'!$A$4:$N$16,14,0)</f>
        <v>11</v>
      </c>
      <c r="M4682">
        <f>VLOOKUP(D4682,DROPDOWN!B:C,2,0)</f>
        <v>14</v>
      </c>
      <c r="N4682" t="str">
        <f t="shared" si="233"/>
        <v>AU113:BM124</v>
      </c>
      <c r="O4682" s="4">
        <f t="shared" ca="1" si="234"/>
        <v>1181151</v>
      </c>
    </row>
    <row r="4683" spans="1:15">
      <c r="A4683" s="2" t="s">
        <v>21</v>
      </c>
      <c r="B4683" t="s">
        <v>22</v>
      </c>
      <c r="D4683">
        <v>75</v>
      </c>
      <c r="E4683" t="s">
        <v>46</v>
      </c>
      <c r="F4683">
        <v>4</v>
      </c>
      <c r="G4683">
        <v>2</v>
      </c>
      <c r="H4683">
        <v>2</v>
      </c>
      <c r="I4683">
        <v>1</v>
      </c>
      <c r="J4683" s="4" t="s">
        <v>55</v>
      </c>
      <c r="K4683" t="str">
        <f t="shared" si="235"/>
        <v>2+2</v>
      </c>
      <c r="L4683">
        <f>VLOOKUP(A4683,'ZONE 1 PREMIUM'!$A$4:$N$16,14,0)</f>
        <v>12</v>
      </c>
      <c r="M4683">
        <f>VLOOKUP(D4683,DROPDOWN!B:C,2,0)</f>
        <v>14</v>
      </c>
      <c r="N4683" t="str">
        <f t="shared" si="233"/>
        <v>AU113:BM124</v>
      </c>
      <c r="O4683" s="4">
        <f t="shared" ca="1" si="234"/>
        <v>1480384.125</v>
      </c>
    </row>
    <row r="4684" spans="1:15">
      <c r="A4684" s="2" t="s">
        <v>11</v>
      </c>
      <c r="B4684" t="s">
        <v>45</v>
      </c>
      <c r="C4684" t="s">
        <v>25</v>
      </c>
      <c r="D4684">
        <v>75</v>
      </c>
      <c r="E4684" t="s">
        <v>46</v>
      </c>
      <c r="F4684">
        <v>5</v>
      </c>
      <c r="G4684">
        <v>2</v>
      </c>
      <c r="H4684">
        <v>3</v>
      </c>
      <c r="I4684">
        <v>1</v>
      </c>
      <c r="J4684" s="4" t="s">
        <v>55</v>
      </c>
      <c r="K4684" t="str">
        <f t="shared" si="235"/>
        <v>2+3</v>
      </c>
      <c r="L4684">
        <f>VLOOKUP(A4684,'ZONE 1 PREMIUM'!$A$4:$N$16,14,0)</f>
        <v>2</v>
      </c>
      <c r="M4684">
        <f>VLOOKUP(D4684,DROPDOWN!B:C,2,0)</f>
        <v>14</v>
      </c>
      <c r="N4684" t="str">
        <f t="shared" si="233"/>
        <v>AU128:BM139</v>
      </c>
      <c r="O4684" s="4">
        <f t="shared" ca="1" si="234"/>
        <v>222075</v>
      </c>
    </row>
    <row r="4685" spans="1:15">
      <c r="A4685" s="2" t="s">
        <v>12</v>
      </c>
      <c r="B4685" t="s">
        <v>27</v>
      </c>
      <c r="C4685" t="s">
        <v>28</v>
      </c>
      <c r="D4685">
        <v>75</v>
      </c>
      <c r="E4685" t="s">
        <v>46</v>
      </c>
      <c r="F4685">
        <v>5</v>
      </c>
      <c r="G4685">
        <v>2</v>
      </c>
      <c r="H4685">
        <v>3</v>
      </c>
      <c r="I4685">
        <v>1</v>
      </c>
      <c r="J4685" s="4" t="s">
        <v>55</v>
      </c>
      <c r="K4685" t="str">
        <f t="shared" si="235"/>
        <v>2+3</v>
      </c>
      <c r="L4685">
        <f>VLOOKUP(A4685,'ZONE 1 PREMIUM'!$A$4:$N$16,14,0)</f>
        <v>3</v>
      </c>
      <c r="M4685">
        <f>VLOOKUP(D4685,DROPDOWN!B:C,2,0)</f>
        <v>14</v>
      </c>
      <c r="N4685" t="str">
        <f t="shared" si="233"/>
        <v>AU128:BM139</v>
      </c>
      <c r="O4685" s="4">
        <f t="shared" ca="1" si="234"/>
        <v>242155.125</v>
      </c>
    </row>
    <row r="4686" spans="1:15">
      <c r="A4686" s="2" t="s">
        <v>13</v>
      </c>
      <c r="B4686" t="s">
        <v>29</v>
      </c>
      <c r="C4686" t="s">
        <v>30</v>
      </c>
      <c r="D4686">
        <v>75</v>
      </c>
      <c r="E4686" t="s">
        <v>46</v>
      </c>
      <c r="F4686">
        <v>5</v>
      </c>
      <c r="G4686">
        <v>2</v>
      </c>
      <c r="H4686">
        <v>3</v>
      </c>
      <c r="I4686">
        <v>1</v>
      </c>
      <c r="J4686" s="4" t="s">
        <v>55</v>
      </c>
      <c r="K4686" t="str">
        <f t="shared" si="235"/>
        <v>2+3</v>
      </c>
      <c r="L4686">
        <f>VLOOKUP(A4686,'ZONE 1 PREMIUM'!$A$4:$N$16,14,0)</f>
        <v>4</v>
      </c>
      <c r="M4686">
        <f>VLOOKUP(D4686,DROPDOWN!B:C,2,0)</f>
        <v>14</v>
      </c>
      <c r="N4686" t="str">
        <f t="shared" si="233"/>
        <v>AU128:BM139</v>
      </c>
      <c r="O4686" s="4">
        <f t="shared" ca="1" si="234"/>
        <v>265169.25</v>
      </c>
    </row>
    <row r="4687" spans="1:15">
      <c r="A4687" s="2" t="s">
        <v>14</v>
      </c>
      <c r="B4687" t="s">
        <v>31</v>
      </c>
      <c r="C4687" t="s">
        <v>32</v>
      </c>
      <c r="D4687">
        <v>75</v>
      </c>
      <c r="E4687" t="s">
        <v>46</v>
      </c>
      <c r="F4687">
        <v>5</v>
      </c>
      <c r="G4687">
        <v>2</v>
      </c>
      <c r="H4687">
        <v>3</v>
      </c>
      <c r="I4687">
        <v>1</v>
      </c>
      <c r="J4687" s="4" t="s">
        <v>55</v>
      </c>
      <c r="K4687" t="str">
        <f t="shared" si="235"/>
        <v>2+3</v>
      </c>
      <c r="L4687">
        <f>VLOOKUP(A4687,'ZONE 1 PREMIUM'!$A$4:$N$16,14,0)</f>
        <v>5</v>
      </c>
      <c r="M4687">
        <f>VLOOKUP(D4687,DROPDOWN!B:C,2,0)</f>
        <v>14</v>
      </c>
      <c r="N4687" t="str">
        <f t="shared" si="233"/>
        <v>AU128:BM139</v>
      </c>
      <c r="O4687" s="4">
        <f t="shared" ca="1" si="234"/>
        <v>293946.75</v>
      </c>
    </row>
    <row r="4688" spans="1:15">
      <c r="A4688" s="2" t="s">
        <v>15</v>
      </c>
      <c r="B4688" t="s">
        <v>33</v>
      </c>
      <c r="C4688" t="s">
        <v>34</v>
      </c>
      <c r="D4688">
        <v>75</v>
      </c>
      <c r="E4688" t="s">
        <v>46</v>
      </c>
      <c r="F4688">
        <v>5</v>
      </c>
      <c r="G4688">
        <v>2</v>
      </c>
      <c r="H4688">
        <v>3</v>
      </c>
      <c r="I4688">
        <v>1</v>
      </c>
      <c r="J4688" s="4" t="s">
        <v>55</v>
      </c>
      <c r="K4688" t="str">
        <f t="shared" si="235"/>
        <v>2+3</v>
      </c>
      <c r="L4688">
        <f>VLOOKUP(A4688,'ZONE 1 PREMIUM'!$A$4:$N$16,14,0)</f>
        <v>6</v>
      </c>
      <c r="M4688">
        <f>VLOOKUP(D4688,DROPDOWN!B:C,2,0)</f>
        <v>14</v>
      </c>
      <c r="N4688" t="str">
        <f t="shared" si="233"/>
        <v>AU128:BM139</v>
      </c>
      <c r="O4688" s="4">
        <f t="shared" ca="1" si="234"/>
        <v>358346.25</v>
      </c>
    </row>
    <row r="4689" spans="1:15">
      <c r="A4689" s="2" t="s">
        <v>16</v>
      </c>
      <c r="B4689" t="s">
        <v>35</v>
      </c>
      <c r="C4689" t="s">
        <v>36</v>
      </c>
      <c r="D4689">
        <v>75</v>
      </c>
      <c r="E4689" t="s">
        <v>46</v>
      </c>
      <c r="F4689">
        <v>5</v>
      </c>
      <c r="G4689">
        <v>2</v>
      </c>
      <c r="H4689">
        <v>3</v>
      </c>
      <c r="I4689">
        <v>1</v>
      </c>
      <c r="J4689" s="4" t="s">
        <v>55</v>
      </c>
      <c r="K4689" t="str">
        <f t="shared" si="235"/>
        <v>2+3</v>
      </c>
      <c r="L4689">
        <f>VLOOKUP(A4689,'ZONE 1 PREMIUM'!$A$4:$N$16,14,0)</f>
        <v>7</v>
      </c>
      <c r="M4689">
        <f>VLOOKUP(D4689,DROPDOWN!B:C,2,0)</f>
        <v>14</v>
      </c>
      <c r="N4689" t="str">
        <f t="shared" si="233"/>
        <v>AU128:BM139</v>
      </c>
      <c r="O4689" s="4">
        <f t="shared" ca="1" si="234"/>
        <v>466355.25</v>
      </c>
    </row>
    <row r="4690" spans="1:15">
      <c r="A4690" s="2" t="s">
        <v>17</v>
      </c>
      <c r="B4690" t="s">
        <v>37</v>
      </c>
      <c r="C4690" t="s">
        <v>38</v>
      </c>
      <c r="D4690">
        <v>75</v>
      </c>
      <c r="E4690" t="s">
        <v>46</v>
      </c>
      <c r="F4690">
        <v>5</v>
      </c>
      <c r="G4690">
        <v>2</v>
      </c>
      <c r="H4690">
        <v>3</v>
      </c>
      <c r="I4690">
        <v>1</v>
      </c>
      <c r="J4690" s="4" t="s">
        <v>55</v>
      </c>
      <c r="K4690" t="str">
        <f t="shared" si="235"/>
        <v>2+3</v>
      </c>
      <c r="L4690">
        <f>VLOOKUP(A4690,'ZONE 1 PREMIUM'!$A$4:$N$16,14,0)</f>
        <v>8</v>
      </c>
      <c r="M4690">
        <f>VLOOKUP(D4690,DROPDOWN!B:C,2,0)</f>
        <v>14</v>
      </c>
      <c r="N4690" t="str">
        <f t="shared" si="233"/>
        <v>AU128:BM139</v>
      </c>
      <c r="O4690" s="4">
        <f t="shared" ca="1" si="234"/>
        <v>596505.375</v>
      </c>
    </row>
    <row r="4691" spans="1:15">
      <c r="A4691" s="2" t="s">
        <v>18</v>
      </c>
      <c r="B4691" t="s">
        <v>39</v>
      </c>
      <c r="C4691" t="s">
        <v>40</v>
      </c>
      <c r="D4691">
        <v>75</v>
      </c>
      <c r="E4691" t="s">
        <v>46</v>
      </c>
      <c r="F4691">
        <v>5</v>
      </c>
      <c r="G4691">
        <v>2</v>
      </c>
      <c r="H4691">
        <v>3</v>
      </c>
      <c r="I4691">
        <v>1</v>
      </c>
      <c r="J4691" s="4" t="s">
        <v>55</v>
      </c>
      <c r="K4691" t="str">
        <f t="shared" si="235"/>
        <v>2+3</v>
      </c>
      <c r="L4691">
        <f>VLOOKUP(A4691,'ZONE 1 PREMIUM'!$A$4:$N$16,14,0)</f>
        <v>9</v>
      </c>
      <c r="M4691">
        <f>VLOOKUP(D4691,DROPDOWN!B:C,2,0)</f>
        <v>14</v>
      </c>
      <c r="N4691" t="str">
        <f t="shared" si="233"/>
        <v>AU128:BM139</v>
      </c>
      <c r="O4691" s="4">
        <f t="shared" ca="1" si="234"/>
        <v>783112.5</v>
      </c>
    </row>
    <row r="4692" spans="1:15">
      <c r="A4692" s="2" t="s">
        <v>19</v>
      </c>
      <c r="B4692" t="s">
        <v>41</v>
      </c>
      <c r="C4692" t="s">
        <v>42</v>
      </c>
      <c r="D4692">
        <v>75</v>
      </c>
      <c r="E4692" t="s">
        <v>46</v>
      </c>
      <c r="F4692">
        <v>5</v>
      </c>
      <c r="G4692">
        <v>2</v>
      </c>
      <c r="H4692">
        <v>3</v>
      </c>
      <c r="I4692">
        <v>1</v>
      </c>
      <c r="J4692" s="4" t="s">
        <v>55</v>
      </c>
      <c r="K4692" t="str">
        <f t="shared" si="235"/>
        <v>2+3</v>
      </c>
      <c r="L4692">
        <f>VLOOKUP(A4692,'ZONE 1 PREMIUM'!$A$4:$N$16,14,0)</f>
        <v>10</v>
      </c>
      <c r="M4692">
        <f>VLOOKUP(D4692,DROPDOWN!B:C,2,0)</f>
        <v>14</v>
      </c>
      <c r="N4692" t="str">
        <f t="shared" si="233"/>
        <v>AU128:BM139</v>
      </c>
      <c r="O4692" s="4">
        <f t="shared" ca="1" si="234"/>
        <v>1002802.5</v>
      </c>
    </row>
    <row r="4693" spans="1:15">
      <c r="A4693" s="2" t="s">
        <v>20</v>
      </c>
      <c r="B4693" t="s">
        <v>43</v>
      </c>
      <c r="C4693" t="s">
        <v>44</v>
      </c>
      <c r="D4693">
        <v>75</v>
      </c>
      <c r="E4693" t="s">
        <v>46</v>
      </c>
      <c r="F4693">
        <v>5</v>
      </c>
      <c r="G4693">
        <v>2</v>
      </c>
      <c r="H4693">
        <v>3</v>
      </c>
      <c r="I4693">
        <v>1</v>
      </c>
      <c r="J4693" s="4" t="s">
        <v>55</v>
      </c>
      <c r="K4693" t="str">
        <f t="shared" si="235"/>
        <v>2+3</v>
      </c>
      <c r="L4693">
        <f>VLOOKUP(A4693,'ZONE 1 PREMIUM'!$A$4:$N$16,14,0)</f>
        <v>11</v>
      </c>
      <c r="M4693">
        <f>VLOOKUP(D4693,DROPDOWN!B:C,2,0)</f>
        <v>14</v>
      </c>
      <c r="N4693" t="str">
        <f t="shared" si="233"/>
        <v>AU128:BM139</v>
      </c>
      <c r="O4693" s="4">
        <f t="shared" ca="1" si="234"/>
        <v>1212420.375</v>
      </c>
    </row>
    <row r="4694" spans="1:15">
      <c r="A4694" s="2" t="s">
        <v>21</v>
      </c>
      <c r="B4694" t="s">
        <v>22</v>
      </c>
      <c r="D4694">
        <v>75</v>
      </c>
      <c r="E4694" t="s">
        <v>46</v>
      </c>
      <c r="F4694">
        <v>5</v>
      </c>
      <c r="G4694">
        <v>2</v>
      </c>
      <c r="H4694">
        <v>3</v>
      </c>
      <c r="I4694">
        <v>1</v>
      </c>
      <c r="J4694" s="4" t="s">
        <v>55</v>
      </c>
      <c r="K4694" t="str">
        <f t="shared" si="235"/>
        <v>2+3</v>
      </c>
      <c r="L4694">
        <f>VLOOKUP(A4694,'ZONE 1 PREMIUM'!$A$4:$N$16,14,0)</f>
        <v>12</v>
      </c>
      <c r="M4694">
        <f>VLOOKUP(D4694,DROPDOWN!B:C,2,0)</f>
        <v>14</v>
      </c>
      <c r="N4694" t="str">
        <f t="shared" si="233"/>
        <v>AU128:BM139</v>
      </c>
      <c r="O4694" s="4">
        <f t="shared" ca="1" si="234"/>
        <v>1514110.5</v>
      </c>
    </row>
    <row r="4695" spans="1:15">
      <c r="A4695" s="2" t="s">
        <v>11</v>
      </c>
      <c r="B4695" t="s">
        <v>45</v>
      </c>
      <c r="C4695" t="s">
        <v>25</v>
      </c>
      <c r="D4695">
        <v>75</v>
      </c>
      <c r="E4695" t="s">
        <v>46</v>
      </c>
      <c r="F4695">
        <v>6</v>
      </c>
      <c r="G4695">
        <v>2</v>
      </c>
      <c r="H4695">
        <v>4</v>
      </c>
      <c r="I4695">
        <v>1</v>
      </c>
      <c r="J4695" s="4" t="s">
        <v>55</v>
      </c>
      <c r="K4695" t="str">
        <f t="shared" si="235"/>
        <v>2+4</v>
      </c>
      <c r="L4695">
        <f>VLOOKUP(A4695,'ZONE 1 PREMIUM'!$A$4:$N$16,14,0)</f>
        <v>2</v>
      </c>
      <c r="M4695">
        <f>VLOOKUP(D4695,DROPDOWN!B:C,2,0)</f>
        <v>14</v>
      </c>
      <c r="N4695" t="str">
        <f t="shared" si="233"/>
        <v>AU143:BM154</v>
      </c>
      <c r="O4695" s="4">
        <f t="shared" ca="1" si="234"/>
        <v>247473</v>
      </c>
    </row>
    <row r="4696" spans="1:15">
      <c r="A4696" s="2" t="s">
        <v>12</v>
      </c>
      <c r="B4696" t="s">
        <v>27</v>
      </c>
      <c r="C4696" t="s">
        <v>28</v>
      </c>
      <c r="D4696">
        <v>75</v>
      </c>
      <c r="E4696" t="s">
        <v>46</v>
      </c>
      <c r="F4696">
        <v>6</v>
      </c>
      <c r="G4696">
        <v>2</v>
      </c>
      <c r="H4696">
        <v>4</v>
      </c>
      <c r="I4696">
        <v>1</v>
      </c>
      <c r="J4696" s="4" t="s">
        <v>55</v>
      </c>
      <c r="K4696" t="str">
        <f t="shared" si="235"/>
        <v>2+4</v>
      </c>
      <c r="L4696">
        <f>VLOOKUP(A4696,'ZONE 1 PREMIUM'!$A$4:$N$16,14,0)</f>
        <v>3</v>
      </c>
      <c r="M4696">
        <f>VLOOKUP(D4696,DROPDOWN!B:C,2,0)</f>
        <v>14</v>
      </c>
      <c r="N4696" t="str">
        <f t="shared" si="233"/>
        <v>AU143:BM154</v>
      </c>
      <c r="O4696" s="4">
        <f t="shared" ca="1" si="234"/>
        <v>267175.125</v>
      </c>
    </row>
    <row r="4697" spans="1:15">
      <c r="A4697" s="2" t="s">
        <v>13</v>
      </c>
      <c r="B4697" t="s">
        <v>29</v>
      </c>
      <c r="C4697" t="s">
        <v>30</v>
      </c>
      <c r="D4697">
        <v>75</v>
      </c>
      <c r="E4697" t="s">
        <v>46</v>
      </c>
      <c r="F4697">
        <v>6</v>
      </c>
      <c r="G4697">
        <v>2</v>
      </c>
      <c r="H4697">
        <v>4</v>
      </c>
      <c r="I4697">
        <v>1</v>
      </c>
      <c r="J4697" s="4" t="s">
        <v>55</v>
      </c>
      <c r="K4697" t="str">
        <f t="shared" si="235"/>
        <v>2+4</v>
      </c>
      <c r="L4697">
        <f>VLOOKUP(A4697,'ZONE 1 PREMIUM'!$A$4:$N$16,14,0)</f>
        <v>4</v>
      </c>
      <c r="M4697">
        <f>VLOOKUP(D4697,DROPDOWN!B:C,2,0)</f>
        <v>14</v>
      </c>
      <c r="N4697" t="str">
        <f t="shared" si="233"/>
        <v>AU143:BM154</v>
      </c>
      <c r="O4697" s="4">
        <f t="shared" ca="1" si="234"/>
        <v>294177.375</v>
      </c>
    </row>
    <row r="4698" spans="1:15">
      <c r="A4698" s="2" t="s">
        <v>14</v>
      </c>
      <c r="B4698" t="s">
        <v>31</v>
      </c>
      <c r="C4698" t="s">
        <v>32</v>
      </c>
      <c r="D4698">
        <v>75</v>
      </c>
      <c r="E4698" t="s">
        <v>46</v>
      </c>
      <c r="F4698">
        <v>6</v>
      </c>
      <c r="G4698">
        <v>2</v>
      </c>
      <c r="H4698">
        <v>4</v>
      </c>
      <c r="I4698">
        <v>1</v>
      </c>
      <c r="J4698" s="4" t="s">
        <v>55</v>
      </c>
      <c r="K4698" t="str">
        <f t="shared" si="235"/>
        <v>2+4</v>
      </c>
      <c r="L4698">
        <f>VLOOKUP(A4698,'ZONE 1 PREMIUM'!$A$4:$N$16,14,0)</f>
        <v>5</v>
      </c>
      <c r="M4698">
        <f>VLOOKUP(D4698,DROPDOWN!B:C,2,0)</f>
        <v>14</v>
      </c>
      <c r="N4698" t="str">
        <f t="shared" si="233"/>
        <v>AU143:BM154</v>
      </c>
      <c r="O4698" s="4">
        <f t="shared" ca="1" si="234"/>
        <v>324992.25</v>
      </c>
    </row>
    <row r="4699" spans="1:15">
      <c r="A4699" s="2" t="s">
        <v>15</v>
      </c>
      <c r="B4699" t="s">
        <v>33</v>
      </c>
      <c r="C4699" t="s">
        <v>34</v>
      </c>
      <c r="D4699">
        <v>75</v>
      </c>
      <c r="E4699" t="s">
        <v>46</v>
      </c>
      <c r="F4699">
        <v>6</v>
      </c>
      <c r="G4699">
        <v>2</v>
      </c>
      <c r="H4699">
        <v>4</v>
      </c>
      <c r="I4699">
        <v>1</v>
      </c>
      <c r="J4699" s="4" t="s">
        <v>55</v>
      </c>
      <c r="K4699" t="str">
        <f t="shared" si="235"/>
        <v>2+4</v>
      </c>
      <c r="L4699">
        <f>VLOOKUP(A4699,'ZONE 1 PREMIUM'!$A$4:$N$16,14,0)</f>
        <v>6</v>
      </c>
      <c r="M4699">
        <f>VLOOKUP(D4699,DROPDOWN!B:C,2,0)</f>
        <v>14</v>
      </c>
      <c r="N4699" t="str">
        <f t="shared" si="233"/>
        <v>AU143:BM154</v>
      </c>
      <c r="O4699" s="4">
        <f t="shared" ca="1" si="234"/>
        <v>393097.5</v>
      </c>
    </row>
    <row r="4700" spans="1:15">
      <c r="A4700" s="2" t="s">
        <v>16</v>
      </c>
      <c r="B4700" t="s">
        <v>35</v>
      </c>
      <c r="C4700" t="s">
        <v>36</v>
      </c>
      <c r="D4700">
        <v>75</v>
      </c>
      <c r="E4700" t="s">
        <v>46</v>
      </c>
      <c r="F4700">
        <v>6</v>
      </c>
      <c r="G4700">
        <v>2</v>
      </c>
      <c r="H4700">
        <v>4</v>
      </c>
      <c r="I4700">
        <v>1</v>
      </c>
      <c r="J4700" s="4" t="s">
        <v>55</v>
      </c>
      <c r="K4700" t="str">
        <f t="shared" si="235"/>
        <v>2+4</v>
      </c>
      <c r="L4700">
        <f>VLOOKUP(A4700,'ZONE 1 PREMIUM'!$A$4:$N$16,14,0)</f>
        <v>7</v>
      </c>
      <c r="M4700">
        <f>VLOOKUP(D4700,DROPDOWN!B:C,2,0)</f>
        <v>14</v>
      </c>
      <c r="N4700" t="str">
        <f t="shared" si="233"/>
        <v>AU143:BM154</v>
      </c>
      <c r="O4700" s="4">
        <f t="shared" ca="1" si="234"/>
        <v>496812.375</v>
      </c>
    </row>
    <row r="4701" spans="1:15">
      <c r="A4701" s="2" t="s">
        <v>17</v>
      </c>
      <c r="B4701" t="s">
        <v>37</v>
      </c>
      <c r="C4701" t="s">
        <v>38</v>
      </c>
      <c r="D4701">
        <v>75</v>
      </c>
      <c r="E4701" t="s">
        <v>46</v>
      </c>
      <c r="F4701">
        <v>6</v>
      </c>
      <c r="G4701">
        <v>2</v>
      </c>
      <c r="H4701">
        <v>4</v>
      </c>
      <c r="I4701">
        <v>1</v>
      </c>
      <c r="J4701" s="4" t="s">
        <v>55</v>
      </c>
      <c r="K4701" t="str">
        <f t="shared" si="235"/>
        <v>2+4</v>
      </c>
      <c r="L4701">
        <f>VLOOKUP(A4701,'ZONE 1 PREMIUM'!$A$4:$N$16,14,0)</f>
        <v>8</v>
      </c>
      <c r="M4701">
        <f>VLOOKUP(D4701,DROPDOWN!B:C,2,0)</f>
        <v>14</v>
      </c>
      <c r="N4701" t="str">
        <f t="shared" si="233"/>
        <v>AU143:BM154</v>
      </c>
      <c r="O4701" s="4">
        <f t="shared" ca="1" si="234"/>
        <v>626323.5</v>
      </c>
    </row>
    <row r="4702" spans="1:15">
      <c r="A4702" s="2" t="s">
        <v>18</v>
      </c>
      <c r="B4702" t="s">
        <v>39</v>
      </c>
      <c r="C4702" t="s">
        <v>40</v>
      </c>
      <c r="D4702">
        <v>75</v>
      </c>
      <c r="E4702" t="s">
        <v>46</v>
      </c>
      <c r="F4702">
        <v>6</v>
      </c>
      <c r="G4702">
        <v>2</v>
      </c>
      <c r="H4702">
        <v>4</v>
      </c>
      <c r="I4702">
        <v>1</v>
      </c>
      <c r="J4702" s="4" t="s">
        <v>55</v>
      </c>
      <c r="K4702" t="str">
        <f t="shared" si="235"/>
        <v>2+4</v>
      </c>
      <c r="L4702">
        <f>VLOOKUP(A4702,'ZONE 1 PREMIUM'!$A$4:$N$16,14,0)</f>
        <v>9</v>
      </c>
      <c r="M4702">
        <f>VLOOKUP(D4702,DROPDOWN!B:C,2,0)</f>
        <v>14</v>
      </c>
      <c r="N4702" t="str">
        <f t="shared" si="233"/>
        <v>AU143:BM154</v>
      </c>
      <c r="O4702" s="4">
        <f t="shared" ca="1" si="234"/>
        <v>811343.25</v>
      </c>
    </row>
    <row r="4703" spans="1:15">
      <c r="A4703" s="2" t="s">
        <v>19</v>
      </c>
      <c r="B4703" t="s">
        <v>41</v>
      </c>
      <c r="C4703" t="s">
        <v>42</v>
      </c>
      <c r="D4703">
        <v>75</v>
      </c>
      <c r="E4703" t="s">
        <v>46</v>
      </c>
      <c r="F4703">
        <v>6</v>
      </c>
      <c r="G4703">
        <v>2</v>
      </c>
      <c r="H4703">
        <v>4</v>
      </c>
      <c r="I4703">
        <v>1</v>
      </c>
      <c r="J4703" s="4" t="s">
        <v>55</v>
      </c>
      <c r="K4703" t="str">
        <f t="shared" si="235"/>
        <v>2+4</v>
      </c>
      <c r="L4703">
        <f>VLOOKUP(A4703,'ZONE 1 PREMIUM'!$A$4:$N$16,14,0)</f>
        <v>10</v>
      </c>
      <c r="M4703">
        <f>VLOOKUP(D4703,DROPDOWN!B:C,2,0)</f>
        <v>14</v>
      </c>
      <c r="N4703" t="str">
        <f t="shared" si="233"/>
        <v>AU143:BM154</v>
      </c>
      <c r="O4703" s="4">
        <f t="shared" ca="1" si="234"/>
        <v>1034263.125</v>
      </c>
    </row>
    <row r="4704" spans="1:15">
      <c r="A4704" s="2" t="s">
        <v>20</v>
      </c>
      <c r="B4704" t="s">
        <v>43</v>
      </c>
      <c r="C4704" t="s">
        <v>44</v>
      </c>
      <c r="D4704">
        <v>75</v>
      </c>
      <c r="E4704" t="s">
        <v>46</v>
      </c>
      <c r="F4704">
        <v>6</v>
      </c>
      <c r="G4704">
        <v>2</v>
      </c>
      <c r="H4704">
        <v>4</v>
      </c>
      <c r="I4704">
        <v>1</v>
      </c>
      <c r="J4704" s="4" t="s">
        <v>55</v>
      </c>
      <c r="K4704" t="str">
        <f t="shared" si="235"/>
        <v>2+4</v>
      </c>
      <c r="L4704">
        <f>VLOOKUP(A4704,'ZONE 1 PREMIUM'!$A$4:$N$16,14,0)</f>
        <v>11</v>
      </c>
      <c r="M4704">
        <f>VLOOKUP(D4704,DROPDOWN!B:C,2,0)</f>
        <v>14</v>
      </c>
      <c r="N4704" t="str">
        <f t="shared" si="233"/>
        <v>AU143:BM154</v>
      </c>
      <c r="O4704" s="4">
        <f t="shared" ca="1" si="234"/>
        <v>1241074.125</v>
      </c>
    </row>
    <row r="4705" spans="1:15">
      <c r="A4705" s="2" t="s">
        <v>21</v>
      </c>
      <c r="B4705" t="s">
        <v>22</v>
      </c>
      <c r="D4705">
        <v>75</v>
      </c>
      <c r="E4705" t="s">
        <v>46</v>
      </c>
      <c r="F4705">
        <v>6</v>
      </c>
      <c r="G4705">
        <v>2</v>
      </c>
      <c r="H4705">
        <v>4</v>
      </c>
      <c r="I4705">
        <v>1</v>
      </c>
      <c r="J4705" s="4" t="s">
        <v>55</v>
      </c>
      <c r="K4705" t="str">
        <f t="shared" si="235"/>
        <v>2+4</v>
      </c>
      <c r="L4705">
        <f>VLOOKUP(A4705,'ZONE 1 PREMIUM'!$A$4:$N$16,14,0)</f>
        <v>12</v>
      </c>
      <c r="M4705">
        <f>VLOOKUP(D4705,DROPDOWN!B:C,2,0)</f>
        <v>14</v>
      </c>
      <c r="N4705" t="str">
        <f t="shared" si="233"/>
        <v>AU143:BM154</v>
      </c>
      <c r="O4705" s="4">
        <f t="shared" ca="1" si="234"/>
        <v>1537011</v>
      </c>
    </row>
    <row r="4706" spans="1:15">
      <c r="A4706" s="2" t="s">
        <v>9</v>
      </c>
      <c r="B4706" t="s">
        <v>47</v>
      </c>
      <c r="C4706" t="s">
        <v>48</v>
      </c>
      <c r="D4706">
        <v>75</v>
      </c>
      <c r="E4706" t="s">
        <v>26</v>
      </c>
      <c r="F4706">
        <v>1</v>
      </c>
      <c r="H4706">
        <v>1</v>
      </c>
      <c r="I4706">
        <v>1</v>
      </c>
      <c r="J4706" s="4" t="s">
        <v>53</v>
      </c>
      <c r="K4706" t="str">
        <f t="shared" si="235"/>
        <v>+1</v>
      </c>
      <c r="N4706" t="e">
        <f t="shared" ref="N4706:N4769" si="236">VLOOKUP(K4706,$CK$3:$CL$12,2,0)</f>
        <v>#N/A</v>
      </c>
      <c r="O4706" s="13">
        <v>15486.782686559758</v>
      </c>
    </row>
    <row r="4707" spans="1:15">
      <c r="A4707" s="2" t="s">
        <v>10</v>
      </c>
      <c r="B4707" t="s">
        <v>49</v>
      </c>
      <c r="C4707" t="s">
        <v>50</v>
      </c>
      <c r="D4707">
        <v>75</v>
      </c>
      <c r="E4707" t="s">
        <v>26</v>
      </c>
      <c r="F4707">
        <v>1</v>
      </c>
      <c r="G4707">
        <v>1</v>
      </c>
      <c r="H4707">
        <v>0</v>
      </c>
      <c r="I4707">
        <v>1</v>
      </c>
      <c r="J4707" s="4" t="s">
        <v>53</v>
      </c>
      <c r="K4707" t="str">
        <f t="shared" si="235"/>
        <v>1+0</v>
      </c>
      <c r="L4707">
        <f>VLOOKUP(A4707,'ZONE 1 PREMIUM'!$A$3:$M$16,13,0)</f>
        <v>3</v>
      </c>
      <c r="M4707">
        <f>VLOOKUP(D4707,DROPDOWN!B:C,2,0)</f>
        <v>14</v>
      </c>
      <c r="N4707" t="str">
        <f t="shared" si="236"/>
        <v>BR3:CJ16</v>
      </c>
      <c r="O4707" s="4">
        <f t="shared" ca="1" si="234"/>
        <v>26717.9</v>
      </c>
    </row>
    <row r="4708" spans="1:15">
      <c r="A4708" s="2" t="s">
        <v>11</v>
      </c>
      <c r="B4708" t="s">
        <v>45</v>
      </c>
      <c r="C4708" t="s">
        <v>25</v>
      </c>
      <c r="D4708">
        <v>75</v>
      </c>
      <c r="E4708" t="s">
        <v>26</v>
      </c>
      <c r="F4708">
        <v>1</v>
      </c>
      <c r="G4708">
        <v>1</v>
      </c>
      <c r="H4708">
        <v>0</v>
      </c>
      <c r="I4708">
        <v>1</v>
      </c>
      <c r="J4708" s="4" t="s">
        <v>53</v>
      </c>
      <c r="K4708" t="str">
        <f t="shared" si="235"/>
        <v>1+0</v>
      </c>
      <c r="L4708">
        <f>VLOOKUP(A4708,'ZONE 1 PREMIUM'!$A$3:$M$16,13,0)</f>
        <v>4</v>
      </c>
      <c r="M4708">
        <f>VLOOKUP(D4708,DROPDOWN!B:C,2,0)</f>
        <v>14</v>
      </c>
      <c r="N4708" t="str">
        <f t="shared" si="236"/>
        <v>BR3:CJ16</v>
      </c>
      <c r="O4708" s="4">
        <f t="shared" ca="1" si="234"/>
        <v>85959.5</v>
      </c>
    </row>
    <row r="4709" spans="1:15">
      <c r="A4709" s="2" t="s">
        <v>12</v>
      </c>
      <c r="B4709" t="s">
        <v>27</v>
      </c>
      <c r="C4709" t="s">
        <v>28</v>
      </c>
      <c r="D4709">
        <v>75</v>
      </c>
      <c r="E4709" t="s">
        <v>26</v>
      </c>
      <c r="F4709">
        <v>1</v>
      </c>
      <c r="G4709">
        <v>1</v>
      </c>
      <c r="H4709">
        <v>0</v>
      </c>
      <c r="I4709">
        <v>1</v>
      </c>
      <c r="J4709" s="4" t="s">
        <v>53</v>
      </c>
      <c r="K4709" t="str">
        <f t="shared" si="235"/>
        <v>1+0</v>
      </c>
      <c r="L4709">
        <f>VLOOKUP(A4709,'ZONE 1 PREMIUM'!$A$3:$M$16,13,0)</f>
        <v>5</v>
      </c>
      <c r="M4709">
        <f>VLOOKUP(D4709,DROPDOWN!B:C,2,0)</f>
        <v>14</v>
      </c>
      <c r="N4709" t="str">
        <f t="shared" si="236"/>
        <v>BR3:CJ16</v>
      </c>
      <c r="O4709" s="4">
        <f t="shared" ca="1" si="234"/>
        <v>99457.600000000006</v>
      </c>
    </row>
    <row r="4710" spans="1:15">
      <c r="A4710" s="2" t="s">
        <v>13</v>
      </c>
      <c r="B4710" t="s">
        <v>29</v>
      </c>
      <c r="C4710" t="s">
        <v>30</v>
      </c>
      <c r="D4710">
        <v>75</v>
      </c>
      <c r="E4710" t="s">
        <v>26</v>
      </c>
      <c r="F4710">
        <v>1</v>
      </c>
      <c r="G4710">
        <v>1</v>
      </c>
      <c r="H4710">
        <v>0</v>
      </c>
      <c r="I4710">
        <v>1</v>
      </c>
      <c r="J4710" s="4" t="s">
        <v>53</v>
      </c>
      <c r="K4710" t="str">
        <f t="shared" si="235"/>
        <v>1+0</v>
      </c>
      <c r="L4710">
        <f>VLOOKUP(A4710,'ZONE 1 PREMIUM'!$A$3:$M$16,13,0)</f>
        <v>6</v>
      </c>
      <c r="M4710">
        <f>VLOOKUP(D4710,DROPDOWN!B:C,2,0)</f>
        <v>14</v>
      </c>
      <c r="N4710" t="str">
        <f t="shared" si="236"/>
        <v>BR3:CJ16</v>
      </c>
      <c r="O4710" s="4">
        <f t="shared" ca="1" si="234"/>
        <v>107872.6</v>
      </c>
    </row>
    <row r="4711" spans="1:15">
      <c r="A4711" s="2" t="s">
        <v>14</v>
      </c>
      <c r="B4711" t="s">
        <v>31</v>
      </c>
      <c r="C4711" t="s">
        <v>32</v>
      </c>
      <c r="D4711">
        <v>75</v>
      </c>
      <c r="E4711" t="s">
        <v>26</v>
      </c>
      <c r="F4711">
        <v>1</v>
      </c>
      <c r="G4711">
        <v>1</v>
      </c>
      <c r="H4711">
        <v>0</v>
      </c>
      <c r="I4711">
        <v>1</v>
      </c>
      <c r="J4711" s="4" t="s">
        <v>53</v>
      </c>
      <c r="K4711" t="str">
        <f t="shared" si="235"/>
        <v>1+0</v>
      </c>
      <c r="L4711">
        <f>VLOOKUP(A4711,'ZONE 1 PREMIUM'!$A$3:$M$16,13,0)</f>
        <v>7</v>
      </c>
      <c r="M4711">
        <f>VLOOKUP(D4711,DROPDOWN!B:C,2,0)</f>
        <v>14</v>
      </c>
      <c r="N4711" t="str">
        <f t="shared" si="236"/>
        <v>BR3:CJ16</v>
      </c>
      <c r="O4711" s="4">
        <f t="shared" ca="1" si="234"/>
        <v>123890.8</v>
      </c>
    </row>
    <row r="4712" spans="1:15">
      <c r="A4712" s="2" t="s">
        <v>15</v>
      </c>
      <c r="B4712" t="s">
        <v>33</v>
      </c>
      <c r="C4712" t="s">
        <v>34</v>
      </c>
      <c r="D4712">
        <v>75</v>
      </c>
      <c r="E4712" t="s">
        <v>26</v>
      </c>
      <c r="F4712">
        <v>1</v>
      </c>
      <c r="G4712">
        <v>1</v>
      </c>
      <c r="H4712">
        <v>0</v>
      </c>
      <c r="I4712">
        <v>1</v>
      </c>
      <c r="J4712" s="4" t="s">
        <v>53</v>
      </c>
      <c r="K4712" t="str">
        <f t="shared" si="235"/>
        <v>1+0</v>
      </c>
      <c r="L4712">
        <f>VLOOKUP(A4712,'ZONE 1 PREMIUM'!$A$3:$M$16,13,0)</f>
        <v>8</v>
      </c>
      <c r="M4712">
        <f>VLOOKUP(D4712,DROPDOWN!B:C,2,0)</f>
        <v>14</v>
      </c>
      <c r="N4712" t="str">
        <f t="shared" si="236"/>
        <v>BR3:CJ16</v>
      </c>
      <c r="O4712" s="4">
        <f t="shared" ca="1" si="234"/>
        <v>151968.30000000002</v>
      </c>
    </row>
    <row r="4713" spans="1:15">
      <c r="A4713" s="2" t="s">
        <v>16</v>
      </c>
      <c r="B4713" t="s">
        <v>35</v>
      </c>
      <c r="C4713" t="s">
        <v>36</v>
      </c>
      <c r="D4713">
        <v>75</v>
      </c>
      <c r="E4713" t="s">
        <v>26</v>
      </c>
      <c r="F4713">
        <v>1</v>
      </c>
      <c r="G4713">
        <v>1</v>
      </c>
      <c r="H4713">
        <v>0</v>
      </c>
      <c r="I4713">
        <v>1</v>
      </c>
      <c r="J4713" s="4" t="s">
        <v>53</v>
      </c>
      <c r="K4713" t="str">
        <f t="shared" si="235"/>
        <v>1+0</v>
      </c>
      <c r="L4713">
        <f>VLOOKUP(A4713,'ZONE 1 PREMIUM'!$A$3:$M$16,13,0)</f>
        <v>9</v>
      </c>
      <c r="M4713">
        <f>VLOOKUP(D4713,DROPDOWN!B:C,2,0)</f>
        <v>14</v>
      </c>
      <c r="N4713" t="str">
        <f t="shared" si="236"/>
        <v>BR3:CJ16</v>
      </c>
      <c r="O4713" s="4">
        <f t="shared" ca="1" si="234"/>
        <v>210478.40000000002</v>
      </c>
    </row>
    <row r="4714" spans="1:15">
      <c r="A4714" s="2" t="s">
        <v>17</v>
      </c>
      <c r="B4714" t="s">
        <v>37</v>
      </c>
      <c r="C4714" t="s">
        <v>38</v>
      </c>
      <c r="D4714">
        <v>75</v>
      </c>
      <c r="E4714" t="s">
        <v>26</v>
      </c>
      <c r="F4714">
        <v>1</v>
      </c>
      <c r="G4714">
        <v>1</v>
      </c>
      <c r="H4714">
        <v>0</v>
      </c>
      <c r="I4714">
        <v>1</v>
      </c>
      <c r="J4714" s="4" t="s">
        <v>53</v>
      </c>
      <c r="K4714" t="str">
        <f t="shared" si="235"/>
        <v>1+0</v>
      </c>
      <c r="L4714">
        <f>VLOOKUP(A4714,'ZONE 1 PREMIUM'!$A$3:$M$16,13,0)</f>
        <v>10</v>
      </c>
      <c r="M4714">
        <f>VLOOKUP(D4714,DROPDOWN!B:C,2,0)</f>
        <v>14</v>
      </c>
      <c r="N4714" t="str">
        <f t="shared" si="236"/>
        <v>BR3:CJ16</v>
      </c>
      <c r="O4714" s="4">
        <f t="shared" ca="1" si="234"/>
        <v>282317.2</v>
      </c>
    </row>
    <row r="4715" spans="1:15">
      <c r="A4715" s="2" t="s">
        <v>18</v>
      </c>
      <c r="B4715" t="s">
        <v>39</v>
      </c>
      <c r="C4715" t="s">
        <v>40</v>
      </c>
      <c r="D4715">
        <v>75</v>
      </c>
      <c r="E4715" t="s">
        <v>26</v>
      </c>
      <c r="F4715">
        <v>1</v>
      </c>
      <c r="G4715">
        <v>1</v>
      </c>
      <c r="H4715">
        <v>0</v>
      </c>
      <c r="I4715">
        <v>1</v>
      </c>
      <c r="J4715" s="4" t="s">
        <v>53</v>
      </c>
      <c r="K4715" t="str">
        <f t="shared" si="235"/>
        <v>1+0</v>
      </c>
      <c r="L4715">
        <f>VLOOKUP(A4715,'ZONE 1 PREMIUM'!$A$3:$M$16,13,0)</f>
        <v>11</v>
      </c>
      <c r="M4715">
        <f>VLOOKUP(D4715,DROPDOWN!B:C,2,0)</f>
        <v>14</v>
      </c>
      <c r="N4715" t="str">
        <f t="shared" si="236"/>
        <v>BR3:CJ16</v>
      </c>
      <c r="O4715" s="4">
        <f t="shared" ca="1" si="234"/>
        <v>390035.80000000005</v>
      </c>
    </row>
    <row r="4716" spans="1:15">
      <c r="A4716" s="2" t="s">
        <v>19</v>
      </c>
      <c r="B4716" t="s">
        <v>41</v>
      </c>
      <c r="C4716" t="s">
        <v>42</v>
      </c>
      <c r="D4716">
        <v>75</v>
      </c>
      <c r="E4716" t="s">
        <v>26</v>
      </c>
      <c r="F4716">
        <v>1</v>
      </c>
      <c r="G4716">
        <v>1</v>
      </c>
      <c r="H4716">
        <v>0</v>
      </c>
      <c r="I4716">
        <v>1</v>
      </c>
      <c r="J4716" s="4" t="s">
        <v>53</v>
      </c>
      <c r="K4716" t="str">
        <f t="shared" si="235"/>
        <v>1+0</v>
      </c>
      <c r="L4716">
        <f>VLOOKUP(A4716,'ZONE 1 PREMIUM'!$A$3:$M$16,13,0)</f>
        <v>12</v>
      </c>
      <c r="M4716">
        <f>VLOOKUP(D4716,DROPDOWN!B:C,2,0)</f>
        <v>14</v>
      </c>
      <c r="N4716" t="str">
        <f t="shared" si="236"/>
        <v>BR3:CJ16</v>
      </c>
      <c r="O4716" s="4">
        <f t="shared" ca="1" si="234"/>
        <v>500006.10000000003</v>
      </c>
    </row>
    <row r="4717" spans="1:15">
      <c r="A4717" s="2" t="s">
        <v>20</v>
      </c>
      <c r="B4717" t="s">
        <v>43</v>
      </c>
      <c r="C4717" t="s">
        <v>44</v>
      </c>
      <c r="D4717">
        <v>75</v>
      </c>
      <c r="E4717" t="s">
        <v>26</v>
      </c>
      <c r="F4717">
        <v>1</v>
      </c>
      <c r="G4717">
        <v>1</v>
      </c>
      <c r="H4717">
        <v>0</v>
      </c>
      <c r="I4717">
        <v>1</v>
      </c>
      <c r="J4717" s="4" t="s">
        <v>53</v>
      </c>
      <c r="K4717" t="str">
        <f t="shared" si="235"/>
        <v>1+0</v>
      </c>
      <c r="L4717">
        <f>VLOOKUP(A4717,'ZONE 1 PREMIUM'!$A$3:$M$16,13,0)</f>
        <v>13</v>
      </c>
      <c r="M4717">
        <f>VLOOKUP(D4717,DROPDOWN!B:C,2,0)</f>
        <v>14</v>
      </c>
      <c r="N4717" t="str">
        <f t="shared" si="236"/>
        <v>BR3:CJ16</v>
      </c>
      <c r="O4717" s="4">
        <f t="shared" ca="1" si="234"/>
        <v>591976</v>
      </c>
    </row>
    <row r="4718" spans="1:15">
      <c r="A4718" s="2" t="s">
        <v>21</v>
      </c>
      <c r="B4718" t="s">
        <v>22</v>
      </c>
      <c r="D4718">
        <v>75</v>
      </c>
      <c r="E4718" t="s">
        <v>26</v>
      </c>
      <c r="F4718">
        <v>1</v>
      </c>
      <c r="G4718">
        <v>1</v>
      </c>
      <c r="H4718">
        <v>0</v>
      </c>
      <c r="I4718">
        <v>1</v>
      </c>
      <c r="J4718" s="4" t="s">
        <v>53</v>
      </c>
      <c r="K4718" t="str">
        <f t="shared" si="235"/>
        <v>1+0</v>
      </c>
      <c r="L4718">
        <f>VLOOKUP(A4718,'ZONE 1 PREMIUM'!$A$3:$M$16,13,0)</f>
        <v>14</v>
      </c>
      <c r="M4718">
        <f>VLOOKUP(D4718,DROPDOWN!B:C,2,0)</f>
        <v>14</v>
      </c>
      <c r="N4718" t="str">
        <f t="shared" si="236"/>
        <v>BR3:CJ16</v>
      </c>
      <c r="O4718" s="4">
        <f t="shared" ca="1" si="234"/>
        <v>782423.4</v>
      </c>
    </row>
    <row r="4719" spans="1:15">
      <c r="A4719" s="2" t="s">
        <v>11</v>
      </c>
      <c r="B4719" t="s">
        <v>45</v>
      </c>
      <c r="C4719" t="s">
        <v>25</v>
      </c>
      <c r="D4719">
        <v>75</v>
      </c>
      <c r="E4719" t="s">
        <v>46</v>
      </c>
      <c r="F4719">
        <v>2</v>
      </c>
      <c r="G4719">
        <v>1</v>
      </c>
      <c r="H4719">
        <v>1</v>
      </c>
      <c r="I4719">
        <v>1</v>
      </c>
      <c r="J4719" s="4" t="s">
        <v>53</v>
      </c>
      <c r="K4719" t="str">
        <f t="shared" si="235"/>
        <v>1+1</v>
      </c>
      <c r="L4719">
        <f>VLOOKUP(A4719,'ZONE 1 PREMIUM'!$A$4:$N$16,14,0)</f>
        <v>2</v>
      </c>
      <c r="M4719">
        <f>VLOOKUP(D4719,DROPDOWN!B:C,2,0)</f>
        <v>14</v>
      </c>
      <c r="N4719" t="str">
        <f t="shared" si="236"/>
        <v>BR20:CJ31</v>
      </c>
      <c r="O4719" s="4">
        <f t="shared" ca="1" si="234"/>
        <v>90724.700000000012</v>
      </c>
    </row>
    <row r="4720" spans="1:15">
      <c r="A4720" s="2" t="s">
        <v>12</v>
      </c>
      <c r="B4720" t="s">
        <v>27</v>
      </c>
      <c r="C4720" t="s">
        <v>28</v>
      </c>
      <c r="D4720">
        <v>75</v>
      </c>
      <c r="E4720" t="s">
        <v>46</v>
      </c>
      <c r="F4720">
        <v>2</v>
      </c>
      <c r="G4720">
        <v>1</v>
      </c>
      <c r="H4720">
        <v>1</v>
      </c>
      <c r="I4720">
        <v>1</v>
      </c>
      <c r="J4720" s="4" t="s">
        <v>53</v>
      </c>
      <c r="K4720" t="str">
        <f t="shared" si="235"/>
        <v>1+1</v>
      </c>
      <c r="L4720">
        <f>VLOOKUP(A4720,'ZONE 1 PREMIUM'!$A$4:$N$16,14,0)</f>
        <v>3</v>
      </c>
      <c r="M4720">
        <f>VLOOKUP(D4720,DROPDOWN!B:C,2,0)</f>
        <v>14</v>
      </c>
      <c r="N4720" t="str">
        <f t="shared" si="236"/>
        <v>BR20:CJ31</v>
      </c>
      <c r="O4720" s="4">
        <f t="shared" ca="1" si="234"/>
        <v>101458.50000000001</v>
      </c>
    </row>
    <row r="4721" spans="1:15">
      <c r="A4721" s="2" t="s">
        <v>13</v>
      </c>
      <c r="B4721" t="s">
        <v>29</v>
      </c>
      <c r="C4721" t="s">
        <v>30</v>
      </c>
      <c r="D4721">
        <v>75</v>
      </c>
      <c r="E4721" t="s">
        <v>46</v>
      </c>
      <c r="F4721">
        <v>2</v>
      </c>
      <c r="G4721">
        <v>1</v>
      </c>
      <c r="H4721">
        <v>1</v>
      </c>
      <c r="I4721">
        <v>1</v>
      </c>
      <c r="J4721" s="4" t="s">
        <v>53</v>
      </c>
      <c r="K4721" t="str">
        <f t="shared" si="235"/>
        <v>1+1</v>
      </c>
      <c r="L4721">
        <f>VLOOKUP(A4721,'ZONE 1 PREMIUM'!$A$4:$N$16,14,0)</f>
        <v>4</v>
      </c>
      <c r="M4721">
        <f>VLOOKUP(D4721,DROPDOWN!B:C,2,0)</f>
        <v>14</v>
      </c>
      <c r="N4721" t="str">
        <f t="shared" si="236"/>
        <v>BR20:CJ31</v>
      </c>
      <c r="O4721" s="4">
        <f t="shared" ca="1" si="234"/>
        <v>111818.3</v>
      </c>
    </row>
    <row r="4722" spans="1:15">
      <c r="A4722" s="2" t="s">
        <v>14</v>
      </c>
      <c r="B4722" t="s">
        <v>31</v>
      </c>
      <c r="C4722" t="s">
        <v>32</v>
      </c>
      <c r="D4722">
        <v>75</v>
      </c>
      <c r="E4722" t="s">
        <v>46</v>
      </c>
      <c r="F4722">
        <v>2</v>
      </c>
      <c r="G4722">
        <v>1</v>
      </c>
      <c r="H4722">
        <v>1</v>
      </c>
      <c r="I4722">
        <v>1</v>
      </c>
      <c r="J4722" s="4" t="s">
        <v>53</v>
      </c>
      <c r="K4722" t="str">
        <f t="shared" si="235"/>
        <v>1+1</v>
      </c>
      <c r="L4722">
        <f>VLOOKUP(A4722,'ZONE 1 PREMIUM'!$A$4:$N$16,14,0)</f>
        <v>5</v>
      </c>
      <c r="M4722">
        <f>VLOOKUP(D4722,DROPDOWN!B:C,2,0)</f>
        <v>14</v>
      </c>
      <c r="N4722" t="str">
        <f t="shared" si="236"/>
        <v>BR20:CJ31</v>
      </c>
      <c r="O4722" s="4">
        <f t="shared" ca="1" si="234"/>
        <v>130710.80000000002</v>
      </c>
    </row>
    <row r="4723" spans="1:15">
      <c r="A4723" s="2" t="s">
        <v>15</v>
      </c>
      <c r="B4723" t="s">
        <v>33</v>
      </c>
      <c r="C4723" t="s">
        <v>34</v>
      </c>
      <c r="D4723">
        <v>75</v>
      </c>
      <c r="E4723" t="s">
        <v>46</v>
      </c>
      <c r="F4723">
        <v>2</v>
      </c>
      <c r="G4723">
        <v>1</v>
      </c>
      <c r="H4723">
        <v>1</v>
      </c>
      <c r="I4723">
        <v>1</v>
      </c>
      <c r="J4723" s="4" t="s">
        <v>53</v>
      </c>
      <c r="K4723" t="str">
        <f t="shared" si="235"/>
        <v>1+1</v>
      </c>
      <c r="L4723">
        <f>VLOOKUP(A4723,'ZONE 1 PREMIUM'!$A$4:$N$16,14,0)</f>
        <v>6</v>
      </c>
      <c r="M4723">
        <f>VLOOKUP(D4723,DROPDOWN!B:C,2,0)</f>
        <v>14</v>
      </c>
      <c r="N4723" t="str">
        <f t="shared" si="236"/>
        <v>BR20:CJ31</v>
      </c>
      <c r="O4723" s="4">
        <f t="shared" ca="1" si="234"/>
        <v>160165.5</v>
      </c>
    </row>
    <row r="4724" spans="1:15">
      <c r="A4724" s="2" t="s">
        <v>16</v>
      </c>
      <c r="B4724" t="s">
        <v>35</v>
      </c>
      <c r="C4724" t="s">
        <v>36</v>
      </c>
      <c r="D4724">
        <v>75</v>
      </c>
      <c r="E4724" t="s">
        <v>46</v>
      </c>
      <c r="F4724">
        <v>2</v>
      </c>
      <c r="G4724">
        <v>1</v>
      </c>
      <c r="H4724">
        <v>1</v>
      </c>
      <c r="I4724">
        <v>1</v>
      </c>
      <c r="J4724" s="4" t="s">
        <v>53</v>
      </c>
      <c r="K4724" t="str">
        <f t="shared" si="235"/>
        <v>1+1</v>
      </c>
      <c r="L4724">
        <f>VLOOKUP(A4724,'ZONE 1 PREMIUM'!$A$4:$N$16,14,0)</f>
        <v>7</v>
      </c>
      <c r="M4724">
        <f>VLOOKUP(D4724,DROPDOWN!B:C,2,0)</f>
        <v>14</v>
      </c>
      <c r="N4724" t="str">
        <f t="shared" si="236"/>
        <v>BR20:CJ31</v>
      </c>
      <c r="O4724" s="4">
        <f t="shared" ca="1" si="234"/>
        <v>216654.90000000002</v>
      </c>
    </row>
    <row r="4725" spans="1:15">
      <c r="A4725" s="2" t="s">
        <v>17</v>
      </c>
      <c r="B4725" t="s">
        <v>37</v>
      </c>
      <c r="C4725" t="s">
        <v>38</v>
      </c>
      <c r="D4725">
        <v>75</v>
      </c>
      <c r="E4725" t="s">
        <v>46</v>
      </c>
      <c r="F4725">
        <v>2</v>
      </c>
      <c r="G4725">
        <v>1</v>
      </c>
      <c r="H4725">
        <v>1</v>
      </c>
      <c r="I4725">
        <v>1</v>
      </c>
      <c r="J4725" s="4" t="s">
        <v>53</v>
      </c>
      <c r="K4725" t="str">
        <f t="shared" si="235"/>
        <v>1+1</v>
      </c>
      <c r="L4725">
        <f>VLOOKUP(A4725,'ZONE 1 PREMIUM'!$A$4:$N$16,14,0)</f>
        <v>8</v>
      </c>
      <c r="M4725">
        <f>VLOOKUP(D4725,DROPDOWN!B:C,2,0)</f>
        <v>14</v>
      </c>
      <c r="N4725" t="str">
        <f t="shared" si="236"/>
        <v>BR20:CJ31</v>
      </c>
      <c r="O4725" s="4">
        <f t="shared" ca="1" si="234"/>
        <v>288416.7</v>
      </c>
    </row>
    <row r="4726" spans="1:15">
      <c r="A4726" s="2" t="s">
        <v>18</v>
      </c>
      <c r="B4726" t="s">
        <v>39</v>
      </c>
      <c r="C4726" t="s">
        <v>40</v>
      </c>
      <c r="D4726">
        <v>75</v>
      </c>
      <c r="E4726" t="s">
        <v>46</v>
      </c>
      <c r="F4726">
        <v>2</v>
      </c>
      <c r="G4726">
        <v>1</v>
      </c>
      <c r="H4726">
        <v>1</v>
      </c>
      <c r="I4726">
        <v>1</v>
      </c>
      <c r="J4726" s="4" t="s">
        <v>53</v>
      </c>
      <c r="K4726" t="str">
        <f t="shared" si="235"/>
        <v>1+1</v>
      </c>
      <c r="L4726">
        <f>VLOOKUP(A4726,'ZONE 1 PREMIUM'!$A$4:$N$16,14,0)</f>
        <v>9</v>
      </c>
      <c r="M4726">
        <f>VLOOKUP(D4726,DROPDOWN!B:C,2,0)</f>
        <v>14</v>
      </c>
      <c r="N4726" t="str">
        <f t="shared" si="236"/>
        <v>BR20:CJ31</v>
      </c>
      <c r="O4726" s="4">
        <f t="shared" ca="1" si="234"/>
        <v>400407.7</v>
      </c>
    </row>
    <row r="4727" spans="1:15">
      <c r="A4727" s="2" t="s">
        <v>19</v>
      </c>
      <c r="B4727" t="s">
        <v>41</v>
      </c>
      <c r="C4727" t="s">
        <v>42</v>
      </c>
      <c r="D4727">
        <v>75</v>
      </c>
      <c r="E4727" t="s">
        <v>46</v>
      </c>
      <c r="F4727">
        <v>2</v>
      </c>
      <c r="G4727">
        <v>1</v>
      </c>
      <c r="H4727">
        <v>1</v>
      </c>
      <c r="I4727">
        <v>1</v>
      </c>
      <c r="J4727" s="4" t="s">
        <v>53</v>
      </c>
      <c r="K4727" t="str">
        <f t="shared" si="235"/>
        <v>1+1</v>
      </c>
      <c r="L4727">
        <f>VLOOKUP(A4727,'ZONE 1 PREMIUM'!$A$4:$N$16,14,0)</f>
        <v>10</v>
      </c>
      <c r="M4727">
        <f>VLOOKUP(D4727,DROPDOWN!B:C,2,0)</f>
        <v>14</v>
      </c>
      <c r="N4727" t="str">
        <f t="shared" si="236"/>
        <v>BR20:CJ31</v>
      </c>
      <c r="O4727" s="4">
        <f t="shared" ca="1" si="234"/>
        <v>510574.9</v>
      </c>
    </row>
    <row r="4728" spans="1:15">
      <c r="A4728" s="2" t="s">
        <v>20</v>
      </c>
      <c r="B4728" t="s">
        <v>43</v>
      </c>
      <c r="C4728" t="s">
        <v>44</v>
      </c>
      <c r="D4728">
        <v>75</v>
      </c>
      <c r="E4728" t="s">
        <v>46</v>
      </c>
      <c r="F4728">
        <v>2</v>
      </c>
      <c r="G4728">
        <v>1</v>
      </c>
      <c r="H4728">
        <v>1</v>
      </c>
      <c r="I4728">
        <v>1</v>
      </c>
      <c r="J4728" s="4" t="s">
        <v>53</v>
      </c>
      <c r="K4728" t="str">
        <f t="shared" si="235"/>
        <v>1+1</v>
      </c>
      <c r="L4728">
        <f>VLOOKUP(A4728,'ZONE 1 PREMIUM'!$A$4:$N$16,14,0)</f>
        <v>11</v>
      </c>
      <c r="M4728">
        <f>VLOOKUP(D4728,DROPDOWN!B:C,2,0)</f>
        <v>14</v>
      </c>
      <c r="N4728" t="str">
        <f t="shared" si="236"/>
        <v>BR20:CJ31</v>
      </c>
      <c r="O4728" s="4">
        <f t="shared" ca="1" si="234"/>
        <v>595391.5</v>
      </c>
    </row>
    <row r="4729" spans="1:15">
      <c r="A4729" s="2" t="s">
        <v>21</v>
      </c>
      <c r="B4729" t="s">
        <v>22</v>
      </c>
      <c r="D4729">
        <v>75</v>
      </c>
      <c r="E4729" t="s">
        <v>46</v>
      </c>
      <c r="F4729">
        <v>2</v>
      </c>
      <c r="G4729">
        <v>1</v>
      </c>
      <c r="H4729">
        <v>1</v>
      </c>
      <c r="I4729">
        <v>1</v>
      </c>
      <c r="J4729" s="4" t="s">
        <v>53</v>
      </c>
      <c r="K4729" t="str">
        <f t="shared" si="235"/>
        <v>1+1</v>
      </c>
      <c r="L4729">
        <f>VLOOKUP(A4729,'ZONE 1 PREMIUM'!$A$4:$N$16,14,0)</f>
        <v>12</v>
      </c>
      <c r="M4729">
        <f>VLOOKUP(D4729,DROPDOWN!B:C,2,0)</f>
        <v>14</v>
      </c>
      <c r="N4729" t="str">
        <f t="shared" si="236"/>
        <v>BR20:CJ31</v>
      </c>
      <c r="O4729" s="4">
        <f t="shared" ca="1" si="234"/>
        <v>798220.50000000012</v>
      </c>
    </row>
    <row r="4730" spans="1:15">
      <c r="A4730" s="2" t="s">
        <v>11</v>
      </c>
      <c r="B4730" t="s">
        <v>45</v>
      </c>
      <c r="C4730" t="s">
        <v>25</v>
      </c>
      <c r="D4730">
        <v>75</v>
      </c>
      <c r="E4730" t="s">
        <v>46</v>
      </c>
      <c r="F4730">
        <v>3</v>
      </c>
      <c r="G4730">
        <v>1</v>
      </c>
      <c r="H4730">
        <v>2</v>
      </c>
      <c r="I4730">
        <v>1</v>
      </c>
      <c r="J4730" s="4" t="s">
        <v>53</v>
      </c>
      <c r="K4730" t="str">
        <f t="shared" si="235"/>
        <v>1+2</v>
      </c>
      <c r="L4730">
        <f>VLOOKUP(A4730,'ZONE 1 PREMIUM'!$A$4:$N$16,14,0)</f>
        <v>2</v>
      </c>
      <c r="M4730">
        <f>VLOOKUP(D4730,DROPDOWN!B:C,2,0)</f>
        <v>14</v>
      </c>
      <c r="N4730" t="str">
        <f t="shared" si="236"/>
        <v>BR35:CJ46</v>
      </c>
      <c r="O4730" s="4">
        <f t="shared" ca="1" si="234"/>
        <v>114130.50000000001</v>
      </c>
    </row>
    <row r="4731" spans="1:15">
      <c r="A4731" s="2" t="s">
        <v>12</v>
      </c>
      <c r="B4731" t="s">
        <v>27</v>
      </c>
      <c r="C4731" t="s">
        <v>28</v>
      </c>
      <c r="D4731">
        <v>75</v>
      </c>
      <c r="E4731" t="s">
        <v>46</v>
      </c>
      <c r="F4731">
        <v>3</v>
      </c>
      <c r="G4731">
        <v>1</v>
      </c>
      <c r="H4731">
        <v>2</v>
      </c>
      <c r="I4731">
        <v>1</v>
      </c>
      <c r="J4731" s="4" t="s">
        <v>53</v>
      </c>
      <c r="K4731" t="str">
        <f t="shared" si="235"/>
        <v>1+2</v>
      </c>
      <c r="L4731">
        <f>VLOOKUP(A4731,'ZONE 1 PREMIUM'!$A$4:$N$16,14,0)</f>
        <v>3</v>
      </c>
      <c r="M4731">
        <f>VLOOKUP(D4731,DROPDOWN!B:C,2,0)</f>
        <v>14</v>
      </c>
      <c r="N4731" t="str">
        <f t="shared" si="236"/>
        <v>BR35:CJ46</v>
      </c>
      <c r="O4731" s="4">
        <f t="shared" ca="1" si="234"/>
        <v>124010.70000000001</v>
      </c>
    </row>
    <row r="4732" spans="1:15">
      <c r="A4732" s="2" t="s">
        <v>13</v>
      </c>
      <c r="B4732" t="s">
        <v>29</v>
      </c>
      <c r="C4732" t="s">
        <v>30</v>
      </c>
      <c r="D4732">
        <v>75</v>
      </c>
      <c r="E4732" t="s">
        <v>46</v>
      </c>
      <c r="F4732">
        <v>3</v>
      </c>
      <c r="G4732">
        <v>1</v>
      </c>
      <c r="H4732">
        <v>2</v>
      </c>
      <c r="I4732">
        <v>1</v>
      </c>
      <c r="J4732" s="4" t="s">
        <v>53</v>
      </c>
      <c r="K4732" t="str">
        <f t="shared" si="235"/>
        <v>1+2</v>
      </c>
      <c r="L4732">
        <f>VLOOKUP(A4732,'ZONE 1 PREMIUM'!$A$4:$N$16,14,0)</f>
        <v>4</v>
      </c>
      <c r="M4732">
        <f>VLOOKUP(D4732,DROPDOWN!B:C,2,0)</f>
        <v>14</v>
      </c>
      <c r="N4732" t="str">
        <f t="shared" si="236"/>
        <v>BR35:CJ46</v>
      </c>
      <c r="O4732" s="4">
        <f t="shared" ca="1" si="234"/>
        <v>137992.80000000002</v>
      </c>
    </row>
    <row r="4733" spans="1:15">
      <c r="A4733" s="2" t="s">
        <v>14</v>
      </c>
      <c r="B4733" t="s">
        <v>31</v>
      </c>
      <c r="C4733" t="s">
        <v>32</v>
      </c>
      <c r="D4733">
        <v>75</v>
      </c>
      <c r="E4733" t="s">
        <v>46</v>
      </c>
      <c r="F4733">
        <v>3</v>
      </c>
      <c r="G4733">
        <v>1</v>
      </c>
      <c r="H4733">
        <v>2</v>
      </c>
      <c r="I4733">
        <v>1</v>
      </c>
      <c r="J4733" s="4" t="s">
        <v>53</v>
      </c>
      <c r="K4733" t="str">
        <f t="shared" si="235"/>
        <v>1+2</v>
      </c>
      <c r="L4733">
        <f>VLOOKUP(A4733,'ZONE 1 PREMIUM'!$A$4:$N$16,14,0)</f>
        <v>5</v>
      </c>
      <c r="M4733">
        <f>VLOOKUP(D4733,DROPDOWN!B:C,2,0)</f>
        <v>14</v>
      </c>
      <c r="N4733" t="str">
        <f t="shared" si="236"/>
        <v>BR35:CJ46</v>
      </c>
      <c r="O4733" s="4">
        <f t="shared" ca="1" si="234"/>
        <v>154292.6</v>
      </c>
    </row>
    <row r="4734" spans="1:15">
      <c r="A4734" s="2" t="s">
        <v>15</v>
      </c>
      <c r="B4734" t="s">
        <v>33</v>
      </c>
      <c r="C4734" t="s">
        <v>34</v>
      </c>
      <c r="D4734">
        <v>75</v>
      </c>
      <c r="E4734" t="s">
        <v>46</v>
      </c>
      <c r="F4734">
        <v>3</v>
      </c>
      <c r="G4734">
        <v>1</v>
      </c>
      <c r="H4734">
        <v>2</v>
      </c>
      <c r="I4734">
        <v>1</v>
      </c>
      <c r="J4734" s="4" t="s">
        <v>53</v>
      </c>
      <c r="K4734" t="str">
        <f t="shared" si="235"/>
        <v>1+2</v>
      </c>
      <c r="L4734">
        <f>VLOOKUP(A4734,'ZONE 1 PREMIUM'!$A$4:$N$16,14,0)</f>
        <v>6</v>
      </c>
      <c r="M4734">
        <f>VLOOKUP(D4734,DROPDOWN!B:C,2,0)</f>
        <v>14</v>
      </c>
      <c r="N4734" t="str">
        <f t="shared" si="236"/>
        <v>BR35:CJ46</v>
      </c>
      <c r="O4734" s="4">
        <f t="shared" ca="1" si="234"/>
        <v>192189.80000000002</v>
      </c>
    </row>
    <row r="4735" spans="1:15">
      <c r="A4735" s="2" t="s">
        <v>16</v>
      </c>
      <c r="B4735" t="s">
        <v>35</v>
      </c>
      <c r="C4735" t="s">
        <v>36</v>
      </c>
      <c r="D4735">
        <v>75</v>
      </c>
      <c r="E4735" t="s">
        <v>46</v>
      </c>
      <c r="F4735">
        <v>3</v>
      </c>
      <c r="G4735">
        <v>1</v>
      </c>
      <c r="H4735">
        <v>2</v>
      </c>
      <c r="I4735">
        <v>1</v>
      </c>
      <c r="J4735" s="4" t="s">
        <v>53</v>
      </c>
      <c r="K4735" t="str">
        <f t="shared" si="235"/>
        <v>1+2</v>
      </c>
      <c r="L4735">
        <f>VLOOKUP(A4735,'ZONE 1 PREMIUM'!$A$4:$N$16,14,0)</f>
        <v>7</v>
      </c>
      <c r="M4735">
        <f>VLOOKUP(D4735,DROPDOWN!B:C,2,0)</f>
        <v>14</v>
      </c>
      <c r="N4735" t="str">
        <f t="shared" si="236"/>
        <v>BR35:CJ46</v>
      </c>
      <c r="O4735" s="4">
        <f t="shared" ca="1" si="234"/>
        <v>255920.50000000003</v>
      </c>
    </row>
    <row r="4736" spans="1:15">
      <c r="A4736" s="2" t="s">
        <v>17</v>
      </c>
      <c r="B4736" t="s">
        <v>37</v>
      </c>
      <c r="C4736" t="s">
        <v>38</v>
      </c>
      <c r="D4736">
        <v>75</v>
      </c>
      <c r="E4736" t="s">
        <v>46</v>
      </c>
      <c r="F4736">
        <v>3</v>
      </c>
      <c r="G4736">
        <v>1</v>
      </c>
      <c r="H4736">
        <v>2</v>
      </c>
      <c r="I4736">
        <v>1</v>
      </c>
      <c r="J4736" s="4" t="s">
        <v>53</v>
      </c>
      <c r="K4736" t="str">
        <f t="shared" si="235"/>
        <v>1+2</v>
      </c>
      <c r="L4736">
        <f>VLOOKUP(A4736,'ZONE 1 PREMIUM'!$A$4:$N$16,14,0)</f>
        <v>8</v>
      </c>
      <c r="M4736">
        <f>VLOOKUP(D4736,DROPDOWN!B:C,2,0)</f>
        <v>14</v>
      </c>
      <c r="N4736" t="str">
        <f t="shared" si="236"/>
        <v>BR35:CJ46</v>
      </c>
      <c r="O4736" s="4">
        <f t="shared" ca="1" si="234"/>
        <v>330578.60000000003</v>
      </c>
    </row>
    <row r="4737" spans="1:15">
      <c r="A4737" s="2" t="s">
        <v>18</v>
      </c>
      <c r="B4737" t="s">
        <v>39</v>
      </c>
      <c r="C4737" t="s">
        <v>40</v>
      </c>
      <c r="D4737">
        <v>75</v>
      </c>
      <c r="E4737" t="s">
        <v>46</v>
      </c>
      <c r="F4737">
        <v>3</v>
      </c>
      <c r="G4737">
        <v>1</v>
      </c>
      <c r="H4737">
        <v>2</v>
      </c>
      <c r="I4737">
        <v>1</v>
      </c>
      <c r="J4737" s="4" t="s">
        <v>53</v>
      </c>
      <c r="K4737" t="str">
        <f t="shared" si="235"/>
        <v>1+2</v>
      </c>
      <c r="L4737">
        <f>VLOOKUP(A4737,'ZONE 1 PREMIUM'!$A$4:$N$16,14,0)</f>
        <v>9</v>
      </c>
      <c r="M4737">
        <f>VLOOKUP(D4737,DROPDOWN!B:C,2,0)</f>
        <v>14</v>
      </c>
      <c r="N4737" t="str">
        <f t="shared" si="236"/>
        <v>BR35:CJ46</v>
      </c>
      <c r="O4737" s="4">
        <f t="shared" ca="1" si="234"/>
        <v>433527.60000000003</v>
      </c>
    </row>
    <row r="4738" spans="1:15">
      <c r="A4738" s="2" t="s">
        <v>19</v>
      </c>
      <c r="B4738" t="s">
        <v>41</v>
      </c>
      <c r="C4738" t="s">
        <v>42</v>
      </c>
      <c r="D4738">
        <v>75</v>
      </c>
      <c r="E4738" t="s">
        <v>46</v>
      </c>
      <c r="F4738">
        <v>3</v>
      </c>
      <c r="G4738">
        <v>1</v>
      </c>
      <c r="H4738">
        <v>2</v>
      </c>
      <c r="I4738">
        <v>1</v>
      </c>
      <c r="J4738" s="4" t="s">
        <v>53</v>
      </c>
      <c r="K4738" t="str">
        <f t="shared" si="235"/>
        <v>1+2</v>
      </c>
      <c r="L4738">
        <f>VLOOKUP(A4738,'ZONE 1 PREMIUM'!$A$4:$N$16,14,0)</f>
        <v>10</v>
      </c>
      <c r="M4738">
        <f>VLOOKUP(D4738,DROPDOWN!B:C,2,0)</f>
        <v>14</v>
      </c>
      <c r="N4738" t="str">
        <f t="shared" si="236"/>
        <v>BR35:CJ46</v>
      </c>
      <c r="O4738" s="4">
        <f t="shared" ref="O4738:O4801" ca="1" si="237">INDEX(INDIRECT(N4738),L4738,M4738)</f>
        <v>552123</v>
      </c>
    </row>
    <row r="4739" spans="1:15">
      <c r="A4739" s="2" t="s">
        <v>20</v>
      </c>
      <c r="B4739" t="s">
        <v>43</v>
      </c>
      <c r="C4739" t="s">
        <v>44</v>
      </c>
      <c r="D4739">
        <v>75</v>
      </c>
      <c r="E4739" t="s">
        <v>46</v>
      </c>
      <c r="F4739">
        <v>3</v>
      </c>
      <c r="G4739">
        <v>1</v>
      </c>
      <c r="H4739">
        <v>2</v>
      </c>
      <c r="I4739">
        <v>1</v>
      </c>
      <c r="J4739" s="4" t="s">
        <v>53</v>
      </c>
      <c r="K4739" t="str">
        <f t="shared" si="235"/>
        <v>1+2</v>
      </c>
      <c r="L4739">
        <f>VLOOKUP(A4739,'ZONE 1 PREMIUM'!$A$4:$N$16,14,0)</f>
        <v>11</v>
      </c>
      <c r="M4739">
        <f>VLOOKUP(D4739,DROPDOWN!B:C,2,0)</f>
        <v>14</v>
      </c>
      <c r="N4739" t="str">
        <f t="shared" si="236"/>
        <v>BR35:CJ46</v>
      </c>
      <c r="O4739" s="4">
        <f t="shared" ca="1" si="237"/>
        <v>645350.20000000007</v>
      </c>
    </row>
    <row r="4740" spans="1:15">
      <c r="A4740" s="2" t="s">
        <v>21</v>
      </c>
      <c r="B4740" t="s">
        <v>22</v>
      </c>
      <c r="D4740">
        <v>75</v>
      </c>
      <c r="E4740" t="s">
        <v>46</v>
      </c>
      <c r="F4740">
        <v>3</v>
      </c>
      <c r="G4740">
        <v>1</v>
      </c>
      <c r="H4740">
        <v>2</v>
      </c>
      <c r="I4740">
        <v>1</v>
      </c>
      <c r="J4740" s="4" t="s">
        <v>53</v>
      </c>
      <c r="K4740" t="str">
        <f t="shared" ref="K4740:K4803" si="238">G4740&amp;"+"&amp;H4740</f>
        <v>1+2</v>
      </c>
      <c r="L4740">
        <f>VLOOKUP(A4740,'ZONE 1 PREMIUM'!$A$4:$N$16,14,0)</f>
        <v>12</v>
      </c>
      <c r="M4740">
        <f>VLOOKUP(D4740,DROPDOWN!B:C,2,0)</f>
        <v>14</v>
      </c>
      <c r="N4740" t="str">
        <f t="shared" si="236"/>
        <v>BR35:CJ46</v>
      </c>
      <c r="O4740" s="4">
        <f t="shared" ca="1" si="237"/>
        <v>834167.4</v>
      </c>
    </row>
    <row r="4741" spans="1:15">
      <c r="A4741" s="2" t="s">
        <v>11</v>
      </c>
      <c r="B4741" t="s">
        <v>45</v>
      </c>
      <c r="C4741" t="s">
        <v>25</v>
      </c>
      <c r="D4741">
        <v>75</v>
      </c>
      <c r="E4741" t="s">
        <v>46</v>
      </c>
      <c r="F4741">
        <v>4</v>
      </c>
      <c r="G4741">
        <v>1</v>
      </c>
      <c r="H4741">
        <v>3</v>
      </c>
      <c r="I4741">
        <v>1</v>
      </c>
      <c r="J4741" s="4" t="s">
        <v>53</v>
      </c>
      <c r="K4741" t="str">
        <f t="shared" si="238"/>
        <v>1+3</v>
      </c>
      <c r="L4741">
        <f>VLOOKUP(A4741,'ZONE 1 PREMIUM'!$A$4:$N$16,14,0)</f>
        <v>2</v>
      </c>
      <c r="M4741">
        <f>VLOOKUP(D4741,DROPDOWN!B:C,2,0)</f>
        <v>14</v>
      </c>
      <c r="N4741" t="str">
        <f t="shared" si="236"/>
        <v>BR50:CJ61</v>
      </c>
      <c r="O4741" s="4">
        <f t="shared" ca="1" si="237"/>
        <v>137535.20000000001</v>
      </c>
    </row>
    <row r="4742" spans="1:15">
      <c r="A4742" s="2" t="s">
        <v>12</v>
      </c>
      <c r="B4742" t="s">
        <v>27</v>
      </c>
      <c r="C4742" t="s">
        <v>28</v>
      </c>
      <c r="D4742">
        <v>75</v>
      </c>
      <c r="E4742" t="s">
        <v>46</v>
      </c>
      <c r="F4742">
        <v>4</v>
      </c>
      <c r="G4742">
        <v>1</v>
      </c>
      <c r="H4742">
        <v>3</v>
      </c>
      <c r="I4742">
        <v>1</v>
      </c>
      <c r="J4742" s="4" t="s">
        <v>53</v>
      </c>
      <c r="K4742" t="str">
        <f t="shared" si="238"/>
        <v>1+3</v>
      </c>
      <c r="L4742">
        <f>VLOOKUP(A4742,'ZONE 1 PREMIUM'!$A$4:$N$16,14,0)</f>
        <v>3</v>
      </c>
      <c r="M4742">
        <f>VLOOKUP(D4742,DROPDOWN!B:C,2,0)</f>
        <v>14</v>
      </c>
      <c r="N4742" t="str">
        <f t="shared" si="236"/>
        <v>BR50:CJ61</v>
      </c>
      <c r="O4742" s="4">
        <f t="shared" ca="1" si="237"/>
        <v>147066.70000000001</v>
      </c>
    </row>
    <row r="4743" spans="1:15">
      <c r="A4743" s="2" t="s">
        <v>13</v>
      </c>
      <c r="B4743" t="s">
        <v>29</v>
      </c>
      <c r="C4743" t="s">
        <v>30</v>
      </c>
      <c r="D4743">
        <v>75</v>
      </c>
      <c r="E4743" t="s">
        <v>46</v>
      </c>
      <c r="F4743">
        <v>4</v>
      </c>
      <c r="G4743">
        <v>1</v>
      </c>
      <c r="H4743">
        <v>3</v>
      </c>
      <c r="I4743">
        <v>1</v>
      </c>
      <c r="J4743" s="4" t="s">
        <v>53</v>
      </c>
      <c r="K4743" t="str">
        <f t="shared" si="238"/>
        <v>1+3</v>
      </c>
      <c r="L4743">
        <f>VLOOKUP(A4743,'ZONE 1 PREMIUM'!$A$4:$N$16,14,0)</f>
        <v>4</v>
      </c>
      <c r="M4743">
        <f>VLOOKUP(D4743,DROPDOWN!B:C,2,0)</f>
        <v>14</v>
      </c>
      <c r="N4743" t="str">
        <f t="shared" si="236"/>
        <v>BR50:CJ61</v>
      </c>
      <c r="O4743" s="4">
        <f t="shared" ca="1" si="237"/>
        <v>164723.90000000002</v>
      </c>
    </row>
    <row r="4744" spans="1:15">
      <c r="A4744" s="2" t="s">
        <v>14</v>
      </c>
      <c r="B4744" t="s">
        <v>31</v>
      </c>
      <c r="C4744" t="s">
        <v>32</v>
      </c>
      <c r="D4744">
        <v>75</v>
      </c>
      <c r="E4744" t="s">
        <v>46</v>
      </c>
      <c r="F4744">
        <v>4</v>
      </c>
      <c r="G4744">
        <v>1</v>
      </c>
      <c r="H4744">
        <v>3</v>
      </c>
      <c r="I4744">
        <v>1</v>
      </c>
      <c r="J4744" s="4" t="s">
        <v>53</v>
      </c>
      <c r="K4744" t="str">
        <f t="shared" si="238"/>
        <v>1+3</v>
      </c>
      <c r="L4744">
        <f>VLOOKUP(A4744,'ZONE 1 PREMIUM'!$A$4:$N$16,14,0)</f>
        <v>5</v>
      </c>
      <c r="M4744">
        <f>VLOOKUP(D4744,DROPDOWN!B:C,2,0)</f>
        <v>14</v>
      </c>
      <c r="N4744" t="str">
        <f t="shared" si="236"/>
        <v>BR50:CJ61</v>
      </c>
      <c r="O4744" s="4">
        <f t="shared" ca="1" si="237"/>
        <v>182901.40000000002</v>
      </c>
    </row>
    <row r="4745" spans="1:15">
      <c r="A4745" s="2" t="s">
        <v>15</v>
      </c>
      <c r="B4745" t="s">
        <v>33</v>
      </c>
      <c r="C4745" t="s">
        <v>34</v>
      </c>
      <c r="D4745">
        <v>75</v>
      </c>
      <c r="E4745" t="s">
        <v>46</v>
      </c>
      <c r="F4745">
        <v>4</v>
      </c>
      <c r="G4745">
        <v>1</v>
      </c>
      <c r="H4745">
        <v>3</v>
      </c>
      <c r="I4745">
        <v>1</v>
      </c>
      <c r="J4745" s="4" t="s">
        <v>53</v>
      </c>
      <c r="K4745" t="str">
        <f t="shared" si="238"/>
        <v>1+3</v>
      </c>
      <c r="L4745">
        <f>VLOOKUP(A4745,'ZONE 1 PREMIUM'!$A$4:$N$16,14,0)</f>
        <v>6</v>
      </c>
      <c r="M4745">
        <f>VLOOKUP(D4745,DROPDOWN!B:C,2,0)</f>
        <v>14</v>
      </c>
      <c r="N4745" t="str">
        <f t="shared" si="236"/>
        <v>BR50:CJ61</v>
      </c>
      <c r="O4745" s="4">
        <f t="shared" ca="1" si="237"/>
        <v>224214.1</v>
      </c>
    </row>
    <row r="4746" spans="1:15">
      <c r="A4746" s="2" t="s">
        <v>16</v>
      </c>
      <c r="B4746" t="s">
        <v>35</v>
      </c>
      <c r="C4746" t="s">
        <v>36</v>
      </c>
      <c r="D4746">
        <v>75</v>
      </c>
      <c r="E4746" t="s">
        <v>46</v>
      </c>
      <c r="F4746">
        <v>4</v>
      </c>
      <c r="G4746">
        <v>1</v>
      </c>
      <c r="H4746">
        <v>3</v>
      </c>
      <c r="I4746">
        <v>1</v>
      </c>
      <c r="J4746" s="4" t="s">
        <v>53</v>
      </c>
      <c r="K4746" t="str">
        <f t="shared" si="238"/>
        <v>1+3</v>
      </c>
      <c r="L4746">
        <f>VLOOKUP(A4746,'ZONE 1 PREMIUM'!$A$4:$N$16,14,0)</f>
        <v>7</v>
      </c>
      <c r="M4746">
        <f>VLOOKUP(D4746,DROPDOWN!B:C,2,0)</f>
        <v>14</v>
      </c>
      <c r="N4746" t="str">
        <f t="shared" si="236"/>
        <v>BR50:CJ61</v>
      </c>
      <c r="O4746" s="4">
        <f t="shared" ca="1" si="237"/>
        <v>290757.5</v>
      </c>
    </row>
    <row r="4747" spans="1:15">
      <c r="A4747" s="2" t="s">
        <v>17</v>
      </c>
      <c r="B4747" t="s">
        <v>37</v>
      </c>
      <c r="C4747" t="s">
        <v>38</v>
      </c>
      <c r="D4747">
        <v>75</v>
      </c>
      <c r="E4747" t="s">
        <v>46</v>
      </c>
      <c r="F4747">
        <v>4</v>
      </c>
      <c r="G4747">
        <v>1</v>
      </c>
      <c r="H4747">
        <v>3</v>
      </c>
      <c r="I4747">
        <v>1</v>
      </c>
      <c r="J4747" s="4" t="s">
        <v>53</v>
      </c>
      <c r="K4747" t="str">
        <f t="shared" si="238"/>
        <v>1+3</v>
      </c>
      <c r="L4747">
        <f>VLOOKUP(A4747,'ZONE 1 PREMIUM'!$A$4:$N$16,14,0)</f>
        <v>8</v>
      </c>
      <c r="M4747">
        <f>VLOOKUP(D4747,DROPDOWN!B:C,2,0)</f>
        <v>14</v>
      </c>
      <c r="N4747" t="str">
        <f t="shared" si="236"/>
        <v>BR50:CJ61</v>
      </c>
      <c r="O4747" s="4">
        <f t="shared" ca="1" si="237"/>
        <v>360627.30000000005</v>
      </c>
    </row>
    <row r="4748" spans="1:15">
      <c r="A4748" s="2" t="s">
        <v>18</v>
      </c>
      <c r="B4748" t="s">
        <v>39</v>
      </c>
      <c r="C4748" t="s">
        <v>40</v>
      </c>
      <c r="D4748">
        <v>75</v>
      </c>
      <c r="E4748" t="s">
        <v>46</v>
      </c>
      <c r="F4748">
        <v>4</v>
      </c>
      <c r="G4748">
        <v>1</v>
      </c>
      <c r="H4748">
        <v>3</v>
      </c>
      <c r="I4748">
        <v>1</v>
      </c>
      <c r="J4748" s="4" t="s">
        <v>53</v>
      </c>
      <c r="K4748" t="str">
        <f t="shared" si="238"/>
        <v>1+3</v>
      </c>
      <c r="L4748">
        <f>VLOOKUP(A4748,'ZONE 1 PREMIUM'!$A$4:$N$16,14,0)</f>
        <v>9</v>
      </c>
      <c r="M4748">
        <f>VLOOKUP(D4748,DROPDOWN!B:C,2,0)</f>
        <v>14</v>
      </c>
      <c r="N4748" t="str">
        <f t="shared" si="236"/>
        <v>BR50:CJ61</v>
      </c>
      <c r="O4748" s="4">
        <f t="shared" ca="1" si="237"/>
        <v>466885.10000000003</v>
      </c>
    </row>
    <row r="4749" spans="1:15">
      <c r="A4749" s="2" t="s">
        <v>19</v>
      </c>
      <c r="B4749" t="s">
        <v>41</v>
      </c>
      <c r="C4749" t="s">
        <v>42</v>
      </c>
      <c r="D4749">
        <v>75</v>
      </c>
      <c r="E4749" t="s">
        <v>46</v>
      </c>
      <c r="F4749">
        <v>4</v>
      </c>
      <c r="G4749">
        <v>1</v>
      </c>
      <c r="H4749">
        <v>3</v>
      </c>
      <c r="I4749">
        <v>1</v>
      </c>
      <c r="J4749" s="4" t="s">
        <v>53</v>
      </c>
      <c r="K4749" t="str">
        <f t="shared" si="238"/>
        <v>1+3</v>
      </c>
      <c r="L4749">
        <f>VLOOKUP(A4749,'ZONE 1 PREMIUM'!$A$4:$N$16,14,0)</f>
        <v>10</v>
      </c>
      <c r="M4749">
        <f>VLOOKUP(D4749,DROPDOWN!B:C,2,0)</f>
        <v>14</v>
      </c>
      <c r="N4749" t="str">
        <f t="shared" si="236"/>
        <v>BR50:CJ61</v>
      </c>
      <c r="O4749" s="4">
        <f t="shared" ca="1" si="237"/>
        <v>577765.10000000009</v>
      </c>
    </row>
    <row r="4750" spans="1:15">
      <c r="A4750" s="2" t="s">
        <v>20</v>
      </c>
      <c r="B4750" t="s">
        <v>43</v>
      </c>
      <c r="C4750" t="s">
        <v>44</v>
      </c>
      <c r="D4750">
        <v>75</v>
      </c>
      <c r="E4750" t="s">
        <v>46</v>
      </c>
      <c r="F4750">
        <v>4</v>
      </c>
      <c r="G4750">
        <v>1</v>
      </c>
      <c r="H4750">
        <v>3</v>
      </c>
      <c r="I4750">
        <v>1</v>
      </c>
      <c r="J4750" s="4" t="s">
        <v>53</v>
      </c>
      <c r="K4750" t="str">
        <f t="shared" si="238"/>
        <v>1+3</v>
      </c>
      <c r="L4750">
        <f>VLOOKUP(A4750,'ZONE 1 PREMIUM'!$A$4:$N$16,14,0)</f>
        <v>11</v>
      </c>
      <c r="M4750">
        <f>VLOOKUP(D4750,DROPDOWN!B:C,2,0)</f>
        <v>14</v>
      </c>
      <c r="N4750" t="str">
        <f t="shared" si="236"/>
        <v>BR50:CJ61</v>
      </c>
      <c r="O4750" s="4">
        <f t="shared" ca="1" si="237"/>
        <v>669442.4</v>
      </c>
    </row>
    <row r="4751" spans="1:15">
      <c r="A4751" s="2" t="s">
        <v>21</v>
      </c>
      <c r="B4751" t="s">
        <v>22</v>
      </c>
      <c r="D4751">
        <v>75</v>
      </c>
      <c r="E4751" t="s">
        <v>46</v>
      </c>
      <c r="F4751">
        <v>4</v>
      </c>
      <c r="G4751">
        <v>1</v>
      </c>
      <c r="H4751">
        <v>3</v>
      </c>
      <c r="I4751">
        <v>1</v>
      </c>
      <c r="J4751" s="4" t="s">
        <v>53</v>
      </c>
      <c r="K4751" t="str">
        <f t="shared" si="238"/>
        <v>1+3</v>
      </c>
      <c r="L4751">
        <f>VLOOKUP(A4751,'ZONE 1 PREMIUM'!$A$4:$N$16,14,0)</f>
        <v>12</v>
      </c>
      <c r="M4751">
        <f>VLOOKUP(D4751,DROPDOWN!B:C,2,0)</f>
        <v>14</v>
      </c>
      <c r="N4751" t="str">
        <f t="shared" si="236"/>
        <v>BR50:CJ61</v>
      </c>
      <c r="O4751" s="4">
        <f t="shared" ca="1" si="237"/>
        <v>860040.50000000012</v>
      </c>
    </row>
    <row r="4752" spans="1:15">
      <c r="A4752" s="2" t="s">
        <v>11</v>
      </c>
      <c r="B4752" t="s">
        <v>45</v>
      </c>
      <c r="C4752" t="s">
        <v>25</v>
      </c>
      <c r="D4752">
        <v>75</v>
      </c>
      <c r="E4752" t="s">
        <v>46</v>
      </c>
      <c r="F4752">
        <v>5</v>
      </c>
      <c r="G4752">
        <v>1</v>
      </c>
      <c r="H4752">
        <v>4</v>
      </c>
      <c r="I4752">
        <v>1</v>
      </c>
      <c r="J4752" s="4" t="s">
        <v>53</v>
      </c>
      <c r="K4752" t="str">
        <f t="shared" si="238"/>
        <v>1+4</v>
      </c>
      <c r="L4752">
        <f>VLOOKUP(A4752,'ZONE 1 PREMIUM'!$A$4:$N$16,14,0)</f>
        <v>2</v>
      </c>
      <c r="M4752">
        <f>VLOOKUP(D4752,DROPDOWN!B:C,2,0)</f>
        <v>14</v>
      </c>
      <c r="N4752" t="str">
        <f t="shared" si="236"/>
        <v>BR65:CJ76</v>
      </c>
      <c r="O4752" s="4">
        <f t="shared" ca="1" si="237"/>
        <v>160939.90000000002</v>
      </c>
    </row>
    <row r="4753" spans="1:15">
      <c r="A4753" s="2" t="s">
        <v>12</v>
      </c>
      <c r="B4753" t="s">
        <v>27</v>
      </c>
      <c r="C4753" t="s">
        <v>28</v>
      </c>
      <c r="D4753">
        <v>75</v>
      </c>
      <c r="E4753" t="s">
        <v>46</v>
      </c>
      <c r="F4753">
        <v>5</v>
      </c>
      <c r="G4753">
        <v>1</v>
      </c>
      <c r="H4753">
        <v>4</v>
      </c>
      <c r="I4753">
        <v>1</v>
      </c>
      <c r="J4753" s="4" t="s">
        <v>53</v>
      </c>
      <c r="K4753" t="str">
        <f t="shared" si="238"/>
        <v>1+4</v>
      </c>
      <c r="L4753">
        <f>VLOOKUP(A4753,'ZONE 1 PREMIUM'!$A$4:$N$16,14,0)</f>
        <v>3</v>
      </c>
      <c r="M4753">
        <f>VLOOKUP(D4753,DROPDOWN!B:C,2,0)</f>
        <v>14</v>
      </c>
      <c r="N4753" t="str">
        <f t="shared" si="236"/>
        <v>BR65:CJ76</v>
      </c>
      <c r="O4753" s="4">
        <f t="shared" ca="1" si="237"/>
        <v>170122.7</v>
      </c>
    </row>
    <row r="4754" spans="1:15">
      <c r="A4754" s="2" t="s">
        <v>13</v>
      </c>
      <c r="B4754" t="s">
        <v>29</v>
      </c>
      <c r="C4754" t="s">
        <v>30</v>
      </c>
      <c r="D4754">
        <v>75</v>
      </c>
      <c r="E4754" t="s">
        <v>46</v>
      </c>
      <c r="F4754">
        <v>5</v>
      </c>
      <c r="G4754">
        <v>1</v>
      </c>
      <c r="H4754">
        <v>4</v>
      </c>
      <c r="I4754">
        <v>1</v>
      </c>
      <c r="J4754" s="4" t="s">
        <v>53</v>
      </c>
      <c r="K4754" t="str">
        <f t="shared" si="238"/>
        <v>1+4</v>
      </c>
      <c r="L4754">
        <f>VLOOKUP(A4754,'ZONE 1 PREMIUM'!$A$4:$N$16,14,0)</f>
        <v>4</v>
      </c>
      <c r="M4754">
        <f>VLOOKUP(D4754,DROPDOWN!B:C,2,0)</f>
        <v>14</v>
      </c>
      <c r="N4754" t="str">
        <f t="shared" si="236"/>
        <v>BR65:CJ76</v>
      </c>
      <c r="O4754" s="4">
        <f t="shared" ca="1" si="237"/>
        <v>191455.00000000003</v>
      </c>
    </row>
    <row r="4755" spans="1:15">
      <c r="A4755" s="2" t="s">
        <v>14</v>
      </c>
      <c r="B4755" t="s">
        <v>31</v>
      </c>
      <c r="C4755" t="s">
        <v>32</v>
      </c>
      <c r="D4755">
        <v>75</v>
      </c>
      <c r="E4755" t="s">
        <v>46</v>
      </c>
      <c r="F4755">
        <v>5</v>
      </c>
      <c r="G4755">
        <v>1</v>
      </c>
      <c r="H4755">
        <v>4</v>
      </c>
      <c r="I4755">
        <v>1</v>
      </c>
      <c r="J4755" s="4" t="s">
        <v>53</v>
      </c>
      <c r="K4755" t="str">
        <f t="shared" si="238"/>
        <v>1+4</v>
      </c>
      <c r="L4755">
        <f>VLOOKUP(A4755,'ZONE 1 PREMIUM'!$A$4:$N$16,14,0)</f>
        <v>5</v>
      </c>
      <c r="M4755">
        <f>VLOOKUP(D4755,DROPDOWN!B:C,2,0)</f>
        <v>14</v>
      </c>
      <c r="N4755" t="str">
        <f t="shared" si="236"/>
        <v>BR65:CJ76</v>
      </c>
      <c r="O4755" s="4">
        <f t="shared" ca="1" si="237"/>
        <v>211510.2</v>
      </c>
    </row>
    <row r="4756" spans="1:15">
      <c r="A4756" s="2" t="s">
        <v>15</v>
      </c>
      <c r="B4756" t="s">
        <v>33</v>
      </c>
      <c r="C4756" t="s">
        <v>34</v>
      </c>
      <c r="D4756">
        <v>75</v>
      </c>
      <c r="E4756" t="s">
        <v>46</v>
      </c>
      <c r="F4756">
        <v>5</v>
      </c>
      <c r="G4756">
        <v>1</v>
      </c>
      <c r="H4756">
        <v>4</v>
      </c>
      <c r="I4756">
        <v>1</v>
      </c>
      <c r="J4756" s="4" t="s">
        <v>53</v>
      </c>
      <c r="K4756" t="str">
        <f t="shared" si="238"/>
        <v>1+4</v>
      </c>
      <c r="L4756">
        <f>VLOOKUP(A4756,'ZONE 1 PREMIUM'!$A$4:$N$16,14,0)</f>
        <v>6</v>
      </c>
      <c r="M4756">
        <f>VLOOKUP(D4756,DROPDOWN!B:C,2,0)</f>
        <v>14</v>
      </c>
      <c r="N4756" t="str">
        <f t="shared" si="236"/>
        <v>BR65:CJ76</v>
      </c>
      <c r="O4756" s="4">
        <f t="shared" ca="1" si="237"/>
        <v>256238.40000000002</v>
      </c>
    </row>
    <row r="4757" spans="1:15">
      <c r="A4757" s="2" t="s">
        <v>16</v>
      </c>
      <c r="B4757" t="s">
        <v>35</v>
      </c>
      <c r="C4757" t="s">
        <v>36</v>
      </c>
      <c r="D4757">
        <v>75</v>
      </c>
      <c r="E4757" t="s">
        <v>46</v>
      </c>
      <c r="F4757">
        <v>5</v>
      </c>
      <c r="G4757">
        <v>1</v>
      </c>
      <c r="H4757">
        <v>4</v>
      </c>
      <c r="I4757">
        <v>1</v>
      </c>
      <c r="J4757" s="4" t="s">
        <v>53</v>
      </c>
      <c r="K4757" t="str">
        <f t="shared" si="238"/>
        <v>1+4</v>
      </c>
      <c r="L4757">
        <f>VLOOKUP(A4757,'ZONE 1 PREMIUM'!$A$4:$N$16,14,0)</f>
        <v>7</v>
      </c>
      <c r="M4757">
        <f>VLOOKUP(D4757,DROPDOWN!B:C,2,0)</f>
        <v>14</v>
      </c>
      <c r="N4757" t="str">
        <f t="shared" si="236"/>
        <v>BR65:CJ76</v>
      </c>
      <c r="O4757" s="4">
        <f t="shared" ca="1" si="237"/>
        <v>319400.40000000002</v>
      </c>
    </row>
    <row r="4758" spans="1:15">
      <c r="A4758" s="2" t="s">
        <v>17</v>
      </c>
      <c r="B4758" t="s">
        <v>37</v>
      </c>
      <c r="C4758" t="s">
        <v>38</v>
      </c>
      <c r="D4758">
        <v>75</v>
      </c>
      <c r="E4758" t="s">
        <v>46</v>
      </c>
      <c r="F4758">
        <v>5</v>
      </c>
      <c r="G4758">
        <v>1</v>
      </c>
      <c r="H4758">
        <v>4</v>
      </c>
      <c r="I4758">
        <v>1</v>
      </c>
      <c r="J4758" s="4" t="s">
        <v>53</v>
      </c>
      <c r="K4758" t="str">
        <f t="shared" si="238"/>
        <v>1+4</v>
      </c>
      <c r="L4758">
        <f>VLOOKUP(A4758,'ZONE 1 PREMIUM'!$A$4:$N$16,14,0)</f>
        <v>8</v>
      </c>
      <c r="M4758">
        <f>VLOOKUP(D4758,DROPDOWN!B:C,2,0)</f>
        <v>14</v>
      </c>
      <c r="N4758" t="str">
        <f t="shared" si="236"/>
        <v>BR65:CJ76</v>
      </c>
      <c r="O4758" s="4">
        <f t="shared" ca="1" si="237"/>
        <v>387934.80000000005</v>
      </c>
    </row>
    <row r="4759" spans="1:15">
      <c r="A4759" s="2" t="s">
        <v>18</v>
      </c>
      <c r="B4759" t="s">
        <v>39</v>
      </c>
      <c r="C4759" t="s">
        <v>40</v>
      </c>
      <c r="D4759">
        <v>75</v>
      </c>
      <c r="E4759" t="s">
        <v>46</v>
      </c>
      <c r="F4759">
        <v>5</v>
      </c>
      <c r="G4759">
        <v>1</v>
      </c>
      <c r="H4759">
        <v>4</v>
      </c>
      <c r="I4759">
        <v>1</v>
      </c>
      <c r="J4759" s="4" t="s">
        <v>53</v>
      </c>
      <c r="K4759" t="str">
        <f t="shared" si="238"/>
        <v>1+4</v>
      </c>
      <c r="L4759">
        <f>VLOOKUP(A4759,'ZONE 1 PREMIUM'!$A$4:$N$16,14,0)</f>
        <v>9</v>
      </c>
      <c r="M4759">
        <f>VLOOKUP(D4759,DROPDOWN!B:C,2,0)</f>
        <v>14</v>
      </c>
      <c r="N4759" t="str">
        <f t="shared" si="236"/>
        <v>BR65:CJ76</v>
      </c>
      <c r="O4759" s="4">
        <f t="shared" ca="1" si="237"/>
        <v>494632.60000000003</v>
      </c>
    </row>
    <row r="4760" spans="1:15">
      <c r="A4760" s="2" t="s">
        <v>19</v>
      </c>
      <c r="B4760" t="s">
        <v>41</v>
      </c>
      <c r="C4760" t="s">
        <v>42</v>
      </c>
      <c r="D4760">
        <v>75</v>
      </c>
      <c r="E4760" t="s">
        <v>46</v>
      </c>
      <c r="F4760">
        <v>5</v>
      </c>
      <c r="G4760">
        <v>1</v>
      </c>
      <c r="H4760">
        <v>4</v>
      </c>
      <c r="I4760">
        <v>1</v>
      </c>
      <c r="J4760" s="4" t="s">
        <v>53</v>
      </c>
      <c r="K4760" t="str">
        <f t="shared" si="238"/>
        <v>1+4</v>
      </c>
      <c r="L4760">
        <f>VLOOKUP(A4760,'ZONE 1 PREMIUM'!$A$4:$N$16,14,0)</f>
        <v>10</v>
      </c>
      <c r="M4760">
        <f>VLOOKUP(D4760,DROPDOWN!B:C,2,0)</f>
        <v>14</v>
      </c>
      <c r="N4760" t="str">
        <f t="shared" si="236"/>
        <v>BR65:CJ76</v>
      </c>
      <c r="O4760" s="4">
        <f t="shared" ca="1" si="237"/>
        <v>604642.5</v>
      </c>
    </row>
    <row r="4761" spans="1:15">
      <c r="A4761" s="2" t="s">
        <v>20</v>
      </c>
      <c r="B4761" t="s">
        <v>43</v>
      </c>
      <c r="C4761" t="s">
        <v>44</v>
      </c>
      <c r="D4761">
        <v>75</v>
      </c>
      <c r="E4761" t="s">
        <v>46</v>
      </c>
      <c r="F4761">
        <v>5</v>
      </c>
      <c r="G4761">
        <v>1</v>
      </c>
      <c r="H4761">
        <v>4</v>
      </c>
      <c r="I4761">
        <v>1</v>
      </c>
      <c r="J4761" s="4" t="s">
        <v>53</v>
      </c>
      <c r="K4761" t="str">
        <f t="shared" si="238"/>
        <v>1+4</v>
      </c>
      <c r="L4761">
        <f>VLOOKUP(A4761,'ZONE 1 PREMIUM'!$A$4:$N$16,14,0)</f>
        <v>11</v>
      </c>
      <c r="M4761">
        <f>VLOOKUP(D4761,DROPDOWN!B:C,2,0)</f>
        <v>14</v>
      </c>
      <c r="N4761" t="str">
        <f t="shared" si="236"/>
        <v>BR65:CJ76</v>
      </c>
      <c r="O4761" s="4">
        <f t="shared" ca="1" si="237"/>
        <v>696405.60000000009</v>
      </c>
    </row>
    <row r="4762" spans="1:15">
      <c r="A4762" s="2" t="s">
        <v>21</v>
      </c>
      <c r="B4762" t="s">
        <v>22</v>
      </c>
      <c r="D4762">
        <v>75</v>
      </c>
      <c r="E4762" t="s">
        <v>46</v>
      </c>
      <c r="F4762">
        <v>5</v>
      </c>
      <c r="G4762">
        <v>1</v>
      </c>
      <c r="H4762">
        <v>4</v>
      </c>
      <c r="I4762">
        <v>1</v>
      </c>
      <c r="J4762" s="4" t="s">
        <v>53</v>
      </c>
      <c r="K4762" t="str">
        <f t="shared" si="238"/>
        <v>1+4</v>
      </c>
      <c r="L4762">
        <f>VLOOKUP(A4762,'ZONE 1 PREMIUM'!$A$4:$N$16,14,0)</f>
        <v>12</v>
      </c>
      <c r="M4762">
        <f>VLOOKUP(D4762,DROPDOWN!B:C,2,0)</f>
        <v>14</v>
      </c>
      <c r="N4762" t="str">
        <f t="shared" si="236"/>
        <v>BR65:CJ76</v>
      </c>
      <c r="O4762" s="4">
        <f t="shared" ca="1" si="237"/>
        <v>888039.9</v>
      </c>
    </row>
    <row r="4763" spans="1:15">
      <c r="A4763" s="2" t="s">
        <v>11</v>
      </c>
      <c r="B4763" t="s">
        <v>45</v>
      </c>
      <c r="C4763" t="s">
        <v>25</v>
      </c>
      <c r="D4763">
        <v>75</v>
      </c>
      <c r="E4763" t="s">
        <v>46</v>
      </c>
      <c r="F4763">
        <v>2</v>
      </c>
      <c r="G4763">
        <v>2</v>
      </c>
      <c r="H4763">
        <v>0</v>
      </c>
      <c r="I4763">
        <v>1</v>
      </c>
      <c r="J4763" s="4" t="s">
        <v>53</v>
      </c>
      <c r="K4763" t="str">
        <f t="shared" si="238"/>
        <v>2+0</v>
      </c>
      <c r="L4763">
        <f>VLOOKUP(A4763,'ZONE 1 PREMIUM'!$A$4:$N$16,14,0)</f>
        <v>2</v>
      </c>
      <c r="M4763">
        <f>VLOOKUP(D4763,DROPDOWN!B:C,2,0)</f>
        <v>14</v>
      </c>
      <c r="N4763" t="str">
        <f t="shared" si="236"/>
        <v>BR81:CJ92</v>
      </c>
      <c r="O4763" s="4">
        <f t="shared" ca="1" si="237"/>
        <v>134337.5</v>
      </c>
    </row>
    <row r="4764" spans="1:15">
      <c r="A4764" s="2" t="s">
        <v>12</v>
      </c>
      <c r="B4764" t="s">
        <v>27</v>
      </c>
      <c r="C4764" t="s">
        <v>28</v>
      </c>
      <c r="D4764">
        <v>75</v>
      </c>
      <c r="E4764" t="s">
        <v>46</v>
      </c>
      <c r="F4764">
        <v>2</v>
      </c>
      <c r="G4764">
        <v>2</v>
      </c>
      <c r="H4764">
        <v>0</v>
      </c>
      <c r="I4764">
        <v>1</v>
      </c>
      <c r="J4764" s="4" t="s">
        <v>53</v>
      </c>
      <c r="K4764" t="str">
        <f t="shared" si="238"/>
        <v>2+0</v>
      </c>
      <c r="L4764">
        <f>VLOOKUP(A4764,'ZONE 1 PREMIUM'!$A$4:$N$16,14,0)</f>
        <v>3</v>
      </c>
      <c r="M4764">
        <f>VLOOKUP(D4764,DROPDOWN!B:C,2,0)</f>
        <v>14</v>
      </c>
      <c r="N4764" t="str">
        <f t="shared" si="236"/>
        <v>BR81:CJ92</v>
      </c>
      <c r="O4764" s="4">
        <f t="shared" ca="1" si="237"/>
        <v>153905.40000000002</v>
      </c>
    </row>
    <row r="4765" spans="1:15">
      <c r="A4765" s="2" t="s">
        <v>13</v>
      </c>
      <c r="B4765" t="s">
        <v>29</v>
      </c>
      <c r="C4765" t="s">
        <v>30</v>
      </c>
      <c r="D4765">
        <v>75</v>
      </c>
      <c r="E4765" t="s">
        <v>46</v>
      </c>
      <c r="F4765">
        <v>2</v>
      </c>
      <c r="G4765">
        <v>2</v>
      </c>
      <c r="H4765">
        <v>0</v>
      </c>
      <c r="I4765">
        <v>1</v>
      </c>
      <c r="J4765" s="4" t="s">
        <v>53</v>
      </c>
      <c r="K4765" t="str">
        <f t="shared" si="238"/>
        <v>2+0</v>
      </c>
      <c r="L4765">
        <f>VLOOKUP(A4765,'ZONE 1 PREMIUM'!$A$4:$N$16,14,0)</f>
        <v>4</v>
      </c>
      <c r="M4765">
        <f>VLOOKUP(D4765,DROPDOWN!B:C,2,0)</f>
        <v>14</v>
      </c>
      <c r="N4765" t="str">
        <f t="shared" si="236"/>
        <v>BR81:CJ92</v>
      </c>
      <c r="O4765" s="4">
        <f t="shared" ca="1" si="237"/>
        <v>164024.30000000002</v>
      </c>
    </row>
    <row r="4766" spans="1:15">
      <c r="A4766" s="2" t="s">
        <v>14</v>
      </c>
      <c r="B4766" t="s">
        <v>31</v>
      </c>
      <c r="C4766" t="s">
        <v>32</v>
      </c>
      <c r="D4766">
        <v>75</v>
      </c>
      <c r="E4766" t="s">
        <v>46</v>
      </c>
      <c r="F4766">
        <v>2</v>
      </c>
      <c r="G4766">
        <v>2</v>
      </c>
      <c r="H4766">
        <v>0</v>
      </c>
      <c r="I4766">
        <v>1</v>
      </c>
      <c r="J4766" s="4" t="s">
        <v>53</v>
      </c>
      <c r="K4766" t="str">
        <f t="shared" si="238"/>
        <v>2+0</v>
      </c>
      <c r="L4766">
        <f>VLOOKUP(A4766,'ZONE 1 PREMIUM'!$A$4:$N$16,14,0)</f>
        <v>5</v>
      </c>
      <c r="M4766">
        <f>VLOOKUP(D4766,DROPDOWN!B:C,2,0)</f>
        <v>14</v>
      </c>
      <c r="N4766" t="str">
        <f t="shared" si="236"/>
        <v>BR81:CJ92</v>
      </c>
      <c r="O4766" s="4">
        <f t="shared" ca="1" si="237"/>
        <v>184861.6</v>
      </c>
    </row>
    <row r="4767" spans="1:15">
      <c r="A4767" s="2" t="s">
        <v>15</v>
      </c>
      <c r="B4767" t="s">
        <v>33</v>
      </c>
      <c r="C4767" t="s">
        <v>34</v>
      </c>
      <c r="D4767">
        <v>75</v>
      </c>
      <c r="E4767" t="s">
        <v>46</v>
      </c>
      <c r="F4767">
        <v>2</v>
      </c>
      <c r="G4767">
        <v>2</v>
      </c>
      <c r="H4767">
        <v>0</v>
      </c>
      <c r="I4767">
        <v>1</v>
      </c>
      <c r="J4767" s="4" t="s">
        <v>53</v>
      </c>
      <c r="K4767" t="str">
        <f t="shared" si="238"/>
        <v>2+0</v>
      </c>
      <c r="L4767">
        <f>VLOOKUP(A4767,'ZONE 1 PREMIUM'!$A$4:$N$16,14,0)</f>
        <v>6</v>
      </c>
      <c r="M4767">
        <f>VLOOKUP(D4767,DROPDOWN!B:C,2,0)</f>
        <v>14</v>
      </c>
      <c r="N4767" t="str">
        <f t="shared" si="236"/>
        <v>BR81:CJ92</v>
      </c>
      <c r="O4767" s="4">
        <f t="shared" ca="1" si="237"/>
        <v>233917.2</v>
      </c>
    </row>
    <row r="4768" spans="1:15">
      <c r="A4768" s="2" t="s">
        <v>16</v>
      </c>
      <c r="B4768" t="s">
        <v>35</v>
      </c>
      <c r="C4768" t="s">
        <v>36</v>
      </c>
      <c r="D4768">
        <v>75</v>
      </c>
      <c r="E4768" t="s">
        <v>46</v>
      </c>
      <c r="F4768">
        <v>2</v>
      </c>
      <c r="G4768">
        <v>2</v>
      </c>
      <c r="H4768">
        <v>0</v>
      </c>
      <c r="I4768">
        <v>1</v>
      </c>
      <c r="J4768" s="4" t="s">
        <v>53</v>
      </c>
      <c r="K4768" t="str">
        <f t="shared" si="238"/>
        <v>2+0</v>
      </c>
      <c r="L4768">
        <f>VLOOKUP(A4768,'ZONE 1 PREMIUM'!$A$4:$N$16,14,0)</f>
        <v>7</v>
      </c>
      <c r="M4768">
        <f>VLOOKUP(D4768,DROPDOWN!B:C,2,0)</f>
        <v>14</v>
      </c>
      <c r="N4768" t="str">
        <f t="shared" si="236"/>
        <v>BR81:CJ92</v>
      </c>
      <c r="O4768" s="4">
        <f t="shared" ca="1" si="237"/>
        <v>319515.90000000002</v>
      </c>
    </row>
    <row r="4769" spans="1:15">
      <c r="A4769" s="2" t="s">
        <v>17</v>
      </c>
      <c r="B4769" t="s">
        <v>37</v>
      </c>
      <c r="C4769" t="s">
        <v>38</v>
      </c>
      <c r="D4769">
        <v>75</v>
      </c>
      <c r="E4769" t="s">
        <v>46</v>
      </c>
      <c r="F4769">
        <v>2</v>
      </c>
      <c r="G4769">
        <v>2</v>
      </c>
      <c r="H4769">
        <v>0</v>
      </c>
      <c r="I4769">
        <v>1</v>
      </c>
      <c r="J4769" s="4" t="s">
        <v>53</v>
      </c>
      <c r="K4769" t="str">
        <f t="shared" si="238"/>
        <v>2+0</v>
      </c>
      <c r="L4769">
        <f>VLOOKUP(A4769,'ZONE 1 PREMIUM'!$A$4:$N$16,14,0)</f>
        <v>8</v>
      </c>
      <c r="M4769">
        <f>VLOOKUP(D4769,DROPDOWN!B:C,2,0)</f>
        <v>14</v>
      </c>
      <c r="N4769" t="str">
        <f t="shared" si="236"/>
        <v>BR81:CJ92</v>
      </c>
      <c r="O4769" s="4">
        <f t="shared" ca="1" si="237"/>
        <v>443394.60000000003</v>
      </c>
    </row>
    <row r="4770" spans="1:15">
      <c r="A4770" s="2" t="s">
        <v>18</v>
      </c>
      <c r="B4770" t="s">
        <v>39</v>
      </c>
      <c r="C4770" t="s">
        <v>40</v>
      </c>
      <c r="D4770">
        <v>75</v>
      </c>
      <c r="E4770" t="s">
        <v>46</v>
      </c>
      <c r="F4770">
        <v>2</v>
      </c>
      <c r="G4770">
        <v>2</v>
      </c>
      <c r="H4770">
        <v>0</v>
      </c>
      <c r="I4770">
        <v>1</v>
      </c>
      <c r="J4770" s="4" t="s">
        <v>53</v>
      </c>
      <c r="K4770" t="str">
        <f t="shared" si="238"/>
        <v>2+0</v>
      </c>
      <c r="L4770">
        <f>VLOOKUP(A4770,'ZONE 1 PREMIUM'!$A$4:$N$16,14,0)</f>
        <v>9</v>
      </c>
      <c r="M4770">
        <f>VLOOKUP(D4770,DROPDOWN!B:C,2,0)</f>
        <v>14</v>
      </c>
      <c r="N4770" t="str">
        <f t="shared" ref="N4770:N4817" si="239">VLOOKUP(K4770,$CK$3:$CL$12,2,0)</f>
        <v>BR81:CJ92</v>
      </c>
      <c r="O4770" s="4">
        <f t="shared" ca="1" si="237"/>
        <v>623510.80000000005</v>
      </c>
    </row>
    <row r="4771" spans="1:15">
      <c r="A4771" s="2" t="s">
        <v>19</v>
      </c>
      <c r="B4771" t="s">
        <v>41</v>
      </c>
      <c r="C4771" t="s">
        <v>42</v>
      </c>
      <c r="D4771">
        <v>75</v>
      </c>
      <c r="E4771" t="s">
        <v>46</v>
      </c>
      <c r="F4771">
        <v>2</v>
      </c>
      <c r="G4771">
        <v>2</v>
      </c>
      <c r="H4771">
        <v>0</v>
      </c>
      <c r="I4771">
        <v>1</v>
      </c>
      <c r="J4771" s="4" t="s">
        <v>53</v>
      </c>
      <c r="K4771" t="str">
        <f t="shared" si="238"/>
        <v>2+0</v>
      </c>
      <c r="L4771">
        <f>VLOOKUP(A4771,'ZONE 1 PREMIUM'!$A$4:$N$16,14,0)</f>
        <v>10</v>
      </c>
      <c r="M4771">
        <f>VLOOKUP(D4771,DROPDOWN!B:C,2,0)</f>
        <v>14</v>
      </c>
      <c r="N4771" t="str">
        <f t="shared" si="239"/>
        <v>BR81:CJ92</v>
      </c>
      <c r="O4771" s="4">
        <f t="shared" ca="1" si="237"/>
        <v>866745.00000000012</v>
      </c>
    </row>
    <row r="4772" spans="1:15">
      <c r="A4772" s="2" t="s">
        <v>20</v>
      </c>
      <c r="B4772" t="s">
        <v>43</v>
      </c>
      <c r="C4772" t="s">
        <v>44</v>
      </c>
      <c r="D4772">
        <v>75</v>
      </c>
      <c r="E4772" t="s">
        <v>46</v>
      </c>
      <c r="F4772">
        <v>2</v>
      </c>
      <c r="G4772">
        <v>2</v>
      </c>
      <c r="H4772">
        <v>0</v>
      </c>
      <c r="I4772">
        <v>1</v>
      </c>
      <c r="J4772" s="4" t="s">
        <v>53</v>
      </c>
      <c r="K4772" t="str">
        <f t="shared" si="238"/>
        <v>2+0</v>
      </c>
      <c r="L4772">
        <f>VLOOKUP(A4772,'ZONE 1 PREMIUM'!$A$4:$N$16,14,0)</f>
        <v>11</v>
      </c>
      <c r="M4772">
        <f>VLOOKUP(D4772,DROPDOWN!B:C,2,0)</f>
        <v>14</v>
      </c>
      <c r="N4772" t="str">
        <f t="shared" si="239"/>
        <v>BR81:CJ92</v>
      </c>
      <c r="O4772" s="4">
        <f t="shared" ca="1" si="237"/>
        <v>1061472.5</v>
      </c>
    </row>
    <row r="4773" spans="1:15">
      <c r="A4773" s="2" t="s">
        <v>21</v>
      </c>
      <c r="B4773" t="s">
        <v>22</v>
      </c>
      <c r="D4773">
        <v>75</v>
      </c>
      <c r="E4773" t="s">
        <v>46</v>
      </c>
      <c r="F4773">
        <v>2</v>
      </c>
      <c r="G4773">
        <v>2</v>
      </c>
      <c r="H4773">
        <v>0</v>
      </c>
      <c r="I4773">
        <v>1</v>
      </c>
      <c r="J4773" s="4" t="s">
        <v>53</v>
      </c>
      <c r="K4773" t="str">
        <f t="shared" si="238"/>
        <v>2+0</v>
      </c>
      <c r="L4773">
        <f>VLOOKUP(A4773,'ZONE 1 PREMIUM'!$A$4:$N$16,14,0)</f>
        <v>12</v>
      </c>
      <c r="M4773">
        <f>VLOOKUP(D4773,DROPDOWN!B:C,2,0)</f>
        <v>14</v>
      </c>
      <c r="N4773" t="str">
        <f t="shared" si="239"/>
        <v>BR81:CJ92</v>
      </c>
      <c r="O4773" s="4">
        <f t="shared" ca="1" si="237"/>
        <v>1336594.6000000001</v>
      </c>
    </row>
    <row r="4774" spans="1:15">
      <c r="A4774" s="2" t="s">
        <v>11</v>
      </c>
      <c r="B4774" t="s">
        <v>45</v>
      </c>
      <c r="C4774" t="s">
        <v>25</v>
      </c>
      <c r="D4774">
        <v>75</v>
      </c>
      <c r="E4774" t="s">
        <v>46</v>
      </c>
      <c r="F4774">
        <v>3</v>
      </c>
      <c r="G4774">
        <v>2</v>
      </c>
      <c r="H4774">
        <v>1</v>
      </c>
      <c r="I4774">
        <v>1</v>
      </c>
      <c r="J4774" s="4" t="s">
        <v>53</v>
      </c>
      <c r="K4774" t="str">
        <f t="shared" si="238"/>
        <v>2+1</v>
      </c>
      <c r="L4774">
        <f>VLOOKUP(A4774,'ZONE 1 PREMIUM'!$A$4:$N$16,14,0)</f>
        <v>2</v>
      </c>
      <c r="M4774">
        <f>VLOOKUP(D4774,DROPDOWN!B:C,2,0)</f>
        <v>14</v>
      </c>
      <c r="N4774" t="str">
        <f t="shared" si="239"/>
        <v>BR98:CJ109</v>
      </c>
      <c r="O4774" s="4">
        <f t="shared" ca="1" si="237"/>
        <v>157894</v>
      </c>
    </row>
    <row r="4775" spans="1:15">
      <c r="A4775" s="2" t="s">
        <v>12</v>
      </c>
      <c r="B4775" t="s">
        <v>27</v>
      </c>
      <c r="C4775" t="s">
        <v>28</v>
      </c>
      <c r="D4775">
        <v>75</v>
      </c>
      <c r="E4775" t="s">
        <v>46</v>
      </c>
      <c r="F4775">
        <v>3</v>
      </c>
      <c r="G4775">
        <v>2</v>
      </c>
      <c r="H4775">
        <v>1</v>
      </c>
      <c r="I4775">
        <v>1</v>
      </c>
      <c r="J4775" s="4" t="s">
        <v>53</v>
      </c>
      <c r="K4775" t="str">
        <f t="shared" si="238"/>
        <v>2+1</v>
      </c>
      <c r="L4775">
        <f>VLOOKUP(A4775,'ZONE 1 PREMIUM'!$A$4:$N$16,14,0)</f>
        <v>3</v>
      </c>
      <c r="M4775">
        <f>VLOOKUP(D4775,DROPDOWN!B:C,2,0)</f>
        <v>14</v>
      </c>
      <c r="N4775" t="str">
        <f t="shared" si="239"/>
        <v>BR98:CJ109</v>
      </c>
      <c r="O4775" s="4">
        <f t="shared" ca="1" si="237"/>
        <v>177113.2</v>
      </c>
    </row>
    <row r="4776" spans="1:15">
      <c r="A4776" s="2" t="s">
        <v>13</v>
      </c>
      <c r="B4776" t="s">
        <v>29</v>
      </c>
      <c r="C4776" t="s">
        <v>30</v>
      </c>
      <c r="D4776">
        <v>75</v>
      </c>
      <c r="E4776" t="s">
        <v>46</v>
      </c>
      <c r="F4776">
        <v>3</v>
      </c>
      <c r="G4776">
        <v>2</v>
      </c>
      <c r="H4776">
        <v>1</v>
      </c>
      <c r="I4776">
        <v>1</v>
      </c>
      <c r="J4776" s="4" t="s">
        <v>53</v>
      </c>
      <c r="K4776" t="str">
        <f t="shared" si="238"/>
        <v>2+1</v>
      </c>
      <c r="L4776">
        <f>VLOOKUP(A4776,'ZONE 1 PREMIUM'!$A$4:$N$16,14,0)</f>
        <v>4</v>
      </c>
      <c r="M4776">
        <f>VLOOKUP(D4776,DROPDOWN!B:C,2,0)</f>
        <v>14</v>
      </c>
      <c r="N4776" t="str">
        <f t="shared" si="239"/>
        <v>BR98:CJ109</v>
      </c>
      <c r="O4776" s="4">
        <f t="shared" ca="1" si="237"/>
        <v>190976.50000000003</v>
      </c>
    </row>
    <row r="4777" spans="1:15">
      <c r="A4777" s="2" t="s">
        <v>14</v>
      </c>
      <c r="B4777" t="s">
        <v>31</v>
      </c>
      <c r="C4777" t="s">
        <v>32</v>
      </c>
      <c r="D4777">
        <v>75</v>
      </c>
      <c r="E4777" t="s">
        <v>46</v>
      </c>
      <c r="F4777">
        <v>3</v>
      </c>
      <c r="G4777">
        <v>2</v>
      </c>
      <c r="H4777">
        <v>1</v>
      </c>
      <c r="I4777">
        <v>1</v>
      </c>
      <c r="J4777" s="4" t="s">
        <v>53</v>
      </c>
      <c r="K4777" t="str">
        <f t="shared" si="238"/>
        <v>2+1</v>
      </c>
      <c r="L4777">
        <f>VLOOKUP(A4777,'ZONE 1 PREMIUM'!$A$4:$N$16,14,0)</f>
        <v>5</v>
      </c>
      <c r="M4777">
        <f>VLOOKUP(D4777,DROPDOWN!B:C,2,0)</f>
        <v>14</v>
      </c>
      <c r="N4777" t="str">
        <f t="shared" si="239"/>
        <v>BR98:CJ109</v>
      </c>
      <c r="O4777" s="4">
        <f t="shared" ca="1" si="237"/>
        <v>213741.00000000003</v>
      </c>
    </row>
    <row r="4778" spans="1:15">
      <c r="A4778" s="2" t="s">
        <v>15</v>
      </c>
      <c r="B4778" t="s">
        <v>33</v>
      </c>
      <c r="C4778" t="s">
        <v>34</v>
      </c>
      <c r="D4778">
        <v>75</v>
      </c>
      <c r="E4778" t="s">
        <v>46</v>
      </c>
      <c r="F4778">
        <v>3</v>
      </c>
      <c r="G4778">
        <v>2</v>
      </c>
      <c r="H4778">
        <v>1</v>
      </c>
      <c r="I4778">
        <v>1</v>
      </c>
      <c r="J4778" s="4" t="s">
        <v>53</v>
      </c>
      <c r="K4778" t="str">
        <f t="shared" si="238"/>
        <v>2+1</v>
      </c>
      <c r="L4778">
        <f>VLOOKUP(A4778,'ZONE 1 PREMIUM'!$A$4:$N$16,14,0)</f>
        <v>6</v>
      </c>
      <c r="M4778">
        <f>VLOOKUP(D4778,DROPDOWN!B:C,2,0)</f>
        <v>14</v>
      </c>
      <c r="N4778" t="str">
        <f t="shared" si="239"/>
        <v>BR98:CJ109</v>
      </c>
      <c r="O4778" s="4">
        <f t="shared" ca="1" si="237"/>
        <v>266271.5</v>
      </c>
    </row>
    <row r="4779" spans="1:15">
      <c r="A4779" s="2" t="s">
        <v>16</v>
      </c>
      <c r="B4779" t="s">
        <v>35</v>
      </c>
      <c r="C4779" t="s">
        <v>36</v>
      </c>
      <c r="D4779">
        <v>75</v>
      </c>
      <c r="E4779" t="s">
        <v>46</v>
      </c>
      <c r="F4779">
        <v>3</v>
      </c>
      <c r="G4779">
        <v>2</v>
      </c>
      <c r="H4779">
        <v>1</v>
      </c>
      <c r="I4779">
        <v>1</v>
      </c>
      <c r="J4779" s="4" t="s">
        <v>53</v>
      </c>
      <c r="K4779" t="str">
        <f t="shared" si="238"/>
        <v>2+1</v>
      </c>
      <c r="L4779">
        <f>VLOOKUP(A4779,'ZONE 1 PREMIUM'!$A$4:$N$16,14,0)</f>
        <v>7</v>
      </c>
      <c r="M4779">
        <f>VLOOKUP(D4779,DROPDOWN!B:C,2,0)</f>
        <v>14</v>
      </c>
      <c r="N4779" t="str">
        <f t="shared" si="239"/>
        <v>BR98:CJ109</v>
      </c>
      <c r="O4779" s="4">
        <f t="shared" ca="1" si="237"/>
        <v>359210.5</v>
      </c>
    </row>
    <row r="4780" spans="1:15">
      <c r="A4780" s="2" t="s">
        <v>17</v>
      </c>
      <c r="B4780" t="s">
        <v>37</v>
      </c>
      <c r="C4780" t="s">
        <v>38</v>
      </c>
      <c r="D4780">
        <v>75</v>
      </c>
      <c r="E4780" t="s">
        <v>46</v>
      </c>
      <c r="F4780">
        <v>3</v>
      </c>
      <c r="G4780">
        <v>2</v>
      </c>
      <c r="H4780">
        <v>1</v>
      </c>
      <c r="I4780">
        <v>1</v>
      </c>
      <c r="J4780" s="4" t="s">
        <v>53</v>
      </c>
      <c r="K4780" t="str">
        <f t="shared" si="238"/>
        <v>2+1</v>
      </c>
      <c r="L4780">
        <f>VLOOKUP(A4780,'ZONE 1 PREMIUM'!$A$4:$N$16,14,0)</f>
        <v>8</v>
      </c>
      <c r="M4780">
        <f>VLOOKUP(D4780,DROPDOWN!B:C,2,0)</f>
        <v>14</v>
      </c>
      <c r="N4780" t="str">
        <f t="shared" si="239"/>
        <v>BR98:CJ109</v>
      </c>
      <c r="O4780" s="4">
        <f t="shared" ca="1" si="237"/>
        <v>486025.10000000003</v>
      </c>
    </row>
    <row r="4781" spans="1:15">
      <c r="A4781" s="2" t="s">
        <v>18</v>
      </c>
      <c r="B4781" t="s">
        <v>39</v>
      </c>
      <c r="C4781" t="s">
        <v>40</v>
      </c>
      <c r="D4781">
        <v>75</v>
      </c>
      <c r="E4781" t="s">
        <v>46</v>
      </c>
      <c r="F4781">
        <v>3</v>
      </c>
      <c r="G4781">
        <v>2</v>
      </c>
      <c r="H4781">
        <v>1</v>
      </c>
      <c r="I4781">
        <v>1</v>
      </c>
      <c r="J4781" s="4" t="s">
        <v>53</v>
      </c>
      <c r="K4781" t="str">
        <f t="shared" si="238"/>
        <v>2+1</v>
      </c>
      <c r="L4781">
        <f>VLOOKUP(A4781,'ZONE 1 PREMIUM'!$A$4:$N$16,14,0)</f>
        <v>9</v>
      </c>
      <c r="M4781">
        <f>VLOOKUP(D4781,DROPDOWN!B:C,2,0)</f>
        <v>14</v>
      </c>
      <c r="N4781" t="str">
        <f t="shared" si="239"/>
        <v>BR98:CJ109</v>
      </c>
      <c r="O4781" s="4">
        <f t="shared" ca="1" si="237"/>
        <v>666875</v>
      </c>
    </row>
    <row r="4782" spans="1:15">
      <c r="A4782" s="2" t="s">
        <v>19</v>
      </c>
      <c r="B4782" t="s">
        <v>41</v>
      </c>
      <c r="C4782" t="s">
        <v>42</v>
      </c>
      <c r="D4782">
        <v>75</v>
      </c>
      <c r="E4782" t="s">
        <v>46</v>
      </c>
      <c r="F4782">
        <v>3</v>
      </c>
      <c r="G4782">
        <v>2</v>
      </c>
      <c r="H4782">
        <v>1</v>
      </c>
      <c r="I4782">
        <v>1</v>
      </c>
      <c r="J4782" s="4" t="s">
        <v>53</v>
      </c>
      <c r="K4782" t="str">
        <f t="shared" si="238"/>
        <v>2+1</v>
      </c>
      <c r="L4782">
        <f>VLOOKUP(A4782,'ZONE 1 PREMIUM'!$A$4:$N$16,14,0)</f>
        <v>10</v>
      </c>
      <c r="M4782">
        <f>VLOOKUP(D4782,DROPDOWN!B:C,2,0)</f>
        <v>14</v>
      </c>
      <c r="N4782" t="str">
        <f t="shared" si="239"/>
        <v>BR98:CJ109</v>
      </c>
      <c r="O4782" s="4">
        <f t="shared" ca="1" si="237"/>
        <v>890219.00000000012</v>
      </c>
    </row>
    <row r="4783" spans="1:15">
      <c r="A4783" s="2" t="s">
        <v>20</v>
      </c>
      <c r="B4783" t="s">
        <v>43</v>
      </c>
      <c r="C4783" t="s">
        <v>44</v>
      </c>
      <c r="D4783">
        <v>75</v>
      </c>
      <c r="E4783" t="s">
        <v>46</v>
      </c>
      <c r="F4783">
        <v>3</v>
      </c>
      <c r="G4783">
        <v>2</v>
      </c>
      <c r="H4783">
        <v>1</v>
      </c>
      <c r="I4783">
        <v>1</v>
      </c>
      <c r="J4783" s="4" t="s">
        <v>53</v>
      </c>
      <c r="K4783" t="str">
        <f t="shared" si="238"/>
        <v>2+1</v>
      </c>
      <c r="L4783">
        <f>VLOOKUP(A4783,'ZONE 1 PREMIUM'!$A$4:$N$16,14,0)</f>
        <v>11</v>
      </c>
      <c r="M4783">
        <f>VLOOKUP(D4783,DROPDOWN!B:C,2,0)</f>
        <v>14</v>
      </c>
      <c r="N4783" t="str">
        <f t="shared" si="239"/>
        <v>BR98:CJ109</v>
      </c>
      <c r="O4783" s="4">
        <f t="shared" ca="1" si="237"/>
        <v>1078023.1000000001</v>
      </c>
    </row>
    <row r="4784" spans="1:15">
      <c r="A4784" s="2" t="s">
        <v>21</v>
      </c>
      <c r="B4784" t="s">
        <v>22</v>
      </c>
      <c r="D4784">
        <v>75</v>
      </c>
      <c r="E4784" t="s">
        <v>46</v>
      </c>
      <c r="F4784">
        <v>3</v>
      </c>
      <c r="G4784">
        <v>2</v>
      </c>
      <c r="H4784">
        <v>1</v>
      </c>
      <c r="I4784">
        <v>1</v>
      </c>
      <c r="J4784" s="4" t="s">
        <v>53</v>
      </c>
      <c r="K4784" t="str">
        <f t="shared" si="238"/>
        <v>2+1</v>
      </c>
      <c r="L4784">
        <f>VLOOKUP(A4784,'ZONE 1 PREMIUM'!$A$4:$N$16,14,0)</f>
        <v>12</v>
      </c>
      <c r="M4784">
        <f>VLOOKUP(D4784,DROPDOWN!B:C,2,0)</f>
        <v>14</v>
      </c>
      <c r="N4784" t="str">
        <f t="shared" si="239"/>
        <v>BR98:CJ109</v>
      </c>
      <c r="O4784" s="4">
        <f t="shared" ca="1" si="237"/>
        <v>1352498.4000000001</v>
      </c>
    </row>
    <row r="4785" spans="1:15">
      <c r="A4785" s="2" t="s">
        <v>11</v>
      </c>
      <c r="B4785" t="s">
        <v>45</v>
      </c>
      <c r="C4785" t="s">
        <v>25</v>
      </c>
      <c r="D4785">
        <v>75</v>
      </c>
      <c r="E4785" t="s">
        <v>46</v>
      </c>
      <c r="F4785">
        <v>4</v>
      </c>
      <c r="G4785">
        <v>2</v>
      </c>
      <c r="H4785">
        <v>2</v>
      </c>
      <c r="I4785">
        <v>1</v>
      </c>
      <c r="J4785" s="4" t="s">
        <v>53</v>
      </c>
      <c r="K4785" t="str">
        <f t="shared" si="238"/>
        <v>2+2</v>
      </c>
      <c r="L4785">
        <f>VLOOKUP(A4785,'ZONE 1 PREMIUM'!$A$4:$N$16,14,0)</f>
        <v>2</v>
      </c>
      <c r="M4785">
        <f>VLOOKUP(D4785,DROPDOWN!B:C,2,0)</f>
        <v>14</v>
      </c>
      <c r="N4785" t="str">
        <f t="shared" si="239"/>
        <v>BR113:CJ124</v>
      </c>
      <c r="O4785" s="4">
        <f t="shared" ca="1" si="237"/>
        <v>181298.7</v>
      </c>
    </row>
    <row r="4786" spans="1:15">
      <c r="A4786" s="2" t="s">
        <v>12</v>
      </c>
      <c r="B4786" t="s">
        <v>27</v>
      </c>
      <c r="C4786" t="s">
        <v>28</v>
      </c>
      <c r="D4786">
        <v>75</v>
      </c>
      <c r="E4786" t="s">
        <v>46</v>
      </c>
      <c r="F4786">
        <v>4</v>
      </c>
      <c r="G4786">
        <v>2</v>
      </c>
      <c r="H4786">
        <v>2</v>
      </c>
      <c r="I4786">
        <v>1</v>
      </c>
      <c r="J4786" s="4" t="s">
        <v>53</v>
      </c>
      <c r="K4786" t="str">
        <f t="shared" si="238"/>
        <v>2+2</v>
      </c>
      <c r="L4786">
        <f>VLOOKUP(A4786,'ZONE 1 PREMIUM'!$A$4:$N$16,14,0)</f>
        <v>3</v>
      </c>
      <c r="M4786">
        <f>VLOOKUP(D4786,DROPDOWN!B:C,2,0)</f>
        <v>14</v>
      </c>
      <c r="N4786" t="str">
        <f t="shared" si="239"/>
        <v>BR113:CJ124</v>
      </c>
      <c r="O4786" s="4">
        <f t="shared" ca="1" si="237"/>
        <v>200169.2</v>
      </c>
    </row>
    <row r="4787" spans="1:15">
      <c r="A4787" s="2" t="s">
        <v>13</v>
      </c>
      <c r="B4787" t="s">
        <v>29</v>
      </c>
      <c r="C4787" t="s">
        <v>30</v>
      </c>
      <c r="D4787">
        <v>75</v>
      </c>
      <c r="E4787" t="s">
        <v>46</v>
      </c>
      <c r="F4787">
        <v>4</v>
      </c>
      <c r="G4787">
        <v>2</v>
      </c>
      <c r="H4787">
        <v>2</v>
      </c>
      <c r="I4787">
        <v>1</v>
      </c>
      <c r="J4787" s="4" t="s">
        <v>53</v>
      </c>
      <c r="K4787" t="str">
        <f t="shared" si="238"/>
        <v>2+2</v>
      </c>
      <c r="L4787">
        <f>VLOOKUP(A4787,'ZONE 1 PREMIUM'!$A$4:$N$16,14,0)</f>
        <v>4</v>
      </c>
      <c r="M4787">
        <f>VLOOKUP(D4787,DROPDOWN!B:C,2,0)</f>
        <v>14</v>
      </c>
      <c r="N4787" t="str">
        <f t="shared" si="239"/>
        <v>BR113:CJ124</v>
      </c>
      <c r="O4787" s="4">
        <f t="shared" ca="1" si="237"/>
        <v>217707.6</v>
      </c>
    </row>
    <row r="4788" spans="1:15">
      <c r="A4788" s="2" t="s">
        <v>14</v>
      </c>
      <c r="B4788" t="s">
        <v>31</v>
      </c>
      <c r="C4788" t="s">
        <v>32</v>
      </c>
      <c r="D4788">
        <v>75</v>
      </c>
      <c r="E4788" t="s">
        <v>46</v>
      </c>
      <c r="F4788">
        <v>4</v>
      </c>
      <c r="G4788">
        <v>2</v>
      </c>
      <c r="H4788">
        <v>2</v>
      </c>
      <c r="I4788">
        <v>1</v>
      </c>
      <c r="J4788" s="4" t="s">
        <v>53</v>
      </c>
      <c r="K4788" t="str">
        <f t="shared" si="238"/>
        <v>2+2</v>
      </c>
      <c r="L4788">
        <f>VLOOKUP(A4788,'ZONE 1 PREMIUM'!$A$4:$N$16,14,0)</f>
        <v>5</v>
      </c>
      <c r="M4788">
        <f>VLOOKUP(D4788,DROPDOWN!B:C,2,0)</f>
        <v>14</v>
      </c>
      <c r="N4788" t="str">
        <f t="shared" si="239"/>
        <v>BR113:CJ124</v>
      </c>
      <c r="O4788" s="4">
        <f t="shared" ca="1" si="237"/>
        <v>242349.80000000002</v>
      </c>
    </row>
    <row r="4789" spans="1:15">
      <c r="A4789" s="2" t="s">
        <v>15</v>
      </c>
      <c r="B4789" t="s">
        <v>33</v>
      </c>
      <c r="C4789" t="s">
        <v>34</v>
      </c>
      <c r="D4789">
        <v>75</v>
      </c>
      <c r="E4789" t="s">
        <v>46</v>
      </c>
      <c r="F4789">
        <v>4</v>
      </c>
      <c r="G4789">
        <v>2</v>
      </c>
      <c r="H4789">
        <v>2</v>
      </c>
      <c r="I4789">
        <v>1</v>
      </c>
      <c r="J4789" s="4" t="s">
        <v>53</v>
      </c>
      <c r="K4789" t="str">
        <f t="shared" si="238"/>
        <v>2+2</v>
      </c>
      <c r="L4789">
        <f>VLOOKUP(A4789,'ZONE 1 PREMIUM'!$A$4:$N$16,14,0)</f>
        <v>6</v>
      </c>
      <c r="M4789">
        <f>VLOOKUP(D4789,DROPDOWN!B:C,2,0)</f>
        <v>14</v>
      </c>
      <c r="N4789" t="str">
        <f t="shared" si="239"/>
        <v>BR113:CJ124</v>
      </c>
      <c r="O4789" s="4">
        <f t="shared" ca="1" si="237"/>
        <v>298295.80000000005</v>
      </c>
    </row>
    <row r="4790" spans="1:15">
      <c r="A4790" s="2" t="s">
        <v>16</v>
      </c>
      <c r="B4790" t="s">
        <v>35</v>
      </c>
      <c r="C4790" t="s">
        <v>36</v>
      </c>
      <c r="D4790">
        <v>75</v>
      </c>
      <c r="E4790" t="s">
        <v>46</v>
      </c>
      <c r="F4790">
        <v>4</v>
      </c>
      <c r="G4790">
        <v>2</v>
      </c>
      <c r="H4790">
        <v>2</v>
      </c>
      <c r="I4790">
        <v>1</v>
      </c>
      <c r="J4790" s="4" t="s">
        <v>53</v>
      </c>
      <c r="K4790" t="str">
        <f t="shared" si="238"/>
        <v>2+2</v>
      </c>
      <c r="L4790">
        <f>VLOOKUP(A4790,'ZONE 1 PREMIUM'!$A$4:$N$16,14,0)</f>
        <v>7</v>
      </c>
      <c r="M4790">
        <f>VLOOKUP(D4790,DROPDOWN!B:C,2,0)</f>
        <v>14</v>
      </c>
      <c r="N4790" t="str">
        <f t="shared" si="239"/>
        <v>BR113:CJ124</v>
      </c>
      <c r="O4790" s="4">
        <f t="shared" ca="1" si="237"/>
        <v>398476.10000000003</v>
      </c>
    </row>
    <row r="4791" spans="1:15">
      <c r="A4791" s="2" t="s">
        <v>17</v>
      </c>
      <c r="B4791" t="s">
        <v>37</v>
      </c>
      <c r="C4791" t="s">
        <v>38</v>
      </c>
      <c r="D4791">
        <v>75</v>
      </c>
      <c r="E4791" t="s">
        <v>46</v>
      </c>
      <c r="F4791">
        <v>4</v>
      </c>
      <c r="G4791">
        <v>2</v>
      </c>
      <c r="H4791">
        <v>2</v>
      </c>
      <c r="I4791">
        <v>1</v>
      </c>
      <c r="J4791" s="4" t="s">
        <v>53</v>
      </c>
      <c r="K4791" t="str">
        <f t="shared" si="238"/>
        <v>2+2</v>
      </c>
      <c r="L4791">
        <f>VLOOKUP(A4791,'ZONE 1 PREMIUM'!$A$4:$N$16,14,0)</f>
        <v>8</v>
      </c>
      <c r="M4791">
        <f>VLOOKUP(D4791,DROPDOWN!B:C,2,0)</f>
        <v>14</v>
      </c>
      <c r="N4791" t="str">
        <f t="shared" si="239"/>
        <v>BR113:CJ124</v>
      </c>
      <c r="O4791" s="4">
        <f t="shared" ca="1" si="237"/>
        <v>522112.80000000005</v>
      </c>
    </row>
    <row r="4792" spans="1:15">
      <c r="A4792" s="2" t="s">
        <v>18</v>
      </c>
      <c r="B4792" t="s">
        <v>39</v>
      </c>
      <c r="C4792" t="s">
        <v>40</v>
      </c>
      <c r="D4792">
        <v>75</v>
      </c>
      <c r="E4792" t="s">
        <v>46</v>
      </c>
      <c r="F4792">
        <v>4</v>
      </c>
      <c r="G4792">
        <v>2</v>
      </c>
      <c r="H4792">
        <v>2</v>
      </c>
      <c r="I4792">
        <v>1</v>
      </c>
      <c r="J4792" s="4" t="s">
        <v>53</v>
      </c>
      <c r="K4792" t="str">
        <f t="shared" si="238"/>
        <v>2+2</v>
      </c>
      <c r="L4792">
        <f>VLOOKUP(A4792,'ZONE 1 PREMIUM'!$A$4:$N$16,14,0)</f>
        <v>9</v>
      </c>
      <c r="M4792">
        <f>VLOOKUP(D4792,DROPDOWN!B:C,2,0)</f>
        <v>14</v>
      </c>
      <c r="N4792" t="str">
        <f t="shared" si="239"/>
        <v>BR113:CJ124</v>
      </c>
      <c r="O4792" s="4">
        <f t="shared" ca="1" si="237"/>
        <v>694501.5</v>
      </c>
    </row>
    <row r="4793" spans="1:15">
      <c r="A4793" s="2" t="s">
        <v>19</v>
      </c>
      <c r="B4793" t="s">
        <v>41</v>
      </c>
      <c r="C4793" t="s">
        <v>42</v>
      </c>
      <c r="D4793">
        <v>75</v>
      </c>
      <c r="E4793" t="s">
        <v>46</v>
      </c>
      <c r="F4793">
        <v>4</v>
      </c>
      <c r="G4793">
        <v>2</v>
      </c>
      <c r="H4793">
        <v>2</v>
      </c>
      <c r="I4793">
        <v>1</v>
      </c>
      <c r="J4793" s="4" t="s">
        <v>53</v>
      </c>
      <c r="K4793" t="str">
        <f t="shared" si="238"/>
        <v>2+2</v>
      </c>
      <c r="L4793">
        <f>VLOOKUP(A4793,'ZONE 1 PREMIUM'!$A$4:$N$16,14,0)</f>
        <v>10</v>
      </c>
      <c r="M4793">
        <f>VLOOKUP(D4793,DROPDOWN!B:C,2,0)</f>
        <v>14</v>
      </c>
      <c r="N4793" t="str">
        <f t="shared" si="239"/>
        <v>BR113:CJ124</v>
      </c>
      <c r="O4793" s="4">
        <f t="shared" ca="1" si="237"/>
        <v>898901.3</v>
      </c>
    </row>
    <row r="4794" spans="1:15">
      <c r="A4794" s="2" t="s">
        <v>20</v>
      </c>
      <c r="B4794" t="s">
        <v>43</v>
      </c>
      <c r="C4794" t="s">
        <v>44</v>
      </c>
      <c r="D4794">
        <v>75</v>
      </c>
      <c r="E4794" t="s">
        <v>46</v>
      </c>
      <c r="F4794">
        <v>4</v>
      </c>
      <c r="G4794">
        <v>2</v>
      </c>
      <c r="H4794">
        <v>2</v>
      </c>
      <c r="I4794">
        <v>1</v>
      </c>
      <c r="J4794" s="4" t="s">
        <v>53</v>
      </c>
      <c r="K4794" t="str">
        <f t="shared" si="238"/>
        <v>2+2</v>
      </c>
      <c r="L4794">
        <f>VLOOKUP(A4794,'ZONE 1 PREMIUM'!$A$4:$N$16,14,0)</f>
        <v>11</v>
      </c>
      <c r="M4794">
        <f>VLOOKUP(D4794,DROPDOWN!B:C,2,0)</f>
        <v>14</v>
      </c>
      <c r="N4794" t="str">
        <f t="shared" si="239"/>
        <v>BR113:CJ124</v>
      </c>
      <c r="O4794" s="4">
        <f t="shared" ca="1" si="237"/>
        <v>1088600.7000000002</v>
      </c>
    </row>
    <row r="4795" spans="1:15">
      <c r="A4795" s="2" t="s">
        <v>21</v>
      </c>
      <c r="B4795" t="s">
        <v>22</v>
      </c>
      <c r="D4795">
        <v>75</v>
      </c>
      <c r="E4795" t="s">
        <v>46</v>
      </c>
      <c r="F4795">
        <v>4</v>
      </c>
      <c r="G4795">
        <v>2</v>
      </c>
      <c r="H4795">
        <v>2</v>
      </c>
      <c r="I4795">
        <v>1</v>
      </c>
      <c r="J4795" s="4" t="s">
        <v>53</v>
      </c>
      <c r="K4795" t="str">
        <f t="shared" si="238"/>
        <v>2+2</v>
      </c>
      <c r="L4795">
        <f>VLOOKUP(A4795,'ZONE 1 PREMIUM'!$A$4:$N$16,14,0)</f>
        <v>12</v>
      </c>
      <c r="M4795">
        <f>VLOOKUP(D4795,DROPDOWN!B:C,2,0)</f>
        <v>14</v>
      </c>
      <c r="N4795" t="str">
        <f t="shared" si="239"/>
        <v>BR113:CJ124</v>
      </c>
      <c r="O4795" s="4">
        <f t="shared" ca="1" si="237"/>
        <v>1364349.8</v>
      </c>
    </row>
    <row r="4796" spans="1:15">
      <c r="A4796" s="2" t="s">
        <v>11</v>
      </c>
      <c r="B4796" t="s">
        <v>45</v>
      </c>
      <c r="C4796" t="s">
        <v>25</v>
      </c>
      <c r="D4796">
        <v>75</v>
      </c>
      <c r="E4796" t="s">
        <v>46</v>
      </c>
      <c r="F4796">
        <v>5</v>
      </c>
      <c r="G4796">
        <v>2</v>
      </c>
      <c r="H4796">
        <v>3</v>
      </c>
      <c r="I4796">
        <v>1</v>
      </c>
      <c r="J4796" s="4" t="s">
        <v>53</v>
      </c>
      <c r="K4796" t="str">
        <f t="shared" si="238"/>
        <v>2+3</v>
      </c>
      <c r="L4796">
        <f>VLOOKUP(A4796,'ZONE 1 PREMIUM'!$A$4:$N$16,14,0)</f>
        <v>2</v>
      </c>
      <c r="M4796">
        <f>VLOOKUP(D4796,DROPDOWN!B:C,2,0)</f>
        <v>14</v>
      </c>
      <c r="N4796" t="str">
        <f t="shared" si="239"/>
        <v>BR128:CJ139</v>
      </c>
      <c r="O4796" s="4">
        <f t="shared" ca="1" si="237"/>
        <v>204703.40000000002</v>
      </c>
    </row>
    <row r="4797" spans="1:15">
      <c r="A4797" s="2" t="s">
        <v>12</v>
      </c>
      <c r="B4797" t="s">
        <v>27</v>
      </c>
      <c r="C4797" t="s">
        <v>28</v>
      </c>
      <c r="D4797">
        <v>75</v>
      </c>
      <c r="E4797" t="s">
        <v>46</v>
      </c>
      <c r="F4797">
        <v>5</v>
      </c>
      <c r="G4797">
        <v>2</v>
      </c>
      <c r="H4797">
        <v>3</v>
      </c>
      <c r="I4797">
        <v>1</v>
      </c>
      <c r="J4797" s="4" t="s">
        <v>53</v>
      </c>
      <c r="K4797" t="str">
        <f t="shared" si="238"/>
        <v>2+3</v>
      </c>
      <c r="L4797">
        <f>VLOOKUP(A4797,'ZONE 1 PREMIUM'!$A$4:$N$16,14,0)</f>
        <v>3</v>
      </c>
      <c r="M4797">
        <f>VLOOKUP(D4797,DROPDOWN!B:C,2,0)</f>
        <v>14</v>
      </c>
      <c r="N4797" t="str">
        <f t="shared" si="239"/>
        <v>BR128:CJ139</v>
      </c>
      <c r="O4797" s="4">
        <f t="shared" ca="1" si="237"/>
        <v>223226.30000000002</v>
      </c>
    </row>
    <row r="4798" spans="1:15">
      <c r="A4798" s="2" t="s">
        <v>13</v>
      </c>
      <c r="B4798" t="s">
        <v>29</v>
      </c>
      <c r="C4798" t="s">
        <v>30</v>
      </c>
      <c r="D4798">
        <v>75</v>
      </c>
      <c r="E4798" t="s">
        <v>46</v>
      </c>
      <c r="F4798">
        <v>5</v>
      </c>
      <c r="G4798">
        <v>2</v>
      </c>
      <c r="H4798">
        <v>3</v>
      </c>
      <c r="I4798">
        <v>1</v>
      </c>
      <c r="J4798" s="4" t="s">
        <v>53</v>
      </c>
      <c r="K4798" t="str">
        <f t="shared" si="238"/>
        <v>2+3</v>
      </c>
      <c r="L4798">
        <f>VLOOKUP(A4798,'ZONE 1 PREMIUM'!$A$4:$N$16,14,0)</f>
        <v>4</v>
      </c>
      <c r="M4798">
        <f>VLOOKUP(D4798,DROPDOWN!B:C,2,0)</f>
        <v>14</v>
      </c>
      <c r="N4798" t="str">
        <f t="shared" si="239"/>
        <v>BR128:CJ139</v>
      </c>
      <c r="O4798" s="4">
        <f t="shared" ca="1" si="237"/>
        <v>244438.7</v>
      </c>
    </row>
    <row r="4799" spans="1:15">
      <c r="A4799" s="2" t="s">
        <v>14</v>
      </c>
      <c r="B4799" t="s">
        <v>31</v>
      </c>
      <c r="C4799" t="s">
        <v>32</v>
      </c>
      <c r="D4799">
        <v>75</v>
      </c>
      <c r="E4799" t="s">
        <v>46</v>
      </c>
      <c r="F4799">
        <v>5</v>
      </c>
      <c r="G4799">
        <v>2</v>
      </c>
      <c r="H4799">
        <v>3</v>
      </c>
      <c r="I4799">
        <v>1</v>
      </c>
      <c r="J4799" s="4" t="s">
        <v>53</v>
      </c>
      <c r="K4799" t="str">
        <f t="shared" si="238"/>
        <v>2+3</v>
      </c>
      <c r="L4799">
        <f>VLOOKUP(A4799,'ZONE 1 PREMIUM'!$A$4:$N$16,14,0)</f>
        <v>5</v>
      </c>
      <c r="M4799">
        <f>VLOOKUP(D4799,DROPDOWN!B:C,2,0)</f>
        <v>14</v>
      </c>
      <c r="N4799" t="str">
        <f t="shared" si="239"/>
        <v>BR128:CJ139</v>
      </c>
      <c r="O4799" s="4">
        <f t="shared" ca="1" si="237"/>
        <v>270959.7</v>
      </c>
    </row>
    <row r="4800" spans="1:15">
      <c r="A4800" s="2" t="s">
        <v>15</v>
      </c>
      <c r="B4800" t="s">
        <v>33</v>
      </c>
      <c r="C4800" t="s">
        <v>34</v>
      </c>
      <c r="D4800">
        <v>75</v>
      </c>
      <c r="E4800" t="s">
        <v>46</v>
      </c>
      <c r="F4800">
        <v>5</v>
      </c>
      <c r="G4800">
        <v>2</v>
      </c>
      <c r="H4800">
        <v>3</v>
      </c>
      <c r="I4800">
        <v>1</v>
      </c>
      <c r="J4800" s="4" t="s">
        <v>53</v>
      </c>
      <c r="K4800" t="str">
        <f t="shared" si="238"/>
        <v>2+3</v>
      </c>
      <c r="L4800">
        <f>VLOOKUP(A4800,'ZONE 1 PREMIUM'!$A$4:$N$16,14,0)</f>
        <v>6</v>
      </c>
      <c r="M4800">
        <f>VLOOKUP(D4800,DROPDOWN!B:C,2,0)</f>
        <v>14</v>
      </c>
      <c r="N4800" t="str">
        <f t="shared" si="239"/>
        <v>BR128:CJ139</v>
      </c>
      <c r="O4800" s="4">
        <f t="shared" ca="1" si="237"/>
        <v>330320.10000000003</v>
      </c>
    </row>
    <row r="4801" spans="1:15">
      <c r="A4801" s="2" t="s">
        <v>16</v>
      </c>
      <c r="B4801" t="s">
        <v>35</v>
      </c>
      <c r="C4801" t="s">
        <v>36</v>
      </c>
      <c r="D4801">
        <v>75</v>
      </c>
      <c r="E4801" t="s">
        <v>46</v>
      </c>
      <c r="F4801">
        <v>5</v>
      </c>
      <c r="G4801">
        <v>2</v>
      </c>
      <c r="H4801">
        <v>3</v>
      </c>
      <c r="I4801">
        <v>1</v>
      </c>
      <c r="J4801" s="4" t="s">
        <v>53</v>
      </c>
      <c r="K4801" t="str">
        <f t="shared" si="238"/>
        <v>2+3</v>
      </c>
      <c r="L4801">
        <f>VLOOKUP(A4801,'ZONE 1 PREMIUM'!$A$4:$N$16,14,0)</f>
        <v>7</v>
      </c>
      <c r="M4801">
        <f>VLOOKUP(D4801,DROPDOWN!B:C,2,0)</f>
        <v>14</v>
      </c>
      <c r="N4801" t="str">
        <f t="shared" si="239"/>
        <v>BR128:CJ139</v>
      </c>
      <c r="O4801" s="4">
        <f t="shared" ca="1" si="237"/>
        <v>429862.40000000002</v>
      </c>
    </row>
    <row r="4802" spans="1:15">
      <c r="A4802" s="2" t="s">
        <v>17</v>
      </c>
      <c r="B4802" t="s">
        <v>37</v>
      </c>
      <c r="C4802" t="s">
        <v>38</v>
      </c>
      <c r="D4802">
        <v>75</v>
      </c>
      <c r="E4802" t="s">
        <v>46</v>
      </c>
      <c r="F4802">
        <v>5</v>
      </c>
      <c r="G4802">
        <v>2</v>
      </c>
      <c r="H4802">
        <v>3</v>
      </c>
      <c r="I4802">
        <v>1</v>
      </c>
      <c r="J4802" s="4" t="s">
        <v>53</v>
      </c>
      <c r="K4802" t="str">
        <f t="shared" si="238"/>
        <v>2+3</v>
      </c>
      <c r="L4802">
        <f>VLOOKUP(A4802,'ZONE 1 PREMIUM'!$A$4:$N$16,14,0)</f>
        <v>8</v>
      </c>
      <c r="M4802">
        <f>VLOOKUP(D4802,DROPDOWN!B:C,2,0)</f>
        <v>14</v>
      </c>
      <c r="N4802" t="str">
        <f t="shared" si="239"/>
        <v>BR128:CJ139</v>
      </c>
      <c r="O4802" s="4">
        <f t="shared" ref="O4802:O4865" ca="1" si="240">INDEX(INDIRECT(N4802),L4802,M4802)</f>
        <v>549816.30000000005</v>
      </c>
    </row>
    <row r="4803" spans="1:15">
      <c r="A4803" s="2" t="s">
        <v>18</v>
      </c>
      <c r="B4803" t="s">
        <v>39</v>
      </c>
      <c r="C4803" t="s">
        <v>40</v>
      </c>
      <c r="D4803">
        <v>75</v>
      </c>
      <c r="E4803" t="s">
        <v>46</v>
      </c>
      <c r="F4803">
        <v>5</v>
      </c>
      <c r="G4803">
        <v>2</v>
      </c>
      <c r="H4803">
        <v>3</v>
      </c>
      <c r="I4803">
        <v>1</v>
      </c>
      <c r="J4803" s="4" t="s">
        <v>53</v>
      </c>
      <c r="K4803" t="str">
        <f t="shared" si="238"/>
        <v>2+3</v>
      </c>
      <c r="L4803">
        <f>VLOOKUP(A4803,'ZONE 1 PREMIUM'!$A$4:$N$16,14,0)</f>
        <v>9</v>
      </c>
      <c r="M4803">
        <f>VLOOKUP(D4803,DROPDOWN!B:C,2,0)</f>
        <v>14</v>
      </c>
      <c r="N4803" t="str">
        <f t="shared" si="239"/>
        <v>BR128:CJ139</v>
      </c>
      <c r="O4803" s="4">
        <f t="shared" ca="1" si="240"/>
        <v>721789.20000000007</v>
      </c>
    </row>
    <row r="4804" spans="1:15">
      <c r="A4804" s="2" t="s">
        <v>19</v>
      </c>
      <c r="B4804" t="s">
        <v>41</v>
      </c>
      <c r="C4804" t="s">
        <v>42</v>
      </c>
      <c r="D4804">
        <v>75</v>
      </c>
      <c r="E4804" t="s">
        <v>46</v>
      </c>
      <c r="F4804">
        <v>5</v>
      </c>
      <c r="G4804">
        <v>2</v>
      </c>
      <c r="H4804">
        <v>3</v>
      </c>
      <c r="I4804">
        <v>1</v>
      </c>
      <c r="J4804" s="4" t="s">
        <v>53</v>
      </c>
      <c r="K4804" t="str">
        <f t="shared" ref="K4804:K4867" si="241">G4804&amp;"+"&amp;H4804</f>
        <v>2+3</v>
      </c>
      <c r="L4804">
        <f>VLOOKUP(A4804,'ZONE 1 PREMIUM'!$A$4:$N$16,14,0)</f>
        <v>10</v>
      </c>
      <c r="M4804">
        <f>VLOOKUP(D4804,DROPDOWN!B:C,2,0)</f>
        <v>14</v>
      </c>
      <c r="N4804" t="str">
        <f t="shared" si="239"/>
        <v>BR128:CJ139</v>
      </c>
      <c r="O4804" s="4">
        <f t="shared" ca="1" si="240"/>
        <v>924242.00000000012</v>
      </c>
    </row>
    <row r="4805" spans="1:15">
      <c r="A4805" s="2" t="s">
        <v>20</v>
      </c>
      <c r="B4805" t="s">
        <v>43</v>
      </c>
      <c r="C4805" t="s">
        <v>44</v>
      </c>
      <c r="D4805">
        <v>75</v>
      </c>
      <c r="E4805" t="s">
        <v>46</v>
      </c>
      <c r="F4805">
        <v>5</v>
      </c>
      <c r="G4805">
        <v>2</v>
      </c>
      <c r="H4805">
        <v>3</v>
      </c>
      <c r="I4805">
        <v>1</v>
      </c>
      <c r="J4805" s="4" t="s">
        <v>53</v>
      </c>
      <c r="K4805" t="str">
        <f t="shared" si="241"/>
        <v>2+3</v>
      </c>
      <c r="L4805">
        <f>VLOOKUP(A4805,'ZONE 1 PREMIUM'!$A$4:$N$16,14,0)</f>
        <v>11</v>
      </c>
      <c r="M4805">
        <f>VLOOKUP(D4805,DROPDOWN!B:C,2,0)</f>
        <v>14</v>
      </c>
      <c r="N4805" t="str">
        <f t="shared" si="239"/>
        <v>BR128:CJ139</v>
      </c>
      <c r="O4805" s="4">
        <f t="shared" ca="1" si="240"/>
        <v>1117414.1000000001</v>
      </c>
    </row>
    <row r="4806" spans="1:15">
      <c r="A4806" s="2" t="s">
        <v>21</v>
      </c>
      <c r="B4806" t="s">
        <v>22</v>
      </c>
      <c r="D4806">
        <v>75</v>
      </c>
      <c r="E4806" t="s">
        <v>46</v>
      </c>
      <c r="F4806">
        <v>5</v>
      </c>
      <c r="G4806">
        <v>2</v>
      </c>
      <c r="H4806">
        <v>3</v>
      </c>
      <c r="I4806">
        <v>1</v>
      </c>
      <c r="J4806" s="4" t="s">
        <v>53</v>
      </c>
      <c r="K4806" t="str">
        <f t="shared" si="241"/>
        <v>2+3</v>
      </c>
      <c r="L4806">
        <f>VLOOKUP(A4806,'ZONE 1 PREMIUM'!$A$4:$N$16,14,0)</f>
        <v>12</v>
      </c>
      <c r="M4806">
        <f>VLOOKUP(D4806,DROPDOWN!B:C,2,0)</f>
        <v>14</v>
      </c>
      <c r="N4806" t="str">
        <f t="shared" si="239"/>
        <v>BR128:CJ139</v>
      </c>
      <c r="O4806" s="4">
        <f t="shared" ca="1" si="240"/>
        <v>1395428.1</v>
      </c>
    </row>
    <row r="4807" spans="1:15">
      <c r="A4807" s="2" t="s">
        <v>11</v>
      </c>
      <c r="B4807" t="s">
        <v>45</v>
      </c>
      <c r="C4807" t="s">
        <v>25</v>
      </c>
      <c r="D4807">
        <v>75</v>
      </c>
      <c r="E4807" t="s">
        <v>46</v>
      </c>
      <c r="F4807">
        <v>6</v>
      </c>
      <c r="G4807">
        <v>2</v>
      </c>
      <c r="H4807">
        <v>4</v>
      </c>
      <c r="I4807">
        <v>1</v>
      </c>
      <c r="J4807" s="4" t="s">
        <v>53</v>
      </c>
      <c r="K4807" t="str">
        <f t="shared" si="241"/>
        <v>2+4</v>
      </c>
      <c r="L4807">
        <f>VLOOKUP(A4807,'ZONE 1 PREMIUM'!$A$4:$N$16,14,0)</f>
        <v>2</v>
      </c>
      <c r="M4807">
        <f>VLOOKUP(D4807,DROPDOWN!B:C,2,0)</f>
        <v>14</v>
      </c>
      <c r="N4807" t="str">
        <f t="shared" si="239"/>
        <v>BR143:CJ154</v>
      </c>
      <c r="O4807" s="4">
        <f t="shared" ca="1" si="240"/>
        <v>228108.1</v>
      </c>
    </row>
    <row r="4808" spans="1:15">
      <c r="A4808" s="2" t="s">
        <v>12</v>
      </c>
      <c r="B4808" t="s">
        <v>27</v>
      </c>
      <c r="C4808" t="s">
        <v>28</v>
      </c>
      <c r="D4808">
        <v>75</v>
      </c>
      <c r="E4808" t="s">
        <v>46</v>
      </c>
      <c r="F4808">
        <v>6</v>
      </c>
      <c r="G4808">
        <v>2</v>
      </c>
      <c r="H4808">
        <v>4</v>
      </c>
      <c r="I4808">
        <v>1</v>
      </c>
      <c r="J4808" s="4" t="s">
        <v>53</v>
      </c>
      <c r="K4808" t="str">
        <f t="shared" si="241"/>
        <v>2+4</v>
      </c>
      <c r="L4808">
        <f>VLOOKUP(A4808,'ZONE 1 PREMIUM'!$A$4:$N$16,14,0)</f>
        <v>3</v>
      </c>
      <c r="M4808">
        <f>VLOOKUP(D4808,DROPDOWN!B:C,2,0)</f>
        <v>14</v>
      </c>
      <c r="N4808" t="str">
        <f t="shared" si="239"/>
        <v>BR143:CJ154</v>
      </c>
      <c r="O4808" s="4">
        <f t="shared" ca="1" si="240"/>
        <v>246282.30000000002</v>
      </c>
    </row>
    <row r="4809" spans="1:15">
      <c r="A4809" s="2" t="s">
        <v>13</v>
      </c>
      <c r="B4809" t="s">
        <v>29</v>
      </c>
      <c r="C4809" t="s">
        <v>30</v>
      </c>
      <c r="D4809">
        <v>75</v>
      </c>
      <c r="E4809" t="s">
        <v>46</v>
      </c>
      <c r="F4809">
        <v>6</v>
      </c>
      <c r="G4809">
        <v>2</v>
      </c>
      <c r="H4809">
        <v>4</v>
      </c>
      <c r="I4809">
        <v>1</v>
      </c>
      <c r="J4809" s="4" t="s">
        <v>53</v>
      </c>
      <c r="K4809" t="str">
        <f t="shared" si="241"/>
        <v>2+4</v>
      </c>
      <c r="L4809">
        <f>VLOOKUP(A4809,'ZONE 1 PREMIUM'!$A$4:$N$16,14,0)</f>
        <v>4</v>
      </c>
      <c r="M4809">
        <f>VLOOKUP(D4809,DROPDOWN!B:C,2,0)</f>
        <v>14</v>
      </c>
      <c r="N4809" t="str">
        <f t="shared" si="239"/>
        <v>BR143:CJ154</v>
      </c>
      <c r="O4809" s="4">
        <f t="shared" ca="1" si="240"/>
        <v>271169.80000000005</v>
      </c>
    </row>
    <row r="4810" spans="1:15">
      <c r="A4810" s="2" t="s">
        <v>14</v>
      </c>
      <c r="B4810" t="s">
        <v>31</v>
      </c>
      <c r="C4810" t="s">
        <v>32</v>
      </c>
      <c r="D4810">
        <v>75</v>
      </c>
      <c r="E4810" t="s">
        <v>46</v>
      </c>
      <c r="F4810">
        <v>6</v>
      </c>
      <c r="G4810">
        <v>2</v>
      </c>
      <c r="H4810">
        <v>4</v>
      </c>
      <c r="I4810">
        <v>1</v>
      </c>
      <c r="J4810" s="4" t="s">
        <v>53</v>
      </c>
      <c r="K4810" t="str">
        <f t="shared" si="241"/>
        <v>2+4</v>
      </c>
      <c r="L4810">
        <f>VLOOKUP(A4810,'ZONE 1 PREMIUM'!$A$4:$N$16,14,0)</f>
        <v>5</v>
      </c>
      <c r="M4810">
        <f>VLOOKUP(D4810,DROPDOWN!B:C,2,0)</f>
        <v>14</v>
      </c>
      <c r="N4810" t="str">
        <f t="shared" si="239"/>
        <v>BR143:CJ154</v>
      </c>
      <c r="O4810" s="4">
        <f t="shared" ca="1" si="240"/>
        <v>299568.5</v>
      </c>
    </row>
    <row r="4811" spans="1:15">
      <c r="A4811" s="2" t="s">
        <v>15</v>
      </c>
      <c r="B4811" t="s">
        <v>33</v>
      </c>
      <c r="C4811" t="s">
        <v>34</v>
      </c>
      <c r="D4811">
        <v>75</v>
      </c>
      <c r="E4811" t="s">
        <v>46</v>
      </c>
      <c r="F4811">
        <v>6</v>
      </c>
      <c r="G4811">
        <v>2</v>
      </c>
      <c r="H4811">
        <v>4</v>
      </c>
      <c r="I4811">
        <v>1</v>
      </c>
      <c r="J4811" s="4" t="s">
        <v>53</v>
      </c>
      <c r="K4811" t="str">
        <f t="shared" si="241"/>
        <v>2+4</v>
      </c>
      <c r="L4811">
        <f>VLOOKUP(A4811,'ZONE 1 PREMIUM'!$A$4:$N$16,14,0)</f>
        <v>6</v>
      </c>
      <c r="M4811">
        <f>VLOOKUP(D4811,DROPDOWN!B:C,2,0)</f>
        <v>14</v>
      </c>
      <c r="N4811" t="str">
        <f t="shared" si="239"/>
        <v>BR143:CJ154</v>
      </c>
      <c r="O4811" s="4">
        <f t="shared" ca="1" si="240"/>
        <v>362344.4</v>
      </c>
    </row>
    <row r="4812" spans="1:15">
      <c r="A4812" s="2" t="s">
        <v>16</v>
      </c>
      <c r="B4812" t="s">
        <v>35</v>
      </c>
      <c r="C4812" t="s">
        <v>36</v>
      </c>
      <c r="D4812">
        <v>75</v>
      </c>
      <c r="E4812" t="s">
        <v>46</v>
      </c>
      <c r="F4812">
        <v>6</v>
      </c>
      <c r="G4812">
        <v>2</v>
      </c>
      <c r="H4812">
        <v>4</v>
      </c>
      <c r="I4812">
        <v>1</v>
      </c>
      <c r="J4812" s="4" t="s">
        <v>53</v>
      </c>
      <c r="K4812" t="str">
        <f t="shared" si="241"/>
        <v>2+4</v>
      </c>
      <c r="L4812">
        <f>VLOOKUP(A4812,'ZONE 1 PREMIUM'!$A$4:$N$16,14,0)</f>
        <v>7</v>
      </c>
      <c r="M4812">
        <f>VLOOKUP(D4812,DROPDOWN!B:C,2,0)</f>
        <v>14</v>
      </c>
      <c r="N4812" t="str">
        <f t="shared" si="239"/>
        <v>BR143:CJ154</v>
      </c>
      <c r="O4812" s="4">
        <f t="shared" ca="1" si="240"/>
        <v>457926.7</v>
      </c>
    </row>
    <row r="4813" spans="1:15">
      <c r="A4813" s="2" t="s">
        <v>17</v>
      </c>
      <c r="B4813" t="s">
        <v>37</v>
      </c>
      <c r="C4813" t="s">
        <v>38</v>
      </c>
      <c r="D4813">
        <v>75</v>
      </c>
      <c r="E4813" t="s">
        <v>46</v>
      </c>
      <c r="F4813">
        <v>6</v>
      </c>
      <c r="G4813">
        <v>2</v>
      </c>
      <c r="H4813">
        <v>4</v>
      </c>
      <c r="I4813">
        <v>1</v>
      </c>
      <c r="J4813" s="4" t="s">
        <v>53</v>
      </c>
      <c r="K4813" t="str">
        <f t="shared" si="241"/>
        <v>2+4</v>
      </c>
      <c r="L4813">
        <f>VLOOKUP(A4813,'ZONE 1 PREMIUM'!$A$4:$N$16,14,0)</f>
        <v>8</v>
      </c>
      <c r="M4813">
        <f>VLOOKUP(D4813,DROPDOWN!B:C,2,0)</f>
        <v>14</v>
      </c>
      <c r="N4813" t="str">
        <f t="shared" si="239"/>
        <v>BR143:CJ154</v>
      </c>
      <c r="O4813" s="4">
        <f t="shared" ca="1" si="240"/>
        <v>577292.10000000009</v>
      </c>
    </row>
    <row r="4814" spans="1:15">
      <c r="A4814" s="2" t="s">
        <v>18</v>
      </c>
      <c r="B4814" t="s">
        <v>39</v>
      </c>
      <c r="C4814" t="s">
        <v>40</v>
      </c>
      <c r="D4814">
        <v>75</v>
      </c>
      <c r="E4814" t="s">
        <v>46</v>
      </c>
      <c r="F4814">
        <v>6</v>
      </c>
      <c r="G4814">
        <v>2</v>
      </c>
      <c r="H4814">
        <v>4</v>
      </c>
      <c r="I4814">
        <v>1</v>
      </c>
      <c r="J4814" s="4" t="s">
        <v>53</v>
      </c>
      <c r="K4814" t="str">
        <f t="shared" si="241"/>
        <v>2+4</v>
      </c>
      <c r="L4814">
        <f>VLOOKUP(A4814,'ZONE 1 PREMIUM'!$A$4:$N$16,14,0)</f>
        <v>9</v>
      </c>
      <c r="M4814">
        <f>VLOOKUP(D4814,DROPDOWN!B:C,2,0)</f>
        <v>14</v>
      </c>
      <c r="N4814" t="str">
        <f t="shared" si="239"/>
        <v>BR143:CJ154</v>
      </c>
      <c r="O4814" s="4">
        <f t="shared" ca="1" si="240"/>
        <v>747800.9</v>
      </c>
    </row>
    <row r="4815" spans="1:15">
      <c r="A4815" s="2" t="s">
        <v>19</v>
      </c>
      <c r="B4815" t="s">
        <v>41</v>
      </c>
      <c r="C4815" t="s">
        <v>42</v>
      </c>
      <c r="D4815">
        <v>75</v>
      </c>
      <c r="E4815" t="s">
        <v>46</v>
      </c>
      <c r="F4815">
        <v>6</v>
      </c>
      <c r="G4815">
        <v>2</v>
      </c>
      <c r="H4815">
        <v>4</v>
      </c>
      <c r="I4815">
        <v>1</v>
      </c>
      <c r="J4815" s="4" t="s">
        <v>53</v>
      </c>
      <c r="K4815" t="str">
        <f t="shared" si="241"/>
        <v>2+4</v>
      </c>
      <c r="L4815">
        <f>VLOOKUP(A4815,'ZONE 1 PREMIUM'!$A$4:$N$16,14,0)</f>
        <v>10</v>
      </c>
      <c r="M4815">
        <f>VLOOKUP(D4815,DROPDOWN!B:C,2,0)</f>
        <v>14</v>
      </c>
      <c r="N4815" t="str">
        <f t="shared" si="239"/>
        <v>BR143:CJ154</v>
      </c>
      <c r="O4815" s="4">
        <f t="shared" ca="1" si="240"/>
        <v>953231.4</v>
      </c>
    </row>
    <row r="4816" spans="1:15">
      <c r="A4816" s="2" t="s">
        <v>20</v>
      </c>
      <c r="B4816" t="s">
        <v>43</v>
      </c>
      <c r="C4816" t="s">
        <v>44</v>
      </c>
      <c r="D4816">
        <v>75</v>
      </c>
      <c r="E4816" t="s">
        <v>46</v>
      </c>
      <c r="F4816">
        <v>6</v>
      </c>
      <c r="G4816">
        <v>2</v>
      </c>
      <c r="H4816">
        <v>4</v>
      </c>
      <c r="I4816">
        <v>1</v>
      </c>
      <c r="J4816" s="4" t="s">
        <v>53</v>
      </c>
      <c r="K4816" t="str">
        <f t="shared" si="241"/>
        <v>2+4</v>
      </c>
      <c r="L4816">
        <f>VLOOKUP(A4816,'ZONE 1 PREMIUM'!$A$4:$N$16,14,0)</f>
        <v>11</v>
      </c>
      <c r="M4816">
        <f>VLOOKUP(D4816,DROPDOWN!B:C,2,0)</f>
        <v>14</v>
      </c>
      <c r="N4816" t="str">
        <f t="shared" si="239"/>
        <v>BR143:CJ154</v>
      </c>
      <c r="O4816" s="4">
        <f t="shared" ca="1" si="240"/>
        <v>1143817.4000000001</v>
      </c>
    </row>
    <row r="4817" spans="1:15">
      <c r="A4817" s="2" t="s">
        <v>21</v>
      </c>
      <c r="B4817" t="s">
        <v>22</v>
      </c>
      <c r="D4817">
        <v>75</v>
      </c>
      <c r="E4817" t="s">
        <v>46</v>
      </c>
      <c r="F4817">
        <v>6</v>
      </c>
      <c r="G4817">
        <v>2</v>
      </c>
      <c r="H4817">
        <v>4</v>
      </c>
      <c r="I4817">
        <v>1</v>
      </c>
      <c r="J4817" s="4" t="s">
        <v>53</v>
      </c>
      <c r="K4817" t="str">
        <f t="shared" si="241"/>
        <v>2+4</v>
      </c>
      <c r="L4817">
        <f>VLOOKUP(A4817,'ZONE 1 PREMIUM'!$A$4:$N$16,14,0)</f>
        <v>12</v>
      </c>
      <c r="M4817">
        <f>VLOOKUP(D4817,DROPDOWN!B:C,2,0)</f>
        <v>14</v>
      </c>
      <c r="N4817" t="str">
        <f t="shared" si="239"/>
        <v>BR143:CJ154</v>
      </c>
      <c r="O4817" s="4">
        <f t="shared" ca="1" si="240"/>
        <v>1416529.4000000001</v>
      </c>
    </row>
    <row r="4818" spans="1:15">
      <c r="A4818" s="2" t="s">
        <v>9</v>
      </c>
      <c r="B4818" t="s">
        <v>47</v>
      </c>
      <c r="C4818" t="s">
        <v>48</v>
      </c>
      <c r="D4818">
        <v>75</v>
      </c>
      <c r="E4818" t="s">
        <v>26</v>
      </c>
      <c r="F4818">
        <v>1</v>
      </c>
      <c r="H4818">
        <v>1</v>
      </c>
      <c r="I4818">
        <v>1</v>
      </c>
      <c r="J4818" s="4" t="s">
        <v>54</v>
      </c>
      <c r="K4818" t="str">
        <f t="shared" si="241"/>
        <v>+1</v>
      </c>
      <c r="N4818" t="e">
        <f t="shared" ref="N4818:N4881" si="242">VLOOKUP(K4818,$DH$4:$DI$13,2,0)</f>
        <v>#N/A</v>
      </c>
      <c r="O4818" s="13">
        <v>14752.684352451379</v>
      </c>
    </row>
    <row r="4819" spans="1:15">
      <c r="A4819" s="2" t="s">
        <v>10</v>
      </c>
      <c r="B4819" t="s">
        <v>49</v>
      </c>
      <c r="C4819" t="s">
        <v>50</v>
      </c>
      <c r="D4819">
        <v>75</v>
      </c>
      <c r="E4819" t="s">
        <v>26</v>
      </c>
      <c r="F4819">
        <v>1</v>
      </c>
      <c r="G4819">
        <v>1</v>
      </c>
      <c r="H4819">
        <v>0</v>
      </c>
      <c r="I4819">
        <v>1</v>
      </c>
      <c r="J4819" s="4" t="s">
        <v>54</v>
      </c>
      <c r="K4819" t="str">
        <f t="shared" si="241"/>
        <v>1+0</v>
      </c>
      <c r="L4819">
        <f>VLOOKUP(A4819,'ZONE 1 PREMIUM'!$A$3:$M$16,13,0)</f>
        <v>3</v>
      </c>
      <c r="M4819">
        <f>VLOOKUP(D4819,DROPDOWN!B:C,2,0)</f>
        <v>14</v>
      </c>
      <c r="N4819" t="str">
        <f t="shared" si="242"/>
        <v>CO3:DG16</v>
      </c>
      <c r="O4819" s="4">
        <f t="shared" ca="1" si="240"/>
        <v>24575.140000000003</v>
      </c>
    </row>
    <row r="4820" spans="1:15">
      <c r="A4820" s="2" t="s">
        <v>11</v>
      </c>
      <c r="B4820" t="s">
        <v>45</v>
      </c>
      <c r="C4820" t="s">
        <v>25</v>
      </c>
      <c r="D4820">
        <v>75</v>
      </c>
      <c r="E4820" t="s">
        <v>26</v>
      </c>
      <c r="F4820">
        <v>1</v>
      </c>
      <c r="G4820">
        <v>1</v>
      </c>
      <c r="H4820">
        <v>0</v>
      </c>
      <c r="I4820">
        <v>1</v>
      </c>
      <c r="J4820" s="4" t="s">
        <v>54</v>
      </c>
      <c r="K4820" t="str">
        <f t="shared" si="241"/>
        <v>1+0</v>
      </c>
      <c r="L4820">
        <f>VLOOKUP(A4820,'ZONE 1 PREMIUM'!$A$3:$M$16,13,0)</f>
        <v>4</v>
      </c>
      <c r="M4820">
        <f>VLOOKUP(D4820,DROPDOWN!B:C,2,0)</f>
        <v>14</v>
      </c>
      <c r="N4820" t="str">
        <f t="shared" si="242"/>
        <v>CO3:DG16</v>
      </c>
      <c r="O4820" s="4">
        <f t="shared" ca="1" si="240"/>
        <v>79066.420000000013</v>
      </c>
    </row>
    <row r="4821" spans="1:15">
      <c r="A4821" s="2" t="s">
        <v>12</v>
      </c>
      <c r="B4821" t="s">
        <v>27</v>
      </c>
      <c r="C4821" t="s">
        <v>28</v>
      </c>
      <c r="D4821">
        <v>75</v>
      </c>
      <c r="E4821" t="s">
        <v>26</v>
      </c>
      <c r="F4821">
        <v>1</v>
      </c>
      <c r="G4821">
        <v>1</v>
      </c>
      <c r="H4821">
        <v>0</v>
      </c>
      <c r="I4821">
        <v>1</v>
      </c>
      <c r="J4821" s="4" t="s">
        <v>54</v>
      </c>
      <c r="K4821" t="str">
        <f t="shared" si="241"/>
        <v>1+0</v>
      </c>
      <c r="L4821">
        <f>VLOOKUP(A4821,'ZONE 1 PREMIUM'!$A$3:$M$16,13,0)</f>
        <v>5</v>
      </c>
      <c r="M4821">
        <f>VLOOKUP(D4821,DROPDOWN!B:C,2,0)</f>
        <v>14</v>
      </c>
      <c r="N4821" t="str">
        <f t="shared" si="242"/>
        <v>CO3:DG16</v>
      </c>
      <c r="O4821" s="4">
        <f t="shared" ca="1" si="240"/>
        <v>91489.150000000009</v>
      </c>
    </row>
    <row r="4822" spans="1:15">
      <c r="A4822" s="2" t="s">
        <v>13</v>
      </c>
      <c r="B4822" t="s">
        <v>29</v>
      </c>
      <c r="C4822" t="s">
        <v>30</v>
      </c>
      <c r="D4822">
        <v>75</v>
      </c>
      <c r="E4822" t="s">
        <v>26</v>
      </c>
      <c r="F4822">
        <v>1</v>
      </c>
      <c r="G4822">
        <v>1</v>
      </c>
      <c r="H4822">
        <v>0</v>
      </c>
      <c r="I4822">
        <v>1</v>
      </c>
      <c r="J4822" s="4" t="s">
        <v>54</v>
      </c>
      <c r="K4822" t="str">
        <f t="shared" si="241"/>
        <v>1+0</v>
      </c>
      <c r="L4822">
        <f>VLOOKUP(A4822,'ZONE 1 PREMIUM'!$A$3:$M$16,13,0)</f>
        <v>6</v>
      </c>
      <c r="M4822">
        <f>VLOOKUP(D4822,DROPDOWN!B:C,2,0)</f>
        <v>14</v>
      </c>
      <c r="N4822" t="str">
        <f t="shared" si="242"/>
        <v>CO3:DG16</v>
      </c>
      <c r="O4822" s="4">
        <f t="shared" ca="1" si="240"/>
        <v>99227.060000000012</v>
      </c>
    </row>
    <row r="4823" spans="1:15">
      <c r="A4823" s="2" t="s">
        <v>14</v>
      </c>
      <c r="B4823" t="s">
        <v>31</v>
      </c>
      <c r="C4823" t="s">
        <v>32</v>
      </c>
      <c r="D4823">
        <v>75</v>
      </c>
      <c r="E4823" t="s">
        <v>26</v>
      </c>
      <c r="F4823">
        <v>1</v>
      </c>
      <c r="G4823">
        <v>1</v>
      </c>
      <c r="H4823">
        <v>0</v>
      </c>
      <c r="I4823">
        <v>1</v>
      </c>
      <c r="J4823" s="4" t="s">
        <v>54</v>
      </c>
      <c r="K4823" t="str">
        <f t="shared" si="241"/>
        <v>1+0</v>
      </c>
      <c r="L4823">
        <f>VLOOKUP(A4823,'ZONE 1 PREMIUM'!$A$3:$M$16,13,0)</f>
        <v>7</v>
      </c>
      <c r="M4823">
        <f>VLOOKUP(D4823,DROPDOWN!B:C,2,0)</f>
        <v>14</v>
      </c>
      <c r="N4823" t="str">
        <f t="shared" si="242"/>
        <v>CO3:DG16</v>
      </c>
      <c r="O4823" s="4">
        <f t="shared" ca="1" si="240"/>
        <v>113956.23000000001</v>
      </c>
    </row>
    <row r="4824" spans="1:15">
      <c r="A4824" s="2" t="s">
        <v>15</v>
      </c>
      <c r="B4824" t="s">
        <v>33</v>
      </c>
      <c r="C4824" t="s">
        <v>34</v>
      </c>
      <c r="D4824">
        <v>75</v>
      </c>
      <c r="E4824" t="s">
        <v>26</v>
      </c>
      <c r="F4824">
        <v>1</v>
      </c>
      <c r="G4824">
        <v>1</v>
      </c>
      <c r="H4824">
        <v>0</v>
      </c>
      <c r="I4824">
        <v>1</v>
      </c>
      <c r="J4824" s="4" t="s">
        <v>54</v>
      </c>
      <c r="K4824" t="str">
        <f t="shared" si="241"/>
        <v>1+0</v>
      </c>
      <c r="L4824">
        <f>VLOOKUP(A4824,'ZONE 1 PREMIUM'!$A$3:$M$16,13,0)</f>
        <v>8</v>
      </c>
      <c r="M4824">
        <f>VLOOKUP(D4824,DROPDOWN!B:C,2,0)</f>
        <v>14</v>
      </c>
      <c r="N4824" t="str">
        <f t="shared" si="242"/>
        <v>CO3:DG16</v>
      </c>
      <c r="O4824" s="4">
        <f t="shared" ca="1" si="240"/>
        <v>139783.78</v>
      </c>
    </row>
    <row r="4825" spans="1:15">
      <c r="A4825" s="2" t="s">
        <v>16</v>
      </c>
      <c r="B4825" t="s">
        <v>35</v>
      </c>
      <c r="C4825" t="s">
        <v>36</v>
      </c>
      <c r="D4825">
        <v>75</v>
      </c>
      <c r="E4825" t="s">
        <v>26</v>
      </c>
      <c r="F4825">
        <v>1</v>
      </c>
      <c r="G4825">
        <v>1</v>
      </c>
      <c r="H4825">
        <v>0</v>
      </c>
      <c r="I4825">
        <v>1</v>
      </c>
      <c r="J4825" s="4" t="s">
        <v>54</v>
      </c>
      <c r="K4825" t="str">
        <f t="shared" si="241"/>
        <v>1+0</v>
      </c>
      <c r="L4825">
        <f>VLOOKUP(A4825,'ZONE 1 PREMIUM'!$A$3:$M$16,13,0)</f>
        <v>9</v>
      </c>
      <c r="M4825">
        <f>VLOOKUP(D4825,DROPDOWN!B:C,2,0)</f>
        <v>14</v>
      </c>
      <c r="N4825" t="str">
        <f t="shared" si="242"/>
        <v>CO3:DG16</v>
      </c>
      <c r="O4825" s="4">
        <f t="shared" ca="1" si="240"/>
        <v>193586.18000000002</v>
      </c>
    </row>
    <row r="4826" spans="1:15">
      <c r="A4826" s="2" t="s">
        <v>17</v>
      </c>
      <c r="B4826" t="s">
        <v>37</v>
      </c>
      <c r="C4826" t="s">
        <v>38</v>
      </c>
      <c r="D4826">
        <v>75</v>
      </c>
      <c r="E4826" t="s">
        <v>26</v>
      </c>
      <c r="F4826">
        <v>1</v>
      </c>
      <c r="G4826">
        <v>1</v>
      </c>
      <c r="H4826">
        <v>0</v>
      </c>
      <c r="I4826">
        <v>1</v>
      </c>
      <c r="J4826" s="4" t="s">
        <v>54</v>
      </c>
      <c r="K4826" t="str">
        <f t="shared" si="241"/>
        <v>1+0</v>
      </c>
      <c r="L4826">
        <f>VLOOKUP(A4826,'ZONE 1 PREMIUM'!$A$3:$M$16,13,0)</f>
        <v>10</v>
      </c>
      <c r="M4826">
        <f>VLOOKUP(D4826,DROPDOWN!B:C,2,0)</f>
        <v>14</v>
      </c>
      <c r="N4826" t="str">
        <f t="shared" si="242"/>
        <v>CO3:DG16</v>
      </c>
      <c r="O4826" s="4">
        <f t="shared" ca="1" si="240"/>
        <v>259657.62000000002</v>
      </c>
    </row>
    <row r="4827" spans="1:15">
      <c r="A4827" s="2" t="s">
        <v>18</v>
      </c>
      <c r="B4827" t="s">
        <v>39</v>
      </c>
      <c r="C4827" t="s">
        <v>40</v>
      </c>
      <c r="D4827">
        <v>75</v>
      </c>
      <c r="E4827" t="s">
        <v>26</v>
      </c>
      <c r="F4827">
        <v>1</v>
      </c>
      <c r="G4827">
        <v>1</v>
      </c>
      <c r="H4827">
        <v>0</v>
      </c>
      <c r="I4827">
        <v>1</v>
      </c>
      <c r="J4827" s="4" t="s">
        <v>54</v>
      </c>
      <c r="K4827" t="str">
        <f t="shared" si="241"/>
        <v>1+0</v>
      </c>
      <c r="L4827">
        <f>VLOOKUP(A4827,'ZONE 1 PREMIUM'!$A$3:$M$16,13,0)</f>
        <v>11</v>
      </c>
      <c r="M4827">
        <f>VLOOKUP(D4827,DROPDOWN!B:C,2,0)</f>
        <v>14</v>
      </c>
      <c r="N4827" t="str">
        <f t="shared" si="242"/>
        <v>CO3:DG16</v>
      </c>
      <c r="O4827" s="4">
        <f t="shared" ca="1" si="240"/>
        <v>358708.10000000003</v>
      </c>
    </row>
    <row r="4828" spans="1:15">
      <c r="A4828" s="2" t="s">
        <v>19</v>
      </c>
      <c r="B4828" t="s">
        <v>41</v>
      </c>
      <c r="C4828" t="s">
        <v>42</v>
      </c>
      <c r="D4828">
        <v>75</v>
      </c>
      <c r="E4828" t="s">
        <v>26</v>
      </c>
      <c r="F4828">
        <v>1</v>
      </c>
      <c r="G4828">
        <v>1</v>
      </c>
      <c r="H4828">
        <v>0</v>
      </c>
      <c r="I4828">
        <v>1</v>
      </c>
      <c r="J4828" s="4" t="s">
        <v>54</v>
      </c>
      <c r="K4828" t="str">
        <f t="shared" si="241"/>
        <v>1+0</v>
      </c>
      <c r="L4828">
        <f>VLOOKUP(A4828,'ZONE 1 PREMIUM'!$A$3:$M$16,13,0)</f>
        <v>12</v>
      </c>
      <c r="M4828">
        <f>VLOOKUP(D4828,DROPDOWN!B:C,2,0)</f>
        <v>14</v>
      </c>
      <c r="N4828" t="str">
        <f t="shared" si="242"/>
        <v>CO3:DG16</v>
      </c>
      <c r="O4828" s="4">
        <f t="shared" ca="1" si="240"/>
        <v>459836.12000000005</v>
      </c>
    </row>
    <row r="4829" spans="1:15">
      <c r="A4829" s="2" t="s">
        <v>20</v>
      </c>
      <c r="B4829" t="s">
        <v>43</v>
      </c>
      <c r="C4829" t="s">
        <v>44</v>
      </c>
      <c r="D4829">
        <v>75</v>
      </c>
      <c r="E4829" t="s">
        <v>26</v>
      </c>
      <c r="F4829">
        <v>1</v>
      </c>
      <c r="G4829">
        <v>1</v>
      </c>
      <c r="H4829">
        <v>0</v>
      </c>
      <c r="I4829">
        <v>1</v>
      </c>
      <c r="J4829" s="4" t="s">
        <v>54</v>
      </c>
      <c r="K4829" t="str">
        <f t="shared" si="241"/>
        <v>1+0</v>
      </c>
      <c r="L4829">
        <f>VLOOKUP(A4829,'ZONE 1 PREMIUM'!$A$3:$M$16,13,0)</f>
        <v>13</v>
      </c>
      <c r="M4829">
        <f>VLOOKUP(D4829,DROPDOWN!B:C,2,0)</f>
        <v>14</v>
      </c>
      <c r="N4829" t="str">
        <f t="shared" si="242"/>
        <v>CO3:DG16</v>
      </c>
      <c r="O4829" s="4">
        <f t="shared" ca="1" si="240"/>
        <v>544404.86</v>
      </c>
    </row>
    <row r="4830" spans="1:15">
      <c r="A4830" s="2" t="s">
        <v>21</v>
      </c>
      <c r="B4830" t="s">
        <v>22</v>
      </c>
      <c r="D4830">
        <v>75</v>
      </c>
      <c r="E4830" t="s">
        <v>26</v>
      </c>
      <c r="F4830">
        <v>1</v>
      </c>
      <c r="G4830">
        <v>1</v>
      </c>
      <c r="H4830">
        <v>0</v>
      </c>
      <c r="I4830">
        <v>1</v>
      </c>
      <c r="J4830" s="4" t="s">
        <v>54</v>
      </c>
      <c r="K4830" t="str">
        <f t="shared" si="241"/>
        <v>1+0</v>
      </c>
      <c r="L4830">
        <f>VLOOKUP(A4830,'ZONE 1 PREMIUM'!$A$3:$M$16,13,0)</f>
        <v>14</v>
      </c>
      <c r="M4830">
        <f>VLOOKUP(D4830,DROPDOWN!B:C,2,0)</f>
        <v>14</v>
      </c>
      <c r="N4830" t="str">
        <f t="shared" si="242"/>
        <v>CO3:DG16</v>
      </c>
      <c r="O4830" s="4">
        <f t="shared" ca="1" si="240"/>
        <v>719525.35000000009</v>
      </c>
    </row>
    <row r="4831" spans="1:15">
      <c r="A4831" s="2" t="s">
        <v>11</v>
      </c>
      <c r="B4831" t="s">
        <v>45</v>
      </c>
      <c r="C4831" t="s">
        <v>25</v>
      </c>
      <c r="D4831">
        <v>75</v>
      </c>
      <c r="E4831" t="s">
        <v>46</v>
      </c>
      <c r="F4831">
        <v>2</v>
      </c>
      <c r="G4831">
        <v>1</v>
      </c>
      <c r="H4831">
        <v>1</v>
      </c>
      <c r="I4831">
        <v>1</v>
      </c>
      <c r="J4831" s="4" t="s">
        <v>54</v>
      </c>
      <c r="K4831" t="str">
        <f t="shared" si="241"/>
        <v>1+1</v>
      </c>
      <c r="L4831">
        <f>VLOOKUP(A4831,'ZONE 1 PREMIUM'!$A$4:$N$16,14,0)</f>
        <v>2</v>
      </c>
      <c r="M4831">
        <f>VLOOKUP(D4831,DROPDOWN!B:C,2,0)</f>
        <v>14</v>
      </c>
      <c r="N4831" t="str">
        <f t="shared" si="242"/>
        <v>CO20:DG31</v>
      </c>
      <c r="O4831" s="4">
        <f t="shared" ca="1" si="240"/>
        <v>83455.850000000006</v>
      </c>
    </row>
    <row r="4832" spans="1:15">
      <c r="A4832" s="2" t="s">
        <v>12</v>
      </c>
      <c r="B4832" t="s">
        <v>27</v>
      </c>
      <c r="C4832" t="s">
        <v>28</v>
      </c>
      <c r="D4832">
        <v>75</v>
      </c>
      <c r="E4832" t="s">
        <v>46</v>
      </c>
      <c r="F4832">
        <v>2</v>
      </c>
      <c r="G4832">
        <v>1</v>
      </c>
      <c r="H4832">
        <v>1</v>
      </c>
      <c r="I4832">
        <v>1</v>
      </c>
      <c r="J4832" s="4" t="s">
        <v>54</v>
      </c>
      <c r="K4832" t="str">
        <f t="shared" si="241"/>
        <v>1+1</v>
      </c>
      <c r="L4832">
        <f>VLOOKUP(A4832,'ZONE 1 PREMIUM'!$A$4:$N$16,14,0)</f>
        <v>3</v>
      </c>
      <c r="M4832">
        <f>VLOOKUP(D4832,DROPDOWN!B:C,2,0)</f>
        <v>14</v>
      </c>
      <c r="N4832" t="str">
        <f t="shared" si="242"/>
        <v>CO20:DG31</v>
      </c>
      <c r="O4832" s="4">
        <f t="shared" ca="1" si="240"/>
        <v>93336.700000000012</v>
      </c>
    </row>
    <row r="4833" spans="1:15">
      <c r="A4833" s="2" t="s">
        <v>13</v>
      </c>
      <c r="B4833" t="s">
        <v>29</v>
      </c>
      <c r="C4833" t="s">
        <v>30</v>
      </c>
      <c r="D4833">
        <v>75</v>
      </c>
      <c r="E4833" t="s">
        <v>46</v>
      </c>
      <c r="F4833">
        <v>2</v>
      </c>
      <c r="G4833">
        <v>1</v>
      </c>
      <c r="H4833">
        <v>1</v>
      </c>
      <c r="I4833">
        <v>1</v>
      </c>
      <c r="J4833" s="4" t="s">
        <v>54</v>
      </c>
      <c r="K4833" t="str">
        <f t="shared" si="241"/>
        <v>1+1</v>
      </c>
      <c r="L4833">
        <f>VLOOKUP(A4833,'ZONE 1 PREMIUM'!$A$4:$N$16,14,0)</f>
        <v>4</v>
      </c>
      <c r="M4833">
        <f>VLOOKUP(D4833,DROPDOWN!B:C,2,0)</f>
        <v>14</v>
      </c>
      <c r="N4833" t="str">
        <f t="shared" si="242"/>
        <v>CO20:DG31</v>
      </c>
      <c r="O4833" s="4">
        <f t="shared" ca="1" si="240"/>
        <v>102864.39000000001</v>
      </c>
    </row>
    <row r="4834" spans="1:15">
      <c r="A4834" s="2" t="s">
        <v>14</v>
      </c>
      <c r="B4834" t="s">
        <v>31</v>
      </c>
      <c r="C4834" t="s">
        <v>32</v>
      </c>
      <c r="D4834">
        <v>75</v>
      </c>
      <c r="E4834" t="s">
        <v>46</v>
      </c>
      <c r="F4834">
        <v>2</v>
      </c>
      <c r="G4834">
        <v>1</v>
      </c>
      <c r="H4834">
        <v>1</v>
      </c>
      <c r="I4834">
        <v>1</v>
      </c>
      <c r="J4834" s="4" t="s">
        <v>54</v>
      </c>
      <c r="K4834" t="str">
        <f t="shared" si="241"/>
        <v>1+1</v>
      </c>
      <c r="L4834">
        <f>VLOOKUP(A4834,'ZONE 1 PREMIUM'!$A$4:$N$16,14,0)</f>
        <v>5</v>
      </c>
      <c r="M4834">
        <f>VLOOKUP(D4834,DROPDOWN!B:C,2,0)</f>
        <v>14</v>
      </c>
      <c r="N4834" t="str">
        <f t="shared" si="242"/>
        <v>CO20:DG31</v>
      </c>
      <c r="O4834" s="4">
        <f t="shared" ca="1" si="240"/>
        <v>120241.17000000001</v>
      </c>
    </row>
    <row r="4835" spans="1:15">
      <c r="A4835" s="2" t="s">
        <v>15</v>
      </c>
      <c r="B4835" t="s">
        <v>33</v>
      </c>
      <c r="C4835" t="s">
        <v>34</v>
      </c>
      <c r="D4835">
        <v>75</v>
      </c>
      <c r="E4835" t="s">
        <v>46</v>
      </c>
      <c r="F4835">
        <v>2</v>
      </c>
      <c r="G4835">
        <v>1</v>
      </c>
      <c r="H4835">
        <v>1</v>
      </c>
      <c r="I4835">
        <v>1</v>
      </c>
      <c r="J4835" s="4" t="s">
        <v>54</v>
      </c>
      <c r="K4835" t="str">
        <f t="shared" si="241"/>
        <v>1+1</v>
      </c>
      <c r="L4835">
        <f>VLOOKUP(A4835,'ZONE 1 PREMIUM'!$A$4:$N$16,14,0)</f>
        <v>6</v>
      </c>
      <c r="M4835">
        <f>VLOOKUP(D4835,DROPDOWN!B:C,2,0)</f>
        <v>14</v>
      </c>
      <c r="N4835" t="str">
        <f t="shared" si="242"/>
        <v>CO20:DG31</v>
      </c>
      <c r="O4835" s="4">
        <f t="shared" ca="1" si="240"/>
        <v>147336.39000000001</v>
      </c>
    </row>
    <row r="4836" spans="1:15">
      <c r="A4836" s="2" t="s">
        <v>16</v>
      </c>
      <c r="B4836" t="s">
        <v>35</v>
      </c>
      <c r="C4836" t="s">
        <v>36</v>
      </c>
      <c r="D4836">
        <v>75</v>
      </c>
      <c r="E4836" t="s">
        <v>46</v>
      </c>
      <c r="F4836">
        <v>2</v>
      </c>
      <c r="G4836">
        <v>1</v>
      </c>
      <c r="H4836">
        <v>1</v>
      </c>
      <c r="I4836">
        <v>1</v>
      </c>
      <c r="J4836" s="4" t="s">
        <v>54</v>
      </c>
      <c r="K4836" t="str">
        <f t="shared" si="241"/>
        <v>1+1</v>
      </c>
      <c r="L4836">
        <f>VLOOKUP(A4836,'ZONE 1 PREMIUM'!$A$4:$N$16,14,0)</f>
        <v>7</v>
      </c>
      <c r="M4836">
        <f>VLOOKUP(D4836,DROPDOWN!B:C,2,0)</f>
        <v>14</v>
      </c>
      <c r="N4836" t="str">
        <f t="shared" si="242"/>
        <v>CO20:DG31</v>
      </c>
      <c r="O4836" s="4">
        <f t="shared" ca="1" si="240"/>
        <v>199284.7</v>
      </c>
    </row>
    <row r="4837" spans="1:15">
      <c r="A4837" s="2" t="s">
        <v>17</v>
      </c>
      <c r="B4837" t="s">
        <v>37</v>
      </c>
      <c r="C4837" t="s">
        <v>38</v>
      </c>
      <c r="D4837">
        <v>75</v>
      </c>
      <c r="E4837" t="s">
        <v>46</v>
      </c>
      <c r="F4837">
        <v>2</v>
      </c>
      <c r="G4837">
        <v>1</v>
      </c>
      <c r="H4837">
        <v>1</v>
      </c>
      <c r="I4837">
        <v>1</v>
      </c>
      <c r="J4837" s="4" t="s">
        <v>54</v>
      </c>
      <c r="K4837" t="str">
        <f t="shared" si="241"/>
        <v>1+1</v>
      </c>
      <c r="L4837">
        <f>VLOOKUP(A4837,'ZONE 1 PREMIUM'!$A$4:$N$16,14,0)</f>
        <v>8</v>
      </c>
      <c r="M4837">
        <f>VLOOKUP(D4837,DROPDOWN!B:C,2,0)</f>
        <v>14</v>
      </c>
      <c r="N4837" t="str">
        <f t="shared" si="242"/>
        <v>CO20:DG31</v>
      </c>
      <c r="O4837" s="4">
        <f t="shared" ca="1" si="240"/>
        <v>265288.56</v>
      </c>
    </row>
    <row r="4838" spans="1:15">
      <c r="A4838" s="2" t="s">
        <v>18</v>
      </c>
      <c r="B4838" t="s">
        <v>39</v>
      </c>
      <c r="C4838" t="s">
        <v>40</v>
      </c>
      <c r="D4838">
        <v>75</v>
      </c>
      <c r="E4838" t="s">
        <v>46</v>
      </c>
      <c r="F4838">
        <v>2</v>
      </c>
      <c r="G4838">
        <v>1</v>
      </c>
      <c r="H4838">
        <v>1</v>
      </c>
      <c r="I4838">
        <v>1</v>
      </c>
      <c r="J4838" s="4" t="s">
        <v>54</v>
      </c>
      <c r="K4838" t="str">
        <f t="shared" si="241"/>
        <v>1+1</v>
      </c>
      <c r="L4838">
        <f>VLOOKUP(A4838,'ZONE 1 PREMIUM'!$A$4:$N$16,14,0)</f>
        <v>9</v>
      </c>
      <c r="M4838">
        <f>VLOOKUP(D4838,DROPDOWN!B:C,2,0)</f>
        <v>14</v>
      </c>
      <c r="N4838" t="str">
        <f t="shared" si="242"/>
        <v>CO20:DG31</v>
      </c>
      <c r="O4838" s="4">
        <f t="shared" ca="1" si="240"/>
        <v>368269.58</v>
      </c>
    </row>
    <row r="4839" spans="1:15">
      <c r="A4839" s="2" t="s">
        <v>19</v>
      </c>
      <c r="B4839" t="s">
        <v>41</v>
      </c>
      <c r="C4839" t="s">
        <v>42</v>
      </c>
      <c r="D4839">
        <v>75</v>
      </c>
      <c r="E4839" t="s">
        <v>46</v>
      </c>
      <c r="F4839">
        <v>2</v>
      </c>
      <c r="G4839">
        <v>1</v>
      </c>
      <c r="H4839">
        <v>1</v>
      </c>
      <c r="I4839">
        <v>1</v>
      </c>
      <c r="J4839" s="4" t="s">
        <v>54</v>
      </c>
      <c r="K4839" t="str">
        <f t="shared" si="241"/>
        <v>1+1</v>
      </c>
      <c r="L4839">
        <f>VLOOKUP(A4839,'ZONE 1 PREMIUM'!$A$4:$N$16,14,0)</f>
        <v>10</v>
      </c>
      <c r="M4839">
        <f>VLOOKUP(D4839,DROPDOWN!B:C,2,0)</f>
        <v>14</v>
      </c>
      <c r="N4839" t="str">
        <f t="shared" si="242"/>
        <v>CO20:DG31</v>
      </c>
      <c r="O4839" s="4">
        <f t="shared" ca="1" si="240"/>
        <v>469575.27</v>
      </c>
    </row>
    <row r="4840" spans="1:15">
      <c r="A4840" s="2" t="s">
        <v>20</v>
      </c>
      <c r="B4840" t="s">
        <v>43</v>
      </c>
      <c r="C4840" t="s">
        <v>44</v>
      </c>
      <c r="D4840">
        <v>75</v>
      </c>
      <c r="E4840" t="s">
        <v>46</v>
      </c>
      <c r="F4840">
        <v>2</v>
      </c>
      <c r="G4840">
        <v>1</v>
      </c>
      <c r="H4840">
        <v>1</v>
      </c>
      <c r="I4840">
        <v>1</v>
      </c>
      <c r="J4840" s="4" t="s">
        <v>54</v>
      </c>
      <c r="K4840" t="str">
        <f t="shared" si="241"/>
        <v>1+1</v>
      </c>
      <c r="L4840">
        <f>VLOOKUP(A4840,'ZONE 1 PREMIUM'!$A$4:$N$16,14,0)</f>
        <v>11</v>
      </c>
      <c r="M4840">
        <f>VLOOKUP(D4840,DROPDOWN!B:C,2,0)</f>
        <v>14</v>
      </c>
      <c r="N4840" t="str">
        <f t="shared" si="242"/>
        <v>CO20:DG31</v>
      </c>
      <c r="O4840" s="4">
        <f t="shared" ca="1" si="240"/>
        <v>547565.86</v>
      </c>
    </row>
    <row r="4841" spans="1:15">
      <c r="A4841" s="2" t="s">
        <v>21</v>
      </c>
      <c r="B4841" t="s">
        <v>22</v>
      </c>
      <c r="D4841">
        <v>75</v>
      </c>
      <c r="E4841" t="s">
        <v>46</v>
      </c>
      <c r="F4841">
        <v>2</v>
      </c>
      <c r="G4841">
        <v>1</v>
      </c>
      <c r="H4841">
        <v>1</v>
      </c>
      <c r="I4841">
        <v>1</v>
      </c>
      <c r="J4841" s="4" t="s">
        <v>54</v>
      </c>
      <c r="K4841" t="str">
        <f t="shared" si="241"/>
        <v>1+1</v>
      </c>
      <c r="L4841">
        <f>VLOOKUP(A4841,'ZONE 1 PREMIUM'!$A$4:$N$16,14,0)</f>
        <v>12</v>
      </c>
      <c r="M4841">
        <f>VLOOKUP(D4841,DROPDOWN!B:C,2,0)</f>
        <v>14</v>
      </c>
      <c r="N4841" t="str">
        <f t="shared" si="242"/>
        <v>CO20:DG31</v>
      </c>
      <c r="O4841" s="4">
        <f t="shared" ca="1" si="240"/>
        <v>734075.76</v>
      </c>
    </row>
    <row r="4842" spans="1:15">
      <c r="A4842" s="2" t="s">
        <v>11</v>
      </c>
      <c r="B4842" t="s">
        <v>45</v>
      </c>
      <c r="C4842" t="s">
        <v>25</v>
      </c>
      <c r="D4842">
        <v>75</v>
      </c>
      <c r="E4842" t="s">
        <v>46</v>
      </c>
      <c r="F4842">
        <v>3</v>
      </c>
      <c r="G4842">
        <v>1</v>
      </c>
      <c r="H4842">
        <v>2</v>
      </c>
      <c r="I4842">
        <v>1</v>
      </c>
      <c r="J4842" s="4" t="s">
        <v>54</v>
      </c>
      <c r="K4842" t="str">
        <f t="shared" si="241"/>
        <v>1+2</v>
      </c>
      <c r="L4842">
        <f>VLOOKUP(A4842,'ZONE 1 PREMIUM'!$A$4:$N$16,14,0)</f>
        <v>2</v>
      </c>
      <c r="M4842">
        <f>VLOOKUP(D4842,DROPDOWN!B:C,2,0)</f>
        <v>14</v>
      </c>
      <c r="N4842" t="str">
        <f t="shared" si="242"/>
        <v>CO35:DG46</v>
      </c>
      <c r="O4842" s="4">
        <f t="shared" ca="1" si="240"/>
        <v>104977.90000000001</v>
      </c>
    </row>
    <row r="4843" spans="1:15">
      <c r="A4843" s="2" t="s">
        <v>12</v>
      </c>
      <c r="B4843" t="s">
        <v>27</v>
      </c>
      <c r="C4843" t="s">
        <v>28</v>
      </c>
      <c r="D4843">
        <v>75</v>
      </c>
      <c r="E4843" t="s">
        <v>46</v>
      </c>
      <c r="F4843">
        <v>3</v>
      </c>
      <c r="G4843">
        <v>1</v>
      </c>
      <c r="H4843">
        <v>2</v>
      </c>
      <c r="I4843">
        <v>1</v>
      </c>
      <c r="J4843" s="4" t="s">
        <v>54</v>
      </c>
      <c r="K4843" t="str">
        <f t="shared" si="241"/>
        <v>1+2</v>
      </c>
      <c r="L4843">
        <f>VLOOKUP(A4843,'ZONE 1 PREMIUM'!$A$4:$N$16,14,0)</f>
        <v>3</v>
      </c>
      <c r="M4843">
        <f>VLOOKUP(D4843,DROPDOWN!B:C,2,0)</f>
        <v>14</v>
      </c>
      <c r="N4843" t="str">
        <f t="shared" si="242"/>
        <v>CO35:DG46</v>
      </c>
      <c r="O4843" s="4">
        <f t="shared" ca="1" si="240"/>
        <v>114072.86000000002</v>
      </c>
    </row>
    <row r="4844" spans="1:15">
      <c r="A4844" s="2" t="s">
        <v>13</v>
      </c>
      <c r="B4844" t="s">
        <v>29</v>
      </c>
      <c r="C4844" t="s">
        <v>30</v>
      </c>
      <c r="D4844">
        <v>75</v>
      </c>
      <c r="E4844" t="s">
        <v>46</v>
      </c>
      <c r="F4844">
        <v>3</v>
      </c>
      <c r="G4844">
        <v>1</v>
      </c>
      <c r="H4844">
        <v>2</v>
      </c>
      <c r="I4844">
        <v>1</v>
      </c>
      <c r="J4844" s="4" t="s">
        <v>54</v>
      </c>
      <c r="K4844" t="str">
        <f t="shared" si="241"/>
        <v>1+2</v>
      </c>
      <c r="L4844">
        <f>VLOOKUP(A4844,'ZONE 1 PREMIUM'!$A$4:$N$16,14,0)</f>
        <v>4</v>
      </c>
      <c r="M4844">
        <f>VLOOKUP(D4844,DROPDOWN!B:C,2,0)</f>
        <v>14</v>
      </c>
      <c r="N4844" t="str">
        <f t="shared" si="242"/>
        <v>CO35:DG46</v>
      </c>
      <c r="O4844" s="4">
        <f t="shared" ca="1" si="240"/>
        <v>126932.68000000001</v>
      </c>
    </row>
    <row r="4845" spans="1:15">
      <c r="A4845" s="2" t="s">
        <v>14</v>
      </c>
      <c r="B4845" t="s">
        <v>31</v>
      </c>
      <c r="C4845" t="s">
        <v>32</v>
      </c>
      <c r="D4845">
        <v>75</v>
      </c>
      <c r="E4845" t="s">
        <v>46</v>
      </c>
      <c r="F4845">
        <v>3</v>
      </c>
      <c r="G4845">
        <v>1</v>
      </c>
      <c r="H4845">
        <v>2</v>
      </c>
      <c r="I4845">
        <v>1</v>
      </c>
      <c r="J4845" s="4" t="s">
        <v>54</v>
      </c>
      <c r="K4845" t="str">
        <f t="shared" si="241"/>
        <v>1+2</v>
      </c>
      <c r="L4845">
        <f>VLOOKUP(A4845,'ZONE 1 PREMIUM'!$A$4:$N$16,14,0)</f>
        <v>5</v>
      </c>
      <c r="M4845">
        <f>VLOOKUP(D4845,DROPDOWN!B:C,2,0)</f>
        <v>14</v>
      </c>
      <c r="N4845" t="str">
        <f t="shared" si="242"/>
        <v>CO35:DG46</v>
      </c>
      <c r="O4845" s="4">
        <f t="shared" ca="1" si="240"/>
        <v>141923.45000000001</v>
      </c>
    </row>
    <row r="4846" spans="1:15">
      <c r="A4846" s="2" t="s">
        <v>15</v>
      </c>
      <c r="B4846" t="s">
        <v>33</v>
      </c>
      <c r="C4846" t="s">
        <v>34</v>
      </c>
      <c r="D4846">
        <v>75</v>
      </c>
      <c r="E4846" t="s">
        <v>46</v>
      </c>
      <c r="F4846">
        <v>3</v>
      </c>
      <c r="G4846">
        <v>1</v>
      </c>
      <c r="H4846">
        <v>2</v>
      </c>
      <c r="I4846">
        <v>1</v>
      </c>
      <c r="J4846" s="4" t="s">
        <v>54</v>
      </c>
      <c r="K4846" t="str">
        <f t="shared" si="241"/>
        <v>1+2</v>
      </c>
      <c r="L4846">
        <f>VLOOKUP(A4846,'ZONE 1 PREMIUM'!$A$4:$N$16,14,0)</f>
        <v>6</v>
      </c>
      <c r="M4846">
        <f>VLOOKUP(D4846,DROPDOWN!B:C,2,0)</f>
        <v>14</v>
      </c>
      <c r="N4846" t="str">
        <f t="shared" si="242"/>
        <v>CO35:DG46</v>
      </c>
      <c r="O4846" s="4">
        <f t="shared" ca="1" si="240"/>
        <v>176783.83000000002</v>
      </c>
    </row>
    <row r="4847" spans="1:15">
      <c r="A4847" s="2" t="s">
        <v>16</v>
      </c>
      <c r="B4847" t="s">
        <v>35</v>
      </c>
      <c r="C4847" t="s">
        <v>36</v>
      </c>
      <c r="D4847">
        <v>75</v>
      </c>
      <c r="E4847" t="s">
        <v>46</v>
      </c>
      <c r="F4847">
        <v>3</v>
      </c>
      <c r="G4847">
        <v>1</v>
      </c>
      <c r="H4847">
        <v>2</v>
      </c>
      <c r="I4847">
        <v>1</v>
      </c>
      <c r="J4847" s="4" t="s">
        <v>54</v>
      </c>
      <c r="K4847" t="str">
        <f t="shared" si="241"/>
        <v>1+2</v>
      </c>
      <c r="L4847">
        <f>VLOOKUP(A4847,'ZONE 1 PREMIUM'!$A$4:$N$16,14,0)</f>
        <v>7</v>
      </c>
      <c r="M4847">
        <f>VLOOKUP(D4847,DROPDOWN!B:C,2,0)</f>
        <v>14</v>
      </c>
      <c r="N4847" t="str">
        <f t="shared" si="242"/>
        <v>CO35:DG46</v>
      </c>
      <c r="O4847" s="4">
        <f t="shared" ca="1" si="240"/>
        <v>235389.86000000002</v>
      </c>
    </row>
    <row r="4848" spans="1:15">
      <c r="A4848" s="2" t="s">
        <v>17</v>
      </c>
      <c r="B4848" t="s">
        <v>37</v>
      </c>
      <c r="C4848" t="s">
        <v>38</v>
      </c>
      <c r="D4848">
        <v>75</v>
      </c>
      <c r="E4848" t="s">
        <v>46</v>
      </c>
      <c r="F4848">
        <v>3</v>
      </c>
      <c r="G4848">
        <v>1</v>
      </c>
      <c r="H4848">
        <v>2</v>
      </c>
      <c r="I4848">
        <v>1</v>
      </c>
      <c r="J4848" s="4" t="s">
        <v>54</v>
      </c>
      <c r="K4848" t="str">
        <f t="shared" si="241"/>
        <v>1+2</v>
      </c>
      <c r="L4848">
        <f>VLOOKUP(A4848,'ZONE 1 PREMIUM'!$A$4:$N$16,14,0)</f>
        <v>8</v>
      </c>
      <c r="M4848">
        <f>VLOOKUP(D4848,DROPDOWN!B:C,2,0)</f>
        <v>14</v>
      </c>
      <c r="N4848" t="str">
        <f t="shared" si="242"/>
        <v>CO35:DG46</v>
      </c>
      <c r="O4848" s="4">
        <f t="shared" ca="1" si="240"/>
        <v>304057.68000000005</v>
      </c>
    </row>
    <row r="4849" spans="1:15">
      <c r="A4849" s="2" t="s">
        <v>18</v>
      </c>
      <c r="B4849" t="s">
        <v>39</v>
      </c>
      <c r="C4849" t="s">
        <v>40</v>
      </c>
      <c r="D4849">
        <v>75</v>
      </c>
      <c r="E4849" t="s">
        <v>46</v>
      </c>
      <c r="F4849">
        <v>3</v>
      </c>
      <c r="G4849">
        <v>1</v>
      </c>
      <c r="H4849">
        <v>2</v>
      </c>
      <c r="I4849">
        <v>1</v>
      </c>
      <c r="J4849" s="4" t="s">
        <v>54</v>
      </c>
      <c r="K4849" t="str">
        <f t="shared" si="241"/>
        <v>1+2</v>
      </c>
      <c r="L4849">
        <f>VLOOKUP(A4849,'ZONE 1 PREMIUM'!$A$4:$N$16,14,0)</f>
        <v>9</v>
      </c>
      <c r="M4849">
        <f>VLOOKUP(D4849,DROPDOWN!B:C,2,0)</f>
        <v>14</v>
      </c>
      <c r="N4849" t="str">
        <f t="shared" si="242"/>
        <v>CO35:DG46</v>
      </c>
      <c r="O4849" s="4">
        <f t="shared" ca="1" si="240"/>
        <v>398722.00000000006</v>
      </c>
    </row>
    <row r="4850" spans="1:15">
      <c r="A4850" s="2" t="s">
        <v>19</v>
      </c>
      <c r="B4850" t="s">
        <v>41</v>
      </c>
      <c r="C4850" t="s">
        <v>42</v>
      </c>
      <c r="D4850">
        <v>75</v>
      </c>
      <c r="E4850" t="s">
        <v>46</v>
      </c>
      <c r="F4850">
        <v>3</v>
      </c>
      <c r="G4850">
        <v>1</v>
      </c>
      <c r="H4850">
        <v>2</v>
      </c>
      <c r="I4850">
        <v>1</v>
      </c>
      <c r="J4850" s="4" t="s">
        <v>54</v>
      </c>
      <c r="K4850" t="str">
        <f t="shared" si="241"/>
        <v>1+2</v>
      </c>
      <c r="L4850">
        <f>VLOOKUP(A4850,'ZONE 1 PREMIUM'!$A$4:$N$16,14,0)</f>
        <v>10</v>
      </c>
      <c r="M4850">
        <f>VLOOKUP(D4850,DROPDOWN!B:C,2,0)</f>
        <v>14</v>
      </c>
      <c r="N4850" t="str">
        <f t="shared" si="242"/>
        <v>CO35:DG46</v>
      </c>
      <c r="O4850" s="4">
        <f t="shared" ca="1" si="240"/>
        <v>507779.77</v>
      </c>
    </row>
    <row r="4851" spans="1:15">
      <c r="A4851" s="2" t="s">
        <v>20</v>
      </c>
      <c r="B4851" t="s">
        <v>43</v>
      </c>
      <c r="C4851" t="s">
        <v>44</v>
      </c>
      <c r="D4851">
        <v>75</v>
      </c>
      <c r="E4851" t="s">
        <v>46</v>
      </c>
      <c r="F4851">
        <v>3</v>
      </c>
      <c r="G4851">
        <v>1</v>
      </c>
      <c r="H4851">
        <v>2</v>
      </c>
      <c r="I4851">
        <v>1</v>
      </c>
      <c r="J4851" s="4" t="s">
        <v>54</v>
      </c>
      <c r="K4851" t="str">
        <f t="shared" si="241"/>
        <v>1+2</v>
      </c>
      <c r="L4851">
        <f>VLOOKUP(A4851,'ZONE 1 PREMIUM'!$A$4:$N$16,14,0)</f>
        <v>11</v>
      </c>
      <c r="M4851">
        <f>VLOOKUP(D4851,DROPDOWN!B:C,2,0)</f>
        <v>14</v>
      </c>
      <c r="N4851" t="str">
        <f t="shared" si="242"/>
        <v>CO35:DG46</v>
      </c>
      <c r="O4851" s="4">
        <f t="shared" ca="1" si="240"/>
        <v>593506.09000000008</v>
      </c>
    </row>
    <row r="4852" spans="1:15">
      <c r="A4852" s="2" t="s">
        <v>21</v>
      </c>
      <c r="B4852" t="s">
        <v>22</v>
      </c>
      <c r="D4852">
        <v>75</v>
      </c>
      <c r="E4852" t="s">
        <v>46</v>
      </c>
      <c r="F4852">
        <v>3</v>
      </c>
      <c r="G4852">
        <v>1</v>
      </c>
      <c r="H4852">
        <v>2</v>
      </c>
      <c r="I4852">
        <v>1</v>
      </c>
      <c r="J4852" s="4" t="s">
        <v>54</v>
      </c>
      <c r="K4852" t="str">
        <f t="shared" si="241"/>
        <v>1+2</v>
      </c>
      <c r="L4852">
        <f>VLOOKUP(A4852,'ZONE 1 PREMIUM'!$A$4:$N$16,14,0)</f>
        <v>12</v>
      </c>
      <c r="M4852">
        <f>VLOOKUP(D4852,DROPDOWN!B:C,2,0)</f>
        <v>14</v>
      </c>
      <c r="N4852" t="str">
        <f t="shared" si="242"/>
        <v>CO35:DG46</v>
      </c>
      <c r="O4852" s="4">
        <f t="shared" ca="1" si="240"/>
        <v>767128.92</v>
      </c>
    </row>
    <row r="4853" spans="1:15">
      <c r="A4853" s="2" t="s">
        <v>11</v>
      </c>
      <c r="B4853" t="s">
        <v>45</v>
      </c>
      <c r="C4853" t="s">
        <v>25</v>
      </c>
      <c r="D4853">
        <v>75</v>
      </c>
      <c r="E4853" t="s">
        <v>46</v>
      </c>
      <c r="F4853">
        <v>4</v>
      </c>
      <c r="G4853">
        <v>1</v>
      </c>
      <c r="H4853">
        <v>3</v>
      </c>
      <c r="I4853">
        <v>1</v>
      </c>
      <c r="J4853" s="4" t="s">
        <v>54</v>
      </c>
      <c r="K4853" t="str">
        <f t="shared" si="241"/>
        <v>1+3</v>
      </c>
      <c r="L4853">
        <f>VLOOKUP(A4853,'ZONE 1 PREMIUM'!$A$4:$N$16,14,0)</f>
        <v>2</v>
      </c>
      <c r="M4853">
        <f>VLOOKUP(D4853,DROPDOWN!B:C,2,0)</f>
        <v>14</v>
      </c>
      <c r="N4853" t="str">
        <f t="shared" si="242"/>
        <v>CO50:DG61</v>
      </c>
      <c r="O4853" s="4">
        <f t="shared" ca="1" si="240"/>
        <v>126498.86000000002</v>
      </c>
    </row>
    <row r="4854" spans="1:15">
      <c r="A4854" s="2" t="s">
        <v>12</v>
      </c>
      <c r="B4854" t="s">
        <v>27</v>
      </c>
      <c r="C4854" t="s">
        <v>28</v>
      </c>
      <c r="D4854">
        <v>75</v>
      </c>
      <c r="E4854" t="s">
        <v>46</v>
      </c>
      <c r="F4854">
        <v>4</v>
      </c>
      <c r="G4854">
        <v>1</v>
      </c>
      <c r="H4854">
        <v>3</v>
      </c>
      <c r="I4854">
        <v>1</v>
      </c>
      <c r="J4854" s="4" t="s">
        <v>54</v>
      </c>
      <c r="K4854" t="str">
        <f t="shared" si="241"/>
        <v>1+3</v>
      </c>
      <c r="L4854">
        <f>VLOOKUP(A4854,'ZONE 1 PREMIUM'!$A$4:$N$16,14,0)</f>
        <v>3</v>
      </c>
      <c r="M4854">
        <f>VLOOKUP(D4854,DROPDOWN!B:C,2,0)</f>
        <v>14</v>
      </c>
      <c r="N4854" t="str">
        <f t="shared" si="242"/>
        <v>CO50:DG61</v>
      </c>
      <c r="O4854" s="4">
        <f t="shared" ca="1" si="240"/>
        <v>135273.36000000002</v>
      </c>
    </row>
    <row r="4855" spans="1:15">
      <c r="A4855" s="2" t="s">
        <v>13</v>
      </c>
      <c r="B4855" t="s">
        <v>29</v>
      </c>
      <c r="C4855" t="s">
        <v>30</v>
      </c>
      <c r="D4855">
        <v>75</v>
      </c>
      <c r="E4855" t="s">
        <v>46</v>
      </c>
      <c r="F4855">
        <v>4</v>
      </c>
      <c r="G4855">
        <v>1</v>
      </c>
      <c r="H4855">
        <v>3</v>
      </c>
      <c r="I4855">
        <v>1</v>
      </c>
      <c r="J4855" s="4" t="s">
        <v>54</v>
      </c>
      <c r="K4855" t="str">
        <f t="shared" si="241"/>
        <v>1+3</v>
      </c>
      <c r="L4855">
        <f>VLOOKUP(A4855,'ZONE 1 PREMIUM'!$A$4:$N$16,14,0)</f>
        <v>4</v>
      </c>
      <c r="M4855">
        <f>VLOOKUP(D4855,DROPDOWN!B:C,2,0)</f>
        <v>14</v>
      </c>
      <c r="N4855" t="str">
        <f t="shared" si="242"/>
        <v>CO50:DG61</v>
      </c>
      <c r="O4855" s="4">
        <f t="shared" ca="1" si="240"/>
        <v>151513.27000000002</v>
      </c>
    </row>
    <row r="4856" spans="1:15">
      <c r="A4856" s="2" t="s">
        <v>14</v>
      </c>
      <c r="B4856" t="s">
        <v>31</v>
      </c>
      <c r="C4856" t="s">
        <v>32</v>
      </c>
      <c r="D4856">
        <v>75</v>
      </c>
      <c r="E4856" t="s">
        <v>46</v>
      </c>
      <c r="F4856">
        <v>4</v>
      </c>
      <c r="G4856">
        <v>1</v>
      </c>
      <c r="H4856">
        <v>3</v>
      </c>
      <c r="I4856">
        <v>1</v>
      </c>
      <c r="J4856" s="4" t="s">
        <v>54</v>
      </c>
      <c r="K4856" t="str">
        <f t="shared" si="241"/>
        <v>1+3</v>
      </c>
      <c r="L4856">
        <f>VLOOKUP(A4856,'ZONE 1 PREMIUM'!$A$4:$N$16,14,0)</f>
        <v>5</v>
      </c>
      <c r="M4856">
        <f>VLOOKUP(D4856,DROPDOWN!B:C,2,0)</f>
        <v>14</v>
      </c>
      <c r="N4856" t="str">
        <f t="shared" si="242"/>
        <v>CO50:DG61</v>
      </c>
      <c r="O4856" s="4">
        <f t="shared" ca="1" si="240"/>
        <v>168230.6</v>
      </c>
    </row>
    <row r="4857" spans="1:15">
      <c r="A4857" s="2" t="s">
        <v>15</v>
      </c>
      <c r="B4857" t="s">
        <v>33</v>
      </c>
      <c r="C4857" t="s">
        <v>34</v>
      </c>
      <c r="D4857">
        <v>75</v>
      </c>
      <c r="E4857" t="s">
        <v>46</v>
      </c>
      <c r="F4857">
        <v>4</v>
      </c>
      <c r="G4857">
        <v>1</v>
      </c>
      <c r="H4857">
        <v>3</v>
      </c>
      <c r="I4857">
        <v>1</v>
      </c>
      <c r="J4857" s="4" t="s">
        <v>54</v>
      </c>
      <c r="K4857" t="str">
        <f t="shared" si="241"/>
        <v>1+3</v>
      </c>
      <c r="L4857">
        <f>VLOOKUP(A4857,'ZONE 1 PREMIUM'!$A$4:$N$16,14,0)</f>
        <v>6</v>
      </c>
      <c r="M4857">
        <f>VLOOKUP(D4857,DROPDOWN!B:C,2,0)</f>
        <v>14</v>
      </c>
      <c r="N4857" t="str">
        <f t="shared" si="242"/>
        <v>CO50:DG61</v>
      </c>
      <c r="O4857" s="4">
        <f t="shared" ca="1" si="240"/>
        <v>206231.27000000002</v>
      </c>
    </row>
    <row r="4858" spans="1:15">
      <c r="A4858" s="2" t="s">
        <v>16</v>
      </c>
      <c r="B4858" t="s">
        <v>35</v>
      </c>
      <c r="C4858" t="s">
        <v>36</v>
      </c>
      <c r="D4858">
        <v>75</v>
      </c>
      <c r="E4858" t="s">
        <v>46</v>
      </c>
      <c r="F4858">
        <v>4</v>
      </c>
      <c r="G4858">
        <v>1</v>
      </c>
      <c r="H4858">
        <v>3</v>
      </c>
      <c r="I4858">
        <v>1</v>
      </c>
      <c r="J4858" s="4" t="s">
        <v>54</v>
      </c>
      <c r="K4858" t="str">
        <f t="shared" si="241"/>
        <v>1+3</v>
      </c>
      <c r="L4858">
        <f>VLOOKUP(A4858,'ZONE 1 PREMIUM'!$A$4:$N$16,14,0)</f>
        <v>7</v>
      </c>
      <c r="M4858">
        <f>VLOOKUP(D4858,DROPDOWN!B:C,2,0)</f>
        <v>14</v>
      </c>
      <c r="N4858" t="str">
        <f t="shared" si="242"/>
        <v>CO50:DG61</v>
      </c>
      <c r="O4858" s="4">
        <f t="shared" ca="1" si="240"/>
        <v>267422.78000000003</v>
      </c>
    </row>
    <row r="4859" spans="1:15">
      <c r="A4859" s="2" t="s">
        <v>17</v>
      </c>
      <c r="B4859" t="s">
        <v>37</v>
      </c>
      <c r="C4859" t="s">
        <v>38</v>
      </c>
      <c r="D4859">
        <v>75</v>
      </c>
      <c r="E4859" t="s">
        <v>46</v>
      </c>
      <c r="F4859">
        <v>4</v>
      </c>
      <c r="G4859">
        <v>1</v>
      </c>
      <c r="H4859">
        <v>3</v>
      </c>
      <c r="I4859">
        <v>1</v>
      </c>
      <c r="J4859" s="4" t="s">
        <v>54</v>
      </c>
      <c r="K4859" t="str">
        <f t="shared" si="241"/>
        <v>1+3</v>
      </c>
      <c r="L4859">
        <f>VLOOKUP(A4859,'ZONE 1 PREMIUM'!$A$4:$N$16,14,0)</f>
        <v>8</v>
      </c>
      <c r="M4859">
        <f>VLOOKUP(D4859,DROPDOWN!B:C,2,0)</f>
        <v>14</v>
      </c>
      <c r="N4859" t="str">
        <f t="shared" si="242"/>
        <v>CO50:DG61</v>
      </c>
      <c r="O4859" s="4">
        <f t="shared" ca="1" si="240"/>
        <v>331684.82</v>
      </c>
    </row>
    <row r="4860" spans="1:15">
      <c r="A4860" s="2" t="s">
        <v>18</v>
      </c>
      <c r="B4860" t="s">
        <v>39</v>
      </c>
      <c r="C4860" t="s">
        <v>40</v>
      </c>
      <c r="D4860">
        <v>75</v>
      </c>
      <c r="E4860" t="s">
        <v>46</v>
      </c>
      <c r="F4860">
        <v>4</v>
      </c>
      <c r="G4860">
        <v>1</v>
      </c>
      <c r="H4860">
        <v>3</v>
      </c>
      <c r="I4860">
        <v>1</v>
      </c>
      <c r="J4860" s="4" t="s">
        <v>54</v>
      </c>
      <c r="K4860" t="str">
        <f t="shared" si="241"/>
        <v>1+3</v>
      </c>
      <c r="L4860">
        <f>VLOOKUP(A4860,'ZONE 1 PREMIUM'!$A$4:$N$16,14,0)</f>
        <v>9</v>
      </c>
      <c r="M4860">
        <f>VLOOKUP(D4860,DROPDOWN!B:C,2,0)</f>
        <v>14</v>
      </c>
      <c r="N4860" t="str">
        <f t="shared" si="242"/>
        <v>CO50:DG61</v>
      </c>
      <c r="O4860" s="4">
        <f t="shared" ca="1" si="240"/>
        <v>429393.51</v>
      </c>
    </row>
    <row r="4861" spans="1:15">
      <c r="A4861" s="2" t="s">
        <v>19</v>
      </c>
      <c r="B4861" t="s">
        <v>41</v>
      </c>
      <c r="C4861" t="s">
        <v>42</v>
      </c>
      <c r="D4861">
        <v>75</v>
      </c>
      <c r="E4861" t="s">
        <v>46</v>
      </c>
      <c r="F4861">
        <v>4</v>
      </c>
      <c r="G4861">
        <v>1</v>
      </c>
      <c r="H4861">
        <v>3</v>
      </c>
      <c r="I4861">
        <v>1</v>
      </c>
      <c r="J4861" s="4" t="s">
        <v>54</v>
      </c>
      <c r="K4861" t="str">
        <f t="shared" si="241"/>
        <v>1+3</v>
      </c>
      <c r="L4861">
        <f>VLOOKUP(A4861,'ZONE 1 PREMIUM'!$A$4:$N$16,14,0)</f>
        <v>10</v>
      </c>
      <c r="M4861">
        <f>VLOOKUP(D4861,DROPDOWN!B:C,2,0)</f>
        <v>14</v>
      </c>
      <c r="N4861" t="str">
        <f t="shared" si="242"/>
        <v>CO50:DG61</v>
      </c>
      <c r="O4861" s="4">
        <f t="shared" ca="1" si="240"/>
        <v>531355.38</v>
      </c>
    </row>
    <row r="4862" spans="1:15">
      <c r="A4862" s="2" t="s">
        <v>20</v>
      </c>
      <c r="B4862" t="s">
        <v>43</v>
      </c>
      <c r="C4862" t="s">
        <v>44</v>
      </c>
      <c r="D4862">
        <v>75</v>
      </c>
      <c r="E4862" t="s">
        <v>46</v>
      </c>
      <c r="F4862">
        <v>4</v>
      </c>
      <c r="G4862">
        <v>1</v>
      </c>
      <c r="H4862">
        <v>3</v>
      </c>
      <c r="I4862">
        <v>1</v>
      </c>
      <c r="J4862" s="4" t="s">
        <v>54</v>
      </c>
      <c r="K4862" t="str">
        <f t="shared" si="241"/>
        <v>1+3</v>
      </c>
      <c r="L4862">
        <f>VLOOKUP(A4862,'ZONE 1 PREMIUM'!$A$4:$N$16,14,0)</f>
        <v>11</v>
      </c>
      <c r="M4862">
        <f>VLOOKUP(D4862,DROPDOWN!B:C,2,0)</f>
        <v>14</v>
      </c>
      <c r="N4862" t="str">
        <f t="shared" si="242"/>
        <v>CO50:DG61</v>
      </c>
      <c r="O4862" s="4">
        <f t="shared" ca="1" si="240"/>
        <v>615655.9800000001</v>
      </c>
    </row>
    <row r="4863" spans="1:15">
      <c r="A4863" s="2" t="s">
        <v>21</v>
      </c>
      <c r="B4863" t="s">
        <v>22</v>
      </c>
      <c r="D4863">
        <v>75</v>
      </c>
      <c r="E4863" t="s">
        <v>46</v>
      </c>
      <c r="F4863">
        <v>4</v>
      </c>
      <c r="G4863">
        <v>1</v>
      </c>
      <c r="H4863">
        <v>3</v>
      </c>
      <c r="I4863">
        <v>1</v>
      </c>
      <c r="J4863" s="4" t="s">
        <v>54</v>
      </c>
      <c r="K4863" t="str">
        <f t="shared" si="241"/>
        <v>1+3</v>
      </c>
      <c r="L4863">
        <f>VLOOKUP(A4863,'ZONE 1 PREMIUM'!$A$4:$N$16,14,0)</f>
        <v>12</v>
      </c>
      <c r="M4863">
        <f>VLOOKUP(D4863,DROPDOWN!B:C,2,0)</f>
        <v>14</v>
      </c>
      <c r="N4863" t="str">
        <f t="shared" si="242"/>
        <v>CO50:DG61</v>
      </c>
      <c r="O4863" s="4">
        <f t="shared" ca="1" si="240"/>
        <v>790918.17</v>
      </c>
    </row>
    <row r="4864" spans="1:15">
      <c r="A4864" s="2" t="s">
        <v>11</v>
      </c>
      <c r="B4864" t="s">
        <v>45</v>
      </c>
      <c r="C4864" t="s">
        <v>25</v>
      </c>
      <c r="D4864">
        <v>75</v>
      </c>
      <c r="E4864" t="s">
        <v>46</v>
      </c>
      <c r="F4864">
        <v>5</v>
      </c>
      <c r="G4864">
        <v>1</v>
      </c>
      <c r="H4864">
        <v>4</v>
      </c>
      <c r="I4864">
        <v>1</v>
      </c>
      <c r="J4864" s="4" t="s">
        <v>54</v>
      </c>
      <c r="K4864" t="str">
        <f t="shared" si="241"/>
        <v>1+4</v>
      </c>
      <c r="L4864">
        <f>VLOOKUP(A4864,'ZONE 1 PREMIUM'!$A$4:$N$16,14,0)</f>
        <v>2</v>
      </c>
      <c r="M4864">
        <f>VLOOKUP(D4864,DROPDOWN!B:C,2,0)</f>
        <v>14</v>
      </c>
      <c r="N4864" t="str">
        <f t="shared" si="242"/>
        <v>CO65:DG76</v>
      </c>
      <c r="O4864" s="4">
        <f t="shared" ca="1" si="240"/>
        <v>148019.82</v>
      </c>
    </row>
    <row r="4865" spans="1:15">
      <c r="A4865" s="2" t="s">
        <v>12</v>
      </c>
      <c r="B4865" t="s">
        <v>27</v>
      </c>
      <c r="C4865" t="s">
        <v>28</v>
      </c>
      <c r="D4865">
        <v>75</v>
      </c>
      <c r="E4865" t="s">
        <v>46</v>
      </c>
      <c r="F4865">
        <v>5</v>
      </c>
      <c r="G4865">
        <v>1</v>
      </c>
      <c r="H4865">
        <v>4</v>
      </c>
      <c r="I4865">
        <v>1</v>
      </c>
      <c r="J4865" s="4" t="s">
        <v>54</v>
      </c>
      <c r="K4865" t="str">
        <f t="shared" si="241"/>
        <v>1+4</v>
      </c>
      <c r="L4865">
        <f>VLOOKUP(A4865,'ZONE 1 PREMIUM'!$A$4:$N$16,14,0)</f>
        <v>3</v>
      </c>
      <c r="M4865">
        <f>VLOOKUP(D4865,DROPDOWN!B:C,2,0)</f>
        <v>14</v>
      </c>
      <c r="N4865" t="str">
        <f t="shared" si="242"/>
        <v>CO65:DG76</v>
      </c>
      <c r="O4865" s="4">
        <f t="shared" ca="1" si="240"/>
        <v>156473.86000000002</v>
      </c>
    </row>
    <row r="4866" spans="1:15">
      <c r="A4866" s="2" t="s">
        <v>13</v>
      </c>
      <c r="B4866" t="s">
        <v>29</v>
      </c>
      <c r="C4866" t="s">
        <v>30</v>
      </c>
      <c r="D4866">
        <v>75</v>
      </c>
      <c r="E4866" t="s">
        <v>46</v>
      </c>
      <c r="F4866">
        <v>5</v>
      </c>
      <c r="G4866">
        <v>1</v>
      </c>
      <c r="H4866">
        <v>4</v>
      </c>
      <c r="I4866">
        <v>1</v>
      </c>
      <c r="J4866" s="4" t="s">
        <v>54</v>
      </c>
      <c r="K4866" t="str">
        <f t="shared" si="241"/>
        <v>1+4</v>
      </c>
      <c r="L4866">
        <f>VLOOKUP(A4866,'ZONE 1 PREMIUM'!$A$4:$N$16,14,0)</f>
        <v>4</v>
      </c>
      <c r="M4866">
        <f>VLOOKUP(D4866,DROPDOWN!B:C,2,0)</f>
        <v>14</v>
      </c>
      <c r="N4866" t="str">
        <f t="shared" si="242"/>
        <v>CO65:DG76</v>
      </c>
      <c r="O4866" s="4">
        <f t="shared" ref="O4866:O4929" ca="1" si="243">INDEX(INDIRECT(N4866),L4866,M4866)</f>
        <v>176092.77000000002</v>
      </c>
    </row>
    <row r="4867" spans="1:15">
      <c r="A4867" s="2" t="s">
        <v>14</v>
      </c>
      <c r="B4867" t="s">
        <v>31</v>
      </c>
      <c r="C4867" t="s">
        <v>32</v>
      </c>
      <c r="D4867">
        <v>75</v>
      </c>
      <c r="E4867" t="s">
        <v>46</v>
      </c>
      <c r="F4867">
        <v>5</v>
      </c>
      <c r="G4867">
        <v>1</v>
      </c>
      <c r="H4867">
        <v>4</v>
      </c>
      <c r="I4867">
        <v>1</v>
      </c>
      <c r="J4867" s="4" t="s">
        <v>54</v>
      </c>
      <c r="K4867" t="str">
        <f t="shared" si="241"/>
        <v>1+4</v>
      </c>
      <c r="L4867">
        <f>VLOOKUP(A4867,'ZONE 1 PREMIUM'!$A$4:$N$16,14,0)</f>
        <v>5</v>
      </c>
      <c r="M4867">
        <f>VLOOKUP(D4867,DROPDOWN!B:C,2,0)</f>
        <v>14</v>
      </c>
      <c r="N4867" t="str">
        <f t="shared" si="242"/>
        <v>CO65:DG76</v>
      </c>
      <c r="O4867" s="4">
        <f t="shared" ca="1" si="243"/>
        <v>194536.66</v>
      </c>
    </row>
    <row r="4868" spans="1:15">
      <c r="A4868" s="2" t="s">
        <v>15</v>
      </c>
      <c r="B4868" t="s">
        <v>33</v>
      </c>
      <c r="C4868" t="s">
        <v>34</v>
      </c>
      <c r="D4868">
        <v>75</v>
      </c>
      <c r="E4868" t="s">
        <v>46</v>
      </c>
      <c r="F4868">
        <v>5</v>
      </c>
      <c r="G4868">
        <v>1</v>
      </c>
      <c r="H4868">
        <v>4</v>
      </c>
      <c r="I4868">
        <v>1</v>
      </c>
      <c r="J4868" s="4" t="s">
        <v>54</v>
      </c>
      <c r="K4868" t="str">
        <f t="shared" ref="K4868:K4929" si="244">G4868&amp;"+"&amp;H4868</f>
        <v>1+4</v>
      </c>
      <c r="L4868">
        <f>VLOOKUP(A4868,'ZONE 1 PREMIUM'!$A$4:$N$16,14,0)</f>
        <v>6</v>
      </c>
      <c r="M4868">
        <f>VLOOKUP(D4868,DROPDOWN!B:C,2,0)</f>
        <v>14</v>
      </c>
      <c r="N4868" t="str">
        <f t="shared" si="242"/>
        <v>CO65:DG76</v>
      </c>
      <c r="O4868" s="4">
        <f t="shared" ca="1" si="243"/>
        <v>235678.71000000002</v>
      </c>
    </row>
    <row r="4869" spans="1:15">
      <c r="A4869" s="2" t="s">
        <v>16</v>
      </c>
      <c r="B4869" t="s">
        <v>35</v>
      </c>
      <c r="C4869" t="s">
        <v>36</v>
      </c>
      <c r="D4869">
        <v>75</v>
      </c>
      <c r="E4869" t="s">
        <v>46</v>
      </c>
      <c r="F4869">
        <v>5</v>
      </c>
      <c r="G4869">
        <v>1</v>
      </c>
      <c r="H4869">
        <v>4</v>
      </c>
      <c r="I4869">
        <v>1</v>
      </c>
      <c r="J4869" s="4" t="s">
        <v>54</v>
      </c>
      <c r="K4869" t="str">
        <f t="shared" si="244"/>
        <v>1+4</v>
      </c>
      <c r="L4869">
        <f>VLOOKUP(A4869,'ZONE 1 PREMIUM'!$A$4:$N$16,14,0)</f>
        <v>7</v>
      </c>
      <c r="M4869">
        <f>VLOOKUP(D4869,DROPDOWN!B:C,2,0)</f>
        <v>14</v>
      </c>
      <c r="N4869" t="str">
        <f t="shared" si="242"/>
        <v>CO65:DG76</v>
      </c>
      <c r="O4869" s="4">
        <f t="shared" ca="1" si="243"/>
        <v>293759.36000000004</v>
      </c>
    </row>
    <row r="4870" spans="1:15">
      <c r="A4870" s="2" t="s">
        <v>17</v>
      </c>
      <c r="B4870" t="s">
        <v>37</v>
      </c>
      <c r="C4870" t="s">
        <v>38</v>
      </c>
      <c r="D4870">
        <v>75</v>
      </c>
      <c r="E4870" t="s">
        <v>46</v>
      </c>
      <c r="F4870">
        <v>5</v>
      </c>
      <c r="G4870">
        <v>1</v>
      </c>
      <c r="H4870">
        <v>4</v>
      </c>
      <c r="I4870">
        <v>1</v>
      </c>
      <c r="J4870" s="4" t="s">
        <v>54</v>
      </c>
      <c r="K4870" t="str">
        <f t="shared" si="244"/>
        <v>1+4</v>
      </c>
      <c r="L4870">
        <f>VLOOKUP(A4870,'ZONE 1 PREMIUM'!$A$4:$N$16,14,0)</f>
        <v>8</v>
      </c>
      <c r="M4870">
        <f>VLOOKUP(D4870,DROPDOWN!B:C,2,0)</f>
        <v>14</v>
      </c>
      <c r="N4870" t="str">
        <f t="shared" si="242"/>
        <v>CO65:DG76</v>
      </c>
      <c r="O4870" s="4">
        <f t="shared" ca="1" si="243"/>
        <v>356791.88</v>
      </c>
    </row>
    <row r="4871" spans="1:15">
      <c r="A4871" s="2" t="s">
        <v>18</v>
      </c>
      <c r="B4871" t="s">
        <v>39</v>
      </c>
      <c r="C4871" t="s">
        <v>40</v>
      </c>
      <c r="D4871">
        <v>75</v>
      </c>
      <c r="E4871" t="s">
        <v>46</v>
      </c>
      <c r="F4871">
        <v>5</v>
      </c>
      <c r="G4871">
        <v>1</v>
      </c>
      <c r="H4871">
        <v>4</v>
      </c>
      <c r="I4871">
        <v>1</v>
      </c>
      <c r="J4871" s="4" t="s">
        <v>54</v>
      </c>
      <c r="K4871" t="str">
        <f t="shared" si="244"/>
        <v>1+4</v>
      </c>
      <c r="L4871">
        <f>VLOOKUP(A4871,'ZONE 1 PREMIUM'!$A$4:$N$16,14,0)</f>
        <v>9</v>
      </c>
      <c r="M4871">
        <f>VLOOKUP(D4871,DROPDOWN!B:C,2,0)</f>
        <v>14</v>
      </c>
      <c r="N4871" t="str">
        <f t="shared" si="242"/>
        <v>CO65:DG76</v>
      </c>
      <c r="O4871" s="4">
        <f t="shared" ca="1" si="243"/>
        <v>454906.05000000005</v>
      </c>
    </row>
    <row r="4872" spans="1:15">
      <c r="A4872" s="2" t="s">
        <v>19</v>
      </c>
      <c r="B4872" t="s">
        <v>41</v>
      </c>
      <c r="C4872" t="s">
        <v>42</v>
      </c>
      <c r="D4872">
        <v>75</v>
      </c>
      <c r="E4872" t="s">
        <v>46</v>
      </c>
      <c r="F4872">
        <v>5</v>
      </c>
      <c r="G4872">
        <v>1</v>
      </c>
      <c r="H4872">
        <v>4</v>
      </c>
      <c r="I4872">
        <v>1</v>
      </c>
      <c r="J4872" s="4" t="s">
        <v>54</v>
      </c>
      <c r="K4872" t="str">
        <f t="shared" si="244"/>
        <v>1+4</v>
      </c>
      <c r="L4872">
        <f>VLOOKUP(A4872,'ZONE 1 PREMIUM'!$A$4:$N$16,14,0)</f>
        <v>10</v>
      </c>
      <c r="M4872">
        <f>VLOOKUP(D4872,DROPDOWN!B:C,2,0)</f>
        <v>14</v>
      </c>
      <c r="N4872" t="str">
        <f t="shared" si="242"/>
        <v>CO65:DG76</v>
      </c>
      <c r="O4872" s="4">
        <f t="shared" ca="1" si="243"/>
        <v>556067.86</v>
      </c>
    </row>
    <row r="4873" spans="1:15">
      <c r="A4873" s="2" t="s">
        <v>20</v>
      </c>
      <c r="B4873" t="s">
        <v>43</v>
      </c>
      <c r="C4873" t="s">
        <v>44</v>
      </c>
      <c r="D4873">
        <v>75</v>
      </c>
      <c r="E4873" t="s">
        <v>46</v>
      </c>
      <c r="F4873">
        <v>5</v>
      </c>
      <c r="G4873">
        <v>1</v>
      </c>
      <c r="H4873">
        <v>4</v>
      </c>
      <c r="I4873">
        <v>1</v>
      </c>
      <c r="J4873" s="4" t="s">
        <v>54</v>
      </c>
      <c r="K4873" t="str">
        <f t="shared" si="244"/>
        <v>1+4</v>
      </c>
      <c r="L4873">
        <f>VLOOKUP(A4873,'ZONE 1 PREMIUM'!$A$4:$N$16,14,0)</f>
        <v>11</v>
      </c>
      <c r="M4873">
        <f>VLOOKUP(D4873,DROPDOWN!B:C,2,0)</f>
        <v>14</v>
      </c>
      <c r="N4873" t="str">
        <f t="shared" si="242"/>
        <v>CO65:DG76</v>
      </c>
      <c r="O4873" s="4">
        <f t="shared" ca="1" si="243"/>
        <v>640448.03</v>
      </c>
    </row>
    <row r="4874" spans="1:15">
      <c r="A4874" s="2" t="s">
        <v>21</v>
      </c>
      <c r="B4874" t="s">
        <v>22</v>
      </c>
      <c r="D4874">
        <v>75</v>
      </c>
      <c r="E4874" t="s">
        <v>46</v>
      </c>
      <c r="F4874">
        <v>5</v>
      </c>
      <c r="G4874">
        <v>1</v>
      </c>
      <c r="H4874">
        <v>4</v>
      </c>
      <c r="I4874">
        <v>1</v>
      </c>
      <c r="J4874" s="4" t="s">
        <v>54</v>
      </c>
      <c r="K4874" t="str">
        <f t="shared" si="244"/>
        <v>1+4</v>
      </c>
      <c r="L4874">
        <f>VLOOKUP(A4874,'ZONE 1 PREMIUM'!$A$4:$N$16,14,0)</f>
        <v>12</v>
      </c>
      <c r="M4874">
        <f>VLOOKUP(D4874,DROPDOWN!B:C,2,0)</f>
        <v>14</v>
      </c>
      <c r="N4874" t="str">
        <f t="shared" si="242"/>
        <v>CO65:DG76</v>
      </c>
      <c r="O4874" s="4">
        <f t="shared" ca="1" si="243"/>
        <v>816662.88</v>
      </c>
    </row>
    <row r="4875" spans="1:15">
      <c r="A4875" s="2" t="s">
        <v>11</v>
      </c>
      <c r="B4875" t="s">
        <v>45</v>
      </c>
      <c r="C4875" t="s">
        <v>25</v>
      </c>
      <c r="D4875">
        <v>75</v>
      </c>
      <c r="E4875" t="s">
        <v>46</v>
      </c>
      <c r="F4875">
        <v>2</v>
      </c>
      <c r="G4875">
        <v>2</v>
      </c>
      <c r="H4875">
        <v>0</v>
      </c>
      <c r="I4875">
        <v>1</v>
      </c>
      <c r="J4875" s="4" t="s">
        <v>54</v>
      </c>
      <c r="K4875" t="str">
        <f t="shared" si="244"/>
        <v>2+0</v>
      </c>
      <c r="L4875">
        <f>VLOOKUP(A4875,'ZONE 1 PREMIUM'!$A$4:$N$16,14,0)</f>
        <v>2</v>
      </c>
      <c r="M4875">
        <f>VLOOKUP(D4875,DROPDOWN!B:C,2,0)</f>
        <v>14</v>
      </c>
      <c r="N4875" t="str">
        <f t="shared" si="242"/>
        <v>CO81:DG92</v>
      </c>
      <c r="O4875" s="4">
        <f t="shared" ca="1" si="243"/>
        <v>123576.57</v>
      </c>
    </row>
    <row r="4876" spans="1:15">
      <c r="A4876" s="2" t="s">
        <v>12</v>
      </c>
      <c r="B4876" t="s">
        <v>27</v>
      </c>
      <c r="C4876" t="s">
        <v>28</v>
      </c>
      <c r="D4876">
        <v>75</v>
      </c>
      <c r="E4876" t="s">
        <v>46</v>
      </c>
      <c r="F4876">
        <v>2</v>
      </c>
      <c r="G4876">
        <v>2</v>
      </c>
      <c r="H4876">
        <v>0</v>
      </c>
      <c r="I4876">
        <v>1</v>
      </c>
      <c r="J4876" s="4" t="s">
        <v>54</v>
      </c>
      <c r="K4876" t="str">
        <f t="shared" si="244"/>
        <v>2+0</v>
      </c>
      <c r="L4876">
        <f>VLOOKUP(A4876,'ZONE 1 PREMIUM'!$A$4:$N$16,14,0)</f>
        <v>3</v>
      </c>
      <c r="M4876">
        <f>VLOOKUP(D4876,DROPDOWN!B:C,2,0)</f>
        <v>14</v>
      </c>
      <c r="N4876" t="str">
        <f t="shared" si="242"/>
        <v>CO81:DG92</v>
      </c>
      <c r="O4876" s="4">
        <f t="shared" ca="1" si="243"/>
        <v>141588.82</v>
      </c>
    </row>
    <row r="4877" spans="1:15">
      <c r="A4877" s="2" t="s">
        <v>13</v>
      </c>
      <c r="B4877" t="s">
        <v>29</v>
      </c>
      <c r="C4877" t="s">
        <v>30</v>
      </c>
      <c r="D4877">
        <v>75</v>
      </c>
      <c r="E4877" t="s">
        <v>46</v>
      </c>
      <c r="F4877">
        <v>2</v>
      </c>
      <c r="G4877">
        <v>2</v>
      </c>
      <c r="H4877">
        <v>0</v>
      </c>
      <c r="I4877">
        <v>1</v>
      </c>
      <c r="J4877" s="4" t="s">
        <v>54</v>
      </c>
      <c r="K4877" t="str">
        <f t="shared" si="244"/>
        <v>2+0</v>
      </c>
      <c r="L4877">
        <f>VLOOKUP(A4877,'ZONE 1 PREMIUM'!$A$4:$N$16,14,0)</f>
        <v>4</v>
      </c>
      <c r="M4877">
        <f>VLOOKUP(D4877,DROPDOWN!B:C,2,0)</f>
        <v>14</v>
      </c>
      <c r="N4877" t="str">
        <f t="shared" si="242"/>
        <v>CO81:DG92</v>
      </c>
      <c r="O4877" s="4">
        <f t="shared" ca="1" si="243"/>
        <v>150895.24000000002</v>
      </c>
    </row>
    <row r="4878" spans="1:15">
      <c r="A4878" s="2" t="s">
        <v>14</v>
      </c>
      <c r="B4878" t="s">
        <v>31</v>
      </c>
      <c r="C4878" t="s">
        <v>32</v>
      </c>
      <c r="D4878">
        <v>75</v>
      </c>
      <c r="E4878" t="s">
        <v>46</v>
      </c>
      <c r="F4878">
        <v>2</v>
      </c>
      <c r="G4878">
        <v>2</v>
      </c>
      <c r="H4878">
        <v>0</v>
      </c>
      <c r="I4878">
        <v>1</v>
      </c>
      <c r="J4878" s="4" t="s">
        <v>54</v>
      </c>
      <c r="K4878" t="str">
        <f t="shared" si="244"/>
        <v>2+0</v>
      </c>
      <c r="L4878">
        <f>VLOOKUP(A4878,'ZONE 1 PREMIUM'!$A$4:$N$16,14,0)</f>
        <v>5</v>
      </c>
      <c r="M4878">
        <f>VLOOKUP(D4878,DROPDOWN!B:C,2,0)</f>
        <v>14</v>
      </c>
      <c r="N4878" t="str">
        <f t="shared" si="242"/>
        <v>CO81:DG92</v>
      </c>
      <c r="O4878" s="4">
        <f t="shared" ca="1" si="243"/>
        <v>170055.26</v>
      </c>
    </row>
    <row r="4879" spans="1:15">
      <c r="A4879" s="2" t="s">
        <v>15</v>
      </c>
      <c r="B4879" t="s">
        <v>33</v>
      </c>
      <c r="C4879" t="s">
        <v>34</v>
      </c>
      <c r="D4879">
        <v>75</v>
      </c>
      <c r="E4879" t="s">
        <v>46</v>
      </c>
      <c r="F4879">
        <v>2</v>
      </c>
      <c r="G4879">
        <v>2</v>
      </c>
      <c r="H4879">
        <v>0</v>
      </c>
      <c r="I4879">
        <v>1</v>
      </c>
      <c r="J4879" s="4" t="s">
        <v>54</v>
      </c>
      <c r="K4879" t="str">
        <f t="shared" si="244"/>
        <v>2+0</v>
      </c>
      <c r="L4879">
        <f>VLOOKUP(A4879,'ZONE 1 PREMIUM'!$A$4:$N$16,14,0)</f>
        <v>6</v>
      </c>
      <c r="M4879">
        <f>VLOOKUP(D4879,DROPDOWN!B:C,2,0)</f>
        <v>14</v>
      </c>
      <c r="N4879" t="str">
        <f t="shared" si="242"/>
        <v>CO81:DG92</v>
      </c>
      <c r="O4879" s="4">
        <f t="shared" ca="1" si="243"/>
        <v>215175.81000000003</v>
      </c>
    </row>
    <row r="4880" spans="1:15">
      <c r="A4880" s="2" t="s">
        <v>16</v>
      </c>
      <c r="B4880" t="s">
        <v>35</v>
      </c>
      <c r="C4880" t="s">
        <v>36</v>
      </c>
      <c r="D4880">
        <v>75</v>
      </c>
      <c r="E4880" t="s">
        <v>46</v>
      </c>
      <c r="F4880">
        <v>2</v>
      </c>
      <c r="G4880">
        <v>2</v>
      </c>
      <c r="H4880">
        <v>0</v>
      </c>
      <c r="I4880">
        <v>1</v>
      </c>
      <c r="J4880" s="4" t="s">
        <v>54</v>
      </c>
      <c r="K4880" t="str">
        <f t="shared" si="244"/>
        <v>2+0</v>
      </c>
      <c r="L4880">
        <f>VLOOKUP(A4880,'ZONE 1 PREMIUM'!$A$4:$N$16,14,0)</f>
        <v>7</v>
      </c>
      <c r="M4880">
        <f>VLOOKUP(D4880,DROPDOWN!B:C,2,0)</f>
        <v>14</v>
      </c>
      <c r="N4880" t="str">
        <f t="shared" si="242"/>
        <v>CO81:DG92</v>
      </c>
      <c r="O4880" s="4">
        <f t="shared" ca="1" si="243"/>
        <v>293893.43</v>
      </c>
    </row>
    <row r="4881" spans="1:15">
      <c r="A4881" s="2" t="s">
        <v>17</v>
      </c>
      <c r="B4881" t="s">
        <v>37</v>
      </c>
      <c r="C4881" t="s">
        <v>38</v>
      </c>
      <c r="D4881">
        <v>75</v>
      </c>
      <c r="E4881" t="s">
        <v>46</v>
      </c>
      <c r="F4881">
        <v>2</v>
      </c>
      <c r="G4881">
        <v>2</v>
      </c>
      <c r="H4881">
        <v>0</v>
      </c>
      <c r="I4881">
        <v>1</v>
      </c>
      <c r="J4881" s="4" t="s">
        <v>54</v>
      </c>
      <c r="K4881" t="str">
        <f t="shared" si="244"/>
        <v>2+0</v>
      </c>
      <c r="L4881">
        <f>VLOOKUP(A4881,'ZONE 1 PREMIUM'!$A$4:$N$16,14,0)</f>
        <v>8</v>
      </c>
      <c r="M4881">
        <f>VLOOKUP(D4881,DROPDOWN!B:C,2,0)</f>
        <v>14</v>
      </c>
      <c r="N4881" t="str">
        <f t="shared" si="242"/>
        <v>CO81:DG92</v>
      </c>
      <c r="O4881" s="4">
        <f t="shared" ca="1" si="243"/>
        <v>407822.41000000003</v>
      </c>
    </row>
    <row r="4882" spans="1:15">
      <c r="A4882" s="2" t="s">
        <v>18</v>
      </c>
      <c r="B4882" t="s">
        <v>39</v>
      </c>
      <c r="C4882" t="s">
        <v>40</v>
      </c>
      <c r="D4882">
        <v>75</v>
      </c>
      <c r="E4882" t="s">
        <v>46</v>
      </c>
      <c r="F4882">
        <v>2</v>
      </c>
      <c r="G4882">
        <v>2</v>
      </c>
      <c r="H4882">
        <v>0</v>
      </c>
      <c r="I4882">
        <v>1</v>
      </c>
      <c r="J4882" s="4" t="s">
        <v>54</v>
      </c>
      <c r="K4882" t="str">
        <f t="shared" si="244"/>
        <v>2+0</v>
      </c>
      <c r="L4882">
        <f>VLOOKUP(A4882,'ZONE 1 PREMIUM'!$A$4:$N$16,14,0)</f>
        <v>9</v>
      </c>
      <c r="M4882">
        <f>VLOOKUP(D4882,DROPDOWN!B:C,2,0)</f>
        <v>14</v>
      </c>
      <c r="N4882" t="str">
        <f t="shared" ref="N4882:N4929" si="245">VLOOKUP(K4882,$DH$4:$DI$13,2,0)</f>
        <v>CO81:DG92</v>
      </c>
      <c r="O4882" s="4">
        <f t="shared" ca="1" si="243"/>
        <v>573454.45000000007</v>
      </c>
    </row>
    <row r="4883" spans="1:15">
      <c r="A4883" s="2" t="s">
        <v>19</v>
      </c>
      <c r="B4883" t="s">
        <v>41</v>
      </c>
      <c r="C4883" t="s">
        <v>42</v>
      </c>
      <c r="D4883">
        <v>75</v>
      </c>
      <c r="E4883" t="s">
        <v>46</v>
      </c>
      <c r="F4883">
        <v>2</v>
      </c>
      <c r="G4883">
        <v>2</v>
      </c>
      <c r="H4883">
        <v>0</v>
      </c>
      <c r="I4883">
        <v>1</v>
      </c>
      <c r="J4883" s="4" t="s">
        <v>54</v>
      </c>
      <c r="K4883" t="str">
        <f t="shared" si="244"/>
        <v>2+0</v>
      </c>
      <c r="L4883">
        <f>VLOOKUP(A4883,'ZONE 1 PREMIUM'!$A$4:$N$16,14,0)</f>
        <v>10</v>
      </c>
      <c r="M4883">
        <f>VLOOKUP(D4883,DROPDOWN!B:C,2,0)</f>
        <v>14</v>
      </c>
      <c r="N4883" t="str">
        <f t="shared" si="245"/>
        <v>CO81:DG92</v>
      </c>
      <c r="O4883" s="4">
        <f t="shared" ca="1" si="243"/>
        <v>797124.63</v>
      </c>
    </row>
    <row r="4884" spans="1:15">
      <c r="A4884" s="2" t="s">
        <v>20</v>
      </c>
      <c r="B4884" t="s">
        <v>43</v>
      </c>
      <c r="C4884" t="s">
        <v>44</v>
      </c>
      <c r="D4884">
        <v>75</v>
      </c>
      <c r="E4884" t="s">
        <v>46</v>
      </c>
      <c r="F4884">
        <v>2</v>
      </c>
      <c r="G4884">
        <v>2</v>
      </c>
      <c r="H4884">
        <v>0</v>
      </c>
      <c r="I4884">
        <v>1</v>
      </c>
      <c r="J4884" s="4" t="s">
        <v>54</v>
      </c>
      <c r="K4884" t="str">
        <f t="shared" si="244"/>
        <v>2+0</v>
      </c>
      <c r="L4884">
        <f>VLOOKUP(A4884,'ZONE 1 PREMIUM'!$A$4:$N$16,14,0)</f>
        <v>11</v>
      </c>
      <c r="M4884">
        <f>VLOOKUP(D4884,DROPDOWN!B:C,2,0)</f>
        <v>14</v>
      </c>
      <c r="N4884" t="str">
        <f t="shared" si="245"/>
        <v>CO81:DG92</v>
      </c>
      <c r="O4884" s="4">
        <f t="shared" ca="1" si="243"/>
        <v>976185.47000000009</v>
      </c>
    </row>
    <row r="4885" spans="1:15">
      <c r="A4885" s="2" t="s">
        <v>21</v>
      </c>
      <c r="B4885" t="s">
        <v>22</v>
      </c>
      <c r="D4885">
        <v>75</v>
      </c>
      <c r="E4885" t="s">
        <v>46</v>
      </c>
      <c r="F4885">
        <v>2</v>
      </c>
      <c r="G4885">
        <v>2</v>
      </c>
      <c r="H4885">
        <v>0</v>
      </c>
      <c r="I4885">
        <v>1</v>
      </c>
      <c r="J4885" s="4" t="s">
        <v>54</v>
      </c>
      <c r="K4885" t="str">
        <f t="shared" si="244"/>
        <v>2+0</v>
      </c>
      <c r="L4885">
        <f>VLOOKUP(A4885,'ZONE 1 PREMIUM'!$A$4:$N$16,14,0)</f>
        <v>12</v>
      </c>
      <c r="M4885">
        <f>VLOOKUP(D4885,DROPDOWN!B:C,2,0)</f>
        <v>14</v>
      </c>
      <c r="N4885" t="str">
        <f t="shared" si="245"/>
        <v>CO81:DG92</v>
      </c>
      <c r="O4885" s="4">
        <f t="shared" ca="1" si="243"/>
        <v>1229164.6600000001</v>
      </c>
    </row>
    <row r="4886" spans="1:15">
      <c r="A4886" s="2" t="s">
        <v>11</v>
      </c>
      <c r="B4886" t="s">
        <v>45</v>
      </c>
      <c r="C4886" t="s">
        <v>25</v>
      </c>
      <c r="D4886">
        <v>75</v>
      </c>
      <c r="E4886" t="s">
        <v>46</v>
      </c>
      <c r="F4886">
        <v>3</v>
      </c>
      <c r="G4886">
        <v>2</v>
      </c>
      <c r="H4886">
        <v>1</v>
      </c>
      <c r="I4886">
        <v>1</v>
      </c>
      <c r="J4886" s="4" t="s">
        <v>54</v>
      </c>
      <c r="K4886" t="str">
        <f t="shared" si="244"/>
        <v>2+1</v>
      </c>
      <c r="L4886">
        <f>VLOOKUP(A4886,'ZONE 1 PREMIUM'!$A$4:$N$16,14,0)</f>
        <v>2</v>
      </c>
      <c r="M4886">
        <f>VLOOKUP(D4886,DROPDOWN!B:C,2,0)</f>
        <v>14</v>
      </c>
      <c r="N4886" t="str">
        <f t="shared" si="245"/>
        <v>CO98:DG109</v>
      </c>
      <c r="O4886" s="4">
        <f t="shared" ca="1" si="243"/>
        <v>145244.68000000002</v>
      </c>
    </row>
    <row r="4887" spans="1:15">
      <c r="A4887" s="2" t="s">
        <v>12</v>
      </c>
      <c r="B4887" t="s">
        <v>27</v>
      </c>
      <c r="C4887" t="s">
        <v>28</v>
      </c>
      <c r="D4887">
        <v>75</v>
      </c>
      <c r="E4887" t="s">
        <v>46</v>
      </c>
      <c r="F4887">
        <v>3</v>
      </c>
      <c r="G4887">
        <v>2</v>
      </c>
      <c r="H4887">
        <v>1</v>
      </c>
      <c r="I4887">
        <v>1</v>
      </c>
      <c r="J4887" s="4" t="s">
        <v>54</v>
      </c>
      <c r="K4887" t="str">
        <f t="shared" si="244"/>
        <v>2+1</v>
      </c>
      <c r="L4887">
        <f>VLOOKUP(A4887,'ZONE 1 PREMIUM'!$A$4:$N$16,14,0)</f>
        <v>3</v>
      </c>
      <c r="M4887">
        <f>VLOOKUP(D4887,DROPDOWN!B:C,2,0)</f>
        <v>14</v>
      </c>
      <c r="N4887" t="str">
        <f t="shared" si="245"/>
        <v>CO98:DG109</v>
      </c>
      <c r="O4887" s="4">
        <f t="shared" ca="1" si="243"/>
        <v>162936.47</v>
      </c>
    </row>
    <row r="4888" spans="1:15">
      <c r="A4888" s="2" t="s">
        <v>13</v>
      </c>
      <c r="B4888" t="s">
        <v>29</v>
      </c>
      <c r="C4888" t="s">
        <v>30</v>
      </c>
      <c r="D4888">
        <v>75</v>
      </c>
      <c r="E4888" t="s">
        <v>46</v>
      </c>
      <c r="F4888">
        <v>3</v>
      </c>
      <c r="G4888">
        <v>2</v>
      </c>
      <c r="H4888">
        <v>1</v>
      </c>
      <c r="I4888">
        <v>1</v>
      </c>
      <c r="J4888" s="4" t="s">
        <v>54</v>
      </c>
      <c r="K4888" t="str">
        <f t="shared" si="244"/>
        <v>2+1</v>
      </c>
      <c r="L4888">
        <f>VLOOKUP(A4888,'ZONE 1 PREMIUM'!$A$4:$N$16,14,0)</f>
        <v>4</v>
      </c>
      <c r="M4888">
        <f>VLOOKUP(D4888,DROPDOWN!B:C,2,0)</f>
        <v>14</v>
      </c>
      <c r="N4888" t="str">
        <f t="shared" si="245"/>
        <v>CO98:DG109</v>
      </c>
      <c r="O4888" s="4">
        <f t="shared" ca="1" si="243"/>
        <v>175688.38</v>
      </c>
    </row>
    <row r="4889" spans="1:15">
      <c r="A4889" s="2" t="s">
        <v>14</v>
      </c>
      <c r="B4889" t="s">
        <v>31</v>
      </c>
      <c r="C4889" t="s">
        <v>32</v>
      </c>
      <c r="D4889">
        <v>75</v>
      </c>
      <c r="E4889" t="s">
        <v>46</v>
      </c>
      <c r="F4889">
        <v>3</v>
      </c>
      <c r="G4889">
        <v>2</v>
      </c>
      <c r="H4889">
        <v>1</v>
      </c>
      <c r="I4889">
        <v>1</v>
      </c>
      <c r="J4889" s="4" t="s">
        <v>54</v>
      </c>
      <c r="K4889" t="str">
        <f t="shared" si="244"/>
        <v>2+1</v>
      </c>
      <c r="L4889">
        <f>VLOOKUP(A4889,'ZONE 1 PREMIUM'!$A$4:$N$16,14,0)</f>
        <v>5</v>
      </c>
      <c r="M4889">
        <f>VLOOKUP(D4889,DROPDOWN!B:C,2,0)</f>
        <v>14</v>
      </c>
      <c r="N4889" t="str">
        <f t="shared" si="245"/>
        <v>CO98:DG109</v>
      </c>
      <c r="O4889" s="4">
        <f t="shared" ca="1" si="243"/>
        <v>196622.92</v>
      </c>
    </row>
    <row r="4890" spans="1:15">
      <c r="A4890" s="2" t="s">
        <v>15</v>
      </c>
      <c r="B4890" t="s">
        <v>33</v>
      </c>
      <c r="C4890" t="s">
        <v>34</v>
      </c>
      <c r="D4890">
        <v>75</v>
      </c>
      <c r="E4890" t="s">
        <v>46</v>
      </c>
      <c r="F4890">
        <v>3</v>
      </c>
      <c r="G4890">
        <v>2</v>
      </c>
      <c r="H4890">
        <v>1</v>
      </c>
      <c r="I4890">
        <v>1</v>
      </c>
      <c r="J4890" s="4" t="s">
        <v>54</v>
      </c>
      <c r="K4890" t="str">
        <f t="shared" si="244"/>
        <v>2+1</v>
      </c>
      <c r="L4890">
        <f>VLOOKUP(A4890,'ZONE 1 PREMIUM'!$A$4:$N$16,14,0)</f>
        <v>6</v>
      </c>
      <c r="M4890">
        <f>VLOOKUP(D4890,DROPDOWN!B:C,2,0)</f>
        <v>14</v>
      </c>
      <c r="N4890" t="str">
        <f t="shared" si="245"/>
        <v>CO98:DG109</v>
      </c>
      <c r="O4890" s="4">
        <f t="shared" ca="1" si="243"/>
        <v>244942.62000000002</v>
      </c>
    </row>
    <row r="4891" spans="1:15">
      <c r="A4891" s="2" t="s">
        <v>16</v>
      </c>
      <c r="B4891" t="s">
        <v>35</v>
      </c>
      <c r="C4891" t="s">
        <v>36</v>
      </c>
      <c r="D4891">
        <v>75</v>
      </c>
      <c r="E4891" t="s">
        <v>46</v>
      </c>
      <c r="F4891">
        <v>3</v>
      </c>
      <c r="G4891">
        <v>2</v>
      </c>
      <c r="H4891">
        <v>1</v>
      </c>
      <c r="I4891">
        <v>1</v>
      </c>
      <c r="J4891" s="4" t="s">
        <v>54</v>
      </c>
      <c r="K4891" t="str">
        <f t="shared" si="244"/>
        <v>2+1</v>
      </c>
      <c r="L4891">
        <f>VLOOKUP(A4891,'ZONE 1 PREMIUM'!$A$4:$N$16,14,0)</f>
        <v>7</v>
      </c>
      <c r="M4891">
        <f>VLOOKUP(D4891,DROPDOWN!B:C,2,0)</f>
        <v>14</v>
      </c>
      <c r="N4891" t="str">
        <f t="shared" si="245"/>
        <v>CO98:DG109</v>
      </c>
      <c r="O4891" s="4">
        <f t="shared" ca="1" si="243"/>
        <v>330412.79000000004</v>
      </c>
    </row>
    <row r="4892" spans="1:15">
      <c r="A4892" s="2" t="s">
        <v>17</v>
      </c>
      <c r="B4892" t="s">
        <v>37</v>
      </c>
      <c r="C4892" t="s">
        <v>38</v>
      </c>
      <c r="D4892">
        <v>75</v>
      </c>
      <c r="E4892" t="s">
        <v>46</v>
      </c>
      <c r="F4892">
        <v>3</v>
      </c>
      <c r="G4892">
        <v>2</v>
      </c>
      <c r="H4892">
        <v>1</v>
      </c>
      <c r="I4892">
        <v>1</v>
      </c>
      <c r="J4892" s="4" t="s">
        <v>54</v>
      </c>
      <c r="K4892" t="str">
        <f t="shared" si="244"/>
        <v>2+1</v>
      </c>
      <c r="L4892">
        <f>VLOOKUP(A4892,'ZONE 1 PREMIUM'!$A$4:$N$16,14,0)</f>
        <v>8</v>
      </c>
      <c r="M4892">
        <f>VLOOKUP(D4892,DROPDOWN!B:C,2,0)</f>
        <v>14</v>
      </c>
      <c r="N4892" t="str">
        <f t="shared" si="245"/>
        <v>CO98:DG109</v>
      </c>
      <c r="O4892" s="4">
        <f t="shared" ca="1" si="243"/>
        <v>447043.88</v>
      </c>
    </row>
    <row r="4893" spans="1:15">
      <c r="A4893" s="2" t="s">
        <v>18</v>
      </c>
      <c r="B4893" t="s">
        <v>39</v>
      </c>
      <c r="C4893" t="s">
        <v>40</v>
      </c>
      <c r="D4893">
        <v>75</v>
      </c>
      <c r="E4893" t="s">
        <v>46</v>
      </c>
      <c r="F4893">
        <v>3</v>
      </c>
      <c r="G4893">
        <v>2</v>
      </c>
      <c r="H4893">
        <v>1</v>
      </c>
      <c r="I4893">
        <v>1</v>
      </c>
      <c r="J4893" s="4" t="s">
        <v>54</v>
      </c>
      <c r="K4893" t="str">
        <f t="shared" si="244"/>
        <v>2+1</v>
      </c>
      <c r="L4893">
        <f>VLOOKUP(A4893,'ZONE 1 PREMIUM'!$A$4:$N$16,14,0)</f>
        <v>9</v>
      </c>
      <c r="M4893">
        <f>VLOOKUP(D4893,DROPDOWN!B:C,2,0)</f>
        <v>14</v>
      </c>
      <c r="N4893" t="str">
        <f t="shared" si="245"/>
        <v>CO98:DG109</v>
      </c>
      <c r="O4893" s="4">
        <f t="shared" ca="1" si="243"/>
        <v>613350.63</v>
      </c>
    </row>
    <row r="4894" spans="1:15">
      <c r="A4894" s="2" t="s">
        <v>19</v>
      </c>
      <c r="B4894" t="s">
        <v>41</v>
      </c>
      <c r="C4894" t="s">
        <v>42</v>
      </c>
      <c r="D4894">
        <v>75</v>
      </c>
      <c r="E4894" t="s">
        <v>46</v>
      </c>
      <c r="F4894">
        <v>3</v>
      </c>
      <c r="G4894">
        <v>2</v>
      </c>
      <c r="H4894">
        <v>1</v>
      </c>
      <c r="I4894">
        <v>1</v>
      </c>
      <c r="J4894" s="4" t="s">
        <v>54</v>
      </c>
      <c r="K4894" t="str">
        <f t="shared" si="244"/>
        <v>2+1</v>
      </c>
      <c r="L4894">
        <f>VLOOKUP(A4894,'ZONE 1 PREMIUM'!$A$4:$N$16,14,0)</f>
        <v>10</v>
      </c>
      <c r="M4894">
        <f>VLOOKUP(D4894,DROPDOWN!B:C,2,0)</f>
        <v>14</v>
      </c>
      <c r="N4894" t="str">
        <f t="shared" si="245"/>
        <v>CO98:DG109</v>
      </c>
      <c r="O4894" s="4">
        <f t="shared" ca="1" si="243"/>
        <v>818729.52</v>
      </c>
    </row>
    <row r="4895" spans="1:15">
      <c r="A4895" s="2" t="s">
        <v>20</v>
      </c>
      <c r="B4895" t="s">
        <v>43</v>
      </c>
      <c r="C4895" t="s">
        <v>44</v>
      </c>
      <c r="D4895">
        <v>75</v>
      </c>
      <c r="E4895" t="s">
        <v>46</v>
      </c>
      <c r="F4895">
        <v>3</v>
      </c>
      <c r="G4895">
        <v>2</v>
      </c>
      <c r="H4895">
        <v>1</v>
      </c>
      <c r="I4895">
        <v>1</v>
      </c>
      <c r="J4895" s="4" t="s">
        <v>54</v>
      </c>
      <c r="K4895" t="str">
        <f t="shared" si="244"/>
        <v>2+1</v>
      </c>
      <c r="L4895">
        <f>VLOOKUP(A4895,'ZONE 1 PREMIUM'!$A$4:$N$16,14,0)</f>
        <v>11</v>
      </c>
      <c r="M4895">
        <f>VLOOKUP(D4895,DROPDOWN!B:C,2,0)</f>
        <v>14</v>
      </c>
      <c r="N4895" t="str">
        <f t="shared" si="245"/>
        <v>CO98:DG109</v>
      </c>
      <c r="O4895" s="4">
        <f t="shared" ca="1" si="243"/>
        <v>991423.67</v>
      </c>
    </row>
    <row r="4896" spans="1:15">
      <c r="A4896" s="2" t="s">
        <v>21</v>
      </c>
      <c r="B4896" t="s">
        <v>22</v>
      </c>
      <c r="D4896">
        <v>75</v>
      </c>
      <c r="E4896" t="s">
        <v>46</v>
      </c>
      <c r="F4896">
        <v>3</v>
      </c>
      <c r="G4896">
        <v>2</v>
      </c>
      <c r="H4896">
        <v>1</v>
      </c>
      <c r="I4896">
        <v>1</v>
      </c>
      <c r="J4896" s="4" t="s">
        <v>54</v>
      </c>
      <c r="K4896" t="str">
        <f t="shared" si="244"/>
        <v>2+1</v>
      </c>
      <c r="L4896">
        <f>VLOOKUP(A4896,'ZONE 1 PREMIUM'!$A$4:$N$16,14,0)</f>
        <v>12</v>
      </c>
      <c r="M4896">
        <f>VLOOKUP(D4896,DROPDOWN!B:C,2,0)</f>
        <v>14</v>
      </c>
      <c r="N4896" t="str">
        <f t="shared" si="245"/>
        <v>CO98:DG109</v>
      </c>
      <c r="O4896" s="4">
        <f t="shared" ca="1" si="243"/>
        <v>1243808.81</v>
      </c>
    </row>
    <row r="4897" spans="1:15">
      <c r="A4897" s="2" t="s">
        <v>11</v>
      </c>
      <c r="B4897" t="s">
        <v>45</v>
      </c>
      <c r="C4897" t="s">
        <v>25</v>
      </c>
      <c r="D4897">
        <v>75</v>
      </c>
      <c r="E4897" t="s">
        <v>46</v>
      </c>
      <c r="F4897">
        <v>4</v>
      </c>
      <c r="G4897">
        <v>2</v>
      </c>
      <c r="H4897">
        <v>2</v>
      </c>
      <c r="I4897">
        <v>1</v>
      </c>
      <c r="J4897" s="4" t="s">
        <v>54</v>
      </c>
      <c r="K4897" t="str">
        <f t="shared" si="244"/>
        <v>2+2</v>
      </c>
      <c r="L4897">
        <f>VLOOKUP(A4897,'ZONE 1 PREMIUM'!$A$4:$N$16,14,0)</f>
        <v>2</v>
      </c>
      <c r="M4897">
        <f>VLOOKUP(D4897,DROPDOWN!B:C,2,0)</f>
        <v>14</v>
      </c>
      <c r="N4897" t="str">
        <f t="shared" si="245"/>
        <v>CO113:DG124</v>
      </c>
      <c r="O4897" s="4">
        <f t="shared" ca="1" si="243"/>
        <v>166765.64000000001</v>
      </c>
    </row>
    <row r="4898" spans="1:15">
      <c r="A4898" s="2" t="s">
        <v>12</v>
      </c>
      <c r="B4898" t="s">
        <v>27</v>
      </c>
      <c r="C4898" t="s">
        <v>28</v>
      </c>
      <c r="D4898">
        <v>75</v>
      </c>
      <c r="E4898" t="s">
        <v>46</v>
      </c>
      <c r="F4898">
        <v>4</v>
      </c>
      <c r="G4898">
        <v>2</v>
      </c>
      <c r="H4898">
        <v>2</v>
      </c>
      <c r="I4898">
        <v>1</v>
      </c>
      <c r="J4898" s="4" t="s">
        <v>54</v>
      </c>
      <c r="K4898" t="str">
        <f t="shared" si="244"/>
        <v>2+2</v>
      </c>
      <c r="L4898">
        <f>VLOOKUP(A4898,'ZONE 1 PREMIUM'!$A$4:$N$16,14,0)</f>
        <v>3</v>
      </c>
      <c r="M4898">
        <f>VLOOKUP(D4898,DROPDOWN!B:C,2,0)</f>
        <v>14</v>
      </c>
      <c r="N4898" t="str">
        <f t="shared" si="245"/>
        <v>CO113:DG124</v>
      </c>
      <c r="O4898" s="4">
        <f t="shared" ca="1" si="243"/>
        <v>184136.97</v>
      </c>
    </row>
    <row r="4899" spans="1:15">
      <c r="A4899" s="2" t="s">
        <v>13</v>
      </c>
      <c r="B4899" t="s">
        <v>29</v>
      </c>
      <c r="C4899" t="s">
        <v>30</v>
      </c>
      <c r="D4899">
        <v>75</v>
      </c>
      <c r="E4899" t="s">
        <v>46</v>
      </c>
      <c r="F4899">
        <v>4</v>
      </c>
      <c r="G4899">
        <v>2</v>
      </c>
      <c r="H4899">
        <v>2</v>
      </c>
      <c r="I4899">
        <v>1</v>
      </c>
      <c r="J4899" s="4" t="s">
        <v>54</v>
      </c>
      <c r="K4899" t="str">
        <f t="shared" si="244"/>
        <v>2+2</v>
      </c>
      <c r="L4899">
        <f>VLOOKUP(A4899,'ZONE 1 PREMIUM'!$A$4:$N$16,14,0)</f>
        <v>4</v>
      </c>
      <c r="M4899">
        <f>VLOOKUP(D4899,DROPDOWN!B:C,2,0)</f>
        <v>14</v>
      </c>
      <c r="N4899" t="str">
        <f t="shared" si="245"/>
        <v>CO113:DG124</v>
      </c>
      <c r="O4899" s="4">
        <f t="shared" ca="1" si="243"/>
        <v>200267.88</v>
      </c>
    </row>
    <row r="4900" spans="1:15">
      <c r="A4900" s="2" t="s">
        <v>14</v>
      </c>
      <c r="B4900" t="s">
        <v>31</v>
      </c>
      <c r="C4900" t="s">
        <v>32</v>
      </c>
      <c r="D4900">
        <v>75</v>
      </c>
      <c r="E4900" t="s">
        <v>46</v>
      </c>
      <c r="F4900">
        <v>4</v>
      </c>
      <c r="G4900">
        <v>2</v>
      </c>
      <c r="H4900">
        <v>2</v>
      </c>
      <c r="I4900">
        <v>1</v>
      </c>
      <c r="J4900" s="4" t="s">
        <v>54</v>
      </c>
      <c r="K4900" t="str">
        <f t="shared" si="244"/>
        <v>2+2</v>
      </c>
      <c r="L4900">
        <f>VLOOKUP(A4900,'ZONE 1 PREMIUM'!$A$4:$N$16,14,0)</f>
        <v>5</v>
      </c>
      <c r="M4900">
        <f>VLOOKUP(D4900,DROPDOWN!B:C,2,0)</f>
        <v>14</v>
      </c>
      <c r="N4900" t="str">
        <f t="shared" si="245"/>
        <v>CO113:DG124</v>
      </c>
      <c r="O4900" s="4">
        <f t="shared" ca="1" si="243"/>
        <v>222930.07</v>
      </c>
    </row>
    <row r="4901" spans="1:15">
      <c r="A4901" s="2" t="s">
        <v>15</v>
      </c>
      <c r="B4901" t="s">
        <v>33</v>
      </c>
      <c r="C4901" t="s">
        <v>34</v>
      </c>
      <c r="D4901">
        <v>75</v>
      </c>
      <c r="E4901" t="s">
        <v>46</v>
      </c>
      <c r="F4901">
        <v>4</v>
      </c>
      <c r="G4901">
        <v>2</v>
      </c>
      <c r="H4901">
        <v>2</v>
      </c>
      <c r="I4901">
        <v>1</v>
      </c>
      <c r="J4901" s="4" t="s">
        <v>54</v>
      </c>
      <c r="K4901" t="str">
        <f t="shared" si="244"/>
        <v>2+2</v>
      </c>
      <c r="L4901">
        <f>VLOOKUP(A4901,'ZONE 1 PREMIUM'!$A$4:$N$16,14,0)</f>
        <v>6</v>
      </c>
      <c r="M4901">
        <f>VLOOKUP(D4901,DROPDOWN!B:C,2,0)</f>
        <v>14</v>
      </c>
      <c r="N4901" t="str">
        <f t="shared" si="245"/>
        <v>CO113:DG124</v>
      </c>
      <c r="O4901" s="4">
        <f t="shared" ca="1" si="243"/>
        <v>274388.97000000003</v>
      </c>
    </row>
    <row r="4902" spans="1:15">
      <c r="A4902" s="2" t="s">
        <v>16</v>
      </c>
      <c r="B4902" t="s">
        <v>35</v>
      </c>
      <c r="C4902" t="s">
        <v>36</v>
      </c>
      <c r="D4902">
        <v>75</v>
      </c>
      <c r="E4902" t="s">
        <v>46</v>
      </c>
      <c r="F4902">
        <v>4</v>
      </c>
      <c r="G4902">
        <v>2</v>
      </c>
      <c r="H4902">
        <v>2</v>
      </c>
      <c r="I4902">
        <v>1</v>
      </c>
      <c r="J4902" s="4" t="s">
        <v>54</v>
      </c>
      <c r="K4902" t="str">
        <f t="shared" si="244"/>
        <v>2+2</v>
      </c>
      <c r="L4902">
        <f>VLOOKUP(A4902,'ZONE 1 PREMIUM'!$A$4:$N$16,14,0)</f>
        <v>7</v>
      </c>
      <c r="M4902">
        <f>VLOOKUP(D4902,DROPDOWN!B:C,2,0)</f>
        <v>14</v>
      </c>
      <c r="N4902" t="str">
        <f t="shared" si="245"/>
        <v>CO113:DG124</v>
      </c>
      <c r="O4902" s="4">
        <f t="shared" ca="1" si="243"/>
        <v>366519.04000000004</v>
      </c>
    </row>
    <row r="4903" spans="1:15">
      <c r="A4903" s="2" t="s">
        <v>17</v>
      </c>
      <c r="B4903" t="s">
        <v>37</v>
      </c>
      <c r="C4903" t="s">
        <v>38</v>
      </c>
      <c r="D4903">
        <v>75</v>
      </c>
      <c r="E4903" t="s">
        <v>46</v>
      </c>
      <c r="F4903">
        <v>4</v>
      </c>
      <c r="G4903">
        <v>2</v>
      </c>
      <c r="H4903">
        <v>2</v>
      </c>
      <c r="I4903">
        <v>1</v>
      </c>
      <c r="J4903" s="4" t="s">
        <v>54</v>
      </c>
      <c r="K4903" t="str">
        <f t="shared" si="244"/>
        <v>2+2</v>
      </c>
      <c r="L4903">
        <f>VLOOKUP(A4903,'ZONE 1 PREMIUM'!$A$4:$N$16,14,0)</f>
        <v>8</v>
      </c>
      <c r="M4903">
        <f>VLOOKUP(D4903,DROPDOWN!B:C,2,0)</f>
        <v>14</v>
      </c>
      <c r="N4903" t="str">
        <f t="shared" si="245"/>
        <v>CO113:DG124</v>
      </c>
      <c r="O4903" s="4">
        <f t="shared" ca="1" si="243"/>
        <v>480226.75000000006</v>
      </c>
    </row>
    <row r="4904" spans="1:15">
      <c r="A4904" s="2" t="s">
        <v>18</v>
      </c>
      <c r="B4904" t="s">
        <v>39</v>
      </c>
      <c r="C4904" t="s">
        <v>40</v>
      </c>
      <c r="D4904">
        <v>75</v>
      </c>
      <c r="E4904" t="s">
        <v>46</v>
      </c>
      <c r="F4904">
        <v>4</v>
      </c>
      <c r="G4904">
        <v>2</v>
      </c>
      <c r="H4904">
        <v>2</v>
      </c>
      <c r="I4904">
        <v>1</v>
      </c>
      <c r="J4904" s="4" t="s">
        <v>54</v>
      </c>
      <c r="K4904" t="str">
        <f t="shared" si="244"/>
        <v>2+2</v>
      </c>
      <c r="L4904">
        <f>VLOOKUP(A4904,'ZONE 1 PREMIUM'!$A$4:$N$16,14,0)</f>
        <v>9</v>
      </c>
      <c r="M4904">
        <f>VLOOKUP(D4904,DROPDOWN!B:C,2,0)</f>
        <v>14</v>
      </c>
      <c r="N4904" t="str">
        <f t="shared" si="245"/>
        <v>CO113:DG124</v>
      </c>
      <c r="O4904" s="4">
        <f t="shared" ca="1" si="243"/>
        <v>638750.9</v>
      </c>
    </row>
    <row r="4905" spans="1:15">
      <c r="A4905" s="2" t="s">
        <v>19</v>
      </c>
      <c r="B4905" t="s">
        <v>41</v>
      </c>
      <c r="C4905" t="s">
        <v>42</v>
      </c>
      <c r="D4905">
        <v>75</v>
      </c>
      <c r="E4905" t="s">
        <v>46</v>
      </c>
      <c r="F4905">
        <v>4</v>
      </c>
      <c r="G4905">
        <v>2</v>
      </c>
      <c r="H4905">
        <v>2</v>
      </c>
      <c r="I4905">
        <v>1</v>
      </c>
      <c r="J4905" s="4" t="s">
        <v>54</v>
      </c>
      <c r="K4905" t="str">
        <f t="shared" si="244"/>
        <v>2+2</v>
      </c>
      <c r="L4905">
        <f>VLOOKUP(A4905,'ZONE 1 PREMIUM'!$A$4:$N$16,14,0)</f>
        <v>10</v>
      </c>
      <c r="M4905">
        <f>VLOOKUP(D4905,DROPDOWN!B:C,2,0)</f>
        <v>14</v>
      </c>
      <c r="N4905" t="str">
        <f t="shared" si="245"/>
        <v>CO113:DG124</v>
      </c>
      <c r="O4905" s="4">
        <f t="shared" ca="1" si="243"/>
        <v>826707.2300000001</v>
      </c>
    </row>
    <row r="4906" spans="1:15">
      <c r="A4906" s="2" t="s">
        <v>20</v>
      </c>
      <c r="B4906" t="s">
        <v>43</v>
      </c>
      <c r="C4906" t="s">
        <v>44</v>
      </c>
      <c r="D4906">
        <v>75</v>
      </c>
      <c r="E4906" t="s">
        <v>46</v>
      </c>
      <c r="F4906">
        <v>4</v>
      </c>
      <c r="G4906">
        <v>2</v>
      </c>
      <c r="H4906">
        <v>2</v>
      </c>
      <c r="I4906">
        <v>1</v>
      </c>
      <c r="J4906" s="4" t="s">
        <v>54</v>
      </c>
      <c r="K4906" t="str">
        <f t="shared" si="244"/>
        <v>2+2</v>
      </c>
      <c r="L4906">
        <f>VLOOKUP(A4906,'ZONE 1 PREMIUM'!$A$4:$N$16,14,0)</f>
        <v>11</v>
      </c>
      <c r="M4906">
        <f>VLOOKUP(D4906,DROPDOWN!B:C,2,0)</f>
        <v>14</v>
      </c>
      <c r="N4906" t="str">
        <f t="shared" si="245"/>
        <v>CO113:DG124</v>
      </c>
      <c r="O4906" s="4">
        <f t="shared" ca="1" si="243"/>
        <v>1001145.3800000001</v>
      </c>
    </row>
    <row r="4907" spans="1:15">
      <c r="A4907" s="2" t="s">
        <v>21</v>
      </c>
      <c r="B4907" t="s">
        <v>22</v>
      </c>
      <c r="D4907">
        <v>75</v>
      </c>
      <c r="E4907" t="s">
        <v>46</v>
      </c>
      <c r="F4907">
        <v>4</v>
      </c>
      <c r="G4907">
        <v>2</v>
      </c>
      <c r="H4907">
        <v>2</v>
      </c>
      <c r="I4907">
        <v>1</v>
      </c>
      <c r="J4907" s="4" t="s">
        <v>54</v>
      </c>
      <c r="K4907" t="str">
        <f t="shared" si="244"/>
        <v>2+2</v>
      </c>
      <c r="L4907">
        <f>VLOOKUP(A4907,'ZONE 1 PREMIUM'!$A$4:$N$16,14,0)</f>
        <v>12</v>
      </c>
      <c r="M4907">
        <f>VLOOKUP(D4907,DROPDOWN!B:C,2,0)</f>
        <v>14</v>
      </c>
      <c r="N4907" t="str">
        <f t="shared" si="245"/>
        <v>CO113:DG124</v>
      </c>
      <c r="O4907" s="4">
        <f t="shared" ca="1" si="243"/>
        <v>1254703.3600000001</v>
      </c>
    </row>
    <row r="4908" spans="1:15">
      <c r="A4908" s="2" t="s">
        <v>11</v>
      </c>
      <c r="B4908" t="s">
        <v>45</v>
      </c>
      <c r="C4908" t="s">
        <v>25</v>
      </c>
      <c r="D4908">
        <v>75</v>
      </c>
      <c r="E4908" t="s">
        <v>46</v>
      </c>
      <c r="F4908">
        <v>5</v>
      </c>
      <c r="G4908">
        <v>2</v>
      </c>
      <c r="H4908">
        <v>3</v>
      </c>
      <c r="I4908">
        <v>1</v>
      </c>
      <c r="J4908" s="4" t="s">
        <v>54</v>
      </c>
      <c r="K4908" t="str">
        <f t="shared" si="244"/>
        <v>2+3</v>
      </c>
      <c r="L4908">
        <f>VLOOKUP(A4908,'ZONE 1 PREMIUM'!$A$4:$N$16,14,0)</f>
        <v>2</v>
      </c>
      <c r="M4908">
        <f>VLOOKUP(D4908,DROPDOWN!B:C,2,0)</f>
        <v>14</v>
      </c>
      <c r="N4908" t="str">
        <f t="shared" si="245"/>
        <v>CO128:DG139</v>
      </c>
      <c r="O4908" s="4">
        <f t="shared" ca="1" si="243"/>
        <v>188287.69</v>
      </c>
    </row>
    <row r="4909" spans="1:15">
      <c r="A4909" s="2" t="s">
        <v>12</v>
      </c>
      <c r="B4909" t="s">
        <v>27</v>
      </c>
      <c r="C4909" t="s">
        <v>28</v>
      </c>
      <c r="D4909">
        <v>75</v>
      </c>
      <c r="E4909" t="s">
        <v>46</v>
      </c>
      <c r="F4909">
        <v>5</v>
      </c>
      <c r="G4909">
        <v>2</v>
      </c>
      <c r="H4909">
        <v>3</v>
      </c>
      <c r="I4909">
        <v>1</v>
      </c>
      <c r="J4909" s="4" t="s">
        <v>54</v>
      </c>
      <c r="K4909" t="str">
        <f t="shared" si="244"/>
        <v>2+3</v>
      </c>
      <c r="L4909">
        <f>VLOOKUP(A4909,'ZONE 1 PREMIUM'!$A$4:$N$16,14,0)</f>
        <v>3</v>
      </c>
      <c r="M4909">
        <f>VLOOKUP(D4909,DROPDOWN!B:C,2,0)</f>
        <v>14</v>
      </c>
      <c r="N4909" t="str">
        <f t="shared" si="245"/>
        <v>CO128:DG139</v>
      </c>
      <c r="O4909" s="4">
        <f t="shared" ca="1" si="243"/>
        <v>205337.47</v>
      </c>
    </row>
    <row r="4910" spans="1:15">
      <c r="A4910" s="2" t="s">
        <v>13</v>
      </c>
      <c r="B4910" t="s">
        <v>29</v>
      </c>
      <c r="C4910" t="s">
        <v>30</v>
      </c>
      <c r="D4910">
        <v>75</v>
      </c>
      <c r="E4910" t="s">
        <v>46</v>
      </c>
      <c r="F4910">
        <v>5</v>
      </c>
      <c r="G4910">
        <v>2</v>
      </c>
      <c r="H4910">
        <v>3</v>
      </c>
      <c r="I4910">
        <v>1</v>
      </c>
      <c r="J4910" s="4" t="s">
        <v>54</v>
      </c>
      <c r="K4910" t="str">
        <f t="shared" si="244"/>
        <v>2+3</v>
      </c>
      <c r="L4910">
        <f>VLOOKUP(A4910,'ZONE 1 PREMIUM'!$A$4:$N$16,14,0)</f>
        <v>4</v>
      </c>
      <c r="M4910">
        <f>VLOOKUP(D4910,DROPDOWN!B:C,2,0)</f>
        <v>14</v>
      </c>
      <c r="N4910" t="str">
        <f t="shared" si="245"/>
        <v>CO128:DG139</v>
      </c>
      <c r="O4910" s="4">
        <f t="shared" ca="1" si="243"/>
        <v>224848.47000000003</v>
      </c>
    </row>
    <row r="4911" spans="1:15">
      <c r="A4911" s="2" t="s">
        <v>14</v>
      </c>
      <c r="B4911" t="s">
        <v>31</v>
      </c>
      <c r="C4911" t="s">
        <v>32</v>
      </c>
      <c r="D4911">
        <v>75</v>
      </c>
      <c r="E4911" t="s">
        <v>46</v>
      </c>
      <c r="F4911">
        <v>5</v>
      </c>
      <c r="G4911">
        <v>2</v>
      </c>
      <c r="H4911">
        <v>3</v>
      </c>
      <c r="I4911">
        <v>1</v>
      </c>
      <c r="J4911" s="4" t="s">
        <v>54</v>
      </c>
      <c r="K4911" t="str">
        <f t="shared" si="244"/>
        <v>2+3</v>
      </c>
      <c r="L4911">
        <f>VLOOKUP(A4911,'ZONE 1 PREMIUM'!$A$4:$N$16,14,0)</f>
        <v>5</v>
      </c>
      <c r="M4911">
        <f>VLOOKUP(D4911,DROPDOWN!B:C,2,0)</f>
        <v>14</v>
      </c>
      <c r="N4911" t="str">
        <f t="shared" si="245"/>
        <v>CO128:DG139</v>
      </c>
      <c r="O4911" s="4">
        <f t="shared" ca="1" si="243"/>
        <v>249237.22000000003</v>
      </c>
    </row>
    <row r="4912" spans="1:15">
      <c r="A4912" s="2" t="s">
        <v>15</v>
      </c>
      <c r="B4912" t="s">
        <v>33</v>
      </c>
      <c r="C4912" t="s">
        <v>34</v>
      </c>
      <c r="D4912">
        <v>75</v>
      </c>
      <c r="E4912" t="s">
        <v>46</v>
      </c>
      <c r="F4912">
        <v>5</v>
      </c>
      <c r="G4912">
        <v>2</v>
      </c>
      <c r="H4912">
        <v>3</v>
      </c>
      <c r="I4912">
        <v>1</v>
      </c>
      <c r="J4912" s="4" t="s">
        <v>54</v>
      </c>
      <c r="K4912" t="str">
        <f t="shared" si="244"/>
        <v>2+3</v>
      </c>
      <c r="L4912">
        <f>VLOOKUP(A4912,'ZONE 1 PREMIUM'!$A$4:$N$16,14,0)</f>
        <v>6</v>
      </c>
      <c r="M4912">
        <f>VLOOKUP(D4912,DROPDOWN!B:C,2,0)</f>
        <v>14</v>
      </c>
      <c r="N4912" t="str">
        <f t="shared" si="245"/>
        <v>CO128:DG139</v>
      </c>
      <c r="O4912" s="4">
        <f t="shared" ca="1" si="243"/>
        <v>303836.41000000003</v>
      </c>
    </row>
    <row r="4913" spans="1:15">
      <c r="A4913" s="2" t="s">
        <v>16</v>
      </c>
      <c r="B4913" t="s">
        <v>35</v>
      </c>
      <c r="C4913" t="s">
        <v>36</v>
      </c>
      <c r="D4913">
        <v>75</v>
      </c>
      <c r="E4913" t="s">
        <v>46</v>
      </c>
      <c r="F4913">
        <v>5</v>
      </c>
      <c r="G4913">
        <v>2</v>
      </c>
      <c r="H4913">
        <v>3</v>
      </c>
      <c r="I4913">
        <v>1</v>
      </c>
      <c r="J4913" s="4" t="s">
        <v>54</v>
      </c>
      <c r="K4913" t="str">
        <f t="shared" si="244"/>
        <v>2+3</v>
      </c>
      <c r="L4913">
        <f>VLOOKUP(A4913,'ZONE 1 PREMIUM'!$A$4:$N$16,14,0)</f>
        <v>7</v>
      </c>
      <c r="M4913">
        <f>VLOOKUP(D4913,DROPDOWN!B:C,2,0)</f>
        <v>14</v>
      </c>
      <c r="N4913" t="str">
        <f t="shared" si="245"/>
        <v>CO128:DG139</v>
      </c>
      <c r="O4913" s="4">
        <f t="shared" ca="1" si="243"/>
        <v>395376.79000000004</v>
      </c>
    </row>
    <row r="4914" spans="1:15">
      <c r="A4914" s="2" t="s">
        <v>17</v>
      </c>
      <c r="B4914" t="s">
        <v>37</v>
      </c>
      <c r="C4914" t="s">
        <v>38</v>
      </c>
      <c r="D4914">
        <v>75</v>
      </c>
      <c r="E4914" t="s">
        <v>46</v>
      </c>
      <c r="F4914">
        <v>5</v>
      </c>
      <c r="G4914">
        <v>2</v>
      </c>
      <c r="H4914">
        <v>3</v>
      </c>
      <c r="I4914">
        <v>1</v>
      </c>
      <c r="J4914" s="4" t="s">
        <v>54</v>
      </c>
      <c r="K4914" t="str">
        <f t="shared" si="244"/>
        <v>2+3</v>
      </c>
      <c r="L4914">
        <f>VLOOKUP(A4914,'ZONE 1 PREMIUM'!$A$4:$N$16,14,0)</f>
        <v>8</v>
      </c>
      <c r="M4914">
        <f>VLOOKUP(D4914,DROPDOWN!B:C,2,0)</f>
        <v>14</v>
      </c>
      <c r="N4914" t="str">
        <f t="shared" si="245"/>
        <v>CO128:DG139</v>
      </c>
      <c r="O4914" s="4">
        <f t="shared" ca="1" si="243"/>
        <v>505696.78</v>
      </c>
    </row>
    <row r="4915" spans="1:15">
      <c r="A4915" s="2" t="s">
        <v>18</v>
      </c>
      <c r="B4915" t="s">
        <v>39</v>
      </c>
      <c r="C4915" t="s">
        <v>40</v>
      </c>
      <c r="D4915">
        <v>75</v>
      </c>
      <c r="E4915" t="s">
        <v>46</v>
      </c>
      <c r="F4915">
        <v>5</v>
      </c>
      <c r="G4915">
        <v>2</v>
      </c>
      <c r="H4915">
        <v>3</v>
      </c>
      <c r="I4915">
        <v>1</v>
      </c>
      <c r="J4915" s="4" t="s">
        <v>54</v>
      </c>
      <c r="K4915" t="str">
        <f t="shared" si="244"/>
        <v>2+3</v>
      </c>
      <c r="L4915">
        <f>VLOOKUP(A4915,'ZONE 1 PREMIUM'!$A$4:$N$16,14,0)</f>
        <v>9</v>
      </c>
      <c r="M4915">
        <f>VLOOKUP(D4915,DROPDOWN!B:C,2,0)</f>
        <v>14</v>
      </c>
      <c r="N4915" t="str">
        <f t="shared" si="245"/>
        <v>CO128:DG139</v>
      </c>
      <c r="O4915" s="4">
        <f t="shared" ca="1" si="243"/>
        <v>663839.43000000005</v>
      </c>
    </row>
    <row r="4916" spans="1:15">
      <c r="A4916" s="2" t="s">
        <v>19</v>
      </c>
      <c r="B4916" t="s">
        <v>41</v>
      </c>
      <c r="C4916" t="s">
        <v>42</v>
      </c>
      <c r="D4916">
        <v>75</v>
      </c>
      <c r="E4916" t="s">
        <v>46</v>
      </c>
      <c r="F4916">
        <v>5</v>
      </c>
      <c r="G4916">
        <v>2</v>
      </c>
      <c r="H4916">
        <v>3</v>
      </c>
      <c r="I4916">
        <v>1</v>
      </c>
      <c r="J4916" s="4" t="s">
        <v>54</v>
      </c>
      <c r="K4916" t="str">
        <f t="shared" si="244"/>
        <v>2+3</v>
      </c>
      <c r="L4916">
        <f>VLOOKUP(A4916,'ZONE 1 PREMIUM'!$A$4:$N$16,14,0)</f>
        <v>10</v>
      </c>
      <c r="M4916">
        <f>VLOOKUP(D4916,DROPDOWN!B:C,2,0)</f>
        <v>14</v>
      </c>
      <c r="N4916" t="str">
        <f t="shared" si="245"/>
        <v>CO128:DG139</v>
      </c>
      <c r="O4916" s="4">
        <f t="shared" ca="1" si="243"/>
        <v>850005.9800000001</v>
      </c>
    </row>
    <row r="4917" spans="1:15">
      <c r="A4917" s="2" t="s">
        <v>20</v>
      </c>
      <c r="B4917" t="s">
        <v>43</v>
      </c>
      <c r="C4917" t="s">
        <v>44</v>
      </c>
      <c r="D4917">
        <v>75</v>
      </c>
      <c r="E4917" t="s">
        <v>46</v>
      </c>
      <c r="F4917">
        <v>5</v>
      </c>
      <c r="G4917">
        <v>2</v>
      </c>
      <c r="H4917">
        <v>3</v>
      </c>
      <c r="I4917">
        <v>1</v>
      </c>
      <c r="J4917" s="4" t="s">
        <v>54</v>
      </c>
      <c r="K4917" t="str">
        <f t="shared" si="244"/>
        <v>2+3</v>
      </c>
      <c r="L4917">
        <f>VLOOKUP(A4917,'ZONE 1 PREMIUM'!$A$4:$N$16,14,0)</f>
        <v>11</v>
      </c>
      <c r="M4917">
        <f>VLOOKUP(D4917,DROPDOWN!B:C,2,0)</f>
        <v>14</v>
      </c>
      <c r="N4917" t="str">
        <f t="shared" si="245"/>
        <v>CO128:DG139</v>
      </c>
      <c r="O4917" s="4">
        <f t="shared" ca="1" si="243"/>
        <v>1027637.8300000001</v>
      </c>
    </row>
    <row r="4918" spans="1:15">
      <c r="A4918" s="2" t="s">
        <v>21</v>
      </c>
      <c r="B4918" t="s">
        <v>22</v>
      </c>
      <c r="D4918">
        <v>75</v>
      </c>
      <c r="E4918" t="s">
        <v>46</v>
      </c>
      <c r="F4918">
        <v>5</v>
      </c>
      <c r="G4918">
        <v>2</v>
      </c>
      <c r="H4918">
        <v>3</v>
      </c>
      <c r="I4918">
        <v>1</v>
      </c>
      <c r="J4918" s="4" t="s">
        <v>54</v>
      </c>
      <c r="K4918" t="str">
        <f t="shared" si="244"/>
        <v>2+3</v>
      </c>
      <c r="L4918">
        <f>VLOOKUP(A4918,'ZONE 1 PREMIUM'!$A$4:$N$16,14,0)</f>
        <v>12</v>
      </c>
      <c r="M4918">
        <f>VLOOKUP(D4918,DROPDOWN!B:C,2,0)</f>
        <v>14</v>
      </c>
      <c r="N4918" t="str">
        <f t="shared" si="245"/>
        <v>CO128:DG139</v>
      </c>
      <c r="O4918" s="4">
        <f t="shared" ca="1" si="243"/>
        <v>1283278.8</v>
      </c>
    </row>
    <row r="4919" spans="1:15">
      <c r="A4919" s="2" t="s">
        <v>11</v>
      </c>
      <c r="B4919" t="s">
        <v>45</v>
      </c>
      <c r="C4919" t="s">
        <v>25</v>
      </c>
      <c r="D4919">
        <v>75</v>
      </c>
      <c r="E4919" t="s">
        <v>46</v>
      </c>
      <c r="F4919">
        <v>6</v>
      </c>
      <c r="G4919">
        <v>2</v>
      </c>
      <c r="H4919">
        <v>4</v>
      </c>
      <c r="I4919">
        <v>1</v>
      </c>
      <c r="J4919" s="4" t="s">
        <v>54</v>
      </c>
      <c r="K4919" t="str">
        <f t="shared" si="244"/>
        <v>2+4</v>
      </c>
      <c r="L4919">
        <f>VLOOKUP(A4919,'ZONE 1 PREMIUM'!$A$4:$N$16,14,0)</f>
        <v>2</v>
      </c>
      <c r="M4919">
        <f>VLOOKUP(D4919,DROPDOWN!B:C,2,0)</f>
        <v>14</v>
      </c>
      <c r="N4919" t="str">
        <f t="shared" si="245"/>
        <v>CO143:DG154</v>
      </c>
      <c r="O4919" s="4">
        <f t="shared" ca="1" si="243"/>
        <v>209808.65000000002</v>
      </c>
    </row>
    <row r="4920" spans="1:15">
      <c r="A4920" s="2" t="s">
        <v>12</v>
      </c>
      <c r="B4920" t="s">
        <v>27</v>
      </c>
      <c r="C4920" t="s">
        <v>28</v>
      </c>
      <c r="D4920">
        <v>75</v>
      </c>
      <c r="E4920" t="s">
        <v>46</v>
      </c>
      <c r="F4920">
        <v>6</v>
      </c>
      <c r="G4920">
        <v>2</v>
      </c>
      <c r="H4920">
        <v>4</v>
      </c>
      <c r="I4920">
        <v>1</v>
      </c>
      <c r="J4920" s="4" t="s">
        <v>54</v>
      </c>
      <c r="K4920" t="str">
        <f t="shared" si="244"/>
        <v>2+4</v>
      </c>
      <c r="L4920">
        <f>VLOOKUP(A4920,'ZONE 1 PREMIUM'!$A$4:$N$16,14,0)</f>
        <v>3</v>
      </c>
      <c r="M4920">
        <f>VLOOKUP(D4920,DROPDOWN!B:C,2,0)</f>
        <v>14</v>
      </c>
      <c r="N4920" t="str">
        <f t="shared" si="245"/>
        <v>CO143:DG154</v>
      </c>
      <c r="O4920" s="4">
        <f t="shared" ca="1" si="243"/>
        <v>226539.06000000003</v>
      </c>
    </row>
    <row r="4921" spans="1:15">
      <c r="A4921" s="2" t="s">
        <v>13</v>
      </c>
      <c r="B4921" t="s">
        <v>29</v>
      </c>
      <c r="C4921" t="s">
        <v>30</v>
      </c>
      <c r="D4921">
        <v>75</v>
      </c>
      <c r="E4921" t="s">
        <v>46</v>
      </c>
      <c r="F4921">
        <v>6</v>
      </c>
      <c r="G4921">
        <v>2</v>
      </c>
      <c r="H4921">
        <v>4</v>
      </c>
      <c r="I4921">
        <v>1</v>
      </c>
      <c r="J4921" s="4" t="s">
        <v>54</v>
      </c>
      <c r="K4921" t="str">
        <f t="shared" si="244"/>
        <v>2+4</v>
      </c>
      <c r="L4921">
        <f>VLOOKUP(A4921,'ZONE 1 PREMIUM'!$A$4:$N$16,14,0)</f>
        <v>4</v>
      </c>
      <c r="M4921">
        <f>VLOOKUP(D4921,DROPDOWN!B:C,2,0)</f>
        <v>14</v>
      </c>
      <c r="N4921" t="str">
        <f t="shared" si="245"/>
        <v>CO143:DG154</v>
      </c>
      <c r="O4921" s="4">
        <f t="shared" ca="1" si="243"/>
        <v>249427.97000000003</v>
      </c>
    </row>
    <row r="4922" spans="1:15">
      <c r="A4922" s="2" t="s">
        <v>14</v>
      </c>
      <c r="B4922" t="s">
        <v>31</v>
      </c>
      <c r="C4922" t="s">
        <v>32</v>
      </c>
      <c r="D4922">
        <v>75</v>
      </c>
      <c r="E4922" t="s">
        <v>46</v>
      </c>
      <c r="F4922">
        <v>6</v>
      </c>
      <c r="G4922">
        <v>2</v>
      </c>
      <c r="H4922">
        <v>4</v>
      </c>
      <c r="I4922">
        <v>1</v>
      </c>
      <c r="J4922" s="4" t="s">
        <v>54</v>
      </c>
      <c r="K4922" t="str">
        <f t="shared" si="244"/>
        <v>2+4</v>
      </c>
      <c r="L4922">
        <f>VLOOKUP(A4922,'ZONE 1 PREMIUM'!$A$4:$N$16,14,0)</f>
        <v>5</v>
      </c>
      <c r="M4922">
        <f>VLOOKUP(D4922,DROPDOWN!B:C,2,0)</f>
        <v>14</v>
      </c>
      <c r="N4922" t="str">
        <f t="shared" si="245"/>
        <v>CO143:DG154</v>
      </c>
      <c r="O4922" s="4">
        <f t="shared" ca="1" si="243"/>
        <v>275543.28000000003</v>
      </c>
    </row>
    <row r="4923" spans="1:15">
      <c r="A4923" s="2" t="s">
        <v>15</v>
      </c>
      <c r="B4923" t="s">
        <v>33</v>
      </c>
      <c r="C4923" t="s">
        <v>34</v>
      </c>
      <c r="D4923">
        <v>75</v>
      </c>
      <c r="E4923" t="s">
        <v>46</v>
      </c>
      <c r="F4923">
        <v>6</v>
      </c>
      <c r="G4923">
        <v>2</v>
      </c>
      <c r="H4923">
        <v>4</v>
      </c>
      <c r="I4923">
        <v>1</v>
      </c>
      <c r="J4923" s="4" t="s">
        <v>54</v>
      </c>
      <c r="K4923" t="str">
        <f t="shared" si="244"/>
        <v>2+4</v>
      </c>
      <c r="L4923">
        <f>VLOOKUP(A4923,'ZONE 1 PREMIUM'!$A$4:$N$16,14,0)</f>
        <v>6</v>
      </c>
      <c r="M4923">
        <f>VLOOKUP(D4923,DROPDOWN!B:C,2,0)</f>
        <v>14</v>
      </c>
      <c r="N4923" t="str">
        <f t="shared" si="245"/>
        <v>CO143:DG154</v>
      </c>
      <c r="O4923" s="4">
        <f t="shared" ca="1" si="243"/>
        <v>333283.85000000003</v>
      </c>
    </row>
    <row r="4924" spans="1:15">
      <c r="A4924" s="2" t="s">
        <v>16</v>
      </c>
      <c r="B4924" t="s">
        <v>35</v>
      </c>
      <c r="C4924" t="s">
        <v>36</v>
      </c>
      <c r="D4924">
        <v>75</v>
      </c>
      <c r="E4924" t="s">
        <v>46</v>
      </c>
      <c r="F4924">
        <v>6</v>
      </c>
      <c r="G4924">
        <v>2</v>
      </c>
      <c r="H4924">
        <v>4</v>
      </c>
      <c r="I4924">
        <v>1</v>
      </c>
      <c r="J4924" s="4" t="s">
        <v>54</v>
      </c>
      <c r="K4924" t="str">
        <f t="shared" si="244"/>
        <v>2+4</v>
      </c>
      <c r="L4924">
        <f>VLOOKUP(A4924,'ZONE 1 PREMIUM'!$A$4:$N$16,14,0)</f>
        <v>7</v>
      </c>
      <c r="M4924">
        <f>VLOOKUP(D4924,DROPDOWN!B:C,2,0)</f>
        <v>14</v>
      </c>
      <c r="N4924" t="str">
        <f t="shared" si="245"/>
        <v>CO143:DG154</v>
      </c>
      <c r="O4924" s="4">
        <f t="shared" ca="1" si="243"/>
        <v>421181.45</v>
      </c>
    </row>
    <row r="4925" spans="1:15">
      <c r="A4925" s="2" t="s">
        <v>17</v>
      </c>
      <c r="B4925" t="s">
        <v>37</v>
      </c>
      <c r="C4925" t="s">
        <v>38</v>
      </c>
      <c r="D4925">
        <v>75</v>
      </c>
      <c r="E4925" t="s">
        <v>46</v>
      </c>
      <c r="F4925">
        <v>6</v>
      </c>
      <c r="G4925">
        <v>2</v>
      </c>
      <c r="H4925">
        <v>4</v>
      </c>
      <c r="I4925">
        <v>1</v>
      </c>
      <c r="J4925" s="4" t="s">
        <v>54</v>
      </c>
      <c r="K4925" t="str">
        <f t="shared" si="244"/>
        <v>2+4</v>
      </c>
      <c r="L4925">
        <f>VLOOKUP(A4925,'ZONE 1 PREMIUM'!$A$4:$N$16,14,0)</f>
        <v>8</v>
      </c>
      <c r="M4925">
        <f>VLOOKUP(D4925,DROPDOWN!B:C,2,0)</f>
        <v>14</v>
      </c>
      <c r="N4925" t="str">
        <f t="shared" si="245"/>
        <v>CO143:DG154</v>
      </c>
      <c r="O4925" s="4">
        <f t="shared" ca="1" si="243"/>
        <v>530958.62</v>
      </c>
    </row>
    <row r="4926" spans="1:15">
      <c r="A4926" s="2" t="s">
        <v>18</v>
      </c>
      <c r="B4926" t="s">
        <v>39</v>
      </c>
      <c r="C4926" t="s">
        <v>40</v>
      </c>
      <c r="D4926">
        <v>75</v>
      </c>
      <c r="E4926" t="s">
        <v>46</v>
      </c>
      <c r="F4926">
        <v>6</v>
      </c>
      <c r="G4926">
        <v>2</v>
      </c>
      <c r="H4926">
        <v>4</v>
      </c>
      <c r="I4926">
        <v>1</v>
      </c>
      <c r="J4926" s="4" t="s">
        <v>54</v>
      </c>
      <c r="K4926" t="str">
        <f t="shared" si="244"/>
        <v>2+4</v>
      </c>
      <c r="L4926">
        <f>VLOOKUP(A4926,'ZONE 1 PREMIUM'!$A$4:$N$16,14,0)</f>
        <v>9</v>
      </c>
      <c r="M4926">
        <f>VLOOKUP(D4926,DROPDOWN!B:C,2,0)</f>
        <v>14</v>
      </c>
      <c r="N4926" t="str">
        <f t="shared" si="245"/>
        <v>CO143:DG154</v>
      </c>
      <c r="O4926" s="4">
        <f t="shared" ca="1" si="243"/>
        <v>687756.21000000008</v>
      </c>
    </row>
    <row r="4927" spans="1:15">
      <c r="A4927" s="2" t="s">
        <v>19</v>
      </c>
      <c r="B4927" t="s">
        <v>41</v>
      </c>
      <c r="C4927" t="s">
        <v>42</v>
      </c>
      <c r="D4927">
        <v>75</v>
      </c>
      <c r="E4927" t="s">
        <v>46</v>
      </c>
      <c r="F4927">
        <v>6</v>
      </c>
      <c r="G4927">
        <v>2</v>
      </c>
      <c r="H4927">
        <v>4</v>
      </c>
      <c r="I4927">
        <v>1</v>
      </c>
      <c r="J4927" s="4" t="s">
        <v>54</v>
      </c>
      <c r="K4927" t="str">
        <f t="shared" si="244"/>
        <v>2+4</v>
      </c>
      <c r="L4927">
        <f>VLOOKUP(A4927,'ZONE 1 PREMIUM'!$A$4:$N$16,14,0)</f>
        <v>10</v>
      </c>
      <c r="M4927">
        <f>VLOOKUP(D4927,DROPDOWN!B:C,2,0)</f>
        <v>14</v>
      </c>
      <c r="N4927" t="str">
        <f t="shared" si="245"/>
        <v>CO143:DG154</v>
      </c>
      <c r="O4927" s="4">
        <f t="shared" ca="1" si="243"/>
        <v>876660.84000000008</v>
      </c>
    </row>
    <row r="4928" spans="1:15">
      <c r="A4928" s="2" t="s">
        <v>20</v>
      </c>
      <c r="B4928" t="s">
        <v>43</v>
      </c>
      <c r="C4928" t="s">
        <v>44</v>
      </c>
      <c r="D4928">
        <v>75</v>
      </c>
      <c r="E4928" t="s">
        <v>46</v>
      </c>
      <c r="F4928">
        <v>6</v>
      </c>
      <c r="G4928">
        <v>2</v>
      </c>
      <c r="H4928">
        <v>4</v>
      </c>
      <c r="I4928">
        <v>1</v>
      </c>
      <c r="J4928" s="4" t="s">
        <v>54</v>
      </c>
      <c r="K4928" t="str">
        <f t="shared" si="244"/>
        <v>2+4</v>
      </c>
      <c r="L4928">
        <f>VLOOKUP(A4928,'ZONE 1 PREMIUM'!$A$4:$N$16,14,0)</f>
        <v>11</v>
      </c>
      <c r="M4928">
        <f>VLOOKUP(D4928,DROPDOWN!B:C,2,0)</f>
        <v>14</v>
      </c>
      <c r="N4928" t="str">
        <f t="shared" si="245"/>
        <v>CO143:DG154</v>
      </c>
      <c r="O4928" s="4">
        <f t="shared" ca="1" si="243"/>
        <v>1051914.31</v>
      </c>
    </row>
    <row r="4929" spans="1:15">
      <c r="A4929" s="2" t="s">
        <v>21</v>
      </c>
      <c r="B4929" t="s">
        <v>22</v>
      </c>
      <c r="D4929">
        <v>75</v>
      </c>
      <c r="E4929" t="s">
        <v>46</v>
      </c>
      <c r="F4929">
        <v>6</v>
      </c>
      <c r="G4929">
        <v>2</v>
      </c>
      <c r="H4929">
        <v>4</v>
      </c>
      <c r="I4929">
        <v>1</v>
      </c>
      <c r="J4929" s="4" t="s">
        <v>54</v>
      </c>
      <c r="K4929" t="str">
        <f t="shared" si="244"/>
        <v>2+4</v>
      </c>
      <c r="L4929">
        <f>VLOOKUP(A4929,'ZONE 1 PREMIUM'!$A$4:$N$16,14,0)</f>
        <v>12</v>
      </c>
      <c r="M4929">
        <f>VLOOKUP(D4929,DROPDOWN!B:C,2,0)</f>
        <v>14</v>
      </c>
      <c r="N4929" t="str">
        <f t="shared" si="245"/>
        <v>CO143:DG154</v>
      </c>
      <c r="O4929" s="4">
        <f t="shared" ca="1" si="243"/>
        <v>1302679.7100000002</v>
      </c>
    </row>
  </sheetData>
  <autoFilter ref="A1:O4929" xr:uid="{00000000-0009-0000-0000-000000000000}"/>
  <mergeCells count="125">
    <mergeCell ref="DC2:DG2"/>
    <mergeCell ref="CP19:CQ19"/>
    <mergeCell ref="DC19:DG19"/>
    <mergeCell ref="CP34:CQ34"/>
    <mergeCell ref="DC34:DG34"/>
    <mergeCell ref="CP49:CQ49"/>
    <mergeCell ref="DC49:DG49"/>
    <mergeCell ref="CP64:CQ64"/>
    <mergeCell ref="DC64:DG64"/>
    <mergeCell ref="CZ2:DB2"/>
    <mergeCell ref="CR19:CT19"/>
    <mergeCell ref="CU19:CY19"/>
    <mergeCell ref="CZ19:DB19"/>
    <mergeCell ref="CU34:CY34"/>
    <mergeCell ref="CZ34:DB34"/>
    <mergeCell ref="CU49:CY49"/>
    <mergeCell ref="CZ49:DB49"/>
    <mergeCell ref="CR34:CT34"/>
    <mergeCell ref="CP80:CQ80"/>
    <mergeCell ref="DC80:DG80"/>
    <mergeCell ref="CF49:CJ49"/>
    <mergeCell ref="BS64:BT64"/>
    <mergeCell ref="CF64:CJ64"/>
    <mergeCell ref="BS80:BT80"/>
    <mergeCell ref="CF80:CJ80"/>
    <mergeCell ref="BU80:BW80"/>
    <mergeCell ref="BX80:CB80"/>
    <mergeCell ref="CC80:CE80"/>
    <mergeCell ref="BU49:BW49"/>
    <mergeCell ref="BU64:BW64"/>
    <mergeCell ref="CR80:CT80"/>
    <mergeCell ref="CU80:CY80"/>
    <mergeCell ref="CZ80:DB80"/>
    <mergeCell ref="BS49:BT49"/>
    <mergeCell ref="CZ64:DB64"/>
    <mergeCell ref="CR64:CT64"/>
    <mergeCell ref="CU64:CY64"/>
    <mergeCell ref="BX49:CB49"/>
    <mergeCell ref="CC49:CE49"/>
    <mergeCell ref="BX64:CB64"/>
    <mergeCell ref="CC64:CE64"/>
    <mergeCell ref="CR49:CT49"/>
    <mergeCell ref="AV80:AW80"/>
    <mergeCell ref="AX80:AZ80"/>
    <mergeCell ref="BA80:BE80"/>
    <mergeCell ref="BF80:BH80"/>
    <mergeCell ref="BI80:BM80"/>
    <mergeCell ref="BA49:BE49"/>
    <mergeCell ref="BF49:BH49"/>
    <mergeCell ref="BI49:BM49"/>
    <mergeCell ref="AV64:AW64"/>
    <mergeCell ref="AX64:AZ64"/>
    <mergeCell ref="BA64:BE64"/>
    <mergeCell ref="BF64:BH64"/>
    <mergeCell ref="BI64:BM64"/>
    <mergeCell ref="AV49:AW49"/>
    <mergeCell ref="AX49:AZ49"/>
    <mergeCell ref="Y97:Z97"/>
    <mergeCell ref="AL97:AP97"/>
    <mergeCell ref="Y49:Z49"/>
    <mergeCell ref="AL49:AP49"/>
    <mergeCell ref="Y64:Z64"/>
    <mergeCell ref="AL64:AP64"/>
    <mergeCell ref="Y80:Z80"/>
    <mergeCell ref="AL80:AP80"/>
    <mergeCell ref="Y2:Z2"/>
    <mergeCell ref="AL2:AP2"/>
    <mergeCell ref="Y19:Z19"/>
    <mergeCell ref="AL19:AP19"/>
    <mergeCell ref="Y34:Z34"/>
    <mergeCell ref="AL34:AP34"/>
    <mergeCell ref="AA34:AC34"/>
    <mergeCell ref="AD34:AH34"/>
    <mergeCell ref="AI34:AK34"/>
    <mergeCell ref="AA49:AC49"/>
    <mergeCell ref="AD49:AH49"/>
    <mergeCell ref="AI49:AK49"/>
    <mergeCell ref="AA2:AC2"/>
    <mergeCell ref="AD2:AH2"/>
    <mergeCell ref="AI2:AK2"/>
    <mergeCell ref="AA19:AC19"/>
    <mergeCell ref="CC2:CE2"/>
    <mergeCell ref="CF34:CJ34"/>
    <mergeCell ref="CP2:CQ2"/>
    <mergeCell ref="CC19:CE19"/>
    <mergeCell ref="AX2:AZ2"/>
    <mergeCell ref="BA2:BE2"/>
    <mergeCell ref="BF2:BH2"/>
    <mergeCell ref="CR2:CT2"/>
    <mergeCell ref="CU2:CY2"/>
    <mergeCell ref="BS2:BT2"/>
    <mergeCell ref="CF2:CJ2"/>
    <mergeCell ref="BS19:BT19"/>
    <mergeCell ref="CF19:CJ19"/>
    <mergeCell ref="BI2:BM2"/>
    <mergeCell ref="AX19:AZ19"/>
    <mergeCell ref="BA19:BE19"/>
    <mergeCell ref="BF19:BH19"/>
    <mergeCell ref="BI19:BM19"/>
    <mergeCell ref="BX34:CB34"/>
    <mergeCell ref="CC34:CE34"/>
    <mergeCell ref="AI64:AK64"/>
    <mergeCell ref="AA80:AC80"/>
    <mergeCell ref="AD80:AH80"/>
    <mergeCell ref="AI80:AK80"/>
    <mergeCell ref="BU34:BW34"/>
    <mergeCell ref="BU2:BW2"/>
    <mergeCell ref="BX2:CB2"/>
    <mergeCell ref="BS34:BT34"/>
    <mergeCell ref="AA97:AC97"/>
    <mergeCell ref="AD97:AH97"/>
    <mergeCell ref="AI97:AK97"/>
    <mergeCell ref="BU19:BW19"/>
    <mergeCell ref="BX19:CB19"/>
    <mergeCell ref="AD19:AH19"/>
    <mergeCell ref="AI19:AK19"/>
    <mergeCell ref="AA64:AC64"/>
    <mergeCell ref="AD64:AH64"/>
    <mergeCell ref="AV2:AW2"/>
    <mergeCell ref="AV19:AW19"/>
    <mergeCell ref="AV34:AW34"/>
    <mergeCell ref="AX34:AZ34"/>
    <mergeCell ref="BA34:BE34"/>
    <mergeCell ref="BF34:BH34"/>
    <mergeCell ref="BI34:BM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154"/>
  <sheetViews>
    <sheetView workbookViewId="0">
      <selection activeCell="D10" sqref="D10"/>
    </sheetView>
  </sheetViews>
  <sheetFormatPr defaultRowHeight="14.4"/>
  <cols>
    <col min="4" max="4" width="11.44140625" customWidth="1"/>
    <col min="5" max="5" width="10.44140625" customWidth="1"/>
    <col min="6" max="6" width="10.21875" customWidth="1"/>
    <col min="7" max="7" width="11.77734375" customWidth="1"/>
    <col min="8" max="8" width="10.77734375" customWidth="1"/>
    <col min="9" max="9" width="11.21875" customWidth="1"/>
    <col min="10" max="10" width="11.77734375" customWidth="1"/>
    <col min="11" max="11" width="9.77734375" customWidth="1"/>
    <col min="12" max="12" width="11.5546875" customWidth="1"/>
  </cols>
  <sheetData>
    <row r="1" spans="1:16">
      <c r="A1" s="5" t="s">
        <v>56</v>
      </c>
      <c r="B1" t="s">
        <v>52</v>
      </c>
    </row>
    <row r="2" spans="1:16">
      <c r="A2" s="1"/>
      <c r="B2" s="143" t="s">
        <v>57</v>
      </c>
      <c r="C2" s="143"/>
      <c r="D2" s="143"/>
      <c r="E2" s="144" t="s">
        <v>58</v>
      </c>
      <c r="F2" s="144"/>
      <c r="G2" s="144"/>
      <c r="H2" s="144"/>
      <c r="I2" s="144"/>
      <c r="J2" s="142" t="s">
        <v>59</v>
      </c>
      <c r="K2" s="142"/>
      <c r="L2" s="142"/>
      <c r="O2" s="1" t="s">
        <v>81</v>
      </c>
    </row>
    <row r="3" spans="1:16">
      <c r="A3" s="2" t="s">
        <v>60</v>
      </c>
      <c r="B3" s="6" t="s">
        <v>70</v>
      </c>
      <c r="C3" s="6" t="s">
        <v>71</v>
      </c>
      <c r="D3" s="6" t="s">
        <v>72</v>
      </c>
      <c r="E3" s="6" t="s">
        <v>73</v>
      </c>
      <c r="F3" s="6" t="s">
        <v>74</v>
      </c>
      <c r="G3" s="6" t="s">
        <v>75</v>
      </c>
      <c r="H3" s="6" t="s">
        <v>76</v>
      </c>
      <c r="I3" s="6" t="s">
        <v>77</v>
      </c>
      <c r="J3" s="6" t="s">
        <v>78</v>
      </c>
      <c r="K3" s="6" t="s">
        <v>79</v>
      </c>
      <c r="L3" s="6" t="s">
        <v>80</v>
      </c>
      <c r="O3" s="9" t="s">
        <v>82</v>
      </c>
      <c r="P3" s="10" t="s">
        <v>92</v>
      </c>
    </row>
    <row r="4" spans="1:16">
      <c r="A4" s="2" t="s">
        <v>9</v>
      </c>
      <c r="B4" s="7">
        <v>3298.4569122102048</v>
      </c>
      <c r="C4" s="7">
        <v>3596.2461352458467</v>
      </c>
      <c r="D4" s="7">
        <v>3869.0765792004154</v>
      </c>
      <c r="E4" s="7">
        <v>4514.5176416498443</v>
      </c>
      <c r="F4" s="7">
        <v>4913.9165364437358</v>
      </c>
      <c r="G4" s="7">
        <v>5252.5661524387806</v>
      </c>
      <c r="H4" s="7">
        <v>5858.8142539097298</v>
      </c>
      <c r="I4" s="7">
        <v>7275.6767839003614</v>
      </c>
      <c r="J4" s="7">
        <v>11187.446366205199</v>
      </c>
      <c r="K4" s="7">
        <v>14255.913793575031</v>
      </c>
      <c r="L4" s="7">
        <v>17689.077688884896</v>
      </c>
      <c r="M4" s="11">
        <v>2</v>
      </c>
      <c r="N4" s="12"/>
      <c r="O4" s="9" t="s">
        <v>83</v>
      </c>
      <c r="P4" s="10" t="s">
        <v>93</v>
      </c>
    </row>
    <row r="5" spans="1:16">
      <c r="A5" s="2" t="s">
        <v>10</v>
      </c>
      <c r="B5" s="7">
        <v>2529.3910217336384</v>
      </c>
      <c r="C5" s="7">
        <v>2759.3334467527138</v>
      </c>
      <c r="D5" s="7">
        <v>2970.7534163236724</v>
      </c>
      <c r="E5" s="7">
        <v>3467.1898882870232</v>
      </c>
      <c r="F5" s="7">
        <v>3776.8859967769517</v>
      </c>
      <c r="G5" s="7">
        <v>4040.7644519074915</v>
      </c>
      <c r="H5" s="7">
        <v>4510.2594498239223</v>
      </c>
      <c r="I5" s="7">
        <v>5602.8288987134165</v>
      </c>
      <c r="J5" s="7">
        <v>9162.1147651422671</v>
      </c>
      <c r="K5" s="7">
        <v>11551.804871419128</v>
      </c>
      <c r="L5" s="7">
        <v>14225.470218223509</v>
      </c>
      <c r="M5" s="11">
        <v>3</v>
      </c>
      <c r="N5" s="12"/>
      <c r="O5" s="9" t="s">
        <v>84</v>
      </c>
      <c r="P5" s="10" t="s">
        <v>94</v>
      </c>
    </row>
    <row r="6" spans="1:16">
      <c r="A6" s="2" t="s">
        <v>11</v>
      </c>
      <c r="B6" s="7">
        <v>6776.1182830110683</v>
      </c>
      <c r="C6" s="7">
        <v>7392.0975897657563</v>
      </c>
      <c r="D6" s="7">
        <v>7957.8731868719769</v>
      </c>
      <c r="E6" s="7">
        <v>9366.3984836839172</v>
      </c>
      <c r="F6" s="7">
        <v>10309.143649846443</v>
      </c>
      <c r="G6" s="7">
        <v>11138.679754385917</v>
      </c>
      <c r="H6" s="7">
        <v>12423.336335940077</v>
      </c>
      <c r="I6" s="7">
        <v>15413.752124702954</v>
      </c>
      <c r="J6" s="7">
        <v>32221.937618058979</v>
      </c>
      <c r="K6" s="7">
        <v>38594.694774333737</v>
      </c>
      <c r="L6" s="7">
        <v>45762.658189040616</v>
      </c>
      <c r="M6" s="11">
        <v>4</v>
      </c>
      <c r="N6" s="12">
        <v>2</v>
      </c>
      <c r="O6" s="9" t="s">
        <v>85</v>
      </c>
      <c r="P6" s="10" t="s">
        <v>95</v>
      </c>
    </row>
    <row r="7" spans="1:16">
      <c r="A7" s="2" t="s">
        <v>12</v>
      </c>
      <c r="B7" s="7">
        <v>7791.0758448372762</v>
      </c>
      <c r="C7" s="7">
        <v>8502.1522980418194</v>
      </c>
      <c r="D7" s="7">
        <v>9156.8058781135878</v>
      </c>
      <c r="E7" s="7">
        <v>10798.185567714401</v>
      </c>
      <c r="F7" s="7">
        <v>11817.849049718334</v>
      </c>
      <c r="G7" s="7">
        <v>12714.104154338942</v>
      </c>
      <c r="H7" s="7">
        <v>14184.19423020559</v>
      </c>
      <c r="I7" s="7">
        <v>17595.192174208958</v>
      </c>
      <c r="J7" s="7">
        <v>36410.707530947599</v>
      </c>
      <c r="K7" s="7">
        <v>44101.604030173316</v>
      </c>
      <c r="L7" s="7">
        <v>52940.238335213893</v>
      </c>
      <c r="M7" s="11">
        <v>5</v>
      </c>
      <c r="N7" s="12">
        <v>3</v>
      </c>
      <c r="O7" s="9" t="s">
        <v>86</v>
      </c>
      <c r="P7" s="10" t="s">
        <v>96</v>
      </c>
    </row>
    <row r="8" spans="1:16">
      <c r="A8" s="2" t="s">
        <v>13</v>
      </c>
      <c r="B8" s="7">
        <v>8977.4968264078852</v>
      </c>
      <c r="C8" s="7">
        <v>9809.9588024536552</v>
      </c>
      <c r="D8" s="7">
        <v>10578.686420315815</v>
      </c>
      <c r="E8" s="7">
        <v>12476.263703019771</v>
      </c>
      <c r="F8" s="7">
        <v>13657.959279863615</v>
      </c>
      <c r="G8" s="7">
        <v>14696.021800027896</v>
      </c>
      <c r="H8" s="7">
        <v>16418.043117381603</v>
      </c>
      <c r="I8" s="7">
        <v>20398.519569877222</v>
      </c>
      <c r="J8" s="7">
        <v>38008.773742253834</v>
      </c>
      <c r="K8" s="7">
        <v>47033.733410854693</v>
      </c>
      <c r="L8" s="7">
        <v>57423.602396729446</v>
      </c>
      <c r="M8" s="11">
        <v>6</v>
      </c>
      <c r="N8" s="12">
        <v>4</v>
      </c>
      <c r="O8" s="9" t="s">
        <v>87</v>
      </c>
      <c r="P8" s="10" t="s">
        <v>97</v>
      </c>
    </row>
    <row r="9" spans="1:16">
      <c r="A9" s="2" t="s">
        <v>14</v>
      </c>
      <c r="B9" s="7">
        <v>10433.258414121103</v>
      </c>
      <c r="C9" s="7">
        <v>11416.10727242298</v>
      </c>
      <c r="D9" s="7">
        <v>12325.913977045922</v>
      </c>
      <c r="E9" s="7">
        <v>14540.160197550624</v>
      </c>
      <c r="F9" s="7">
        <v>15878.319702758883</v>
      </c>
      <c r="G9" s="7">
        <v>17033.024283831703</v>
      </c>
      <c r="H9" s="7">
        <v>19054.804773539239</v>
      </c>
      <c r="I9" s="7">
        <v>23710.540730510485</v>
      </c>
      <c r="J9" s="7">
        <v>42970.576463715552</v>
      </c>
      <c r="K9" s="7">
        <v>53648.551855068457</v>
      </c>
      <c r="L9" s="7">
        <v>65958.271836561005</v>
      </c>
      <c r="M9" s="11">
        <v>7</v>
      </c>
      <c r="N9" s="12">
        <v>5</v>
      </c>
      <c r="O9" s="9" t="s">
        <v>88</v>
      </c>
      <c r="P9" s="10" t="s">
        <v>98</v>
      </c>
    </row>
    <row r="10" spans="1:16">
      <c r="A10" s="2" t="s">
        <v>15</v>
      </c>
      <c r="B10" s="7">
        <v>12935.044678114049</v>
      </c>
      <c r="C10" s="7">
        <v>14166.982716886252</v>
      </c>
      <c r="D10" s="7">
        <v>15310.386285525514</v>
      </c>
      <c r="E10" s="7">
        <v>18081.66235320843</v>
      </c>
      <c r="F10" s="7">
        <v>19765.593841233785</v>
      </c>
      <c r="G10" s="7">
        <v>21225.218371189483</v>
      </c>
      <c r="H10" s="7">
        <v>23767.01045239389</v>
      </c>
      <c r="I10" s="7">
        <v>29598.371527889758</v>
      </c>
      <c r="J10" s="7">
        <v>51770.804564307495</v>
      </c>
      <c r="K10" s="7">
        <v>65292.877750153071</v>
      </c>
      <c r="L10" s="7">
        <v>80903.137580835333</v>
      </c>
      <c r="M10" s="11">
        <v>8</v>
      </c>
      <c r="N10" s="12">
        <v>6</v>
      </c>
      <c r="O10" s="9" t="s">
        <v>89</v>
      </c>
      <c r="P10" s="10" t="s">
        <v>99</v>
      </c>
    </row>
    <row r="11" spans="1:16">
      <c r="A11" s="2" t="s">
        <v>16</v>
      </c>
      <c r="B11" s="7">
        <v>16983.872935374253</v>
      </c>
      <c r="C11" s="7">
        <v>18630.251042057225</v>
      </c>
      <c r="D11" s="7">
        <v>20162.877892372988</v>
      </c>
      <c r="E11" s="7">
        <v>23809.084061888538</v>
      </c>
      <c r="F11" s="7">
        <v>26068.872709252621</v>
      </c>
      <c r="G11" s="7">
        <v>28036.458302159041</v>
      </c>
      <c r="H11" s="7">
        <v>31444.264424090383</v>
      </c>
      <c r="I11" s="7">
        <v>39233.606184267956</v>
      </c>
      <c r="J11" s="7">
        <v>72674.013383193291</v>
      </c>
      <c r="K11" s="7">
        <v>90950.869204372895</v>
      </c>
      <c r="L11" s="7">
        <v>112077.58441663458</v>
      </c>
      <c r="M11" s="11">
        <v>9</v>
      </c>
      <c r="N11" s="12">
        <v>7</v>
      </c>
      <c r="O11" s="9" t="s">
        <v>90</v>
      </c>
      <c r="P11" s="10" t="s">
        <v>100</v>
      </c>
    </row>
    <row r="12" spans="1:16">
      <c r="A12" s="2" t="s">
        <v>17</v>
      </c>
      <c r="B12" s="7">
        <v>22961.412415833911</v>
      </c>
      <c r="C12" s="7">
        <v>25214.241661952259</v>
      </c>
      <c r="D12" s="7">
        <v>27316.869369539792</v>
      </c>
      <c r="E12" s="7">
        <v>32287.901869543712</v>
      </c>
      <c r="F12" s="7">
        <v>35392.550778709599</v>
      </c>
      <c r="G12" s="7">
        <v>37651.830366175061</v>
      </c>
      <c r="H12" s="7">
        <v>42273.163608619427</v>
      </c>
      <c r="I12" s="7">
        <v>52796.65278525788</v>
      </c>
      <c r="J12" s="7">
        <v>97100.768807519489</v>
      </c>
      <c r="K12" s="7">
        <v>121762.6463178579</v>
      </c>
      <c r="L12" s="7">
        <v>150331.02095714625</v>
      </c>
      <c r="M12" s="11">
        <v>10</v>
      </c>
      <c r="N12" s="12">
        <v>8</v>
      </c>
      <c r="O12" s="9" t="s">
        <v>91</v>
      </c>
      <c r="P12" s="10" t="s">
        <v>101</v>
      </c>
    </row>
    <row r="13" spans="1:16">
      <c r="A13" s="2" t="s">
        <v>18</v>
      </c>
      <c r="B13" s="7">
        <v>31682.788554836075</v>
      </c>
      <c r="C13" s="7">
        <v>34844.431614083827</v>
      </c>
      <c r="D13" s="7">
        <v>37803.224433156422</v>
      </c>
      <c r="E13" s="7">
        <v>44685.549106900842</v>
      </c>
      <c r="F13" s="7">
        <v>49060.369074101865</v>
      </c>
      <c r="G13" s="7">
        <v>52079.026882222315</v>
      </c>
      <c r="H13" s="7">
        <v>58562.295301737686</v>
      </c>
      <c r="I13" s="7">
        <v>73271.745480840807</v>
      </c>
      <c r="J13" s="7">
        <v>133390.79952235654</v>
      </c>
      <c r="K13" s="7">
        <v>167789.08182222702</v>
      </c>
      <c r="L13" s="7">
        <v>207723.94245631114</v>
      </c>
      <c r="M13" s="11">
        <v>11</v>
      </c>
      <c r="N13" s="12">
        <v>9</v>
      </c>
    </row>
    <row r="14" spans="1:16">
      <c r="A14" s="2" t="s">
        <v>19</v>
      </c>
      <c r="B14" s="7">
        <v>40366.6482731121</v>
      </c>
      <c r="C14" s="7">
        <v>44453.187382222415</v>
      </c>
      <c r="D14" s="7">
        <v>48287.942479054967</v>
      </c>
      <c r="E14" s="7">
        <v>57105.273447228741</v>
      </c>
      <c r="F14" s="7">
        <v>62803.960698676827</v>
      </c>
      <c r="G14" s="7">
        <v>67812.505709464996</v>
      </c>
      <c r="H14" s="7">
        <v>76355.3300925519</v>
      </c>
      <c r="I14" s="7">
        <v>95666.351422484629</v>
      </c>
      <c r="J14" s="7">
        <v>169150.49687829771</v>
      </c>
      <c r="K14" s="7">
        <v>214049.89643882788</v>
      </c>
      <c r="L14" s="7">
        <v>266304.88401166018</v>
      </c>
      <c r="M14" s="11">
        <v>12</v>
      </c>
      <c r="N14" s="12">
        <v>10</v>
      </c>
    </row>
    <row r="15" spans="1:16">
      <c r="A15" s="2" t="s">
        <v>20</v>
      </c>
      <c r="B15" s="7">
        <v>48357.798435666489</v>
      </c>
      <c r="C15" s="7">
        <v>53320.104833684956</v>
      </c>
      <c r="D15" s="7">
        <v>57989.09733670461</v>
      </c>
      <c r="E15" s="7">
        <v>68628.876376832894</v>
      </c>
      <c r="F15" s="7">
        <v>75572.974020452748</v>
      </c>
      <c r="G15" s="7">
        <v>81706.172964931291</v>
      </c>
      <c r="H15" s="7">
        <v>92116.175773689276</v>
      </c>
      <c r="I15" s="7">
        <v>115562.19196687949</v>
      </c>
      <c r="J15" s="7">
        <v>197896.37171092883</v>
      </c>
      <c r="K15" s="7">
        <v>252082.89277891879</v>
      </c>
      <c r="L15" s="7">
        <v>315306.74968553812</v>
      </c>
      <c r="M15" s="11">
        <v>13</v>
      </c>
      <c r="N15" s="12">
        <v>11</v>
      </c>
    </row>
    <row r="16" spans="1:16">
      <c r="A16" s="2" t="s">
        <v>21</v>
      </c>
      <c r="B16" s="7">
        <v>64744.602462028757</v>
      </c>
      <c r="C16" s="7">
        <v>71482.673005974691</v>
      </c>
      <c r="D16" s="7">
        <v>77839.5104750381</v>
      </c>
      <c r="E16" s="7">
        <v>92183.359647026955</v>
      </c>
      <c r="F16" s="7">
        <v>101643.87474904436</v>
      </c>
      <c r="G16" s="7">
        <v>110041.96920178873</v>
      </c>
      <c r="H16" s="7">
        <v>124227.35385959872</v>
      </c>
      <c r="I16" s="7">
        <v>156060.93620851845</v>
      </c>
      <c r="J16" s="7">
        <v>258141.27481094011</v>
      </c>
      <c r="K16" s="7">
        <v>331251.82303372934</v>
      </c>
      <c r="L16" s="7">
        <v>416776.80892470066</v>
      </c>
      <c r="M16" s="11">
        <v>14</v>
      </c>
      <c r="N16" s="12">
        <v>12</v>
      </c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5" t="s">
        <v>61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43" t="s">
        <v>57</v>
      </c>
      <c r="C19" s="143"/>
      <c r="D19" s="143"/>
      <c r="E19" s="144" t="s">
        <v>58</v>
      </c>
      <c r="F19" s="144"/>
      <c r="G19" s="144"/>
      <c r="H19" s="144"/>
      <c r="I19" s="144"/>
      <c r="J19" s="142" t="s">
        <v>59</v>
      </c>
      <c r="K19" s="142"/>
      <c r="L19" s="142"/>
    </row>
    <row r="20" spans="1:12">
      <c r="A20" s="2" t="s">
        <v>60</v>
      </c>
      <c r="B20" s="6" t="s">
        <v>70</v>
      </c>
      <c r="C20" s="6" t="s">
        <v>71</v>
      </c>
      <c r="D20" s="6" t="s">
        <v>72</v>
      </c>
      <c r="E20" s="6" t="s">
        <v>73</v>
      </c>
      <c r="F20" s="6" t="s">
        <v>74</v>
      </c>
      <c r="G20" s="6" t="s">
        <v>75</v>
      </c>
      <c r="H20" s="6" t="s">
        <v>76</v>
      </c>
      <c r="I20" s="6" t="s">
        <v>77</v>
      </c>
      <c r="J20" s="6" t="s">
        <v>78</v>
      </c>
      <c r="K20" s="6" t="s">
        <v>79</v>
      </c>
      <c r="L20" s="6" t="s">
        <v>80</v>
      </c>
    </row>
    <row r="21" spans="1:12">
      <c r="A21" s="2" t="s">
        <v>11</v>
      </c>
      <c r="B21" s="7">
        <v>7370.0410752145026</v>
      </c>
      <c r="C21" s="7">
        <v>7779.0771781036619</v>
      </c>
      <c r="D21" s="7">
        <v>8367.4373121442059</v>
      </c>
      <c r="E21" s="7">
        <v>10571.751531740842</v>
      </c>
      <c r="F21" s="7">
        <v>11589.382964337938</v>
      </c>
      <c r="G21" s="7">
        <v>12475.82051174799</v>
      </c>
      <c r="H21" s="7">
        <v>13906.320112525391</v>
      </c>
      <c r="I21" s="7">
        <v>17240.048279818086</v>
      </c>
      <c r="J21" s="7">
        <v>33134.025785104786</v>
      </c>
      <c r="K21" s="7">
        <v>40273.902338605883</v>
      </c>
      <c r="L21" s="7">
        <v>48291.845175416966</v>
      </c>
    </row>
    <row r="22" spans="1:12">
      <c r="A22" s="2" t="s">
        <v>12</v>
      </c>
      <c r="B22" s="7">
        <v>8156.6240502598894</v>
      </c>
      <c r="C22" s="7">
        <v>8610.5499495205586</v>
      </c>
      <c r="D22" s="7">
        <v>9264.0484870046475</v>
      </c>
      <c r="E22" s="7">
        <v>11713.143904625946</v>
      </c>
      <c r="F22" s="7">
        <v>12791.326650800373</v>
      </c>
      <c r="G22" s="7">
        <v>13730.468802272997</v>
      </c>
      <c r="H22" s="7">
        <v>15306.114073987248</v>
      </c>
      <c r="I22" s="7">
        <v>18968.73259264393</v>
      </c>
      <c r="J22" s="7">
        <v>36496.734336487731</v>
      </c>
      <c r="K22" s="7">
        <v>44669.027747282853</v>
      </c>
      <c r="L22" s="7">
        <v>53995.778060332566</v>
      </c>
    </row>
    <row r="23" spans="1:12">
      <c r="A23" s="2" t="s">
        <v>13</v>
      </c>
      <c r="B23" s="7">
        <v>9407.7149238902784</v>
      </c>
      <c r="C23" s="7">
        <v>9942.1497051160422</v>
      </c>
      <c r="D23" s="7">
        <v>10707.813235103024</v>
      </c>
      <c r="E23" s="7">
        <v>13553.771367298623</v>
      </c>
      <c r="F23" s="7">
        <v>14819.224323724986</v>
      </c>
      <c r="G23" s="7">
        <v>15924.5282566838</v>
      </c>
      <c r="H23" s="7">
        <v>17770.670384823887</v>
      </c>
      <c r="I23" s="7">
        <v>22048.406094017777</v>
      </c>
      <c r="J23" s="7">
        <v>38993.854862877612</v>
      </c>
      <c r="K23" s="7">
        <v>48566.376011168162</v>
      </c>
      <c r="L23" s="7">
        <v>59510.469009195498</v>
      </c>
    </row>
    <row r="24" spans="1:12">
      <c r="A24" s="2" t="s">
        <v>14</v>
      </c>
      <c r="B24" s="7">
        <v>11050.680470825964</v>
      </c>
      <c r="C24" s="7">
        <v>11691.919327646374</v>
      </c>
      <c r="D24" s="7">
        <v>12605.730494626896</v>
      </c>
      <c r="E24" s="7">
        <v>15963.089599950008</v>
      </c>
      <c r="F24" s="7">
        <v>17433.356122450128</v>
      </c>
      <c r="G24" s="7">
        <v>18703.492989773269</v>
      </c>
      <c r="H24" s="7">
        <v>20894.719184102571</v>
      </c>
      <c r="I24" s="7">
        <v>25955.154697696311</v>
      </c>
      <c r="J24" s="7">
        <v>45054.69499486874</v>
      </c>
      <c r="K24" s="7">
        <v>56482.416041195393</v>
      </c>
      <c r="L24" s="7">
        <v>69570.935225732494</v>
      </c>
    </row>
    <row r="25" spans="1:12">
      <c r="A25" s="2" t="s">
        <v>15</v>
      </c>
      <c r="B25" s="7">
        <v>13447.271109096155</v>
      </c>
      <c r="C25" s="7">
        <v>15002.80315920714</v>
      </c>
      <c r="D25" s="7">
        <v>16192.900122452913</v>
      </c>
      <c r="E25" s="7">
        <v>19681.984815939832</v>
      </c>
      <c r="F25" s="7">
        <v>21521.493412538246</v>
      </c>
      <c r="G25" s="7">
        <v>23118.155457298661</v>
      </c>
      <c r="H25" s="7">
        <v>25851.073094905947</v>
      </c>
      <c r="I25" s="7">
        <v>32140.875132595349</v>
      </c>
      <c r="J25" s="7">
        <v>54431.187657119961</v>
      </c>
      <c r="K25" s="7">
        <v>68779.13492509599</v>
      </c>
      <c r="L25" s="7">
        <v>85248.594661130497</v>
      </c>
    </row>
    <row r="26" spans="1:12">
      <c r="A26" s="2" t="s">
        <v>16</v>
      </c>
      <c r="B26" s="7">
        <v>17409.197427795811</v>
      </c>
      <c r="C26" s="7">
        <v>19469.421736563418</v>
      </c>
      <c r="D26" s="7">
        <v>21040.156813075166</v>
      </c>
      <c r="E26" s="7">
        <v>25560.39445808122</v>
      </c>
      <c r="F26" s="7">
        <v>27996.751279756394</v>
      </c>
      <c r="G26" s="7">
        <v>30121.185734373128</v>
      </c>
      <c r="H26" s="7">
        <v>33727.227560304076</v>
      </c>
      <c r="I26" s="7">
        <v>42000.885543122</v>
      </c>
      <c r="J26" s="7">
        <v>74379.206645513768</v>
      </c>
      <c r="K26" s="7">
        <v>93432.960161105191</v>
      </c>
      <c r="L26" s="7">
        <v>115339.39012794897</v>
      </c>
    </row>
    <row r="27" spans="1:12">
      <c r="A27" s="2" t="s">
        <v>17</v>
      </c>
      <c r="B27" s="7">
        <v>23669.312639617154</v>
      </c>
      <c r="C27" s="7">
        <v>25752.808016789404</v>
      </c>
      <c r="D27" s="7">
        <v>27861.729474778265</v>
      </c>
      <c r="E27" s="7">
        <v>34084.317500095844</v>
      </c>
      <c r="F27" s="7">
        <v>37368.747693452402</v>
      </c>
      <c r="G27" s="7">
        <v>39846.417537913781</v>
      </c>
      <c r="H27" s="7">
        <v>44668.73109999422</v>
      </c>
      <c r="I27" s="7">
        <v>55690.438455936783</v>
      </c>
      <c r="J27" s="7">
        <v>98772.562563143176</v>
      </c>
      <c r="K27" s="7">
        <v>124214.30615651209</v>
      </c>
      <c r="L27" s="7">
        <v>153550.04036534997</v>
      </c>
    </row>
    <row r="28" spans="1:12">
      <c r="A28" s="2" t="s">
        <v>18</v>
      </c>
      <c r="B28" s="7">
        <v>31949.762815474765</v>
      </c>
      <c r="C28" s="7">
        <v>35923.465926384575</v>
      </c>
      <c r="D28" s="7">
        <v>38927.929389312143</v>
      </c>
      <c r="E28" s="7">
        <v>47004.922924651306</v>
      </c>
      <c r="F28" s="7">
        <v>51605.418364823534</v>
      </c>
      <c r="G28" s="7">
        <v>54894.449193222215</v>
      </c>
      <c r="H28" s="7">
        <v>61645.539711504396</v>
      </c>
      <c r="I28" s="7">
        <v>77011.927301389573</v>
      </c>
      <c r="J28" s="7">
        <v>136570.36440163653</v>
      </c>
      <c r="K28" s="7">
        <v>172108.71369853054</v>
      </c>
      <c r="L28" s="7">
        <v>213214.89243175116</v>
      </c>
    </row>
    <row r="29" spans="1:12">
      <c r="A29" s="2" t="s">
        <v>19</v>
      </c>
      <c r="B29" s="7">
        <v>41691.97040232407</v>
      </c>
      <c r="C29" s="7">
        <v>45483.785902396208</v>
      </c>
      <c r="D29" s="7">
        <v>49357.477646365813</v>
      </c>
      <c r="E29" s="7">
        <v>59455.133138075704</v>
      </c>
      <c r="F29" s="7">
        <v>65383.319066856842</v>
      </c>
      <c r="G29" s="7">
        <v>70593.036167902392</v>
      </c>
      <c r="H29" s="7">
        <v>79396.466376496988</v>
      </c>
      <c r="I29" s="7">
        <v>99353.661860477441</v>
      </c>
      <c r="J29" s="7">
        <v>172487.32003984813</v>
      </c>
      <c r="K29" s="7">
        <v>218509.19134966543</v>
      </c>
      <c r="L29" s="7">
        <v>271905.37324145128</v>
      </c>
    </row>
    <row r="30" spans="1:12">
      <c r="A30" s="2" t="s">
        <v>20</v>
      </c>
      <c r="B30" s="7">
        <v>49038.386783237009</v>
      </c>
      <c r="C30" s="7">
        <v>53590.098895323128</v>
      </c>
      <c r="D30" s="7">
        <v>58226.146488527935</v>
      </c>
      <c r="E30" s="7">
        <v>70108.289230482958</v>
      </c>
      <c r="F30" s="7">
        <v>77188.878656236586</v>
      </c>
      <c r="G30" s="7">
        <v>83439.527210030821</v>
      </c>
      <c r="H30" s="7">
        <v>93968.597291404207</v>
      </c>
      <c r="I30" s="7">
        <v>117747.75290599033</v>
      </c>
      <c r="J30" s="7">
        <v>198973.10069225583</v>
      </c>
      <c r="K30" s="7">
        <v>253571.10295749892</v>
      </c>
      <c r="L30" s="7">
        <v>317095.25620198163</v>
      </c>
    </row>
    <row r="31" spans="1:12">
      <c r="A31" s="2" t="s">
        <v>21</v>
      </c>
      <c r="B31" s="7">
        <v>66336.093114212636</v>
      </c>
      <c r="C31" s="7">
        <v>72644.722859616464</v>
      </c>
      <c r="D31" s="7">
        <v>79039.956035450858</v>
      </c>
      <c r="E31" s="7">
        <v>95075.651981229152</v>
      </c>
      <c r="F31" s="7">
        <v>104809.85142424029</v>
      </c>
      <c r="G31" s="7">
        <v>113444.7697724279</v>
      </c>
      <c r="H31" s="7">
        <v>127951.89612154716</v>
      </c>
      <c r="I31" s="7">
        <v>160581.89825077477</v>
      </c>
      <c r="J31" s="7">
        <v>263492.05859591352</v>
      </c>
      <c r="K31" s="7">
        <v>338091.16834952653</v>
      </c>
      <c r="L31" s="7">
        <v>425158.29170368554</v>
      </c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5" t="s">
        <v>62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43" t="s">
        <v>57</v>
      </c>
      <c r="C34" s="143"/>
      <c r="D34" s="143"/>
      <c r="E34" s="144" t="s">
        <v>58</v>
      </c>
      <c r="F34" s="144"/>
      <c r="G34" s="144"/>
      <c r="H34" s="144"/>
      <c r="I34" s="144"/>
      <c r="J34" s="142" t="s">
        <v>59</v>
      </c>
      <c r="K34" s="142"/>
      <c r="L34" s="142"/>
    </row>
    <row r="35" spans="1:12">
      <c r="A35" s="2" t="s">
        <v>60</v>
      </c>
      <c r="B35" s="6" t="s">
        <v>70</v>
      </c>
      <c r="C35" s="6" t="s">
        <v>71</v>
      </c>
      <c r="D35" s="6" t="s">
        <v>72</v>
      </c>
      <c r="E35" s="6" t="s">
        <v>73</v>
      </c>
      <c r="F35" s="6" t="s">
        <v>74</v>
      </c>
      <c r="G35" s="6" t="s">
        <v>75</v>
      </c>
      <c r="H35" s="6" t="s">
        <v>76</v>
      </c>
      <c r="I35" s="6" t="s">
        <v>77</v>
      </c>
      <c r="J35" s="6" t="s">
        <v>78</v>
      </c>
      <c r="K35" s="6" t="s">
        <v>79</v>
      </c>
      <c r="L35" s="6" t="s">
        <v>80</v>
      </c>
    </row>
    <row r="36" spans="1:12">
      <c r="A36" s="2" t="s">
        <v>11</v>
      </c>
      <c r="B36" s="7">
        <v>9211.0901759467924</v>
      </c>
      <c r="C36" s="7">
        <v>10043.47101795297</v>
      </c>
      <c r="D36" s="7">
        <v>10807.175100146518</v>
      </c>
      <c r="E36" s="7">
        <v>13710.813315643427</v>
      </c>
      <c r="F36" s="7">
        <v>15010.734951230845</v>
      </c>
      <c r="G36" s="7">
        <v>16136.571884510158</v>
      </c>
      <c r="H36" s="7">
        <v>17995.53895245272</v>
      </c>
      <c r="I36" s="7">
        <v>22330.470971803064</v>
      </c>
      <c r="J36" s="7">
        <v>41008.041297558761</v>
      </c>
      <c r="K36" s="7">
        <v>50317.04382266663</v>
      </c>
      <c r="L36" s="7">
        <v>60761.918032817455</v>
      </c>
    </row>
    <row r="37" spans="1:12">
      <c r="A37" s="2" t="s">
        <v>12</v>
      </c>
      <c r="B37" s="7">
        <v>9896.119042735083</v>
      </c>
      <c r="C37" s="7">
        <v>10791.305738843041</v>
      </c>
      <c r="D37" s="7">
        <v>11613.903227349034</v>
      </c>
      <c r="E37" s="7">
        <v>14737.782936189038</v>
      </c>
      <c r="F37" s="7">
        <v>16088.082726045721</v>
      </c>
      <c r="G37" s="7">
        <v>17257.943349362293</v>
      </c>
      <c r="H37" s="7">
        <v>19246.885571209692</v>
      </c>
      <c r="I37" s="7">
        <v>23875.100246840662</v>
      </c>
      <c r="J37" s="7">
        <v>44080.593778721435</v>
      </c>
      <c r="K37" s="7">
        <v>54344.964978569413</v>
      </c>
      <c r="L37" s="7">
        <v>66011.527361035201</v>
      </c>
    </row>
    <row r="38" spans="1:12">
      <c r="A38" s="2" t="s">
        <v>13</v>
      </c>
      <c r="B38" s="7">
        <v>11422.832097401533</v>
      </c>
      <c r="C38" s="7">
        <v>12467.993364551976</v>
      </c>
      <c r="D38" s="7">
        <v>13430.530720899622</v>
      </c>
      <c r="E38" s="7">
        <v>17059.508168314846</v>
      </c>
      <c r="F38" s="7">
        <v>18656.099959523643</v>
      </c>
      <c r="G38" s="7">
        <v>20046.021010628963</v>
      </c>
      <c r="H38" s="7">
        <v>22376.759065958915</v>
      </c>
      <c r="I38" s="7">
        <v>27784.894316980273</v>
      </c>
      <c r="J38" s="7">
        <v>47771.182169710264</v>
      </c>
      <c r="K38" s="7">
        <v>59781.506958133039</v>
      </c>
      <c r="L38" s="7">
        <v>73456.698697463857</v>
      </c>
    </row>
    <row r="39" spans="1:12">
      <c r="A39" s="2" t="s">
        <v>14</v>
      </c>
      <c r="B39" s="7">
        <v>12796.733745828977</v>
      </c>
      <c r="C39" s="7">
        <v>13981.33311627534</v>
      </c>
      <c r="D39" s="7">
        <v>15074.503389170824</v>
      </c>
      <c r="E39" s="7">
        <v>19152.157333517429</v>
      </c>
      <c r="F39" s="7">
        <v>20935.828539647518</v>
      </c>
      <c r="G39" s="7">
        <v>22477.729865109068</v>
      </c>
      <c r="H39" s="7">
        <v>25114.637610693542</v>
      </c>
      <c r="I39" s="7">
        <v>31214.770321167001</v>
      </c>
      <c r="J39" s="7">
        <v>52921.827636137088</v>
      </c>
      <c r="K39" s="7">
        <v>66569.3934584331</v>
      </c>
      <c r="L39" s="7">
        <v>82138.041073901826</v>
      </c>
    </row>
    <row r="40" spans="1:12">
      <c r="A40" s="2" t="s">
        <v>15</v>
      </c>
      <c r="B40" s="7">
        <v>15833.269413484149</v>
      </c>
      <c r="C40" s="7">
        <v>18074.459547906241</v>
      </c>
      <c r="D40" s="7">
        <v>19505.6285124272</v>
      </c>
      <c r="E40" s="7">
        <v>23948.015945222192</v>
      </c>
      <c r="F40" s="7">
        <v>26212.53068847772</v>
      </c>
      <c r="G40" s="7">
        <v>28179.770172835768</v>
      </c>
      <c r="H40" s="7">
        <v>31510.500099838635</v>
      </c>
      <c r="I40" s="7">
        <v>39191.760871800907</v>
      </c>
      <c r="J40" s="7">
        <v>65147.542170259228</v>
      </c>
      <c r="K40" s="7">
        <v>82484.895230101029</v>
      </c>
      <c r="L40" s="7">
        <v>102311.19644439692</v>
      </c>
    </row>
    <row r="41" spans="1:12">
      <c r="A41" s="2" t="s">
        <v>16</v>
      </c>
      <c r="B41" s="7">
        <v>20343.341934869044</v>
      </c>
      <c r="C41" s="7">
        <v>23276.664866370462</v>
      </c>
      <c r="D41" s="7">
        <v>25146.054733631878</v>
      </c>
      <c r="E41" s="7">
        <v>30847.638070556201</v>
      </c>
      <c r="F41" s="7">
        <v>33822.129250120721</v>
      </c>
      <c r="G41" s="7">
        <v>36418.22626131279</v>
      </c>
      <c r="H41" s="7">
        <v>40767.752770752362</v>
      </c>
      <c r="I41" s="7">
        <v>50772.021657839054</v>
      </c>
      <c r="J41" s="7">
        <v>87438.721815525307</v>
      </c>
      <c r="K41" s="7">
        <v>110193.66995691729</v>
      </c>
      <c r="L41" s="7">
        <v>136260.08911230502</v>
      </c>
    </row>
    <row r="42" spans="1:12">
      <c r="A42" s="2" t="s">
        <v>17</v>
      </c>
      <c r="B42" s="7">
        <v>26675.549814455913</v>
      </c>
      <c r="C42" s="7">
        <v>29854.285843039626</v>
      </c>
      <c r="D42" s="7">
        <v>32284.895207567948</v>
      </c>
      <c r="E42" s="7">
        <v>39780.046105847876</v>
      </c>
      <c r="F42" s="7">
        <v>43647.861941586678</v>
      </c>
      <c r="G42" s="7">
        <v>46637.628389414473</v>
      </c>
      <c r="H42" s="7">
        <v>52261.695592648743</v>
      </c>
      <c r="I42" s="7">
        <v>65149.674720858427</v>
      </c>
      <c r="J42" s="7">
        <v>112769.34199590361</v>
      </c>
      <c r="K42" s="7">
        <v>142196.99574864699</v>
      </c>
      <c r="L42" s="7">
        <v>176013.97823014189</v>
      </c>
    </row>
    <row r="43" spans="1:12">
      <c r="A43" s="2" t="s">
        <v>18</v>
      </c>
      <c r="B43" s="7">
        <v>34007.908191333525</v>
      </c>
      <c r="C43" s="7">
        <v>39222.320330980117</v>
      </c>
      <c r="D43" s="7">
        <v>42480.950382737821</v>
      </c>
      <c r="E43" s="7">
        <v>51656.311243975004</v>
      </c>
      <c r="F43" s="7">
        <v>56739.297941794837</v>
      </c>
      <c r="G43" s="7">
        <v>60470.313621150424</v>
      </c>
      <c r="H43" s="7">
        <v>67873.064275649391</v>
      </c>
      <c r="I43" s="7">
        <v>84764.848913584588</v>
      </c>
      <c r="J43" s="7">
        <v>147470.47540248331</v>
      </c>
      <c r="K43" s="7">
        <v>186199.12473490401</v>
      </c>
      <c r="L43" s="7">
        <v>230864.27678660932</v>
      </c>
    </row>
    <row r="44" spans="1:12">
      <c r="A44" s="2" t="s">
        <v>19</v>
      </c>
      <c r="B44" s="7">
        <v>44116.124223429957</v>
      </c>
      <c r="C44" s="7">
        <v>49562.180102660735</v>
      </c>
      <c r="D44" s="7">
        <v>53754.116889146011</v>
      </c>
      <c r="E44" s="7">
        <v>65137.776507323164</v>
      </c>
      <c r="F44" s="7">
        <v>71652.956283496009</v>
      </c>
      <c r="G44" s="7">
        <v>77378.765963870843</v>
      </c>
      <c r="H44" s="7">
        <v>86980.796860108559</v>
      </c>
      <c r="I44" s="7">
        <v>108799.71338467978</v>
      </c>
      <c r="J44" s="7">
        <v>186235.67731229015</v>
      </c>
      <c r="K44" s="7">
        <v>236210.16389750518</v>
      </c>
      <c r="L44" s="7">
        <v>294043.03109162766</v>
      </c>
    </row>
    <row r="45" spans="1:12">
      <c r="A45" s="2" t="s">
        <v>20</v>
      </c>
      <c r="B45" s="7">
        <v>51914.097170980589</v>
      </c>
      <c r="C45" s="7">
        <v>58434.785142684799</v>
      </c>
      <c r="D45" s="7">
        <v>63454.102730043844</v>
      </c>
      <c r="E45" s="7">
        <v>76802.509034072675</v>
      </c>
      <c r="F45" s="7">
        <v>84572.967754841971</v>
      </c>
      <c r="G45" s="7">
        <v>91430.499930302321</v>
      </c>
      <c r="H45" s="7">
        <v>102908.11886066204</v>
      </c>
      <c r="I45" s="7">
        <v>128889.62801230415</v>
      </c>
      <c r="J45" s="7">
        <v>215533.13676061676</v>
      </c>
      <c r="K45" s="7">
        <v>274857.03822673939</v>
      </c>
      <c r="L45" s="7">
        <v>343712.68524404685</v>
      </c>
    </row>
    <row r="46" spans="1:12">
      <c r="A46" s="2" t="s">
        <v>21</v>
      </c>
      <c r="B46" s="7">
        <v>67547.983822156777</v>
      </c>
      <c r="C46" s="7">
        <v>76222.708321399812</v>
      </c>
      <c r="D46" s="7">
        <v>82889.785693007623</v>
      </c>
      <c r="E46" s="7">
        <v>100116.80672593554</v>
      </c>
      <c r="F46" s="7">
        <v>110372.45046291659</v>
      </c>
      <c r="G46" s="7">
        <v>119465.0206593855</v>
      </c>
      <c r="H46" s="7">
        <v>134668.85054329218</v>
      </c>
      <c r="I46" s="7">
        <v>168934.86868174077</v>
      </c>
      <c r="J46" s="7">
        <v>275408.55024251237</v>
      </c>
      <c r="K46" s="7">
        <v>353432.99229069386</v>
      </c>
      <c r="L46" s="7">
        <v>444312.87429051701</v>
      </c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5" t="s">
        <v>63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43" t="s">
        <v>57</v>
      </c>
      <c r="C49" s="143"/>
      <c r="D49" s="143"/>
      <c r="E49" s="144" t="s">
        <v>58</v>
      </c>
      <c r="F49" s="144"/>
      <c r="G49" s="144"/>
      <c r="H49" s="144"/>
      <c r="I49" s="144"/>
      <c r="J49" s="142" t="s">
        <v>59</v>
      </c>
      <c r="K49" s="142"/>
      <c r="L49" s="142"/>
    </row>
    <row r="50" spans="1:12">
      <c r="A50" s="2" t="s">
        <v>60</v>
      </c>
      <c r="B50" s="6" t="s">
        <v>70</v>
      </c>
      <c r="C50" s="6" t="s">
        <v>71</v>
      </c>
      <c r="D50" s="6" t="s">
        <v>72</v>
      </c>
      <c r="E50" s="6" t="s">
        <v>73</v>
      </c>
      <c r="F50" s="6" t="s">
        <v>74</v>
      </c>
      <c r="G50" s="6" t="s">
        <v>75</v>
      </c>
      <c r="H50" s="6" t="s">
        <v>76</v>
      </c>
      <c r="I50" s="6" t="s">
        <v>77</v>
      </c>
      <c r="J50" s="6" t="s">
        <v>78</v>
      </c>
      <c r="K50" s="6" t="s">
        <v>79</v>
      </c>
      <c r="L50" s="6" t="s">
        <v>80</v>
      </c>
    </row>
    <row r="51" spans="1:12">
      <c r="A51" s="2" t="s">
        <v>11</v>
      </c>
      <c r="B51" s="7">
        <v>11284.126041758473</v>
      </c>
      <c r="C51" s="7">
        <v>12307.86485780228</v>
      </c>
      <c r="D51" s="7">
        <v>13246.912888148829</v>
      </c>
      <c r="E51" s="7">
        <v>16849.875099546007</v>
      </c>
      <c r="F51" s="7">
        <v>18432.08693812375</v>
      </c>
      <c r="G51" s="7">
        <v>19797.323257272328</v>
      </c>
      <c r="H51" s="7">
        <v>22084.757792380042</v>
      </c>
      <c r="I51" s="7">
        <v>27420.893663788043</v>
      </c>
      <c r="J51" s="7">
        <v>48882.056810012742</v>
      </c>
      <c r="K51" s="7">
        <v>60360.185306727384</v>
      </c>
      <c r="L51" s="7">
        <v>73231.99089021793</v>
      </c>
    </row>
    <row r="52" spans="1:12">
      <c r="A52" s="2" t="s">
        <v>12</v>
      </c>
      <c r="B52" s="7">
        <v>11931.66294638603</v>
      </c>
      <c r="C52" s="7">
        <v>13014.900085128307</v>
      </c>
      <c r="D52" s="7">
        <v>14009.847761161105</v>
      </c>
      <c r="E52" s="7">
        <v>17820.696315536334</v>
      </c>
      <c r="F52" s="7">
        <v>19448.477242339824</v>
      </c>
      <c r="G52" s="7">
        <v>20853.728686512644</v>
      </c>
      <c r="H52" s="7">
        <v>23263.806889695752</v>
      </c>
      <c r="I52" s="7">
        <v>28875.839704980899</v>
      </c>
      <c r="J52" s="7">
        <v>51846.029013673979</v>
      </c>
      <c r="K52" s="7">
        <v>64243.136178747911</v>
      </c>
      <c r="L52" s="7">
        <v>78295.91237348078</v>
      </c>
    </row>
    <row r="53" spans="1:12">
      <c r="A53" s="2" t="s">
        <v>13</v>
      </c>
      <c r="B53" s="7">
        <v>13779.407175887683</v>
      </c>
      <c r="C53" s="7">
        <v>15043.300455356644</v>
      </c>
      <c r="D53" s="7">
        <v>16206.520909358424</v>
      </c>
      <c r="E53" s="7">
        <v>20632.676667675842</v>
      </c>
      <c r="F53" s="7">
        <v>22566.703079519935</v>
      </c>
      <c r="G53" s="7">
        <v>24246.740273313841</v>
      </c>
      <c r="H53" s="7">
        <v>27071.259042540823</v>
      </c>
      <c r="I53" s="7">
        <v>33631.076102599574</v>
      </c>
      <c r="J53" s="7">
        <v>56742.508754467672</v>
      </c>
      <c r="K53" s="7">
        <v>71238.261666347506</v>
      </c>
      <c r="L53" s="7">
        <v>87699.000370852576</v>
      </c>
    </row>
    <row r="54" spans="1:12">
      <c r="A54" s="2" t="s">
        <v>14</v>
      </c>
      <c r="B54" s="7">
        <v>15302.276887424419</v>
      </c>
      <c r="C54" s="7">
        <v>16720.436109813778</v>
      </c>
      <c r="D54" s="7">
        <v>18028.112071969634</v>
      </c>
      <c r="E54" s="7">
        <v>22955.190051698308</v>
      </c>
      <c r="F54" s="7">
        <v>25108.81465386222</v>
      </c>
      <c r="G54" s="7">
        <v>26971.331855436143</v>
      </c>
      <c r="H54" s="7">
        <v>30138.199082826912</v>
      </c>
      <c r="I54" s="7">
        <v>37472.661125318322</v>
      </c>
      <c r="J54" s="7">
        <v>62521.833161823495</v>
      </c>
      <c r="K54" s="7">
        <v>78828.771492639877</v>
      </c>
      <c r="L54" s="7">
        <v>97380.952123060866</v>
      </c>
    </row>
    <row r="55" spans="1:12">
      <c r="A55" s="2" t="s">
        <v>15</v>
      </c>
      <c r="B55" s="7">
        <v>18642.547438013182</v>
      </c>
      <c r="C55" s="7">
        <v>21146.11593660534</v>
      </c>
      <c r="D55" s="7">
        <v>22818.356902401491</v>
      </c>
      <c r="E55" s="7">
        <v>28214.047074504553</v>
      </c>
      <c r="F55" s="7">
        <v>30903.567964417198</v>
      </c>
      <c r="G55" s="7">
        <v>33241.384888372872</v>
      </c>
      <c r="H55" s="7">
        <v>37169.927104771326</v>
      </c>
      <c r="I55" s="7">
        <v>46242.646611006472</v>
      </c>
      <c r="J55" s="7">
        <v>75863.896683398518</v>
      </c>
      <c r="K55" s="7">
        <v>96190.655535106038</v>
      </c>
      <c r="L55" s="7">
        <v>119373.79822766334</v>
      </c>
    </row>
    <row r="56" spans="1:12">
      <c r="A56" s="2" t="s">
        <v>16</v>
      </c>
      <c r="B56" s="7">
        <v>23468.093571615627</v>
      </c>
      <c r="C56" s="7">
        <v>26677.64937623484</v>
      </c>
      <c r="D56" s="7">
        <v>28813.173364375758</v>
      </c>
      <c r="E56" s="7">
        <v>35592.858457785711</v>
      </c>
      <c r="F56" s="7">
        <v>39052.794612177771</v>
      </c>
      <c r="G56" s="7">
        <v>42074.537786428664</v>
      </c>
      <c r="H56" s="7">
        <v>47091.15381148264</v>
      </c>
      <c r="I56" s="7">
        <v>58650.010405967761</v>
      </c>
      <c r="J56" s="7">
        <v>98990.763430753766</v>
      </c>
      <c r="K56" s="7">
        <v>125050.06405643844</v>
      </c>
      <c r="L56" s="7">
        <v>154823.07627521115</v>
      </c>
    </row>
    <row r="57" spans="1:12">
      <c r="A57" s="2" t="s">
        <v>17</v>
      </c>
      <c r="B57" s="7">
        <v>29437.954044648133</v>
      </c>
      <c r="C57" s="7">
        <v>32852.201350037933</v>
      </c>
      <c r="D57" s="7">
        <v>35515.048959796011</v>
      </c>
      <c r="E57" s="7">
        <v>43997.812033472903</v>
      </c>
      <c r="F57" s="7">
        <v>48304.349463555016</v>
      </c>
      <c r="G57" s="7">
        <v>51692.401965585406</v>
      </c>
      <c r="H57" s="7">
        <v>57909.383632530917</v>
      </c>
      <c r="I57" s="7">
        <v>72184.121378742217</v>
      </c>
      <c r="J57" s="7">
        <v>122646.22248223246</v>
      </c>
      <c r="K57" s="7">
        <v>154973.8455672065</v>
      </c>
      <c r="L57" s="7">
        <v>192027.38382184849</v>
      </c>
    </row>
    <row r="58" spans="1:12">
      <c r="A58" s="2" t="s">
        <v>18</v>
      </c>
      <c r="B58" s="7">
        <v>37069.940440849387</v>
      </c>
      <c r="C58" s="7">
        <v>42529.409694714319</v>
      </c>
      <c r="D58" s="7">
        <v>46043.764407214032</v>
      </c>
      <c r="E58" s="7">
        <v>56305.077876085379</v>
      </c>
      <c r="F58" s="7">
        <v>61869.209334184161</v>
      </c>
      <c r="G58" s="7">
        <v>66037.365712715546</v>
      </c>
      <c r="H58" s="7">
        <v>74092.055817078377</v>
      </c>
      <c r="I58" s="7">
        <v>92508.188011736231</v>
      </c>
      <c r="J58" s="7">
        <v>158467.53948291237</v>
      </c>
      <c r="K58" s="7">
        <v>200397.56309059722</v>
      </c>
      <c r="L58" s="7">
        <v>248639.74388407997</v>
      </c>
    </row>
    <row r="59" spans="1:12">
      <c r="A59" s="2" t="s">
        <v>19</v>
      </c>
      <c r="B59" s="7">
        <v>46566.64168522408</v>
      </c>
      <c r="C59" s="7">
        <v>52200.155507859374</v>
      </c>
      <c r="D59" s="7">
        <v>56589.471162702044</v>
      </c>
      <c r="E59" s="7">
        <v>68915.690993511278</v>
      </c>
      <c r="F59" s="7">
        <v>75826.679335062392</v>
      </c>
      <c r="G59" s="7">
        <v>81900.552185749882</v>
      </c>
      <c r="H59" s="7">
        <v>92021.815848188766</v>
      </c>
      <c r="I59" s="7">
        <v>115065.94183356488</v>
      </c>
      <c r="J59" s="7">
        <v>194628.38351349736</v>
      </c>
      <c r="K59" s="7">
        <v>247108.84639566825</v>
      </c>
      <c r="L59" s="7">
        <v>307709.23930951674</v>
      </c>
    </row>
    <row r="60" spans="1:12">
      <c r="A60" s="2" t="s">
        <v>20</v>
      </c>
      <c r="B60" s="7">
        <v>54243.205431521317</v>
      </c>
      <c r="C60" s="7">
        <v>60929.765981693788</v>
      </c>
      <c r="D60" s="7">
        <v>66131.287541215133</v>
      </c>
      <c r="E60" s="7">
        <v>80400.845920353255</v>
      </c>
      <c r="F60" s="7">
        <v>88547.65673138031</v>
      </c>
      <c r="G60" s="7">
        <v>95735.434468334104</v>
      </c>
      <c r="H60" s="7">
        <v>107700.14933149678</v>
      </c>
      <c r="I60" s="7">
        <v>134838.15353749925</v>
      </c>
      <c r="J60" s="7">
        <v>223456.87659361836</v>
      </c>
      <c r="K60" s="7">
        <v>285125.69661484862</v>
      </c>
      <c r="L60" s="7">
        <v>356552.872708707</v>
      </c>
    </row>
    <row r="61" spans="1:12">
      <c r="A61" s="2" t="s">
        <v>21</v>
      </c>
      <c r="B61" s="7">
        <v>70018.48072331</v>
      </c>
      <c r="C61" s="7">
        <v>78869.819210395814</v>
      </c>
      <c r="D61" s="7">
        <v>85728.757754908613</v>
      </c>
      <c r="E61" s="7">
        <v>103923.32442652457</v>
      </c>
      <c r="F61" s="7">
        <v>114573.76364743499</v>
      </c>
      <c r="G61" s="7">
        <v>124011.86286339341</v>
      </c>
      <c r="H61" s="7">
        <v>139727.31295010331</v>
      </c>
      <c r="I61" s="7">
        <v>175209.90773813872</v>
      </c>
      <c r="J61" s="7">
        <v>283997.00089094223</v>
      </c>
      <c r="K61" s="7">
        <v>364502.19988046808</v>
      </c>
      <c r="L61" s="7">
        <v>458100.82813196676</v>
      </c>
    </row>
    <row r="62" spans="1: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5" t="s">
        <v>64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43" t="s">
        <v>57</v>
      </c>
      <c r="C64" s="143"/>
      <c r="D64" s="143"/>
      <c r="E64" s="144" t="s">
        <v>58</v>
      </c>
      <c r="F64" s="144"/>
      <c r="G64" s="144"/>
      <c r="H64" s="144"/>
      <c r="I64" s="144"/>
      <c r="J64" s="142" t="s">
        <v>59</v>
      </c>
      <c r="K64" s="142"/>
      <c r="L64" s="142"/>
    </row>
    <row r="65" spans="1:12">
      <c r="A65" s="2" t="s">
        <v>60</v>
      </c>
      <c r="B65" s="6" t="s">
        <v>70</v>
      </c>
      <c r="C65" s="6" t="s">
        <v>71</v>
      </c>
      <c r="D65" s="6" t="s">
        <v>72</v>
      </c>
      <c r="E65" s="6" t="s">
        <v>73</v>
      </c>
      <c r="F65" s="6" t="s">
        <v>74</v>
      </c>
      <c r="G65" s="6" t="s">
        <v>75</v>
      </c>
      <c r="H65" s="6" t="s">
        <v>76</v>
      </c>
      <c r="I65" s="6" t="s">
        <v>77</v>
      </c>
      <c r="J65" s="6" t="s">
        <v>78</v>
      </c>
      <c r="K65" s="6" t="s">
        <v>79</v>
      </c>
      <c r="L65" s="6" t="s">
        <v>80</v>
      </c>
    </row>
    <row r="66" spans="1:12">
      <c r="A66" s="2" t="s">
        <v>11</v>
      </c>
      <c r="B66" s="7">
        <v>13357.161907570155</v>
      </c>
      <c r="C66" s="7">
        <v>14572.25869765159</v>
      </c>
      <c r="D66" s="7">
        <v>15686.650676151143</v>
      </c>
      <c r="E66" s="7">
        <v>19988.93688344859</v>
      </c>
      <c r="F66" s="7">
        <v>21853.438925016657</v>
      </c>
      <c r="G66" s="7">
        <v>23458.074630034498</v>
      </c>
      <c r="H66" s="7">
        <v>26173.976632307371</v>
      </c>
      <c r="I66" s="7">
        <v>32511.316355773019</v>
      </c>
      <c r="J66" s="7">
        <v>56756.072322466709</v>
      </c>
      <c r="K66" s="7">
        <v>70403.326790788153</v>
      </c>
      <c r="L66" s="7">
        <v>85702.063747618406</v>
      </c>
    </row>
    <row r="67" spans="1:12">
      <c r="A67" s="2" t="s">
        <v>12</v>
      </c>
      <c r="B67" s="7">
        <v>13967.206850036979</v>
      </c>
      <c r="C67" s="7">
        <v>15238.494431413577</v>
      </c>
      <c r="D67" s="7">
        <v>16405.792294973176</v>
      </c>
      <c r="E67" s="7">
        <v>20903.609694883631</v>
      </c>
      <c r="F67" s="7">
        <v>22808.87175863393</v>
      </c>
      <c r="G67" s="7">
        <v>24449.514023663</v>
      </c>
      <c r="H67" s="7">
        <v>27280.728208181808</v>
      </c>
      <c r="I67" s="7">
        <v>33876.579163121132</v>
      </c>
      <c r="J67" s="7">
        <v>59611.464248626529</v>
      </c>
      <c r="K67" s="7">
        <v>74141.307378926431</v>
      </c>
      <c r="L67" s="7">
        <v>90580.297385926373</v>
      </c>
    </row>
    <row r="68" spans="1:12">
      <c r="A68" s="2" t="s">
        <v>13</v>
      </c>
      <c r="B68" s="7">
        <v>16135.982254373837</v>
      </c>
      <c r="C68" s="7">
        <v>17618.607546161315</v>
      </c>
      <c r="D68" s="7">
        <v>18982.511097817231</v>
      </c>
      <c r="E68" s="7">
        <v>24205.845167036834</v>
      </c>
      <c r="F68" s="7">
        <v>26477.306199516224</v>
      </c>
      <c r="G68" s="7">
        <v>28447.459535998729</v>
      </c>
      <c r="H68" s="7">
        <v>31765.759019122735</v>
      </c>
      <c r="I68" s="7">
        <v>39477.257888218868</v>
      </c>
      <c r="J68" s="7">
        <v>65713.835339225072</v>
      </c>
      <c r="K68" s="7">
        <v>82695.016374561979</v>
      </c>
      <c r="L68" s="7">
        <v>101941.3020442413</v>
      </c>
    </row>
    <row r="69" spans="1:12">
      <c r="A69" s="2" t="s">
        <v>14</v>
      </c>
      <c r="B69" s="7">
        <v>17807.820029019862</v>
      </c>
      <c r="C69" s="7">
        <v>19459.539103352217</v>
      </c>
      <c r="D69" s="7">
        <v>20981.720754768441</v>
      </c>
      <c r="E69" s="7">
        <v>26758.222769879187</v>
      </c>
      <c r="F69" s="7">
        <v>29281.800768076926</v>
      </c>
      <c r="G69" s="7">
        <v>31464.933845763226</v>
      </c>
      <c r="H69" s="7">
        <v>35161.760554960296</v>
      </c>
      <c r="I69" s="7">
        <v>43730.551929469642</v>
      </c>
      <c r="J69" s="7">
        <v>72121.838687509895</v>
      </c>
      <c r="K69" s="7">
        <v>91088.149526846653</v>
      </c>
      <c r="L69" s="7">
        <v>112623.86317221989</v>
      </c>
    </row>
    <row r="70" spans="1:12">
      <c r="A70" s="2" t="s">
        <v>15</v>
      </c>
      <c r="B70" s="7">
        <v>21451.82546254222</v>
      </c>
      <c r="C70" s="7">
        <v>24217.772325304442</v>
      </c>
      <c r="D70" s="7">
        <v>26131.085292375777</v>
      </c>
      <c r="E70" s="7">
        <v>32480.078203786907</v>
      </c>
      <c r="F70" s="7">
        <v>35594.605240356672</v>
      </c>
      <c r="G70" s="7">
        <v>38302.999603909979</v>
      </c>
      <c r="H70" s="7">
        <v>42829.354109704022</v>
      </c>
      <c r="I70" s="7">
        <v>53293.532350212037</v>
      </c>
      <c r="J70" s="7">
        <v>86580.251196537778</v>
      </c>
      <c r="K70" s="7">
        <v>109896.41584011108</v>
      </c>
      <c r="L70" s="7">
        <v>136436.40001092976</v>
      </c>
    </row>
    <row r="71" spans="1:12">
      <c r="A71" s="2" t="s">
        <v>16</v>
      </c>
      <c r="B71" s="7">
        <v>26078.767052997871</v>
      </c>
      <c r="C71" s="7">
        <v>29501.049325315245</v>
      </c>
      <c r="D71" s="7">
        <v>31856.747298881761</v>
      </c>
      <c r="E71" s="7">
        <v>39558.129657208381</v>
      </c>
      <c r="F71" s="7">
        <v>43426.605357261149</v>
      </c>
      <c r="G71" s="7">
        <v>46806.753486008471</v>
      </c>
      <c r="H71" s="7">
        <v>52380.607048024736</v>
      </c>
      <c r="I71" s="7">
        <v>65240.150662345855</v>
      </c>
      <c r="J71" s="7">
        <v>108447.65330854867</v>
      </c>
      <c r="K71" s="7">
        <v>137247.9105188571</v>
      </c>
      <c r="L71" s="7">
        <v>170086.92016237139</v>
      </c>
    </row>
    <row r="72" spans="1:12">
      <c r="A72" s="2" t="s">
        <v>17</v>
      </c>
      <c r="B72" s="7">
        <v>31956.525330193803</v>
      </c>
      <c r="C72" s="7">
        <v>35583.52079832997</v>
      </c>
      <c r="D72" s="7">
        <v>38457.696939392736</v>
      </c>
      <c r="E72" s="7">
        <v>47845.355601724048</v>
      </c>
      <c r="F72" s="7">
        <v>52552.694559394615</v>
      </c>
      <c r="G72" s="7">
        <v>56305.74683640882</v>
      </c>
      <c r="H72" s="7">
        <v>63063.528980390554</v>
      </c>
      <c r="I72" s="7">
        <v>78603.717679406123</v>
      </c>
      <c r="J72" s="7">
        <v>131613.3123054319</v>
      </c>
      <c r="K72" s="7">
        <v>166581.82056227722</v>
      </c>
      <c r="L72" s="7">
        <v>206580.63345234358</v>
      </c>
    </row>
    <row r="73" spans="1:12">
      <c r="A73" s="2" t="s">
        <v>18</v>
      </c>
      <c r="B73" s="7">
        <v>39666.892488385522</v>
      </c>
      <c r="C73" s="7">
        <v>45312.704648446299</v>
      </c>
      <c r="D73" s="7">
        <v>49040.334756098069</v>
      </c>
      <c r="E73" s="7">
        <v>60247.540431892005</v>
      </c>
      <c r="F73" s="7">
        <v>66221.985834543302</v>
      </c>
      <c r="G73" s="7">
        <v>70770.579013326787</v>
      </c>
      <c r="H73" s="7">
        <v>79376.790289213648</v>
      </c>
      <c r="I73" s="7">
        <v>99086.071371400001</v>
      </c>
      <c r="J73" s="7">
        <v>167575.86474540815</v>
      </c>
      <c r="K73" s="7">
        <v>212193.6578610118</v>
      </c>
      <c r="L73" s="7">
        <v>263426.99278848158</v>
      </c>
    </row>
    <row r="74" spans="1:12">
      <c r="A74" s="2" t="s">
        <v>19</v>
      </c>
      <c r="B74" s="7">
        <v>49095.246503069728</v>
      </c>
      <c r="C74" s="7">
        <v>54931.764528374071</v>
      </c>
      <c r="D74" s="7">
        <v>59527.699900780091</v>
      </c>
      <c r="E74" s="7">
        <v>72800.703126243185</v>
      </c>
      <c r="F74" s="7">
        <v>80117.291335068687</v>
      </c>
      <c r="G74" s="7">
        <v>86547.8215655042</v>
      </c>
      <c r="H74" s="7">
        <v>97206.039428415243</v>
      </c>
      <c r="I74" s="7">
        <v>121513.31583459509</v>
      </c>
      <c r="J74" s="7">
        <v>203450.95048126945</v>
      </c>
      <c r="K74" s="7">
        <v>258539.70523711652</v>
      </c>
      <c r="L74" s="7">
        <v>322032.83100250975</v>
      </c>
    </row>
    <row r="75" spans="1:12">
      <c r="A75" s="2" t="s">
        <v>20</v>
      </c>
      <c r="B75" s="7">
        <v>56784.678372661452</v>
      </c>
      <c r="C75" s="7">
        <v>63669.817823762998</v>
      </c>
      <c r="D75" s="7">
        <v>69076.122799623961</v>
      </c>
      <c r="E75" s="7">
        <v>84306.090813360104</v>
      </c>
      <c r="F75" s="7">
        <v>92859.719658425005</v>
      </c>
      <c r="G75" s="7">
        <v>100404.71955906592</v>
      </c>
      <c r="H75" s="7">
        <v>112904.80766292592</v>
      </c>
      <c r="I75" s="7">
        <v>141306.02534765174</v>
      </c>
      <c r="J75" s="7">
        <v>232345.44322026105</v>
      </c>
      <c r="K75" s="7">
        <v>296616.93524449656</v>
      </c>
      <c r="L75" s="7">
        <v>370921.95807766862</v>
      </c>
    </row>
    <row r="76" spans="1:12">
      <c r="A76" s="2" t="s">
        <v>21</v>
      </c>
      <c r="B76" s="7">
        <v>72647.211598900976</v>
      </c>
      <c r="C76" s="7">
        <v>81700.732211326278</v>
      </c>
      <c r="D76" s="7">
        <v>88769.088994258243</v>
      </c>
      <c r="E76" s="7">
        <v>107958.96619401564</v>
      </c>
      <c r="F76" s="7">
        <v>119027.49002542162</v>
      </c>
      <c r="G76" s="7">
        <v>128831.93384171948</v>
      </c>
      <c r="H76" s="7">
        <v>145096.27775185858</v>
      </c>
      <c r="I76" s="7">
        <v>181877.08666222301</v>
      </c>
      <c r="J76" s="7">
        <v>293285.98151450692</v>
      </c>
      <c r="K76" s="7">
        <v>376468.62446028664</v>
      </c>
      <c r="L76" s="7">
        <v>473021.46220624133</v>
      </c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5" t="s">
        <v>65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43" t="s">
        <v>57</v>
      </c>
      <c r="C80" s="143"/>
      <c r="D80" s="143"/>
      <c r="E80" s="144" t="s">
        <v>58</v>
      </c>
      <c r="F80" s="144"/>
      <c r="G80" s="144"/>
      <c r="H80" s="144"/>
      <c r="I80" s="144"/>
      <c r="J80" s="142" t="s">
        <v>59</v>
      </c>
      <c r="K80" s="142"/>
      <c r="L80" s="142"/>
    </row>
    <row r="81" spans="1:12">
      <c r="A81" s="2" t="s">
        <v>60</v>
      </c>
      <c r="B81" s="6" t="s">
        <v>70</v>
      </c>
      <c r="C81" s="6" t="s">
        <v>71</v>
      </c>
      <c r="D81" s="6" t="s">
        <v>72</v>
      </c>
      <c r="E81" s="6" t="s">
        <v>73</v>
      </c>
      <c r="F81" s="6" t="s">
        <v>74</v>
      </c>
      <c r="G81" s="6" t="s">
        <v>75</v>
      </c>
      <c r="H81" s="6" t="s">
        <v>76</v>
      </c>
      <c r="I81" s="6" t="s">
        <v>77</v>
      </c>
      <c r="J81" s="6" t="s">
        <v>78</v>
      </c>
      <c r="K81" s="6" t="s">
        <v>79</v>
      </c>
      <c r="L81" s="6" t="s">
        <v>80</v>
      </c>
    </row>
    <row r="82" spans="1:12">
      <c r="A82" s="2" t="s">
        <v>11</v>
      </c>
      <c r="B82" s="7">
        <v>9988.6015480792776</v>
      </c>
      <c r="C82" s="7">
        <v>10887.931335941123</v>
      </c>
      <c r="D82" s="7">
        <v>11713.963707716206</v>
      </c>
      <c r="E82" s="7">
        <v>14723.944155108939</v>
      </c>
      <c r="F82" s="7">
        <v>16194.626614322478</v>
      </c>
      <c r="G82" s="7">
        <v>17488.702937404054</v>
      </c>
      <c r="H82" s="7">
        <v>19492.767204628544</v>
      </c>
      <c r="I82" s="7">
        <v>24157.815835098634</v>
      </c>
      <c r="J82" s="7">
        <v>50378.58520473403</v>
      </c>
      <c r="K82" s="7">
        <v>60320.086368522658</v>
      </c>
      <c r="L82" s="7">
        <v>71502.109295465387</v>
      </c>
    </row>
    <row r="83" spans="1:12">
      <c r="A83" s="2" t="s">
        <v>12</v>
      </c>
      <c r="B83" s="7">
        <v>11394.625211632325</v>
      </c>
      <c r="C83" s="7">
        <v>12422.383695774699</v>
      </c>
      <c r="D83" s="7">
        <v>13368.445783544757</v>
      </c>
      <c r="E83" s="7">
        <v>16831.587049972874</v>
      </c>
      <c r="F83" s="7">
        <v>18413.262638945565</v>
      </c>
      <c r="G83" s="7">
        <v>19803.614479144224</v>
      </c>
      <c r="H83" s="7">
        <v>22075.259278661633</v>
      </c>
      <c r="I83" s="7">
        <v>27347.207959143747</v>
      </c>
      <c r="J83" s="7">
        <v>56464.554321640251</v>
      </c>
      <c r="K83" s="7">
        <v>68308.130557307129</v>
      </c>
      <c r="L83" s="7">
        <v>81900.931579001379</v>
      </c>
    </row>
    <row r="84" spans="1:12">
      <c r="A84" s="2" t="s">
        <v>13</v>
      </c>
      <c r="B84" s="7">
        <v>12634.540641809299</v>
      </c>
      <c r="C84" s="7">
        <v>13787.907124664252</v>
      </c>
      <c r="D84" s="7">
        <v>14851.95761343212</v>
      </c>
      <c r="E84" s="7">
        <v>18704.04824362095</v>
      </c>
      <c r="F84" s="7">
        <v>20459.023819714752</v>
      </c>
      <c r="G84" s="7">
        <v>22000.974502284185</v>
      </c>
      <c r="H84" s="7">
        <v>24549.773299504035</v>
      </c>
      <c r="I84" s="7">
        <v>30448.381299760429</v>
      </c>
      <c r="J84" s="7">
        <v>58578.450415329615</v>
      </c>
      <c r="K84" s="7">
        <v>71928.98900786812</v>
      </c>
      <c r="L84" s="7">
        <v>87290.210490097292</v>
      </c>
    </row>
    <row r="85" spans="1:12">
      <c r="A85" s="2" t="s">
        <v>14</v>
      </c>
      <c r="B85" s="7">
        <v>14622.319510131723</v>
      </c>
      <c r="C85" s="7">
        <v>15980.431146419591</v>
      </c>
      <c r="D85" s="7">
        <v>17236.657521834328</v>
      </c>
      <c r="E85" s="7">
        <v>21713.069950951965</v>
      </c>
      <c r="F85" s="7">
        <v>23715.169474189875</v>
      </c>
      <c r="G85" s="7">
        <v>25452.822055407411</v>
      </c>
      <c r="H85" s="7">
        <v>28443.131111245984</v>
      </c>
      <c r="I85" s="7">
        <v>35337.38751467743</v>
      </c>
      <c r="J85" s="7">
        <v>64482.262526264996</v>
      </c>
      <c r="K85" s="7">
        <v>80237.357552152913</v>
      </c>
      <c r="L85" s="7">
        <v>98392.282079673969</v>
      </c>
    </row>
    <row r="86" spans="1:12">
      <c r="A86" s="2" t="s">
        <v>15</v>
      </c>
      <c r="B86" s="7">
        <v>18503.31443521956</v>
      </c>
      <c r="C86" s="7">
        <v>21236.913629718365</v>
      </c>
      <c r="D86" s="7">
        <v>22935.557306342453</v>
      </c>
      <c r="E86" s="7">
        <v>27834.770682865324</v>
      </c>
      <c r="F86" s="7">
        <v>30404.258957632723</v>
      </c>
      <c r="G86" s="7">
        <v>32628.637645610102</v>
      </c>
      <c r="H86" s="7">
        <v>36508.166745665629</v>
      </c>
      <c r="I86" s="7">
        <v>45418.044872613413</v>
      </c>
      <c r="J86" s="7">
        <v>80146.321258711541</v>
      </c>
      <c r="K86" s="7">
        <v>100742.59974133359</v>
      </c>
      <c r="L86" s="7">
        <v>124510.11058633357</v>
      </c>
    </row>
    <row r="87" spans="1:12">
      <c r="A87" s="2" t="s">
        <v>16</v>
      </c>
      <c r="B87" s="7">
        <v>24271.717002591111</v>
      </c>
      <c r="C87" s="7">
        <v>28441.255868424854</v>
      </c>
      <c r="D87" s="7">
        <v>30759.277713294978</v>
      </c>
      <c r="E87" s="7">
        <v>36778.630013459129</v>
      </c>
      <c r="F87" s="7">
        <v>40236.470931339609</v>
      </c>
      <c r="G87" s="7">
        <v>43243.333622407372</v>
      </c>
      <c r="H87" s="7">
        <v>48459.231651304588</v>
      </c>
      <c r="I87" s="7">
        <v>60394.033165810077</v>
      </c>
      <c r="J87" s="7">
        <v>109948.34845245017</v>
      </c>
      <c r="K87" s="7">
        <v>137857.65404245548</v>
      </c>
      <c r="L87" s="7">
        <v>170106.85983468642</v>
      </c>
    </row>
    <row r="88" spans="1:12">
      <c r="A88" s="2" t="s">
        <v>17</v>
      </c>
      <c r="B88" s="7">
        <v>33986.516652173414</v>
      </c>
      <c r="C88" s="7">
        <v>38806.521878561507</v>
      </c>
      <c r="D88" s="7">
        <v>42020.381695479184</v>
      </c>
      <c r="E88" s="7">
        <v>50672.418721219998</v>
      </c>
      <c r="F88" s="7">
        <v>55512.532362136692</v>
      </c>
      <c r="G88" s="7">
        <v>59224.717904189107</v>
      </c>
      <c r="H88" s="7">
        <v>66455.235801089308</v>
      </c>
      <c r="I88" s="7">
        <v>82937.435014851799</v>
      </c>
      <c r="J88" s="7">
        <v>152708.34966899781</v>
      </c>
      <c r="K88" s="7">
        <v>191347.72435604414</v>
      </c>
      <c r="L88" s="7">
        <v>236081.06461788918</v>
      </c>
    </row>
    <row r="89" spans="1:12">
      <c r="A89" s="2" t="s">
        <v>18</v>
      </c>
      <c r="B89" s="7">
        <v>47388.513502801739</v>
      </c>
      <c r="C89" s="7">
        <v>54975.247427037917</v>
      </c>
      <c r="D89" s="7">
        <v>59611.169898071545</v>
      </c>
      <c r="E89" s="7">
        <v>71507.92799057193</v>
      </c>
      <c r="F89" s="7">
        <v>78460.325878305535</v>
      </c>
      <c r="G89" s="7">
        <v>83328.814231067357</v>
      </c>
      <c r="H89" s="7">
        <v>93644.347737095261</v>
      </c>
      <c r="I89" s="7">
        <v>117071.98650289037</v>
      </c>
      <c r="J89" s="7">
        <v>213610.93868648139</v>
      </c>
      <c r="K89" s="7">
        <v>268428.83471122768</v>
      </c>
      <c r="L89" s="7">
        <v>332031.6086201896</v>
      </c>
    </row>
    <row r="90" spans="1:12">
      <c r="A90" s="2" t="s">
        <v>19</v>
      </c>
      <c r="B90" s="7">
        <v>66898.849669625255</v>
      </c>
      <c r="C90" s="7">
        <v>76389.706304374631</v>
      </c>
      <c r="D90" s="7">
        <v>82944.96595605099</v>
      </c>
      <c r="E90" s="7">
        <v>99136.621504574316</v>
      </c>
      <c r="F90" s="7">
        <v>108970.27183787743</v>
      </c>
      <c r="G90" s="7">
        <v>117097.49418180612</v>
      </c>
      <c r="H90" s="7">
        <v>131790.66497672896</v>
      </c>
      <c r="I90" s="7">
        <v>165038.17498702556</v>
      </c>
      <c r="J90" s="7">
        <v>294138.24659198493</v>
      </c>
      <c r="K90" s="7">
        <v>371564.09482608375</v>
      </c>
      <c r="L90" s="7">
        <v>461612.69067067985</v>
      </c>
    </row>
    <row r="91" spans="1:12">
      <c r="A91" s="2" t="s">
        <v>20</v>
      </c>
      <c r="B91" s="7">
        <v>83298.831633197406</v>
      </c>
      <c r="C91" s="7">
        <v>94262.232823404076</v>
      </c>
      <c r="D91" s="7">
        <v>102474.5967305192</v>
      </c>
      <c r="E91" s="7">
        <v>122522.72854875095</v>
      </c>
      <c r="F91" s="7">
        <v>134863.9470373159</v>
      </c>
      <c r="G91" s="7">
        <v>145746.17188565028</v>
      </c>
      <c r="H91" s="7">
        <v>164244.47760778011</v>
      </c>
      <c r="I91" s="7">
        <v>205954.14171881106</v>
      </c>
      <c r="J91" s="7">
        <v>356190.31201141846</v>
      </c>
      <c r="K91" s="7">
        <v>452765.02212397713</v>
      </c>
      <c r="L91" s="7">
        <v>565358.51312902628</v>
      </c>
    </row>
    <row r="92" spans="1:12">
      <c r="A92" s="2" t="s">
        <v>21</v>
      </c>
      <c r="B92" s="7">
        <v>106228.7509535709</v>
      </c>
      <c r="C92" s="7">
        <v>120378.67326230014</v>
      </c>
      <c r="D92" s="7">
        <v>131032.9692581595</v>
      </c>
      <c r="E92" s="7">
        <v>156780.1340532256</v>
      </c>
      <c r="F92" s="7">
        <v>172801.91713552881</v>
      </c>
      <c r="G92" s="7">
        <v>187002.68458513124</v>
      </c>
      <c r="H92" s="7">
        <v>211022.34727220162</v>
      </c>
      <c r="I92" s="7">
        <v>264980.57000001211</v>
      </c>
      <c r="J92" s="7">
        <v>442683.864374389</v>
      </c>
      <c r="K92" s="7">
        <v>566828.64978977677</v>
      </c>
      <c r="L92" s="7">
        <v>711946.6696315445</v>
      </c>
    </row>
    <row r="93" spans="1:1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5" t="s">
        <v>66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/>
      <c r="B97" s="143" t="s">
        <v>57</v>
      </c>
      <c r="C97" s="143"/>
      <c r="D97" s="143"/>
      <c r="E97" s="144" t="s">
        <v>58</v>
      </c>
      <c r="F97" s="144"/>
      <c r="G97" s="144"/>
      <c r="H97" s="144"/>
      <c r="I97" s="144"/>
      <c r="J97" s="142" t="s">
        <v>59</v>
      </c>
      <c r="K97" s="142"/>
      <c r="L97" s="142"/>
    </row>
    <row r="98" spans="1:12">
      <c r="A98" s="2" t="s">
        <v>60</v>
      </c>
      <c r="B98" s="6" t="s">
        <v>70</v>
      </c>
      <c r="C98" s="6" t="s">
        <v>71</v>
      </c>
      <c r="D98" s="6" t="s">
        <v>72</v>
      </c>
      <c r="E98" s="6" t="s">
        <v>73</v>
      </c>
      <c r="F98" s="6" t="s">
        <v>74</v>
      </c>
      <c r="G98" s="6" t="s">
        <v>75</v>
      </c>
      <c r="H98" s="6" t="s">
        <v>76</v>
      </c>
      <c r="I98" s="6" t="s">
        <v>77</v>
      </c>
      <c r="J98" s="6" t="s">
        <v>78</v>
      </c>
      <c r="K98" s="6" t="s">
        <v>79</v>
      </c>
      <c r="L98" s="6" t="s">
        <v>80</v>
      </c>
    </row>
    <row r="99" spans="1:12">
      <c r="A99" s="2" t="s">
        <v>11</v>
      </c>
      <c r="B99" s="7">
        <v>12132.355084174751</v>
      </c>
      <c r="C99" s="7">
        <v>13223.042846074224</v>
      </c>
      <c r="D99" s="7">
        <v>14224.41916600231</v>
      </c>
      <c r="E99" s="7">
        <v>17933.723609295314</v>
      </c>
      <c r="F99" s="7">
        <v>19686.696271499179</v>
      </c>
      <c r="G99" s="7">
        <v>21220.171980450017</v>
      </c>
      <c r="H99" s="7">
        <v>23652.703714839663</v>
      </c>
      <c r="I99" s="7">
        <v>29318.956197367406</v>
      </c>
      <c r="J99" s="7">
        <v>58760.743275377841</v>
      </c>
      <c r="K99" s="7">
        <v>70433.945522867201</v>
      </c>
      <c r="L99" s="7">
        <v>84042.899823149652</v>
      </c>
    </row>
    <row r="100" spans="1:12">
      <c r="A100" s="2" t="s">
        <v>12</v>
      </c>
      <c r="B100" s="7">
        <v>13500.886785567067</v>
      </c>
      <c r="C100" s="7">
        <v>14716.695712343761</v>
      </c>
      <c r="D100" s="7">
        <v>15835.10798764062</v>
      </c>
      <c r="E100" s="7">
        <v>19985.218099603964</v>
      </c>
      <c r="F100" s="7">
        <v>21844.37482552346</v>
      </c>
      <c r="G100" s="7">
        <v>23470.117486578369</v>
      </c>
      <c r="H100" s="7">
        <v>26162.898267431487</v>
      </c>
      <c r="I100" s="7">
        <v>32418.66508756777</v>
      </c>
      <c r="J100" s="7">
        <v>64782.96253107817</v>
      </c>
      <c r="K100" s="7">
        <v>78277.019427769425</v>
      </c>
      <c r="L100" s="7">
        <v>94256.034261730747</v>
      </c>
    </row>
    <row r="101" spans="1:12">
      <c r="A101" s="2" t="s">
        <v>13</v>
      </c>
      <c r="B101" s="7">
        <v>15080.396779028741</v>
      </c>
      <c r="C101" s="7">
        <v>16452.495274202211</v>
      </c>
      <c r="D101" s="7">
        <v>17717.228860624211</v>
      </c>
      <c r="E101" s="7">
        <v>22380.248459825965</v>
      </c>
      <c r="F101" s="7">
        <v>24472.658656555068</v>
      </c>
      <c r="G101" s="7">
        <v>26304.72548181309</v>
      </c>
      <c r="H101" s="7">
        <v>29347.304992929974</v>
      </c>
      <c r="I101" s="7">
        <v>36397.594802223757</v>
      </c>
      <c r="J101" s="7">
        <v>68160.204782308036</v>
      </c>
      <c r="K101" s="7">
        <v>83488.775432926617</v>
      </c>
      <c r="L101" s="7">
        <v>101635.54388033005</v>
      </c>
    </row>
    <row r="102" spans="1:12">
      <c r="A102" s="2" t="s">
        <v>14</v>
      </c>
      <c r="B102" s="7">
        <v>17230.403273638665</v>
      </c>
      <c r="C102" s="7">
        <v>18822.074761869531</v>
      </c>
      <c r="D102" s="7">
        <v>20292.806826544635</v>
      </c>
      <c r="E102" s="7">
        <v>25642.215847805608</v>
      </c>
      <c r="F102" s="7">
        <v>28014.268767077345</v>
      </c>
      <c r="G102" s="7">
        <v>30072.53722440725</v>
      </c>
      <c r="H102" s="7">
        <v>33592.805762052121</v>
      </c>
      <c r="I102" s="7">
        <v>41721.391497501514</v>
      </c>
      <c r="J102" s="7">
        <v>74764.944089853845</v>
      </c>
      <c r="K102" s="7">
        <v>92622.848765032439</v>
      </c>
      <c r="L102" s="7">
        <v>113761.30630750576</v>
      </c>
    </row>
    <row r="103" spans="1:12">
      <c r="A103" s="2" t="s">
        <v>15</v>
      </c>
      <c r="B103" s="7">
        <v>21431.044557473942</v>
      </c>
      <c r="C103" s="7">
        <v>24427.022116142816</v>
      </c>
      <c r="D103" s="7">
        <v>26366.737794042096</v>
      </c>
      <c r="E103" s="7">
        <v>32254.612745014932</v>
      </c>
      <c r="F103" s="7">
        <v>35249.107166439448</v>
      </c>
      <c r="G103" s="7">
        <v>37844.06329401445</v>
      </c>
      <c r="H103" s="7">
        <v>42321.404683465567</v>
      </c>
      <c r="I103" s="7">
        <v>52622.741544686236</v>
      </c>
      <c r="J103" s="7">
        <v>91699.11035500346</v>
      </c>
      <c r="K103" s="7">
        <v>114602.17097920587</v>
      </c>
      <c r="L103" s="7">
        <v>141726.52330246725</v>
      </c>
    </row>
    <row r="104" spans="1:12">
      <c r="A104" s="2" t="s">
        <v>16</v>
      </c>
      <c r="B104" s="7">
        <v>27898.821999027827</v>
      </c>
      <c r="C104" s="7">
        <v>32393.47022231367</v>
      </c>
      <c r="D104" s="7">
        <v>35010.146857933461</v>
      </c>
      <c r="E104" s="7">
        <v>42265.847482458834</v>
      </c>
      <c r="F104" s="7">
        <v>46261.822758228664</v>
      </c>
      <c r="G104" s="7">
        <v>49740.348005871761</v>
      </c>
      <c r="H104" s="7">
        <v>55699.730718277591</v>
      </c>
      <c r="I104" s="7">
        <v>69365.143137051855</v>
      </c>
      <c r="J104" s="7">
        <v>124131.89626007882</v>
      </c>
      <c r="K104" s="7">
        <v>154818.33769479231</v>
      </c>
      <c r="L104" s="7">
        <v>191227.5326755672</v>
      </c>
    </row>
    <row r="105" spans="1:12">
      <c r="A105" s="2" t="s">
        <v>17</v>
      </c>
      <c r="B105" s="7">
        <v>37893.371598283062</v>
      </c>
      <c r="C105" s="7">
        <v>43063.578579436071</v>
      </c>
      <c r="D105" s="7">
        <v>46599.126302893208</v>
      </c>
      <c r="E105" s="7">
        <v>56586.586352959734</v>
      </c>
      <c r="F105" s="7">
        <v>62010.085636258671</v>
      </c>
      <c r="G105" s="7">
        <v>66234.367781677502</v>
      </c>
      <c r="H105" s="7">
        <v>74266.639319731548</v>
      </c>
      <c r="I105" s="7">
        <v>92615.110305761162</v>
      </c>
      <c r="J105" s="7">
        <v>168175.49488870407</v>
      </c>
      <c r="K105" s="7">
        <v>209548.85297416674</v>
      </c>
      <c r="L105" s="7">
        <v>258763.44150866879</v>
      </c>
    </row>
    <row r="106" spans="1:12">
      <c r="A106" s="2" t="s">
        <v>18</v>
      </c>
      <c r="B106" s="7">
        <v>51365.30593632962</v>
      </c>
      <c r="C106" s="7">
        <v>59308.514714658922</v>
      </c>
      <c r="D106" s="7">
        <v>64271.883371179458</v>
      </c>
      <c r="E106" s="7">
        <v>77528.833162996685</v>
      </c>
      <c r="F106" s="7">
        <v>85075.929514235744</v>
      </c>
      <c r="G106" s="7">
        <v>90466.622982061759</v>
      </c>
      <c r="H106" s="7">
        <v>101598.47736865481</v>
      </c>
      <c r="I106" s="7">
        <v>126926.30312371666</v>
      </c>
      <c r="J106" s="7">
        <v>229775.57767455711</v>
      </c>
      <c r="K106" s="7">
        <v>286940.07457079674</v>
      </c>
      <c r="L106" s="7">
        <v>355104.41152344388</v>
      </c>
    </row>
    <row r="107" spans="1:12">
      <c r="A107" s="2" t="s">
        <v>19</v>
      </c>
      <c r="B107" s="7">
        <v>69376.50725150542</v>
      </c>
      <c r="C107" s="7">
        <v>79002.120540506847</v>
      </c>
      <c r="D107" s="7">
        <v>85735.216019636064</v>
      </c>
      <c r="E107" s="7">
        <v>102944.86491874563</v>
      </c>
      <c r="F107" s="7">
        <v>113156.62499801457</v>
      </c>
      <c r="G107" s="7">
        <v>121629.23996615394</v>
      </c>
      <c r="H107" s="7">
        <v>136807.80658345876</v>
      </c>
      <c r="I107" s="7">
        <v>171209.08050433142</v>
      </c>
      <c r="J107" s="7">
        <v>304072.99434749776</v>
      </c>
      <c r="K107" s="7">
        <v>381532.88516015263</v>
      </c>
      <c r="L107" s="7">
        <v>474091.01768323721</v>
      </c>
    </row>
    <row r="108" spans="1:12">
      <c r="A108" s="2" t="s">
        <v>20</v>
      </c>
      <c r="B108" s="7">
        <v>85215.6154374615</v>
      </c>
      <c r="C108" s="7">
        <v>96254.697836026433</v>
      </c>
      <c r="D108" s="7">
        <v>104587.6627824639</v>
      </c>
      <c r="E108" s="7">
        <v>125527.69508542423</v>
      </c>
      <c r="F108" s="7">
        <v>138162.88291402438</v>
      </c>
      <c r="G108" s="7">
        <v>149302.84369155989</v>
      </c>
      <c r="H108" s="7">
        <v>168157.15126431821</v>
      </c>
      <c r="I108" s="7">
        <v>210732.64420201819</v>
      </c>
      <c r="J108" s="7">
        <v>364325.65030666225</v>
      </c>
      <c r="K108" s="7">
        <v>459824.08069053217</v>
      </c>
      <c r="L108" s="7">
        <v>574147.90132705134</v>
      </c>
    </row>
    <row r="109" spans="1:12">
      <c r="A109" s="2" t="s">
        <v>21</v>
      </c>
      <c r="B109" s="7">
        <v>108067.73813064568</v>
      </c>
      <c r="C109" s="7">
        <v>122278.40113027116</v>
      </c>
      <c r="D109" s="7">
        <v>133041.19770089278</v>
      </c>
      <c r="E109" s="7">
        <v>159659.69557317119</v>
      </c>
      <c r="F109" s="7">
        <v>175957.59769743893</v>
      </c>
      <c r="G109" s="7">
        <v>190398.70873032339</v>
      </c>
      <c r="H109" s="7">
        <v>214747.08005030986</v>
      </c>
      <c r="I109" s="7">
        <v>269514.43617183832</v>
      </c>
      <c r="J109" s="7">
        <v>451380.34318749257</v>
      </c>
      <c r="K109" s="7">
        <v>573685.41082480515</v>
      </c>
      <c r="L109" s="7">
        <v>720389.74153873615</v>
      </c>
    </row>
    <row r="110" spans="1:1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5" t="s">
        <v>67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1"/>
      <c r="B112" s="143" t="s">
        <v>57</v>
      </c>
      <c r="C112" s="143"/>
      <c r="D112" s="143"/>
      <c r="E112" s="144" t="s">
        <v>58</v>
      </c>
      <c r="F112" s="144"/>
      <c r="G112" s="144"/>
      <c r="H112" s="144"/>
      <c r="I112" s="144"/>
      <c r="J112" s="142" t="s">
        <v>59</v>
      </c>
      <c r="K112" s="142"/>
      <c r="L112" s="142"/>
    </row>
    <row r="113" spans="1:12">
      <c r="A113" s="2" t="s">
        <v>60</v>
      </c>
      <c r="B113" s="6" t="s">
        <v>70</v>
      </c>
      <c r="C113" s="6" t="s">
        <v>71</v>
      </c>
      <c r="D113" s="6" t="s">
        <v>72</v>
      </c>
      <c r="E113" s="6" t="s">
        <v>73</v>
      </c>
      <c r="F113" s="6" t="s">
        <v>74</v>
      </c>
      <c r="G113" s="6" t="s">
        <v>75</v>
      </c>
      <c r="H113" s="6" t="s">
        <v>76</v>
      </c>
      <c r="I113" s="6" t="s">
        <v>77</v>
      </c>
      <c r="J113" s="6" t="s">
        <v>78</v>
      </c>
      <c r="K113" s="6" t="s">
        <v>79</v>
      </c>
      <c r="L113" s="6" t="s">
        <v>80</v>
      </c>
    </row>
    <row r="114" spans="1:12">
      <c r="A114" s="2" t="s">
        <v>11</v>
      </c>
      <c r="B114" s="7">
        <v>14205.390949986433</v>
      </c>
      <c r="C114" s="7">
        <v>15487.436685923534</v>
      </c>
      <c r="D114" s="7">
        <v>16664.156954004622</v>
      </c>
      <c r="E114" s="7">
        <v>21072.785393197893</v>
      </c>
      <c r="F114" s="7">
        <v>23108.048258392086</v>
      </c>
      <c r="G114" s="7">
        <v>24880.923353212187</v>
      </c>
      <c r="H114" s="7">
        <v>27741.922554766988</v>
      </c>
      <c r="I114" s="7">
        <v>34409.378889352382</v>
      </c>
      <c r="J114" s="7">
        <v>66197.333899925768</v>
      </c>
      <c r="K114" s="7">
        <v>80477.087006927963</v>
      </c>
      <c r="L114" s="7">
        <v>96512.972680550141</v>
      </c>
    </row>
    <row r="115" spans="1:12">
      <c r="A115" s="2" t="s">
        <v>12</v>
      </c>
      <c r="B115" s="7">
        <v>15536.430689218014</v>
      </c>
      <c r="C115" s="7">
        <v>16940.290058629031</v>
      </c>
      <c r="D115" s="7">
        <v>18231.05252145269</v>
      </c>
      <c r="E115" s="7">
        <v>23068.131478951258</v>
      </c>
      <c r="F115" s="7">
        <v>25204.769341817566</v>
      </c>
      <c r="G115" s="7">
        <v>27065.902823728724</v>
      </c>
      <c r="H115" s="7">
        <v>30179.819585917543</v>
      </c>
      <c r="I115" s="7">
        <v>37419.404545708006</v>
      </c>
      <c r="J115" s="7">
        <v>72066.142461829149</v>
      </c>
      <c r="K115" s="7">
        <v>88175.19062794793</v>
      </c>
      <c r="L115" s="7">
        <v>106540.41927417633</v>
      </c>
    </row>
    <row r="116" spans="1:12">
      <c r="A116" s="2" t="s">
        <v>13</v>
      </c>
      <c r="B116" s="7">
        <v>17436.971857514891</v>
      </c>
      <c r="C116" s="7">
        <v>19027.802365006879</v>
      </c>
      <c r="D116" s="7">
        <v>20493.219049083014</v>
      </c>
      <c r="E116" s="7">
        <v>25953.416959186958</v>
      </c>
      <c r="F116" s="7">
        <v>28383.261776551361</v>
      </c>
      <c r="G116" s="7">
        <v>30505.444744497971</v>
      </c>
      <c r="H116" s="7">
        <v>34041.804969511883</v>
      </c>
      <c r="I116" s="7">
        <v>42243.776587843051</v>
      </c>
      <c r="J116" s="7">
        <v>76624.135301688453</v>
      </c>
      <c r="K116" s="7">
        <v>94945.530141141091</v>
      </c>
      <c r="L116" s="7">
        <v>115877.84555371875</v>
      </c>
    </row>
    <row r="117" spans="1:12">
      <c r="A117" s="2" t="s">
        <v>14</v>
      </c>
      <c r="B117" s="7">
        <v>19735.946415234106</v>
      </c>
      <c r="C117" s="7">
        <v>21561.177755407971</v>
      </c>
      <c r="D117" s="7">
        <v>23246.415509343446</v>
      </c>
      <c r="E117" s="7">
        <v>29445.248565986487</v>
      </c>
      <c r="F117" s="7">
        <v>32187.254881292043</v>
      </c>
      <c r="G117" s="7">
        <v>34566.139214734336</v>
      </c>
      <c r="H117" s="7">
        <v>38616.367234185498</v>
      </c>
      <c r="I117" s="7">
        <v>47979.282301652835</v>
      </c>
      <c r="J117" s="7">
        <v>83808.386756310545</v>
      </c>
      <c r="K117" s="7">
        <v>104882.2267992392</v>
      </c>
      <c r="L117" s="7">
        <v>129004.21735666478</v>
      </c>
    </row>
    <row r="118" spans="1:12">
      <c r="A118" s="2" t="s">
        <v>15</v>
      </c>
      <c r="B118" s="7">
        <v>24240.32258200298</v>
      </c>
      <c r="C118" s="7">
        <v>27498.678504841919</v>
      </c>
      <c r="D118" s="7">
        <v>29679.466184016386</v>
      </c>
      <c r="E118" s="7">
        <v>36520.64387429729</v>
      </c>
      <c r="F118" s="7">
        <v>39940.144442378922</v>
      </c>
      <c r="G118" s="7">
        <v>42905.678009551557</v>
      </c>
      <c r="H118" s="7">
        <v>47980.831688398255</v>
      </c>
      <c r="I118" s="7">
        <v>59673.627283891794</v>
      </c>
      <c r="J118" s="7">
        <v>101732.84121785733</v>
      </c>
      <c r="K118" s="7">
        <v>128307.93128421089</v>
      </c>
      <c r="L118" s="7">
        <v>158789.12508573366</v>
      </c>
    </row>
    <row r="119" spans="1:12">
      <c r="A119" s="2" t="s">
        <v>16</v>
      </c>
      <c r="B119" s="7">
        <v>31380.955771382771</v>
      </c>
      <c r="C119" s="7">
        <v>36200.713352120714</v>
      </c>
      <c r="D119" s="7">
        <v>39116.04477849017</v>
      </c>
      <c r="E119" s="7">
        <v>47553.091094933814</v>
      </c>
      <c r="F119" s="7">
        <v>52087.200728592994</v>
      </c>
      <c r="G119" s="7">
        <v>56037.388532811427</v>
      </c>
      <c r="H119" s="7">
        <v>62740.255928725885</v>
      </c>
      <c r="I119" s="7">
        <v>78136.279251768909</v>
      </c>
      <c r="J119" s="7">
        <v>136267.35264899794</v>
      </c>
      <c r="K119" s="7">
        <v>171579.0474906044</v>
      </c>
      <c r="L119" s="7">
        <v>212148.23165992324</v>
      </c>
    </row>
    <row r="120" spans="1:12">
      <c r="A120" s="2" t="s">
        <v>17</v>
      </c>
      <c r="B120" s="7">
        <v>41165.734221566039</v>
      </c>
      <c r="C120" s="7">
        <v>46622.658257020907</v>
      </c>
      <c r="D120" s="7">
        <v>50435.535677272535</v>
      </c>
      <c r="E120" s="7">
        <v>61566.068336686578</v>
      </c>
      <c r="F120" s="7">
        <v>67503.874085722418</v>
      </c>
      <c r="G120" s="7">
        <v>72185.784478896647</v>
      </c>
      <c r="H120" s="7">
        <v>80918.218368543632</v>
      </c>
      <c r="I120" s="7">
        <v>100900.49158511998</v>
      </c>
      <c r="J120" s="7">
        <v>178839.76356356058</v>
      </c>
      <c r="K120" s="7">
        <v>224914.92982678922</v>
      </c>
      <c r="L120" s="7">
        <v>277993.2645106659</v>
      </c>
    </row>
    <row r="121" spans="1:12">
      <c r="A121" s="2" t="s">
        <v>18</v>
      </c>
      <c r="B121" s="7">
        <v>53997.414429571676</v>
      </c>
      <c r="C121" s="7">
        <v>62118.654863897005</v>
      </c>
      <c r="D121" s="7">
        <v>67295.717186801296</v>
      </c>
      <c r="E121" s="7">
        <v>81535.159332201016</v>
      </c>
      <c r="F121" s="7">
        <v>89501.905558428538</v>
      </c>
      <c r="G121" s="7">
        <v>95287.676821786619</v>
      </c>
      <c r="H121" s="7">
        <v>106978.96632070091</v>
      </c>
      <c r="I121" s="7">
        <v>133621.57679102637</v>
      </c>
      <c r="J121" s="7">
        <v>237086.81702419295</v>
      </c>
      <c r="K121" s="7">
        <v>298665.85154110414</v>
      </c>
      <c r="L121" s="7">
        <v>369828.14468751539</v>
      </c>
    </row>
    <row r="122" spans="1:12">
      <c r="A122" s="2" t="s">
        <v>19</v>
      </c>
      <c r="B122" s="7">
        <v>70540.402498335301</v>
      </c>
      <c r="C122" s="7">
        <v>80153.519189798972</v>
      </c>
      <c r="D122" s="7">
        <v>86956.223803139379</v>
      </c>
      <c r="E122" s="7">
        <v>104803.88595664446</v>
      </c>
      <c r="F122" s="7">
        <v>115222.83892161307</v>
      </c>
      <c r="G122" s="7">
        <v>123897.05829752485</v>
      </c>
      <c r="H122" s="7">
        <v>139311.76186440943</v>
      </c>
      <c r="I122" s="7">
        <v>174298.5172314345</v>
      </c>
      <c r="J122" s="7">
        <v>304421.70618955739</v>
      </c>
      <c r="K122" s="7">
        <v>385149.32248966605</v>
      </c>
      <c r="L122" s="7">
        <v>478725.17258359672</v>
      </c>
    </row>
    <row r="123" spans="1:12">
      <c r="A123" s="2" t="s">
        <v>20</v>
      </c>
      <c r="B123" s="7">
        <v>86502.93371511744</v>
      </c>
      <c r="C123" s="7">
        <v>97567.0183980211</v>
      </c>
      <c r="D123" s="7">
        <v>105978.67921919964</v>
      </c>
      <c r="E123" s="7">
        <v>127601.09531285292</v>
      </c>
      <c r="F123" s="7">
        <v>140460.32368111957</v>
      </c>
      <c r="G123" s="7">
        <v>151796.44996532222</v>
      </c>
      <c r="H123" s="7">
        <v>170907.16419974639</v>
      </c>
      <c r="I123" s="7">
        <v>214120.02601938194</v>
      </c>
      <c r="J123" s="7">
        <v>364975.39691975957</v>
      </c>
      <c r="K123" s="7">
        <v>464315.53502244735</v>
      </c>
      <c r="L123" s="7">
        <v>579790.4133489941</v>
      </c>
    </row>
    <row r="124" spans="1:12">
      <c r="A124" s="2" t="s">
        <v>21</v>
      </c>
      <c r="B124" s="7">
        <v>109433.55020852975</v>
      </c>
      <c r="C124" s="7">
        <v>123672.57548025817</v>
      </c>
      <c r="D124" s="7">
        <v>134516.4751633757</v>
      </c>
      <c r="E124" s="7">
        <v>161839.59660560483</v>
      </c>
      <c r="F124" s="7">
        <v>178366.98664800607</v>
      </c>
      <c r="G124" s="7">
        <v>193007.32135606598</v>
      </c>
      <c r="H124" s="7">
        <v>217618.59126363322</v>
      </c>
      <c r="I124" s="7">
        <v>273043.84369166137</v>
      </c>
      <c r="J124" s="7">
        <v>451943.52657915524</v>
      </c>
      <c r="K124" s="7">
        <v>578797.6243066102</v>
      </c>
      <c r="L124" s="7">
        <v>726709.88043861755</v>
      </c>
    </row>
    <row r="125" spans="1:1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5" t="s">
        <v>68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1"/>
      <c r="B127" s="143" t="s">
        <v>57</v>
      </c>
      <c r="C127" s="143"/>
      <c r="D127" s="143"/>
      <c r="E127" s="144" t="s">
        <v>58</v>
      </c>
      <c r="F127" s="144"/>
      <c r="G127" s="144"/>
      <c r="H127" s="144"/>
      <c r="I127" s="144"/>
      <c r="J127" s="142" t="s">
        <v>59</v>
      </c>
      <c r="K127" s="142"/>
      <c r="L127" s="142"/>
    </row>
    <row r="128" spans="1:12">
      <c r="A128" s="2" t="s">
        <v>60</v>
      </c>
      <c r="B128" s="6" t="s">
        <v>70</v>
      </c>
      <c r="C128" s="6" t="s">
        <v>71</v>
      </c>
      <c r="D128" s="6" t="s">
        <v>72</v>
      </c>
      <c r="E128" s="6" t="s">
        <v>73</v>
      </c>
      <c r="F128" s="6" t="s">
        <v>74</v>
      </c>
      <c r="G128" s="6" t="s">
        <v>75</v>
      </c>
      <c r="H128" s="6" t="s">
        <v>76</v>
      </c>
      <c r="I128" s="6" t="s">
        <v>77</v>
      </c>
      <c r="J128" s="6" t="s">
        <v>78</v>
      </c>
      <c r="K128" s="6" t="s">
        <v>79</v>
      </c>
      <c r="L128" s="6" t="s">
        <v>80</v>
      </c>
    </row>
    <row r="129" spans="1:12">
      <c r="A129" s="2" t="s">
        <v>11</v>
      </c>
      <c r="B129" s="7">
        <v>16278.426815798113</v>
      </c>
      <c r="C129" s="7">
        <v>17751.830525772843</v>
      </c>
      <c r="D129" s="7">
        <v>19103.894742006934</v>
      </c>
      <c r="E129" s="7">
        <v>24211.847177100473</v>
      </c>
      <c r="F129" s="7">
        <v>26529.400245284993</v>
      </c>
      <c r="G129" s="7">
        <v>28541.674725974357</v>
      </c>
      <c r="H129" s="7">
        <v>31831.141394694318</v>
      </c>
      <c r="I129" s="7">
        <v>39499.801581337357</v>
      </c>
      <c r="J129" s="7">
        <v>74071.349412379743</v>
      </c>
      <c r="K129" s="7">
        <v>90520.228490988724</v>
      </c>
      <c r="L129" s="7">
        <v>108983.04553795063</v>
      </c>
    </row>
    <row r="130" spans="1:12">
      <c r="A130" s="2" t="s">
        <v>12</v>
      </c>
      <c r="B130" s="7">
        <v>17571.974592868963</v>
      </c>
      <c r="C130" s="7">
        <v>19163.884404914297</v>
      </c>
      <c r="D130" s="7">
        <v>20626.997055264761</v>
      </c>
      <c r="E130" s="7">
        <v>26151.044858298559</v>
      </c>
      <c r="F130" s="7">
        <v>28565.163858111668</v>
      </c>
      <c r="G130" s="7">
        <v>30661.688160879079</v>
      </c>
      <c r="H130" s="7">
        <v>34196.740904403603</v>
      </c>
      <c r="I130" s="7">
        <v>42420.14400384824</v>
      </c>
      <c r="J130" s="7">
        <v>79831.577696781693</v>
      </c>
      <c r="K130" s="7">
        <v>98073.361828126435</v>
      </c>
      <c r="L130" s="7">
        <v>118824.80428662192</v>
      </c>
    </row>
    <row r="131" spans="1:12">
      <c r="A131" s="2" t="s">
        <v>13</v>
      </c>
      <c r="B131" s="7">
        <v>19793.546936001047</v>
      </c>
      <c r="C131" s="7">
        <v>21603.109455811547</v>
      </c>
      <c r="D131" s="7">
        <v>23269.209237541814</v>
      </c>
      <c r="E131" s="7">
        <v>29526.58545854795</v>
      </c>
      <c r="F131" s="7">
        <v>32293.864896547653</v>
      </c>
      <c r="G131" s="7">
        <v>34706.164007182851</v>
      </c>
      <c r="H131" s="7">
        <v>38736.304946093791</v>
      </c>
      <c r="I131" s="7">
        <v>48089.958373462352</v>
      </c>
      <c r="J131" s="7">
        <v>85595.461886445875</v>
      </c>
      <c r="K131" s="7">
        <v>106402.28484935558</v>
      </c>
      <c r="L131" s="7">
        <v>130120.14722710747</v>
      </c>
    </row>
    <row r="132" spans="1:12">
      <c r="A132" s="2" t="s">
        <v>14</v>
      </c>
      <c r="B132" s="7">
        <v>22241.489556829554</v>
      </c>
      <c r="C132" s="7">
        <v>24300.280748946414</v>
      </c>
      <c r="D132" s="7">
        <v>26200.024192142249</v>
      </c>
      <c r="E132" s="7">
        <v>33248.281284167366</v>
      </c>
      <c r="F132" s="7">
        <v>36360.240995506756</v>
      </c>
      <c r="G132" s="7">
        <v>39059.741205061408</v>
      </c>
      <c r="H132" s="7">
        <v>43639.928706318875</v>
      </c>
      <c r="I132" s="7">
        <v>54237.173105804148</v>
      </c>
      <c r="J132" s="7">
        <v>93408.39228199693</v>
      </c>
      <c r="K132" s="7">
        <v>117141.60483344598</v>
      </c>
      <c r="L132" s="7">
        <v>144247.12840582384</v>
      </c>
    </row>
    <row r="133" spans="1:12">
      <c r="A133" s="2" t="s">
        <v>15</v>
      </c>
      <c r="B133" s="7">
        <v>27049.600606532014</v>
      </c>
      <c r="C133" s="7">
        <v>30570.334893541018</v>
      </c>
      <c r="D133" s="7">
        <v>32992.194573990673</v>
      </c>
      <c r="E133" s="7">
        <v>40786.675003579643</v>
      </c>
      <c r="F133" s="7">
        <v>44631.181718318388</v>
      </c>
      <c r="G133" s="7">
        <v>47967.292725088671</v>
      </c>
      <c r="H133" s="7">
        <v>53640.258693330958</v>
      </c>
      <c r="I133" s="7">
        <v>66724.513023097359</v>
      </c>
      <c r="J133" s="7">
        <v>112449.19573099661</v>
      </c>
      <c r="K133" s="7">
        <v>142013.69158921592</v>
      </c>
      <c r="L133" s="7">
        <v>175851.72686900006</v>
      </c>
    </row>
    <row r="134" spans="1:12">
      <c r="A134" s="2" t="s">
        <v>16</v>
      </c>
      <c r="B134" s="7">
        <v>34235.553931950431</v>
      </c>
      <c r="C134" s="7">
        <v>39287.813265253062</v>
      </c>
      <c r="D134" s="7">
        <v>42443.947730464046</v>
      </c>
      <c r="E134" s="7">
        <v>51889.208682675431</v>
      </c>
      <c r="F134" s="7">
        <v>56870.15228237609</v>
      </c>
      <c r="G134" s="7">
        <v>61212.40933667557</v>
      </c>
      <c r="H134" s="7">
        <v>68524.72707866905</v>
      </c>
      <c r="I134" s="7">
        <v>85343.081889889203</v>
      </c>
      <c r="J134" s="7">
        <v>146638.98419826731</v>
      </c>
      <c r="K134" s="7">
        <v>184949.64165526099</v>
      </c>
      <c r="L134" s="7">
        <v>228873.68989268225</v>
      </c>
    </row>
    <row r="135" spans="1:12">
      <c r="A135" s="2" t="s">
        <v>17</v>
      </c>
      <c r="B135" s="7">
        <v>43761.670486568546</v>
      </c>
      <c r="C135" s="7">
        <v>49420.93899958679</v>
      </c>
      <c r="D135" s="7">
        <v>53449.421288807556</v>
      </c>
      <c r="E135" s="7">
        <v>65530.83399614309</v>
      </c>
      <c r="F135" s="7">
        <v>71883.854823756221</v>
      </c>
      <c r="G135" s="7">
        <v>76943.385063230438</v>
      </c>
      <c r="H135" s="7">
        <v>86232.275846059143</v>
      </c>
      <c r="I135" s="7">
        <v>107518.37385352269</v>
      </c>
      <c r="J135" s="7">
        <v>187900.11042150919</v>
      </c>
      <c r="K135" s="7">
        <v>236675.71980073288</v>
      </c>
      <c r="L135" s="7">
        <v>292758.4298176755</v>
      </c>
    </row>
    <row r="136" spans="1:12">
      <c r="A136" s="2" t="s">
        <v>18</v>
      </c>
      <c r="B136" s="7">
        <v>56583.329630481938</v>
      </c>
      <c r="C136" s="7">
        <v>64884.585619050333</v>
      </c>
      <c r="D136" s="7">
        <v>70272.49794441741</v>
      </c>
      <c r="E136" s="7">
        <v>85470.427023422555</v>
      </c>
      <c r="F136" s="7">
        <v>93848.724077264298</v>
      </c>
      <c r="G136" s="7">
        <v>100019.98852360259</v>
      </c>
      <c r="H136" s="7">
        <v>112261.14032926926</v>
      </c>
      <c r="I136" s="7">
        <v>140195.08387378708</v>
      </c>
      <c r="J136" s="7">
        <v>246009.6619996705</v>
      </c>
      <c r="K136" s="7">
        <v>310252.26946344564</v>
      </c>
      <c r="L136" s="7">
        <v>384370.94651882263</v>
      </c>
    </row>
    <row r="137" spans="1:12">
      <c r="A137" s="2" t="s">
        <v>19</v>
      </c>
      <c r="B137" s="7">
        <v>72984.335948132779</v>
      </c>
      <c r="C137" s="7">
        <v>82769.049665982588</v>
      </c>
      <c r="D137" s="7">
        <v>89767.211417048529</v>
      </c>
      <c r="E137" s="7">
        <v>108557.37481168093</v>
      </c>
      <c r="F137" s="7">
        <v>119370.59442279523</v>
      </c>
      <c r="G137" s="7">
        <v>128400.5230659302</v>
      </c>
      <c r="H137" s="7">
        <v>144332.10815071981</v>
      </c>
      <c r="I137" s="7">
        <v>180538.75744624424</v>
      </c>
      <c r="J137" s="7">
        <v>312694.05865431979</v>
      </c>
      <c r="K137" s="7">
        <v>395909.21966039436</v>
      </c>
      <c r="L137" s="7">
        <v>492230.51691014611</v>
      </c>
    </row>
    <row r="138" spans="1:12">
      <c r="A138" s="2" t="s">
        <v>20</v>
      </c>
      <c r="B138" s="7">
        <v>89219.820206085657</v>
      </c>
      <c r="C138" s="7">
        <v>100497.85789152615</v>
      </c>
      <c r="D138" s="7">
        <v>109129.25917396857</v>
      </c>
      <c r="E138" s="7">
        <v>131775.63726282044</v>
      </c>
      <c r="F138" s="7">
        <v>145069.99302503502</v>
      </c>
      <c r="G138" s="7">
        <v>156788.42814319901</v>
      </c>
      <c r="H138" s="7">
        <v>176472.60071134419</v>
      </c>
      <c r="I138" s="7">
        <v>221037.22731180134</v>
      </c>
      <c r="J138" s="7">
        <v>374459.36293319432</v>
      </c>
      <c r="K138" s="7">
        <v>476586.06719053566</v>
      </c>
      <c r="L138" s="7">
        <v>595145.16577295738</v>
      </c>
    </row>
    <row r="139" spans="1:12">
      <c r="A139" s="2" t="s">
        <v>21</v>
      </c>
      <c r="B139" s="7">
        <v>112327.62332200131</v>
      </c>
      <c r="C139" s="7">
        <v>126798.82729808173</v>
      </c>
      <c r="D139" s="7">
        <v>137877.07055410428</v>
      </c>
      <c r="E139" s="7">
        <v>166274.298968788</v>
      </c>
      <c r="F139" s="7">
        <v>183261.21336502422</v>
      </c>
      <c r="G139" s="7">
        <v>198304.6782594214</v>
      </c>
      <c r="H139" s="7">
        <v>223524.01981376036</v>
      </c>
      <c r="I139" s="7">
        <v>280382.31860708148</v>
      </c>
      <c r="J139" s="7">
        <v>462235.4370602853</v>
      </c>
      <c r="K139" s="7">
        <v>592063.06738617655</v>
      </c>
      <c r="L139" s="7">
        <v>743270.08924482029</v>
      </c>
    </row>
    <row r="140" spans="1:1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5" t="s">
        <v>69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"/>
      <c r="B142" s="143" t="s">
        <v>57</v>
      </c>
      <c r="C142" s="143"/>
      <c r="D142" s="143"/>
      <c r="E142" s="144" t="s">
        <v>58</v>
      </c>
      <c r="F142" s="144"/>
      <c r="G142" s="144"/>
      <c r="H142" s="144"/>
      <c r="I142" s="144"/>
      <c r="J142" s="142" t="s">
        <v>59</v>
      </c>
      <c r="K142" s="142"/>
      <c r="L142" s="142"/>
    </row>
    <row r="143" spans="1:12">
      <c r="A143" s="2" t="s">
        <v>60</v>
      </c>
      <c r="B143" s="6" t="s">
        <v>70</v>
      </c>
      <c r="C143" s="6" t="s">
        <v>71</v>
      </c>
      <c r="D143" s="6" t="s">
        <v>72</v>
      </c>
      <c r="E143" s="6" t="s">
        <v>73</v>
      </c>
      <c r="F143" s="6" t="s">
        <v>74</v>
      </c>
      <c r="G143" s="6" t="s">
        <v>75</v>
      </c>
      <c r="H143" s="6" t="s">
        <v>76</v>
      </c>
      <c r="I143" s="6" t="s">
        <v>77</v>
      </c>
      <c r="J143" s="6" t="s">
        <v>78</v>
      </c>
      <c r="K143" s="6" t="s">
        <v>79</v>
      </c>
      <c r="L143" s="6" t="s">
        <v>80</v>
      </c>
    </row>
    <row r="144" spans="1:12">
      <c r="A144" s="2" t="s">
        <v>11</v>
      </c>
      <c r="B144" s="7">
        <v>18351.462681609795</v>
      </c>
      <c r="C144" s="7">
        <v>20016.224365622151</v>
      </c>
      <c r="D144" s="7">
        <v>21543.632530009243</v>
      </c>
      <c r="E144" s="7">
        <v>27350.908961003061</v>
      </c>
      <c r="F144" s="7">
        <v>29950.752232177896</v>
      </c>
      <c r="G144" s="7">
        <v>32202.426098736523</v>
      </c>
      <c r="H144" s="7">
        <v>35920.360234621643</v>
      </c>
      <c r="I144" s="7">
        <v>44590.224273322332</v>
      </c>
      <c r="J144" s="7">
        <v>81945.364924833731</v>
      </c>
      <c r="K144" s="7">
        <v>100563.36997504947</v>
      </c>
      <c r="L144" s="7">
        <v>121453.11839535112</v>
      </c>
    </row>
    <row r="145" spans="1:12">
      <c r="A145" s="2" t="s">
        <v>12</v>
      </c>
      <c r="B145" s="7">
        <v>19607.518496519908</v>
      </c>
      <c r="C145" s="7">
        <v>21387.478751199564</v>
      </c>
      <c r="D145" s="7">
        <v>23022.941589076829</v>
      </c>
      <c r="E145" s="7">
        <v>29233.958237645853</v>
      </c>
      <c r="F145" s="7">
        <v>31925.558374405773</v>
      </c>
      <c r="G145" s="7">
        <v>34257.473498029431</v>
      </c>
      <c r="H145" s="7">
        <v>38213.662222889667</v>
      </c>
      <c r="I145" s="7">
        <v>47420.883461988473</v>
      </c>
      <c r="J145" s="7">
        <v>87597.012931734236</v>
      </c>
      <c r="K145" s="7">
        <v>107971.53302830496</v>
      </c>
      <c r="L145" s="7">
        <v>131109.18929906748</v>
      </c>
    </row>
    <row r="146" spans="1:12">
      <c r="A146" s="2" t="s">
        <v>13</v>
      </c>
      <c r="B146" s="7">
        <v>22150.122014487195</v>
      </c>
      <c r="C146" s="7">
        <v>24178.416546616216</v>
      </c>
      <c r="D146" s="7">
        <v>26045.199426000621</v>
      </c>
      <c r="E146" s="7">
        <v>33099.75395790895</v>
      </c>
      <c r="F146" s="7">
        <v>36204.468016543935</v>
      </c>
      <c r="G146" s="7">
        <v>38906.883269867729</v>
      </c>
      <c r="H146" s="7">
        <v>43430.804922675707</v>
      </c>
      <c r="I146" s="7">
        <v>53936.140159081639</v>
      </c>
      <c r="J146" s="7">
        <v>94566.788471203283</v>
      </c>
      <c r="K146" s="7">
        <v>117859.03955757004</v>
      </c>
      <c r="L146" s="7">
        <v>144362.44890049621</v>
      </c>
    </row>
    <row r="147" spans="1:12">
      <c r="A147" s="2" t="s">
        <v>14</v>
      </c>
      <c r="B147" s="7">
        <v>24747.032698424995</v>
      </c>
      <c r="C147" s="7">
        <v>27039.38374248485</v>
      </c>
      <c r="D147" s="7">
        <v>29153.63287494106</v>
      </c>
      <c r="E147" s="7">
        <v>37051.314002348248</v>
      </c>
      <c r="F147" s="7">
        <v>40533.227109721454</v>
      </c>
      <c r="G147" s="7">
        <v>43553.343195388494</v>
      </c>
      <c r="H147" s="7">
        <v>48663.490178452252</v>
      </c>
      <c r="I147" s="7">
        <v>60495.063909955476</v>
      </c>
      <c r="J147" s="7">
        <v>103008.39780768333</v>
      </c>
      <c r="K147" s="7">
        <v>129400.98286765277</v>
      </c>
      <c r="L147" s="7">
        <v>159490.03945498285</v>
      </c>
    </row>
    <row r="148" spans="1:12">
      <c r="A148" s="2" t="s">
        <v>15</v>
      </c>
      <c r="B148" s="7">
        <v>29858.878631061052</v>
      </c>
      <c r="C148" s="7">
        <v>33641.991282240117</v>
      </c>
      <c r="D148" s="7">
        <v>36304.922963964957</v>
      </c>
      <c r="E148" s="7">
        <v>45052.706132862011</v>
      </c>
      <c r="F148" s="7">
        <v>49322.21899425787</v>
      </c>
      <c r="G148" s="7">
        <v>53028.907440625771</v>
      </c>
      <c r="H148" s="7">
        <v>59299.685698263645</v>
      </c>
      <c r="I148" s="7">
        <v>73775.398762302924</v>
      </c>
      <c r="J148" s="7">
        <v>123165.55024413588</v>
      </c>
      <c r="K148" s="7">
        <v>155719.45189422095</v>
      </c>
      <c r="L148" s="7">
        <v>192914.3286522665</v>
      </c>
    </row>
    <row r="149" spans="1:12">
      <c r="A149" s="2" t="s">
        <v>16</v>
      </c>
      <c r="B149" s="7">
        <v>36811.414383448944</v>
      </c>
      <c r="C149" s="7">
        <v>42062.591627265414</v>
      </c>
      <c r="D149" s="7">
        <v>45434.726994819452</v>
      </c>
      <c r="E149" s="7">
        <v>55802.475187088421</v>
      </c>
      <c r="F149" s="7">
        <v>61188.438402548782</v>
      </c>
      <c r="G149" s="7">
        <v>65886.210803223119</v>
      </c>
      <c r="H149" s="7">
        <v>73748.454095637571</v>
      </c>
      <c r="I149" s="7">
        <v>91851.409421954886</v>
      </c>
      <c r="J149" s="7">
        <v>155890.92766946016</v>
      </c>
      <c r="K149" s="7">
        <v>196896.44839893939</v>
      </c>
      <c r="L149" s="7">
        <v>243830.04444348993</v>
      </c>
    </row>
    <row r="150" spans="1:12">
      <c r="A150" s="2" t="s">
        <v>17</v>
      </c>
      <c r="B150" s="7">
        <v>46321.235823506497</v>
      </c>
      <c r="C150" s="7">
        <v>52184.351364841001</v>
      </c>
      <c r="D150" s="7">
        <v>56426.177649939666</v>
      </c>
      <c r="E150" s="7">
        <v>69437.530270428397</v>
      </c>
      <c r="F150" s="7">
        <v>76198.701248773446</v>
      </c>
      <c r="G150" s="7">
        <v>81628.040316849248</v>
      </c>
      <c r="H150" s="7">
        <v>91465.414661827657</v>
      </c>
      <c r="I150" s="7">
        <v>114035.73200224587</v>
      </c>
      <c r="J150" s="7">
        <v>196901.35680653068</v>
      </c>
      <c r="K150" s="7">
        <v>248345.84874991365</v>
      </c>
      <c r="L150" s="7">
        <v>307401.3279346195</v>
      </c>
    </row>
    <row r="151" spans="1:12">
      <c r="A151" s="2" t="s">
        <v>18</v>
      </c>
      <c r="B151" s="7">
        <v>59051.7314226253</v>
      </c>
      <c r="C151" s="7">
        <v>67523.606762797455</v>
      </c>
      <c r="D151" s="7">
        <v>73112.571542999838</v>
      </c>
      <c r="E151" s="7">
        <v>89227.039761697917</v>
      </c>
      <c r="F151" s="7">
        <v>97998.359998948043</v>
      </c>
      <c r="G151" s="7">
        <v>104538.23028318553</v>
      </c>
      <c r="H151" s="7">
        <v>117304.19828977669</v>
      </c>
      <c r="I151" s="7">
        <v>146470.88180926692</v>
      </c>
      <c r="J151" s="7">
        <v>254512.8734387079</v>
      </c>
      <c r="K151" s="7">
        <v>321296.35050277697</v>
      </c>
      <c r="L151" s="7">
        <v>398234.43502145784</v>
      </c>
    </row>
    <row r="152" spans="1:12">
      <c r="A152" s="2" t="s">
        <v>19</v>
      </c>
      <c r="B152" s="7">
        <v>75702.292279286426</v>
      </c>
      <c r="C152" s="7">
        <v>85700.333797925021</v>
      </c>
      <c r="D152" s="7">
        <v>92921.471795455742</v>
      </c>
      <c r="E152" s="7">
        <v>112714.65935396908</v>
      </c>
      <c r="F152" s="7">
        <v>123961.71461667567</v>
      </c>
      <c r="G152" s="7">
        <v>133379.54905132562</v>
      </c>
      <c r="H152" s="7">
        <v>149888.3626604217</v>
      </c>
      <c r="I152" s="7">
        <v>187450.60571663806</v>
      </c>
      <c r="J152" s="7">
        <v>322210.78455806326</v>
      </c>
      <c r="K152" s="7">
        <v>408235.49244262907</v>
      </c>
      <c r="L152" s="7">
        <v>507679.23749550775</v>
      </c>
    </row>
    <row r="153" spans="1:12">
      <c r="A153" s="2" t="s">
        <v>20</v>
      </c>
      <c r="B153" s="7">
        <v>91732.741678985039</v>
      </c>
      <c r="C153" s="7">
        <v>103202.5215956008</v>
      </c>
      <c r="D153" s="7">
        <v>112035.12008557354</v>
      </c>
      <c r="E153" s="7">
        <v>135644.46512068465</v>
      </c>
      <c r="F153" s="7">
        <v>149342.72044385414</v>
      </c>
      <c r="G153" s="7">
        <v>161415.97248859805</v>
      </c>
      <c r="H153" s="7">
        <v>181629.31952949107</v>
      </c>
      <c r="I153" s="7">
        <v>227443.97811750515</v>
      </c>
      <c r="J153" s="7">
        <v>383140.21489885799</v>
      </c>
      <c r="K153" s="7">
        <v>487828.93408040795</v>
      </c>
      <c r="L153" s="7">
        <v>609215.72845763352</v>
      </c>
    </row>
    <row r="154" spans="1:12">
      <c r="A154" s="2" t="s">
        <v>21</v>
      </c>
      <c r="B154" s="7">
        <v>114408.78542780122</v>
      </c>
      <c r="C154" s="7">
        <v>129010.97927965042</v>
      </c>
      <c r="D154" s="7">
        <v>140244.67835423345</v>
      </c>
      <c r="E154" s="7">
        <v>169501.88855095272</v>
      </c>
      <c r="F154" s="7">
        <v>186824.84357462698</v>
      </c>
      <c r="G154" s="7">
        <v>202162.17864837457</v>
      </c>
      <c r="H154" s="7">
        <v>227808.12927610258</v>
      </c>
      <c r="I154" s="7">
        <v>285688.7950492308</v>
      </c>
      <c r="J154" s="7">
        <v>469222.85514975886</v>
      </c>
      <c r="K154" s="7">
        <v>601093.80405628518</v>
      </c>
      <c r="L154" s="7">
        <v>754516.43177276384</v>
      </c>
    </row>
  </sheetData>
  <mergeCells count="30">
    <mergeCell ref="B127:D127"/>
    <mergeCell ref="E127:I127"/>
    <mergeCell ref="J127:L127"/>
    <mergeCell ref="B142:D142"/>
    <mergeCell ref="E142:I142"/>
    <mergeCell ref="J142:L142"/>
    <mergeCell ref="B97:D97"/>
    <mergeCell ref="E97:I97"/>
    <mergeCell ref="J97:L97"/>
    <mergeCell ref="B112:D112"/>
    <mergeCell ref="E112:I112"/>
    <mergeCell ref="J112:L112"/>
    <mergeCell ref="B64:D64"/>
    <mergeCell ref="E64:I64"/>
    <mergeCell ref="J64:L64"/>
    <mergeCell ref="B80:D80"/>
    <mergeCell ref="E80:I80"/>
    <mergeCell ref="J80:L80"/>
    <mergeCell ref="B34:D34"/>
    <mergeCell ref="E34:I34"/>
    <mergeCell ref="J34:L34"/>
    <mergeCell ref="B49:D49"/>
    <mergeCell ref="E49:I49"/>
    <mergeCell ref="J49:L49"/>
    <mergeCell ref="B2:D2"/>
    <mergeCell ref="E2:I2"/>
    <mergeCell ref="J2:L2"/>
    <mergeCell ref="B19:D19"/>
    <mergeCell ref="E19:I19"/>
    <mergeCell ref="J19:L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AH110"/>
  <sheetViews>
    <sheetView workbookViewId="0">
      <selection activeCell="E8" sqref="E8:E19"/>
    </sheetView>
  </sheetViews>
  <sheetFormatPr defaultRowHeight="14.4"/>
  <cols>
    <col min="13" max="14" width="22.77734375" customWidth="1"/>
  </cols>
  <sheetData>
    <row r="2" spans="1:34">
      <c r="A2" s="89" t="s">
        <v>243</v>
      </c>
      <c r="B2">
        <v>3</v>
      </c>
      <c r="C2">
        <v>2</v>
      </c>
      <c r="D2">
        <v>2</v>
      </c>
      <c r="E2">
        <v>4</v>
      </c>
    </row>
    <row r="3" spans="1:34">
      <c r="A3" s="89" t="s">
        <v>244</v>
      </c>
      <c r="B3">
        <v>4</v>
      </c>
      <c r="C3">
        <v>3</v>
      </c>
      <c r="D3">
        <v>3</v>
      </c>
      <c r="E3">
        <v>5</v>
      </c>
    </row>
    <row r="4" spans="1:34">
      <c r="A4" s="6" t="s">
        <v>70</v>
      </c>
      <c r="B4">
        <v>5</v>
      </c>
      <c r="C4">
        <v>4</v>
      </c>
      <c r="D4">
        <v>4</v>
      </c>
      <c r="E4">
        <v>6</v>
      </c>
      <c r="K4">
        <v>1</v>
      </c>
      <c r="L4" s="2" t="s">
        <v>9</v>
      </c>
      <c r="M4" s="51" t="s">
        <v>149</v>
      </c>
      <c r="N4" s="51" t="s">
        <v>149</v>
      </c>
    </row>
    <row r="5" spans="1:34">
      <c r="A5" s="6" t="s">
        <v>71</v>
      </c>
      <c r="B5">
        <v>7</v>
      </c>
      <c r="C5">
        <v>5</v>
      </c>
      <c r="D5">
        <v>5</v>
      </c>
      <c r="E5">
        <v>7</v>
      </c>
      <c r="F5">
        <v>1000</v>
      </c>
      <c r="G5">
        <v>1</v>
      </c>
      <c r="I5" t="s">
        <v>115</v>
      </c>
      <c r="J5" s="81">
        <v>5000</v>
      </c>
      <c r="K5">
        <v>2</v>
      </c>
      <c r="L5" s="2" t="s">
        <v>9</v>
      </c>
      <c r="M5" s="51" t="s">
        <v>149</v>
      </c>
      <c r="N5" s="51" t="s">
        <v>149</v>
      </c>
    </row>
    <row r="6" spans="1:34">
      <c r="A6" s="6" t="s">
        <v>72</v>
      </c>
      <c r="B6">
        <v>10</v>
      </c>
      <c r="C6">
        <v>6</v>
      </c>
      <c r="D6">
        <v>6</v>
      </c>
      <c r="E6">
        <v>8</v>
      </c>
      <c r="F6">
        <v>2000</v>
      </c>
      <c r="G6">
        <v>2</v>
      </c>
      <c r="H6" s="65" t="s">
        <v>131</v>
      </c>
      <c r="I6" t="s">
        <v>118</v>
      </c>
      <c r="J6" s="81">
        <v>10000</v>
      </c>
      <c r="K6">
        <v>3</v>
      </c>
      <c r="L6" s="2" t="s">
        <v>9</v>
      </c>
      <c r="M6" s="51" t="s">
        <v>149</v>
      </c>
      <c r="N6" s="51" t="s">
        <v>149</v>
      </c>
    </row>
    <row r="7" spans="1:34">
      <c r="A7" s="6" t="s">
        <v>73</v>
      </c>
      <c r="B7">
        <v>15</v>
      </c>
      <c r="C7">
        <v>7</v>
      </c>
      <c r="E7">
        <v>9</v>
      </c>
      <c r="F7">
        <v>3000</v>
      </c>
      <c r="G7">
        <v>3</v>
      </c>
      <c r="H7" s="65" t="s">
        <v>172</v>
      </c>
      <c r="I7" t="s">
        <v>106</v>
      </c>
      <c r="J7" s="81">
        <v>15000</v>
      </c>
      <c r="K7">
        <v>4</v>
      </c>
      <c r="L7" s="2" t="s">
        <v>9</v>
      </c>
      <c r="M7" s="51" t="s">
        <v>149</v>
      </c>
      <c r="N7" s="51" t="s">
        <v>149</v>
      </c>
    </row>
    <row r="8" spans="1:34">
      <c r="A8" s="6" t="s">
        <v>74</v>
      </c>
      <c r="B8">
        <v>20</v>
      </c>
      <c r="C8">
        <v>8</v>
      </c>
      <c r="E8">
        <v>10</v>
      </c>
      <c r="F8">
        <v>4000</v>
      </c>
      <c r="G8">
        <v>4</v>
      </c>
      <c r="I8" t="s">
        <v>108</v>
      </c>
      <c r="J8" s="81">
        <v>20000</v>
      </c>
      <c r="K8">
        <v>5</v>
      </c>
      <c r="L8" s="2" t="s">
        <v>10</v>
      </c>
      <c r="M8" s="51" t="s">
        <v>149</v>
      </c>
      <c r="N8" s="51" t="s">
        <v>149</v>
      </c>
    </row>
    <row r="9" spans="1:34">
      <c r="A9" s="6" t="s">
        <v>75</v>
      </c>
      <c r="B9">
        <v>25</v>
      </c>
      <c r="C9">
        <v>9</v>
      </c>
      <c r="E9">
        <v>10</v>
      </c>
      <c r="F9">
        <v>5000</v>
      </c>
      <c r="G9">
        <v>5</v>
      </c>
      <c r="J9" s="81">
        <v>25000</v>
      </c>
      <c r="K9">
        <v>6</v>
      </c>
      <c r="L9" s="2" t="s">
        <v>10</v>
      </c>
      <c r="M9" s="51" t="s">
        <v>149</v>
      </c>
      <c r="N9" s="51" t="s">
        <v>149</v>
      </c>
    </row>
    <row r="10" spans="1:34">
      <c r="A10" s="6" t="s">
        <v>76</v>
      </c>
      <c r="B10">
        <v>30</v>
      </c>
      <c r="C10">
        <v>10</v>
      </c>
      <c r="E10">
        <v>10</v>
      </c>
      <c r="F10">
        <v>6000</v>
      </c>
      <c r="G10">
        <v>6</v>
      </c>
      <c r="J10" s="81">
        <v>30000</v>
      </c>
      <c r="K10">
        <v>7</v>
      </c>
      <c r="L10" s="2" t="s">
        <v>10</v>
      </c>
      <c r="M10" s="51" t="s">
        <v>149</v>
      </c>
      <c r="N10" s="51" t="s">
        <v>149</v>
      </c>
      <c r="O10" s="2" t="s">
        <v>243</v>
      </c>
      <c r="P10" s="2" t="s">
        <v>244</v>
      </c>
      <c r="Q10" s="6" t="s">
        <v>70</v>
      </c>
      <c r="R10" s="6" t="s">
        <v>71</v>
      </c>
      <c r="S10" s="6" t="s">
        <v>72</v>
      </c>
      <c r="T10" s="6" t="s">
        <v>73</v>
      </c>
      <c r="U10" s="6" t="s">
        <v>74</v>
      </c>
      <c r="V10" s="6" t="s">
        <v>75</v>
      </c>
      <c r="W10" s="6" t="s">
        <v>76</v>
      </c>
      <c r="X10" s="6" t="s">
        <v>77</v>
      </c>
      <c r="Y10" s="6" t="s">
        <v>78</v>
      </c>
      <c r="Z10" s="6" t="s">
        <v>79</v>
      </c>
      <c r="AA10" s="6" t="s">
        <v>80</v>
      </c>
      <c r="AB10" s="2" t="s">
        <v>245</v>
      </c>
      <c r="AC10" s="2" t="s">
        <v>246</v>
      </c>
      <c r="AD10" s="2" t="s">
        <v>247</v>
      </c>
      <c r="AE10" s="2" t="s">
        <v>248</v>
      </c>
      <c r="AF10" s="2" t="s">
        <v>249</v>
      </c>
    </row>
    <row r="11" spans="1:34">
      <c r="A11" s="6" t="s">
        <v>77</v>
      </c>
      <c r="B11">
        <v>40</v>
      </c>
      <c r="C11">
        <v>11</v>
      </c>
      <c r="E11">
        <v>10</v>
      </c>
      <c r="F11">
        <v>7000</v>
      </c>
      <c r="G11">
        <v>7</v>
      </c>
      <c r="J11" s="81">
        <v>35000</v>
      </c>
      <c r="K11">
        <v>8</v>
      </c>
      <c r="L11" s="2" t="s">
        <v>10</v>
      </c>
      <c r="M11" s="51" t="s">
        <v>149</v>
      </c>
      <c r="N11" s="51" t="s">
        <v>149</v>
      </c>
    </row>
    <row r="12" spans="1:34">
      <c r="A12" s="6" t="s">
        <v>78</v>
      </c>
      <c r="B12">
        <v>50</v>
      </c>
      <c r="C12">
        <v>12</v>
      </c>
      <c r="E12">
        <v>10</v>
      </c>
      <c r="F12">
        <v>8000</v>
      </c>
      <c r="G12">
        <v>8</v>
      </c>
      <c r="J12" s="81">
        <v>40000</v>
      </c>
      <c r="K12">
        <v>9</v>
      </c>
      <c r="L12" s="2" t="s">
        <v>10</v>
      </c>
      <c r="M12" s="51" t="s">
        <v>149</v>
      </c>
      <c r="N12" s="51" t="s">
        <v>149</v>
      </c>
      <c r="O12" s="1"/>
      <c r="P12" s="1"/>
      <c r="Q12" s="1"/>
      <c r="R12" s="143"/>
      <c r="S12" s="143"/>
      <c r="T12" s="143"/>
      <c r="U12" s="144"/>
      <c r="V12" s="144"/>
      <c r="W12" s="144"/>
      <c r="X12" s="144"/>
      <c r="Y12" s="144"/>
      <c r="Z12" s="142"/>
      <c r="AA12" s="142"/>
      <c r="AB12" s="142"/>
      <c r="AC12" s="83"/>
      <c r="AD12" s="83"/>
      <c r="AE12" s="83"/>
      <c r="AF12" s="83"/>
    </row>
    <row r="13" spans="1:34">
      <c r="A13" s="6" t="s">
        <v>79</v>
      </c>
      <c r="B13">
        <v>60</v>
      </c>
      <c r="C13">
        <v>13</v>
      </c>
      <c r="E13">
        <v>10</v>
      </c>
      <c r="F13">
        <v>9000</v>
      </c>
      <c r="G13">
        <v>9</v>
      </c>
      <c r="J13" s="81">
        <v>45000</v>
      </c>
      <c r="K13">
        <v>10</v>
      </c>
      <c r="L13" s="2" t="s">
        <v>10</v>
      </c>
      <c r="M13" s="51" t="s">
        <v>149</v>
      </c>
      <c r="N13" s="51" t="s">
        <v>149</v>
      </c>
      <c r="O13" s="1"/>
      <c r="P13" s="2"/>
      <c r="Q13" s="2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84"/>
      <c r="AD13" s="84"/>
      <c r="AE13" s="84"/>
      <c r="AF13" s="84"/>
    </row>
    <row r="14" spans="1:34">
      <c r="A14" s="6" t="s">
        <v>80</v>
      </c>
      <c r="B14">
        <v>75</v>
      </c>
      <c r="C14">
        <v>14</v>
      </c>
      <c r="E14">
        <v>10</v>
      </c>
      <c r="F14">
        <v>10000</v>
      </c>
      <c r="G14">
        <v>10</v>
      </c>
      <c r="J14" s="81">
        <v>50000</v>
      </c>
      <c r="K14">
        <v>11</v>
      </c>
      <c r="L14" s="2" t="s">
        <v>10</v>
      </c>
      <c r="M14" s="51" t="s">
        <v>149</v>
      </c>
      <c r="N14" s="51" t="s">
        <v>149</v>
      </c>
      <c r="O14" s="2" t="s">
        <v>60</v>
      </c>
      <c r="P14" s="2"/>
      <c r="Q14" s="2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11"/>
      <c r="AD14" s="11"/>
      <c r="AE14" s="11"/>
      <c r="AF14" s="11"/>
      <c r="AG14" s="11"/>
      <c r="AH14" s="12"/>
    </row>
    <row r="15" spans="1:34">
      <c r="A15" s="84" t="s">
        <v>245</v>
      </c>
      <c r="B15">
        <v>100</v>
      </c>
      <c r="C15">
        <v>15</v>
      </c>
      <c r="E15">
        <v>10</v>
      </c>
      <c r="J15" s="88"/>
      <c r="L15" s="2"/>
      <c r="O15" s="2" t="s">
        <v>9</v>
      </c>
      <c r="P15" s="11">
        <v>2</v>
      </c>
      <c r="Q15" s="12"/>
      <c r="R15" s="161" t="s">
        <v>314</v>
      </c>
      <c r="S15" s="162"/>
      <c r="T15" s="7"/>
      <c r="U15" s="7"/>
      <c r="V15" s="7"/>
      <c r="W15" s="7"/>
      <c r="X15" s="7"/>
      <c r="Y15" s="7"/>
      <c r="Z15" s="7"/>
      <c r="AA15" s="7"/>
      <c r="AB15" s="7"/>
      <c r="AC15" s="11"/>
      <c r="AD15" s="11"/>
      <c r="AE15" s="11"/>
      <c r="AF15" s="11"/>
      <c r="AG15" s="11"/>
      <c r="AH15" s="12"/>
    </row>
    <row r="16" spans="1:34">
      <c r="A16" s="84" t="s">
        <v>246</v>
      </c>
      <c r="B16">
        <v>150</v>
      </c>
      <c r="C16">
        <v>16</v>
      </c>
      <c r="E16">
        <v>10</v>
      </c>
      <c r="J16" s="88"/>
      <c r="L16" s="2"/>
      <c r="O16" s="2" t="s">
        <v>10</v>
      </c>
      <c r="P16" s="11">
        <v>3</v>
      </c>
      <c r="Q16" s="12"/>
      <c r="R16" s="7">
        <v>2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11"/>
      <c r="AD16" s="11"/>
      <c r="AE16" s="11"/>
      <c r="AF16" s="11"/>
      <c r="AG16" s="11"/>
      <c r="AH16" s="12"/>
    </row>
    <row r="17" spans="1:34">
      <c r="A17" s="84" t="s">
        <v>247</v>
      </c>
      <c r="B17">
        <v>200</v>
      </c>
      <c r="C17">
        <v>17</v>
      </c>
      <c r="E17">
        <v>10</v>
      </c>
      <c r="J17" s="88"/>
      <c r="L17" s="2"/>
      <c r="O17" s="2" t="s">
        <v>11</v>
      </c>
      <c r="P17" s="11">
        <v>4</v>
      </c>
      <c r="Q17" s="12">
        <v>2</v>
      </c>
      <c r="R17" s="7">
        <v>3</v>
      </c>
      <c r="S17" s="12">
        <v>2</v>
      </c>
      <c r="T17" s="7"/>
      <c r="U17" s="7"/>
      <c r="V17" s="7"/>
      <c r="W17" s="7"/>
      <c r="X17" s="7"/>
      <c r="Y17" s="7"/>
      <c r="Z17" s="7"/>
      <c r="AA17" s="7"/>
      <c r="AB17" s="7"/>
      <c r="AC17" s="11"/>
      <c r="AD17" s="11"/>
      <c r="AE17" s="11"/>
      <c r="AF17" s="11"/>
      <c r="AG17" s="11"/>
      <c r="AH17" s="12"/>
    </row>
    <row r="18" spans="1:34">
      <c r="A18" s="84" t="s">
        <v>248</v>
      </c>
      <c r="B18">
        <v>300</v>
      </c>
      <c r="C18">
        <v>18</v>
      </c>
      <c r="E18">
        <v>10</v>
      </c>
      <c r="J18" s="88"/>
      <c r="L18" s="2"/>
      <c r="O18" s="2" t="s">
        <v>12</v>
      </c>
      <c r="P18" s="11">
        <v>5</v>
      </c>
      <c r="Q18" s="12">
        <v>3</v>
      </c>
      <c r="R18" s="7">
        <v>4</v>
      </c>
      <c r="S18" s="12">
        <v>3</v>
      </c>
      <c r="T18" s="7"/>
      <c r="U18" s="7"/>
      <c r="V18" s="7"/>
      <c r="W18" s="7"/>
      <c r="X18" s="7"/>
      <c r="Y18" s="7"/>
      <c r="Z18" s="7"/>
      <c r="AA18" s="7"/>
      <c r="AB18" s="7"/>
      <c r="AC18" s="11"/>
      <c r="AD18" s="11"/>
      <c r="AE18" s="11"/>
      <c r="AF18" s="11"/>
      <c r="AG18" s="11"/>
      <c r="AH18" s="12"/>
    </row>
    <row r="19" spans="1:34">
      <c r="A19" s="84" t="s">
        <v>310</v>
      </c>
      <c r="B19">
        <v>600</v>
      </c>
      <c r="C19">
        <v>19</v>
      </c>
      <c r="E19">
        <v>10</v>
      </c>
      <c r="J19" s="88"/>
      <c r="L19" s="2"/>
      <c r="O19" s="2" t="s">
        <v>13</v>
      </c>
      <c r="P19" s="11">
        <v>6</v>
      </c>
      <c r="Q19" s="12">
        <v>4</v>
      </c>
      <c r="R19" s="7">
        <v>5</v>
      </c>
      <c r="S19" s="12">
        <v>4</v>
      </c>
      <c r="T19" s="7"/>
      <c r="U19" s="7"/>
      <c r="V19" s="7"/>
      <c r="W19" s="7"/>
      <c r="X19" s="7"/>
      <c r="Y19" s="7"/>
      <c r="Z19" s="7"/>
      <c r="AA19" s="7"/>
      <c r="AB19" s="7"/>
      <c r="AC19" s="11"/>
      <c r="AD19" s="11"/>
      <c r="AE19" s="11"/>
      <c r="AF19" s="11"/>
      <c r="AG19" s="11"/>
      <c r="AH19" s="12"/>
    </row>
    <row r="20" spans="1:34">
      <c r="K20">
        <v>12</v>
      </c>
      <c r="L20" s="2" t="s">
        <v>10</v>
      </c>
      <c r="M20" s="51" t="s">
        <v>149</v>
      </c>
      <c r="N20" s="51" t="s">
        <v>149</v>
      </c>
      <c r="O20" s="2" t="s">
        <v>14</v>
      </c>
      <c r="P20" s="11">
        <v>7</v>
      </c>
      <c r="Q20" s="12">
        <v>5</v>
      </c>
      <c r="R20" s="7">
        <v>6</v>
      </c>
      <c r="S20" s="12">
        <v>5</v>
      </c>
      <c r="T20" s="7"/>
      <c r="U20" s="7"/>
      <c r="V20" s="7"/>
      <c r="W20" s="7"/>
      <c r="X20" s="7"/>
      <c r="Y20" s="7"/>
      <c r="Z20" s="7"/>
      <c r="AA20" s="7"/>
      <c r="AB20" s="7"/>
      <c r="AC20" s="11"/>
      <c r="AD20" s="11"/>
      <c r="AE20" s="11"/>
      <c r="AF20" s="11"/>
      <c r="AG20" s="11"/>
      <c r="AH20" s="12"/>
    </row>
    <row r="21" spans="1:34">
      <c r="A21" s="33" t="s">
        <v>178</v>
      </c>
      <c r="B21" s="77">
        <v>5000</v>
      </c>
      <c r="C21" s="73" t="s">
        <v>117</v>
      </c>
      <c r="K21">
        <v>13</v>
      </c>
      <c r="L21" s="2" t="s">
        <v>10</v>
      </c>
      <c r="M21" s="51" t="s">
        <v>149</v>
      </c>
      <c r="N21" s="51" t="s">
        <v>149</v>
      </c>
      <c r="O21" s="2" t="s">
        <v>15</v>
      </c>
      <c r="P21" s="11">
        <v>8</v>
      </c>
      <c r="Q21" s="12">
        <v>6</v>
      </c>
      <c r="R21" s="7">
        <v>7</v>
      </c>
      <c r="S21" s="12">
        <v>6</v>
      </c>
      <c r="T21" s="7"/>
      <c r="U21" s="7"/>
      <c r="V21" s="7"/>
      <c r="W21" s="7"/>
      <c r="X21" s="7"/>
      <c r="Y21" s="7"/>
      <c r="Z21" s="7"/>
      <c r="AA21" s="7"/>
      <c r="AB21" s="7"/>
      <c r="AC21" s="11"/>
      <c r="AD21" s="11"/>
      <c r="AE21" s="11"/>
      <c r="AF21" s="11"/>
      <c r="AG21" s="11"/>
      <c r="AH21" s="12"/>
    </row>
    <row r="22" spans="1:34">
      <c r="A22" s="33" t="s">
        <v>179</v>
      </c>
      <c r="B22" s="77">
        <v>10000</v>
      </c>
      <c r="C22" s="73" t="s">
        <v>293</v>
      </c>
      <c r="K22">
        <v>14</v>
      </c>
      <c r="L22" s="2" t="s">
        <v>10</v>
      </c>
      <c r="M22" s="51" t="s">
        <v>149</v>
      </c>
      <c r="N22" s="51" t="s">
        <v>149</v>
      </c>
      <c r="O22" s="2" t="s">
        <v>16</v>
      </c>
      <c r="P22" s="11">
        <v>9</v>
      </c>
      <c r="Q22" s="12">
        <v>7</v>
      </c>
      <c r="R22" s="7">
        <v>8</v>
      </c>
      <c r="S22" s="12">
        <v>7</v>
      </c>
      <c r="T22" s="7"/>
      <c r="U22" s="7"/>
      <c r="V22" s="7"/>
      <c r="W22" s="7"/>
      <c r="X22" s="7"/>
      <c r="Y22" s="7"/>
      <c r="Z22" s="7"/>
      <c r="AA22" s="7"/>
      <c r="AB22" s="7"/>
      <c r="AC22" s="11"/>
      <c r="AD22" s="11"/>
      <c r="AE22" s="11"/>
      <c r="AF22" s="11"/>
      <c r="AG22" s="11"/>
      <c r="AH22" s="12"/>
    </row>
    <row r="23" spans="1:34">
      <c r="B23" s="77">
        <v>25000</v>
      </c>
      <c r="K23">
        <v>15</v>
      </c>
      <c r="L23" s="2" t="s">
        <v>10</v>
      </c>
      <c r="M23" s="51" t="s">
        <v>149</v>
      </c>
      <c r="N23" s="51" t="s">
        <v>149</v>
      </c>
      <c r="O23" s="2" t="s">
        <v>17</v>
      </c>
      <c r="P23" s="11">
        <v>10</v>
      </c>
      <c r="Q23" s="12">
        <v>8</v>
      </c>
      <c r="R23" s="7">
        <v>9</v>
      </c>
      <c r="S23" s="12">
        <v>8</v>
      </c>
      <c r="T23" s="7"/>
      <c r="U23" s="7"/>
      <c r="V23" s="7"/>
      <c r="W23" s="7"/>
      <c r="X23" s="7"/>
      <c r="Y23" s="7"/>
      <c r="Z23" s="7"/>
      <c r="AA23" s="7"/>
      <c r="AB23" s="7"/>
      <c r="AC23" s="11"/>
      <c r="AD23" s="11"/>
      <c r="AE23" s="11"/>
      <c r="AF23" s="11"/>
      <c r="AG23" s="11"/>
      <c r="AH23" s="12"/>
    </row>
    <row r="24" spans="1:34">
      <c r="A24" s="73" t="s">
        <v>209</v>
      </c>
      <c r="B24" s="77">
        <v>50000</v>
      </c>
      <c r="K24">
        <v>16</v>
      </c>
      <c r="L24" s="2" t="s">
        <v>10</v>
      </c>
      <c r="M24" s="51" t="s">
        <v>149</v>
      </c>
      <c r="N24" s="51" t="s">
        <v>149</v>
      </c>
      <c r="O24" s="2" t="s">
        <v>18</v>
      </c>
      <c r="P24" s="11">
        <v>11</v>
      </c>
      <c r="Q24" s="12">
        <v>9</v>
      </c>
      <c r="R24" s="7">
        <v>10</v>
      </c>
      <c r="S24" s="12">
        <v>9</v>
      </c>
      <c r="T24" s="7"/>
      <c r="U24" s="7"/>
      <c r="V24" s="7"/>
      <c r="W24" s="7"/>
      <c r="X24" s="7"/>
      <c r="Y24" s="7"/>
      <c r="Z24" s="7"/>
      <c r="AA24" s="7"/>
      <c r="AB24" s="7"/>
      <c r="AC24" s="11"/>
      <c r="AD24" s="11"/>
      <c r="AE24" s="11"/>
      <c r="AF24" s="11"/>
      <c r="AG24" s="11"/>
      <c r="AH24" s="12"/>
    </row>
    <row r="25" spans="1:34">
      <c r="A25" s="73" t="s">
        <v>210</v>
      </c>
      <c r="B25" s="77">
        <v>100000</v>
      </c>
      <c r="K25">
        <v>17</v>
      </c>
      <c r="L25" s="2" t="s">
        <v>10</v>
      </c>
      <c r="M25" s="51" t="s">
        <v>149</v>
      </c>
      <c r="N25" s="51" t="s">
        <v>149</v>
      </c>
      <c r="O25" s="2" t="s">
        <v>19</v>
      </c>
      <c r="P25" s="11">
        <v>12</v>
      </c>
      <c r="Q25" s="12">
        <v>10</v>
      </c>
      <c r="R25" s="7">
        <v>11</v>
      </c>
      <c r="S25" s="12">
        <v>10</v>
      </c>
      <c r="T25" s="7"/>
      <c r="U25" s="7"/>
      <c r="V25" s="7"/>
      <c r="W25" s="7"/>
      <c r="X25" s="7"/>
      <c r="Y25" s="7"/>
      <c r="Z25" s="7"/>
      <c r="AA25" s="7"/>
      <c r="AB25" s="7"/>
      <c r="AC25" s="11"/>
      <c r="AD25" s="11"/>
      <c r="AE25" s="11"/>
      <c r="AF25" s="11"/>
      <c r="AG25" s="11"/>
      <c r="AH25" s="12"/>
    </row>
    <row r="26" spans="1:34">
      <c r="B26" s="77">
        <v>200000</v>
      </c>
      <c r="K26">
        <v>18</v>
      </c>
      <c r="L26" s="2" t="s">
        <v>11</v>
      </c>
      <c r="M26" s="51" t="s">
        <v>149</v>
      </c>
      <c r="N26" s="51" t="s">
        <v>149</v>
      </c>
      <c r="O26" s="2" t="s">
        <v>20</v>
      </c>
      <c r="P26" s="11">
        <v>13</v>
      </c>
      <c r="Q26" s="12">
        <v>11</v>
      </c>
      <c r="R26" s="7">
        <v>12</v>
      </c>
      <c r="S26" s="12">
        <v>11</v>
      </c>
      <c r="T26" s="7"/>
      <c r="U26" s="7"/>
      <c r="V26" s="7"/>
      <c r="W26" s="7"/>
      <c r="X26" s="7"/>
      <c r="Y26" s="7"/>
      <c r="Z26" s="7"/>
      <c r="AA26" s="7"/>
      <c r="AB26" s="7"/>
      <c r="AC26" s="11"/>
      <c r="AD26" s="11"/>
      <c r="AE26" s="11"/>
      <c r="AF26" s="11"/>
      <c r="AG26" s="11"/>
      <c r="AH26" s="12"/>
    </row>
    <row r="27" spans="1:34">
      <c r="B27" s="77">
        <v>300000</v>
      </c>
      <c r="K27">
        <v>19</v>
      </c>
      <c r="L27" s="2" t="s">
        <v>11</v>
      </c>
      <c r="M27" s="51" t="s">
        <v>149</v>
      </c>
      <c r="N27" s="51" t="s">
        <v>149</v>
      </c>
      <c r="O27" s="2" t="s">
        <v>21</v>
      </c>
      <c r="P27" s="11">
        <v>14</v>
      </c>
      <c r="Q27" s="12">
        <v>12</v>
      </c>
      <c r="R27" s="7">
        <v>13</v>
      </c>
      <c r="S27" s="12">
        <v>12</v>
      </c>
    </row>
    <row r="28" spans="1:34">
      <c r="B28" s="77">
        <v>500000</v>
      </c>
      <c r="K28">
        <v>20</v>
      </c>
      <c r="L28" s="2" t="s">
        <v>11</v>
      </c>
      <c r="M28" s="51" t="s">
        <v>149</v>
      </c>
      <c r="N28" s="51" t="s">
        <v>149</v>
      </c>
    </row>
    <row r="29" spans="1:34">
      <c r="K29">
        <v>21</v>
      </c>
      <c r="L29" s="2" t="s">
        <v>11</v>
      </c>
      <c r="M29" s="51" t="s">
        <v>149</v>
      </c>
      <c r="N29" s="51" t="s">
        <v>149</v>
      </c>
    </row>
    <row r="30" spans="1:34">
      <c r="K30">
        <v>22</v>
      </c>
      <c r="L30" s="2" t="s">
        <v>11</v>
      </c>
      <c r="M30" s="51" t="s">
        <v>149</v>
      </c>
      <c r="N30" s="51" t="s">
        <v>149</v>
      </c>
    </row>
    <row r="31" spans="1:34">
      <c r="K31">
        <v>23</v>
      </c>
      <c r="L31" s="2" t="s">
        <v>11</v>
      </c>
      <c r="M31" s="51" t="s">
        <v>149</v>
      </c>
      <c r="N31" s="51" t="s">
        <v>149</v>
      </c>
    </row>
    <row r="32" spans="1:34">
      <c r="K32">
        <v>24</v>
      </c>
      <c r="L32" s="2" t="s">
        <v>11</v>
      </c>
      <c r="M32" s="51" t="s">
        <v>149</v>
      </c>
      <c r="N32" s="51" t="s">
        <v>149</v>
      </c>
    </row>
    <row r="33" spans="11:14">
      <c r="K33">
        <v>25</v>
      </c>
      <c r="L33" s="2" t="s">
        <v>12</v>
      </c>
      <c r="M33" s="51" t="s">
        <v>149</v>
      </c>
      <c r="N33" s="51" t="s">
        <v>149</v>
      </c>
    </row>
    <row r="34" spans="11:14">
      <c r="K34">
        <v>26</v>
      </c>
      <c r="L34" s="2" t="s">
        <v>12</v>
      </c>
      <c r="M34" s="51" t="s">
        <v>149</v>
      </c>
      <c r="N34" s="51" t="s">
        <v>149</v>
      </c>
    </row>
    <row r="35" spans="11:14">
      <c r="K35">
        <v>27</v>
      </c>
      <c r="L35" s="2" t="s">
        <v>12</v>
      </c>
      <c r="M35" s="51" t="s">
        <v>149</v>
      </c>
      <c r="N35" s="51" t="s">
        <v>149</v>
      </c>
    </row>
    <row r="36" spans="11:14">
      <c r="K36">
        <v>28</v>
      </c>
      <c r="L36" s="2" t="s">
        <v>12</v>
      </c>
      <c r="M36" s="51" t="s">
        <v>149</v>
      </c>
      <c r="N36" s="51" t="s">
        <v>149</v>
      </c>
    </row>
    <row r="37" spans="11:14">
      <c r="K37">
        <v>29</v>
      </c>
      <c r="L37" s="2" t="s">
        <v>12</v>
      </c>
      <c r="M37" s="51" t="s">
        <v>149</v>
      </c>
      <c r="N37" s="51" t="s">
        <v>149</v>
      </c>
    </row>
    <row r="38" spans="11:14">
      <c r="K38">
        <v>30</v>
      </c>
      <c r="L38" s="2" t="s">
        <v>12</v>
      </c>
      <c r="M38" s="51" t="s">
        <v>149</v>
      </c>
      <c r="N38" s="51" t="s">
        <v>149</v>
      </c>
    </row>
    <row r="39" spans="11:14">
      <c r="K39">
        <v>31</v>
      </c>
      <c r="L39" s="2" t="s">
        <v>12</v>
      </c>
      <c r="M39" s="51" t="s">
        <v>149</v>
      </c>
      <c r="N39" s="51" t="s">
        <v>149</v>
      </c>
    </row>
    <row r="40" spans="11:14">
      <c r="K40">
        <v>32</v>
      </c>
      <c r="L40" s="2" t="s">
        <v>12</v>
      </c>
      <c r="M40" s="51" t="s">
        <v>149</v>
      </c>
      <c r="N40" s="51" t="s">
        <v>149</v>
      </c>
    </row>
    <row r="41" spans="11:14">
      <c r="K41">
        <v>33</v>
      </c>
      <c r="L41" s="2" t="s">
        <v>12</v>
      </c>
      <c r="M41" s="51" t="s">
        <v>149</v>
      </c>
      <c r="N41" s="51" t="s">
        <v>149</v>
      </c>
    </row>
    <row r="42" spans="11:14">
      <c r="K42">
        <v>34</v>
      </c>
      <c r="L42" s="2" t="s">
        <v>12</v>
      </c>
      <c r="M42" s="51" t="s">
        <v>149</v>
      </c>
      <c r="N42" s="51" t="s">
        <v>149</v>
      </c>
    </row>
    <row r="43" spans="11:14">
      <c r="K43">
        <v>35</v>
      </c>
      <c r="L43" s="2" t="s">
        <v>12</v>
      </c>
      <c r="M43" s="51" t="s">
        <v>149</v>
      </c>
      <c r="N43" s="51" t="s">
        <v>149</v>
      </c>
    </row>
    <row r="44" spans="11:14">
      <c r="K44">
        <v>36</v>
      </c>
      <c r="L44" s="2" t="s">
        <v>13</v>
      </c>
      <c r="M44" s="51" t="s">
        <v>149</v>
      </c>
      <c r="N44" s="51" t="s">
        <v>149</v>
      </c>
    </row>
    <row r="45" spans="11:14">
      <c r="K45">
        <v>37</v>
      </c>
      <c r="L45" s="2" t="s">
        <v>13</v>
      </c>
      <c r="M45" s="51" t="s">
        <v>149</v>
      </c>
      <c r="N45" s="51" t="s">
        <v>149</v>
      </c>
    </row>
    <row r="46" spans="11:14">
      <c r="K46">
        <v>38</v>
      </c>
      <c r="L46" s="2" t="s">
        <v>13</v>
      </c>
      <c r="M46" s="51" t="s">
        <v>149</v>
      </c>
      <c r="N46" s="51" t="s">
        <v>149</v>
      </c>
    </row>
    <row r="47" spans="11:14">
      <c r="K47">
        <v>39</v>
      </c>
      <c r="L47" s="2" t="s">
        <v>13</v>
      </c>
      <c r="M47" s="51" t="s">
        <v>149</v>
      </c>
      <c r="N47" s="51" t="s">
        <v>149</v>
      </c>
    </row>
    <row r="48" spans="11:14">
      <c r="K48">
        <v>40</v>
      </c>
      <c r="L48" s="2" t="s">
        <v>13</v>
      </c>
      <c r="M48" s="51" t="s">
        <v>149</v>
      </c>
      <c r="N48" s="51" t="s">
        <v>149</v>
      </c>
    </row>
    <row r="49" spans="11:14">
      <c r="K49">
        <v>41</v>
      </c>
      <c r="L49" s="2" t="s">
        <v>14</v>
      </c>
      <c r="M49" s="51" t="s">
        <v>149</v>
      </c>
      <c r="N49" s="51" t="s">
        <v>149</v>
      </c>
    </row>
    <row r="50" spans="11:14">
      <c r="K50">
        <v>42</v>
      </c>
      <c r="L50" s="2" t="s">
        <v>14</v>
      </c>
      <c r="M50" s="51" t="s">
        <v>149</v>
      </c>
      <c r="N50" s="51" t="s">
        <v>149</v>
      </c>
    </row>
    <row r="51" spans="11:14">
      <c r="K51">
        <v>43</v>
      </c>
      <c r="L51" s="2" t="s">
        <v>14</v>
      </c>
      <c r="M51" s="51" t="s">
        <v>149</v>
      </c>
      <c r="N51" s="51" t="s">
        <v>149</v>
      </c>
    </row>
    <row r="52" spans="11:14">
      <c r="K52">
        <v>44</v>
      </c>
      <c r="L52" s="2" t="s">
        <v>14</v>
      </c>
      <c r="M52" s="51" t="s">
        <v>149</v>
      </c>
      <c r="N52" s="51" t="s">
        <v>149</v>
      </c>
    </row>
    <row r="53" spans="11:14">
      <c r="K53">
        <v>45</v>
      </c>
      <c r="L53" s="2" t="s">
        <v>14</v>
      </c>
      <c r="M53" s="51" t="s">
        <v>149</v>
      </c>
      <c r="N53" s="51" t="s">
        <v>149</v>
      </c>
    </row>
    <row r="54" spans="11:14">
      <c r="K54">
        <v>46</v>
      </c>
      <c r="L54" s="2" t="s">
        <v>15</v>
      </c>
      <c r="M54" s="51" t="s">
        <v>150</v>
      </c>
      <c r="N54" s="51" t="s">
        <v>150</v>
      </c>
    </row>
    <row r="55" spans="11:14">
      <c r="K55">
        <v>47</v>
      </c>
      <c r="L55" s="2" t="s">
        <v>15</v>
      </c>
      <c r="M55" s="51" t="s">
        <v>150</v>
      </c>
      <c r="N55" s="51" t="s">
        <v>150</v>
      </c>
    </row>
    <row r="56" spans="11:14">
      <c r="K56">
        <v>48</v>
      </c>
      <c r="L56" s="2" t="s">
        <v>15</v>
      </c>
      <c r="M56" s="51" t="s">
        <v>150</v>
      </c>
      <c r="N56" s="51" t="s">
        <v>150</v>
      </c>
    </row>
    <row r="57" spans="11:14">
      <c r="K57">
        <v>49</v>
      </c>
      <c r="L57" s="2" t="s">
        <v>15</v>
      </c>
      <c r="M57" s="51" t="s">
        <v>150</v>
      </c>
      <c r="N57" s="51" t="s">
        <v>150</v>
      </c>
    </row>
    <row r="58" spans="11:14">
      <c r="K58">
        <v>50</v>
      </c>
      <c r="L58" s="2" t="s">
        <v>15</v>
      </c>
      <c r="M58" s="51" t="s">
        <v>150</v>
      </c>
      <c r="N58" s="51" t="s">
        <v>150</v>
      </c>
    </row>
    <row r="59" spans="11:14">
      <c r="K59">
        <v>51</v>
      </c>
      <c r="L59" s="2" t="s">
        <v>16</v>
      </c>
      <c r="M59" s="51" t="s">
        <v>150</v>
      </c>
      <c r="N59" s="51" t="s">
        <v>150</v>
      </c>
    </row>
    <row r="60" spans="11:14">
      <c r="K60">
        <v>52</v>
      </c>
      <c r="L60" s="2" t="s">
        <v>16</v>
      </c>
      <c r="M60" s="51" t="s">
        <v>150</v>
      </c>
      <c r="N60" s="51" t="s">
        <v>150</v>
      </c>
    </row>
    <row r="61" spans="11:14">
      <c r="K61">
        <v>53</v>
      </c>
      <c r="L61" s="2" t="s">
        <v>16</v>
      </c>
      <c r="M61" s="51" t="s">
        <v>150</v>
      </c>
      <c r="N61" s="51" t="s">
        <v>150</v>
      </c>
    </row>
    <row r="62" spans="11:14">
      <c r="K62">
        <v>54</v>
      </c>
      <c r="L62" s="2" t="s">
        <v>16</v>
      </c>
      <c r="M62" s="51" t="s">
        <v>150</v>
      </c>
      <c r="N62" s="51" t="s">
        <v>150</v>
      </c>
    </row>
    <row r="63" spans="11:14">
      <c r="K63">
        <v>55</v>
      </c>
      <c r="L63" s="2" t="s">
        <v>16</v>
      </c>
      <c r="M63" s="51" t="s">
        <v>150</v>
      </c>
      <c r="N63" s="51" t="s">
        <v>150</v>
      </c>
    </row>
    <row r="64" spans="11:14">
      <c r="K64">
        <v>56</v>
      </c>
      <c r="L64" s="2" t="s">
        <v>17</v>
      </c>
      <c r="M64" s="51" t="s">
        <v>150</v>
      </c>
      <c r="N64" s="51" t="s">
        <v>150</v>
      </c>
    </row>
    <row r="65" spans="11:14">
      <c r="K65">
        <v>57</v>
      </c>
      <c r="L65" s="2" t="s">
        <v>17</v>
      </c>
      <c r="M65" s="51" t="s">
        <v>150</v>
      </c>
      <c r="N65" s="51" t="s">
        <v>150</v>
      </c>
    </row>
    <row r="66" spans="11:14">
      <c r="K66">
        <v>58</v>
      </c>
      <c r="L66" s="2" t="s">
        <v>17</v>
      </c>
      <c r="M66" s="51" t="s">
        <v>150</v>
      </c>
      <c r="N66" s="51" t="s">
        <v>150</v>
      </c>
    </row>
    <row r="67" spans="11:14">
      <c r="K67">
        <v>59</v>
      </c>
      <c r="L67" s="2" t="s">
        <v>17</v>
      </c>
      <c r="M67" s="51" t="s">
        <v>150</v>
      </c>
      <c r="N67" s="51" t="s">
        <v>150</v>
      </c>
    </row>
    <row r="68" spans="11:14">
      <c r="K68">
        <v>60</v>
      </c>
      <c r="L68" s="2" t="s">
        <v>17</v>
      </c>
      <c r="M68" s="51" t="s">
        <v>150</v>
      </c>
      <c r="N68" s="51" t="s">
        <v>150</v>
      </c>
    </row>
    <row r="69" spans="11:14">
      <c r="K69">
        <v>61</v>
      </c>
      <c r="L69" s="2" t="s">
        <v>18</v>
      </c>
      <c r="M69" s="51" t="s">
        <v>151</v>
      </c>
      <c r="N69" s="42" t="s">
        <v>190</v>
      </c>
    </row>
    <row r="70" spans="11:14">
      <c r="K70">
        <v>62</v>
      </c>
      <c r="L70" s="2" t="s">
        <v>18</v>
      </c>
      <c r="M70" s="51" t="s">
        <v>151</v>
      </c>
      <c r="N70" s="42" t="s">
        <v>190</v>
      </c>
    </row>
    <row r="71" spans="11:14">
      <c r="K71">
        <v>63</v>
      </c>
      <c r="L71" s="2" t="s">
        <v>18</v>
      </c>
      <c r="M71" s="51" t="s">
        <v>151</v>
      </c>
      <c r="N71" s="42" t="s">
        <v>190</v>
      </c>
    </row>
    <row r="72" spans="11:14">
      <c r="K72">
        <v>64</v>
      </c>
      <c r="L72" s="2" t="s">
        <v>18</v>
      </c>
      <c r="M72" s="51" t="s">
        <v>151</v>
      </c>
      <c r="N72" s="42" t="s">
        <v>190</v>
      </c>
    </row>
    <row r="73" spans="11:14">
      <c r="K73">
        <v>65</v>
      </c>
      <c r="L73" s="2" t="s">
        <v>18</v>
      </c>
      <c r="M73" s="51" t="s">
        <v>151</v>
      </c>
      <c r="N73" s="42" t="s">
        <v>190</v>
      </c>
    </row>
    <row r="74" spans="11:14">
      <c r="K74">
        <v>66</v>
      </c>
      <c r="L74" s="2" t="s">
        <v>19</v>
      </c>
      <c r="M74" s="51" t="s">
        <v>151</v>
      </c>
      <c r="N74" s="42" t="s">
        <v>190</v>
      </c>
    </row>
    <row r="75" spans="11:14">
      <c r="K75">
        <v>67</v>
      </c>
      <c r="L75" s="2" t="s">
        <v>19</v>
      </c>
      <c r="M75" s="51" t="s">
        <v>151</v>
      </c>
      <c r="N75" s="42" t="s">
        <v>190</v>
      </c>
    </row>
    <row r="76" spans="11:14">
      <c r="K76">
        <v>68</v>
      </c>
      <c r="L76" s="2" t="s">
        <v>19</v>
      </c>
      <c r="M76" s="51" t="s">
        <v>151</v>
      </c>
      <c r="N76" s="42" t="s">
        <v>190</v>
      </c>
    </row>
    <row r="77" spans="11:14">
      <c r="K77">
        <v>69</v>
      </c>
      <c r="L77" s="2" t="s">
        <v>19</v>
      </c>
      <c r="M77" s="51" t="s">
        <v>151</v>
      </c>
      <c r="N77" s="42" t="s">
        <v>190</v>
      </c>
    </row>
    <row r="78" spans="11:14">
      <c r="K78">
        <v>70</v>
      </c>
      <c r="L78" s="2" t="s">
        <v>19</v>
      </c>
      <c r="M78" s="51" t="s">
        <v>151</v>
      </c>
      <c r="N78" s="42" t="s">
        <v>190</v>
      </c>
    </row>
    <row r="79" spans="11:14" ht="15" thickBot="1">
      <c r="K79">
        <v>71</v>
      </c>
      <c r="L79" s="2" t="s">
        <v>20</v>
      </c>
      <c r="M79" s="54" t="s">
        <v>152</v>
      </c>
      <c r="N79" s="42" t="s">
        <v>190</v>
      </c>
    </row>
    <row r="80" spans="11:14" ht="15" thickBot="1">
      <c r="K80">
        <v>72</v>
      </c>
      <c r="L80" s="2" t="s">
        <v>20</v>
      </c>
      <c r="M80" s="54" t="s">
        <v>152</v>
      </c>
      <c r="N80" s="42" t="s">
        <v>190</v>
      </c>
    </row>
    <row r="81" spans="11:14" ht="15" thickBot="1">
      <c r="K81">
        <v>73</v>
      </c>
      <c r="L81" s="2" t="s">
        <v>20</v>
      </c>
      <c r="M81" s="54" t="s">
        <v>152</v>
      </c>
      <c r="N81" s="42" t="s">
        <v>190</v>
      </c>
    </row>
    <row r="82" spans="11:14" ht="15" thickBot="1">
      <c r="K82">
        <v>74</v>
      </c>
      <c r="L82" s="2" t="s">
        <v>20</v>
      </c>
      <c r="M82" s="54" t="s">
        <v>152</v>
      </c>
      <c r="N82" s="42" t="s">
        <v>190</v>
      </c>
    </row>
    <row r="83" spans="11:14" ht="15" thickBot="1">
      <c r="K83">
        <v>75</v>
      </c>
      <c r="L83" s="2" t="s">
        <v>20</v>
      </c>
      <c r="M83" s="54" t="s">
        <v>152</v>
      </c>
      <c r="N83" s="42" t="s">
        <v>190</v>
      </c>
    </row>
    <row r="84" spans="11:14" ht="15" thickBot="1">
      <c r="K84">
        <v>76</v>
      </c>
      <c r="L84" s="2" t="s">
        <v>21</v>
      </c>
      <c r="M84" s="54" t="s">
        <v>152</v>
      </c>
      <c r="N84" s="42" t="s">
        <v>191</v>
      </c>
    </row>
    <row r="85" spans="11:14" ht="15" thickBot="1">
      <c r="K85">
        <v>77</v>
      </c>
      <c r="L85" s="2" t="s">
        <v>21</v>
      </c>
      <c r="M85" s="54" t="s">
        <v>152</v>
      </c>
      <c r="N85" s="42" t="s">
        <v>191</v>
      </c>
    </row>
    <row r="86" spans="11:14" ht="15" thickBot="1">
      <c r="K86">
        <v>78</v>
      </c>
      <c r="L86" s="2" t="s">
        <v>21</v>
      </c>
      <c r="M86" s="54" t="s">
        <v>152</v>
      </c>
      <c r="N86" s="42" t="s">
        <v>191</v>
      </c>
    </row>
    <row r="87" spans="11:14" ht="15" thickBot="1">
      <c r="K87">
        <v>79</v>
      </c>
      <c r="L87" s="2" t="s">
        <v>21</v>
      </c>
      <c r="M87" s="54" t="s">
        <v>152</v>
      </c>
      <c r="N87" s="42" t="s">
        <v>191</v>
      </c>
    </row>
    <row r="88" spans="11:14" ht="15" thickBot="1">
      <c r="K88">
        <v>80</v>
      </c>
      <c r="L88" s="2" t="s">
        <v>21</v>
      </c>
      <c r="M88" s="54" t="s">
        <v>152</v>
      </c>
      <c r="N88" s="42" t="s">
        <v>191</v>
      </c>
    </row>
    <row r="89" spans="11:14" ht="15" thickBot="1">
      <c r="K89">
        <v>81</v>
      </c>
      <c r="L89" s="2" t="s">
        <v>21</v>
      </c>
      <c r="M89" s="54" t="s">
        <v>152</v>
      </c>
      <c r="N89" s="42" t="s">
        <v>191</v>
      </c>
    </row>
    <row r="90" spans="11:14" ht="15" thickBot="1">
      <c r="K90">
        <v>82</v>
      </c>
      <c r="L90" s="2" t="s">
        <v>21</v>
      </c>
      <c r="M90" s="54" t="s">
        <v>152</v>
      </c>
      <c r="N90" s="42" t="s">
        <v>191</v>
      </c>
    </row>
    <row r="91" spans="11:14" ht="15" thickBot="1">
      <c r="K91">
        <v>83</v>
      </c>
      <c r="L91" s="2" t="s">
        <v>21</v>
      </c>
      <c r="M91" s="54" t="s">
        <v>152</v>
      </c>
      <c r="N91" s="42" t="s">
        <v>191</v>
      </c>
    </row>
    <row r="92" spans="11:14" ht="15" thickBot="1">
      <c r="K92">
        <v>84</v>
      </c>
      <c r="L92" s="2" t="s">
        <v>21</v>
      </c>
      <c r="M92" s="54" t="s">
        <v>152</v>
      </c>
      <c r="N92" s="42" t="s">
        <v>191</v>
      </c>
    </row>
    <row r="93" spans="11:14" ht="15" thickBot="1">
      <c r="K93">
        <v>85</v>
      </c>
      <c r="L93" s="2" t="s">
        <v>21</v>
      </c>
      <c r="M93" s="54" t="s">
        <v>152</v>
      </c>
      <c r="N93" s="42" t="s">
        <v>191</v>
      </c>
    </row>
    <row r="94" spans="11:14" ht="15" thickBot="1">
      <c r="K94">
        <v>86</v>
      </c>
      <c r="L94" s="2" t="s">
        <v>21</v>
      </c>
      <c r="M94" s="54" t="s">
        <v>152</v>
      </c>
      <c r="N94" s="42" t="s">
        <v>191</v>
      </c>
    </row>
    <row r="95" spans="11:14" ht="15" thickBot="1">
      <c r="K95">
        <v>87</v>
      </c>
      <c r="L95" s="2" t="s">
        <v>21</v>
      </c>
      <c r="M95" s="54" t="s">
        <v>152</v>
      </c>
      <c r="N95" s="42" t="s">
        <v>191</v>
      </c>
    </row>
    <row r="96" spans="11:14" ht="15" thickBot="1">
      <c r="K96">
        <v>88</v>
      </c>
      <c r="L96" s="2" t="s">
        <v>21</v>
      </c>
      <c r="M96" s="54" t="s">
        <v>152</v>
      </c>
      <c r="N96" s="42" t="s">
        <v>191</v>
      </c>
    </row>
    <row r="97" spans="11:14" ht="15" thickBot="1">
      <c r="K97">
        <v>89</v>
      </c>
      <c r="L97" s="2" t="s">
        <v>21</v>
      </c>
      <c r="M97" s="54" t="s">
        <v>152</v>
      </c>
      <c r="N97" s="42" t="s">
        <v>191</v>
      </c>
    </row>
    <row r="98" spans="11:14" ht="15" thickBot="1">
      <c r="K98">
        <v>90</v>
      </c>
      <c r="L98" s="2" t="s">
        <v>21</v>
      </c>
      <c r="M98" s="54" t="s">
        <v>152</v>
      </c>
      <c r="N98" s="42" t="s">
        <v>191</v>
      </c>
    </row>
    <row r="99" spans="11:14" ht="15" thickBot="1">
      <c r="K99">
        <v>91</v>
      </c>
      <c r="L99" s="2" t="s">
        <v>21</v>
      </c>
      <c r="M99" s="54" t="s">
        <v>152</v>
      </c>
      <c r="N99" s="42" t="s">
        <v>191</v>
      </c>
    </row>
    <row r="100" spans="11:14" ht="15" thickBot="1">
      <c r="K100">
        <v>92</v>
      </c>
      <c r="L100" s="2" t="s">
        <v>21</v>
      </c>
      <c r="M100" s="54" t="s">
        <v>152</v>
      </c>
      <c r="N100" s="42" t="s">
        <v>191</v>
      </c>
    </row>
    <row r="101" spans="11:14" ht="15" thickBot="1">
      <c r="K101">
        <v>93</v>
      </c>
      <c r="L101" s="2" t="s">
        <v>21</v>
      </c>
      <c r="M101" s="54" t="s">
        <v>152</v>
      </c>
      <c r="N101" s="42" t="s">
        <v>191</v>
      </c>
    </row>
    <row r="102" spans="11:14" ht="15" thickBot="1">
      <c r="K102">
        <v>94</v>
      </c>
      <c r="L102" s="2" t="s">
        <v>21</v>
      </c>
      <c r="M102" s="54" t="s">
        <v>152</v>
      </c>
      <c r="N102" s="42" t="s">
        <v>191</v>
      </c>
    </row>
    <row r="103" spans="11:14" ht="15" thickBot="1">
      <c r="K103">
        <v>95</v>
      </c>
      <c r="L103" s="2" t="s">
        <v>21</v>
      </c>
      <c r="M103" s="54" t="s">
        <v>152</v>
      </c>
      <c r="N103" s="42" t="s">
        <v>191</v>
      </c>
    </row>
    <row r="104" spans="11:14" ht="15" thickBot="1">
      <c r="K104">
        <v>96</v>
      </c>
      <c r="L104" s="2" t="s">
        <v>21</v>
      </c>
      <c r="M104" s="54" t="s">
        <v>152</v>
      </c>
      <c r="N104" s="42" t="s">
        <v>191</v>
      </c>
    </row>
    <row r="105" spans="11:14" ht="15" thickBot="1">
      <c r="K105">
        <v>97</v>
      </c>
      <c r="L105" s="2" t="s">
        <v>21</v>
      </c>
      <c r="M105" s="54" t="s">
        <v>152</v>
      </c>
      <c r="N105" s="42" t="s">
        <v>191</v>
      </c>
    </row>
    <row r="106" spans="11:14" ht="15" thickBot="1">
      <c r="K106">
        <v>98</v>
      </c>
      <c r="L106" s="2" t="s">
        <v>21</v>
      </c>
      <c r="M106" s="54" t="s">
        <v>152</v>
      </c>
      <c r="N106" s="42" t="s">
        <v>191</v>
      </c>
    </row>
    <row r="107" spans="11:14" ht="15" thickBot="1">
      <c r="K107">
        <v>99</v>
      </c>
      <c r="L107" s="2" t="s">
        <v>21</v>
      </c>
      <c r="M107" s="54" t="s">
        <v>152</v>
      </c>
      <c r="N107" s="42" t="s">
        <v>191</v>
      </c>
    </row>
    <row r="108" spans="11:14" ht="15" thickBot="1">
      <c r="K108">
        <v>100</v>
      </c>
      <c r="L108" s="2" t="s">
        <v>21</v>
      </c>
      <c r="M108" s="54" t="s">
        <v>152</v>
      </c>
      <c r="N108" s="42" t="s">
        <v>191</v>
      </c>
    </row>
    <row r="109" spans="11:14" ht="15" thickBot="1">
      <c r="K109">
        <v>101</v>
      </c>
      <c r="L109" s="2" t="s">
        <v>21</v>
      </c>
      <c r="M109" s="54" t="s">
        <v>152</v>
      </c>
      <c r="N109" s="42" t="s">
        <v>191</v>
      </c>
    </row>
    <row r="110" spans="11:14" ht="15" thickBot="1">
      <c r="K110">
        <v>102</v>
      </c>
      <c r="L110" s="2" t="s">
        <v>21</v>
      </c>
      <c r="M110" s="54" t="s">
        <v>152</v>
      </c>
      <c r="N110" s="42" t="s">
        <v>191</v>
      </c>
    </row>
  </sheetData>
  <mergeCells count="4">
    <mergeCell ref="R12:T12"/>
    <mergeCell ref="U12:Y12"/>
    <mergeCell ref="Z12:AB12"/>
    <mergeCell ref="R15:S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6"/>
  <sheetViews>
    <sheetView tabSelected="1" zoomScale="70" zoomScaleNormal="70" workbookViewId="0">
      <selection activeCell="D38" sqref="A33:D38"/>
    </sheetView>
  </sheetViews>
  <sheetFormatPr defaultRowHeight="14.4"/>
  <cols>
    <col min="1" max="1" width="35.44140625" customWidth="1"/>
    <col min="2" max="2" width="22.77734375" customWidth="1"/>
    <col min="3" max="3" width="17.21875" customWidth="1"/>
    <col min="4" max="4" width="22.21875" customWidth="1"/>
    <col min="5" max="6" width="9.21875" hidden="1" customWidth="1"/>
    <col min="7" max="7" width="9.21875" customWidth="1"/>
    <col min="8" max="8" width="24.21875" customWidth="1"/>
    <col min="9" max="9" width="9.21875" customWidth="1"/>
    <col min="10" max="12" width="9.21875" hidden="1" customWidth="1"/>
    <col min="13" max="13" width="17.21875" hidden="1" customWidth="1"/>
    <col min="14" max="14" width="9.21875" hidden="1" customWidth="1"/>
    <col min="15" max="16" width="9.21875" customWidth="1"/>
  </cols>
  <sheetData>
    <row r="1" spans="1:14">
      <c r="A1" s="15" t="s">
        <v>113</v>
      </c>
      <c r="B1" s="15" t="s">
        <v>109</v>
      </c>
      <c r="C1" s="14"/>
      <c r="D1" s="15" t="s">
        <v>110</v>
      </c>
    </row>
    <row r="2" spans="1:14">
      <c r="A2" s="16" t="s">
        <v>111</v>
      </c>
      <c r="B2" s="19">
        <v>21</v>
      </c>
      <c r="C2" s="20"/>
      <c r="D2" s="21"/>
      <c r="E2">
        <f>B2+1</f>
        <v>22</v>
      </c>
      <c r="F2">
        <f>B2+2</f>
        <v>23</v>
      </c>
      <c r="G2" s="23"/>
      <c r="H2" s="23" t="s">
        <v>296</v>
      </c>
      <c r="I2" s="23" t="s">
        <v>297</v>
      </c>
    </row>
    <row r="3" spans="1:14">
      <c r="A3" s="17" t="s">
        <v>112</v>
      </c>
      <c r="B3" s="22">
        <v>1</v>
      </c>
      <c r="C3" s="14"/>
      <c r="D3" s="23"/>
      <c r="G3" s="22" t="s">
        <v>299</v>
      </c>
      <c r="H3" s="22">
        <f>B2</f>
        <v>21</v>
      </c>
      <c r="I3" s="22" t="s">
        <v>131</v>
      </c>
      <c r="J3">
        <f>IF(I3="YES",IF(H3&lt;18,0,1),0)</f>
        <v>1</v>
      </c>
      <c r="K3">
        <f>IF(I3="YES",IF(H3&lt;13,0,1),0)</f>
        <v>1</v>
      </c>
      <c r="M3" s="123" t="s">
        <v>377</v>
      </c>
      <c r="N3" s="122">
        <f>1-Sheet1!E17</f>
        <v>0.77500000000000002</v>
      </c>
    </row>
    <row r="4" spans="1:14">
      <c r="A4" s="17" t="s">
        <v>5</v>
      </c>
      <c r="B4" s="22">
        <v>0</v>
      </c>
      <c r="C4" s="14"/>
      <c r="D4" s="23"/>
      <c r="G4" s="22" t="s">
        <v>299</v>
      </c>
      <c r="H4" s="22">
        <v>32</v>
      </c>
      <c r="I4" s="22" t="s">
        <v>172</v>
      </c>
      <c r="J4">
        <f t="shared" ref="J4:J8" si="0">IF(I4="YES",IF(H4&lt;18,0,1),0)</f>
        <v>0</v>
      </c>
      <c r="K4">
        <f t="shared" ref="K4:K8" si="1">IF(I4="YES",IF(H4&lt;13,0,1),0)</f>
        <v>0</v>
      </c>
      <c r="M4" s="123" t="s">
        <v>378</v>
      </c>
      <c r="N4" s="122">
        <f>1-5%</f>
        <v>0.95</v>
      </c>
    </row>
    <row r="5" spans="1:14">
      <c r="A5" s="17" t="s">
        <v>2</v>
      </c>
      <c r="B5" s="22" t="s">
        <v>7</v>
      </c>
      <c r="C5" s="24"/>
      <c r="D5" s="23"/>
      <c r="G5" s="22" t="s">
        <v>300</v>
      </c>
      <c r="H5" s="22">
        <v>22</v>
      </c>
      <c r="I5" s="22" t="s">
        <v>172</v>
      </c>
      <c r="J5">
        <f t="shared" si="0"/>
        <v>0</v>
      </c>
      <c r="K5">
        <f t="shared" si="1"/>
        <v>0</v>
      </c>
    </row>
    <row r="6" spans="1:14">
      <c r="A6" s="17" t="s">
        <v>1</v>
      </c>
      <c r="B6" s="22" t="s">
        <v>310</v>
      </c>
      <c r="C6" s="18"/>
      <c r="D6" s="25"/>
      <c r="G6" s="22" t="s">
        <v>300</v>
      </c>
      <c r="H6" s="22">
        <v>23</v>
      </c>
      <c r="I6" s="22" t="s">
        <v>172</v>
      </c>
      <c r="J6">
        <f t="shared" si="0"/>
        <v>0</v>
      </c>
      <c r="K6">
        <f t="shared" si="1"/>
        <v>0</v>
      </c>
    </row>
    <row r="7" spans="1:14">
      <c r="A7" s="17" t="s">
        <v>294</v>
      </c>
      <c r="B7" s="22" t="s">
        <v>117</v>
      </c>
      <c r="C7" s="18"/>
      <c r="D7" s="26"/>
      <c r="G7" s="22" t="s">
        <v>300</v>
      </c>
      <c r="H7" s="22">
        <v>20</v>
      </c>
      <c r="I7" s="22" t="s">
        <v>172</v>
      </c>
      <c r="J7">
        <f t="shared" si="0"/>
        <v>0</v>
      </c>
      <c r="K7">
        <f t="shared" si="1"/>
        <v>0</v>
      </c>
    </row>
    <row r="8" spans="1:14">
      <c r="A8" s="27" t="s">
        <v>114</v>
      </c>
      <c r="B8" s="28" t="s">
        <v>108</v>
      </c>
      <c r="C8" s="14"/>
      <c r="D8" s="29"/>
      <c r="G8" s="22" t="s">
        <v>300</v>
      </c>
      <c r="H8" s="22">
        <v>17</v>
      </c>
      <c r="I8" s="22" t="s">
        <v>172</v>
      </c>
      <c r="J8">
        <f t="shared" si="0"/>
        <v>0</v>
      </c>
      <c r="K8">
        <f t="shared" si="1"/>
        <v>0</v>
      </c>
    </row>
    <row r="9" spans="1:14">
      <c r="A9" s="27" t="s">
        <v>116</v>
      </c>
      <c r="B9" s="30"/>
      <c r="C9" s="31"/>
      <c r="D9" s="32">
        <f ca="1">'CARE SHEET'!R11</f>
        <v>186859.54475000003</v>
      </c>
    </row>
    <row r="10" spans="1:14" hidden="1">
      <c r="A10" s="27" t="s">
        <v>394</v>
      </c>
      <c r="B10" s="139">
        <v>0</v>
      </c>
      <c r="J10">
        <f>SUM(J3:J8)</f>
        <v>1</v>
      </c>
      <c r="K10">
        <f>SUM(K3:K8)</f>
        <v>1</v>
      </c>
    </row>
    <row r="12" spans="1:14">
      <c r="A12" s="27" t="s">
        <v>120</v>
      </c>
      <c r="B12" s="22" t="s">
        <v>172</v>
      </c>
      <c r="D12" s="25"/>
    </row>
    <row r="13" spans="1:14">
      <c r="A13" s="27" t="s">
        <v>121</v>
      </c>
      <c r="B13" s="22" t="s">
        <v>172</v>
      </c>
      <c r="D13" s="25"/>
    </row>
    <row r="14" spans="1:14">
      <c r="A14" s="27" t="s">
        <v>122</v>
      </c>
      <c r="B14" s="22" t="s">
        <v>172</v>
      </c>
      <c r="D14" s="25"/>
    </row>
    <row r="15" spans="1:14" hidden="1">
      <c r="A15" s="27" t="s">
        <v>123</v>
      </c>
      <c r="B15" s="22" t="s">
        <v>172</v>
      </c>
      <c r="D15" s="25"/>
    </row>
    <row r="16" spans="1:14">
      <c r="A16" s="27" t="s">
        <v>124</v>
      </c>
      <c r="B16" s="22" t="s">
        <v>172</v>
      </c>
      <c r="D16" s="25"/>
    </row>
    <row r="17" spans="1:18">
      <c r="A17" s="27" t="s">
        <v>125</v>
      </c>
      <c r="B17" s="22" t="s">
        <v>131</v>
      </c>
      <c r="D17" s="25"/>
    </row>
    <row r="18" spans="1:18">
      <c r="A18" s="27" t="s">
        <v>126</v>
      </c>
      <c r="B18" s="22" t="s">
        <v>131</v>
      </c>
      <c r="D18" s="25"/>
    </row>
    <row r="19" spans="1:18">
      <c r="A19" s="27" t="s">
        <v>127</v>
      </c>
      <c r="B19" s="22" t="s">
        <v>131</v>
      </c>
      <c r="D19" s="25"/>
    </row>
    <row r="20" spans="1:18">
      <c r="A20" s="27" t="s">
        <v>129</v>
      </c>
      <c r="B20" s="22" t="s">
        <v>131</v>
      </c>
      <c r="C20" s="95">
        <v>10000</v>
      </c>
      <c r="D20" s="25"/>
    </row>
    <row r="21" spans="1:18">
      <c r="A21" s="27" t="s">
        <v>128</v>
      </c>
      <c r="B21" s="22" t="s">
        <v>172</v>
      </c>
      <c r="C21" s="82"/>
      <c r="D21" s="25"/>
    </row>
    <row r="22" spans="1:18" hidden="1">
      <c r="A22" s="27" t="s">
        <v>130</v>
      </c>
      <c r="B22" s="22" t="s">
        <v>172</v>
      </c>
      <c r="C22" s="82"/>
      <c r="D22" s="25"/>
    </row>
    <row r="23" spans="1:18">
      <c r="A23" s="27" t="s">
        <v>204</v>
      </c>
      <c r="B23" s="22" t="s">
        <v>172</v>
      </c>
      <c r="C23" s="82"/>
      <c r="D23" s="25"/>
    </row>
    <row r="24" spans="1:18" hidden="1">
      <c r="A24" s="27" t="s">
        <v>193</v>
      </c>
      <c r="B24" s="22" t="s">
        <v>172</v>
      </c>
      <c r="C24" s="95">
        <v>1000</v>
      </c>
      <c r="D24" s="25"/>
    </row>
    <row r="25" spans="1:18" hidden="1">
      <c r="A25" s="27" t="s">
        <v>177</v>
      </c>
      <c r="B25" s="22" t="s">
        <v>172</v>
      </c>
      <c r="C25" s="95" t="s">
        <v>178</v>
      </c>
      <c r="D25" s="25"/>
    </row>
    <row r="26" spans="1:18">
      <c r="A26" s="27" t="s">
        <v>205</v>
      </c>
      <c r="B26" s="22" t="s">
        <v>172</v>
      </c>
      <c r="C26" s="95">
        <v>300</v>
      </c>
      <c r="D26" s="25"/>
    </row>
    <row r="27" spans="1:18" hidden="1">
      <c r="A27" s="27" t="s">
        <v>206</v>
      </c>
      <c r="B27" s="22" t="s">
        <v>172</v>
      </c>
      <c r="C27" s="95">
        <v>5000</v>
      </c>
      <c r="D27" s="25"/>
    </row>
    <row r="28" spans="1:18">
      <c r="A28" s="27" t="s">
        <v>207</v>
      </c>
      <c r="B28" s="114" t="s">
        <v>172</v>
      </c>
      <c r="D28" s="25"/>
    </row>
    <row r="29" spans="1:18">
      <c r="A29" s="17" t="s">
        <v>208</v>
      </c>
      <c r="B29" s="22" t="s">
        <v>172</v>
      </c>
      <c r="C29" s="95" t="s">
        <v>209</v>
      </c>
      <c r="D29" s="25"/>
    </row>
    <row r="30" spans="1:18" hidden="1">
      <c r="A30" s="17" t="s">
        <v>314</v>
      </c>
      <c r="B30" s="22" t="s">
        <v>172</v>
      </c>
    </row>
    <row r="31" spans="1:18" hidden="1">
      <c r="A31" s="17" t="s">
        <v>315</v>
      </c>
      <c r="B31" s="22"/>
    </row>
    <row r="32" spans="1:18">
      <c r="A32" s="113"/>
      <c r="B32" s="115"/>
      <c r="P32">
        <v>189048.93279107672</v>
      </c>
      <c r="R32">
        <v>526096.76484918373</v>
      </c>
    </row>
    <row r="33" spans="1:18">
      <c r="A33" s="163" t="s">
        <v>304</v>
      </c>
      <c r="B33" s="163"/>
      <c r="C33" s="92">
        <f ca="1">D33</f>
        <v>196386.14263972142</v>
      </c>
      <c r="D33" s="93">
        <f ca="1">'CARE SHEET'!R31</f>
        <v>196386.14263972142</v>
      </c>
      <c r="E33">
        <f ca="1">'CARE SHEET'!R72</f>
        <v>196386.14263972142</v>
      </c>
      <c r="F33">
        <f ca="1">'CARE SHEET'!S72</f>
        <v>196386.14263972142</v>
      </c>
      <c r="P33">
        <v>117483.66350636458</v>
      </c>
      <c r="R33">
        <v>480986.34141635778</v>
      </c>
    </row>
    <row r="34" spans="1:18">
      <c r="A34" s="163" t="s">
        <v>305</v>
      </c>
      <c r="B34" s="163"/>
      <c r="C34" s="92">
        <f t="shared" ref="C34:C37" ca="1" si="2">D34</f>
        <v>231735.64831487127</v>
      </c>
      <c r="D34" s="93">
        <f ca="1">D33*1.18</f>
        <v>231735.64831487127</v>
      </c>
      <c r="P34">
        <f>P32+P33*95%</f>
        <v>300658.41312212305</v>
      </c>
      <c r="R34">
        <v>205133.8592191787</v>
      </c>
    </row>
    <row r="35" spans="1:18">
      <c r="A35" s="163" t="s">
        <v>306</v>
      </c>
      <c r="B35" s="163"/>
      <c r="C35" s="92">
        <f t="shared" ca="1" si="2"/>
        <v>378043.32458146376</v>
      </c>
      <c r="D35" s="93">
        <f ca="1">D33+E33*92.5%</f>
        <v>378043.32458146376</v>
      </c>
      <c r="R35">
        <v>77439.283710721415</v>
      </c>
    </row>
    <row r="36" spans="1:18">
      <c r="A36" s="163" t="s">
        <v>307</v>
      </c>
      <c r="B36" s="163"/>
      <c r="C36" s="92">
        <f t="shared" ca="1" si="2"/>
        <v>446091.12300612719</v>
      </c>
      <c r="D36" s="93">
        <f ca="1">D35*1.18</f>
        <v>446091.12300612719</v>
      </c>
      <c r="R36">
        <v>65589.533360851157</v>
      </c>
    </row>
    <row r="37" spans="1:18">
      <c r="A37" s="163" t="s">
        <v>308</v>
      </c>
      <c r="B37" s="163"/>
      <c r="C37" s="92">
        <f t="shared" ca="1" si="2"/>
        <v>554790.85295721306</v>
      </c>
      <c r="D37" s="93">
        <f ca="1">D33+E33*92.5%+F33*90%</f>
        <v>554790.85295721306</v>
      </c>
      <c r="R37">
        <v>59858.28705206624</v>
      </c>
    </row>
    <row r="38" spans="1:18">
      <c r="A38" s="163" t="s">
        <v>309</v>
      </c>
      <c r="B38" s="163"/>
      <c r="C38" s="92">
        <f ca="1">D38</f>
        <v>654653.20648951142</v>
      </c>
      <c r="D38" s="93">
        <f ca="1">D37*1.18</f>
        <v>654653.20648951142</v>
      </c>
      <c r="R38">
        <f>SUM(R33:R37)</f>
        <v>889007.30475917528</v>
      </c>
    </row>
    <row r="39" spans="1:18">
      <c r="R39">
        <f>R32+R38*90%</f>
        <v>1326203.3391324417</v>
      </c>
    </row>
    <row r="41" spans="1:18">
      <c r="D41">
        <v>111716.56078429856</v>
      </c>
      <c r="E41">
        <v>111716.56078429856</v>
      </c>
      <c r="F41">
        <v>41650.296846798548</v>
      </c>
      <c r="G41">
        <v>33501.971065548554</v>
      </c>
      <c r="H41" s="4">
        <f>D41+E41*90%+F41*90%+G41*90%</f>
        <v>279898.50661127968</v>
      </c>
    </row>
    <row r="42" spans="1:18">
      <c r="D42">
        <v>131825.54172547229</v>
      </c>
      <c r="E42">
        <v>131825.54172547229</v>
      </c>
      <c r="F42">
        <v>49147.350279222286</v>
      </c>
      <c r="G42">
        <v>39532.325857347292</v>
      </c>
      <c r="H42" s="4">
        <f t="shared" ref="H42:H46" si="3">D42+E42*90%+F42*90%+G42*90%</f>
        <v>330280.23780130991</v>
      </c>
    </row>
    <row r="43" spans="1:18">
      <c r="D43">
        <v>215054.37950977474</v>
      </c>
      <c r="E43">
        <v>215054.37950977474</v>
      </c>
      <c r="F43">
        <v>91323.241976962207</v>
      </c>
      <c r="G43">
        <v>64491.294301180969</v>
      </c>
      <c r="H43" s="4">
        <f t="shared" si="3"/>
        <v>548836.40371890087</v>
      </c>
    </row>
    <row r="44" spans="1:18">
      <c r="D44">
        <v>253764.16782153418</v>
      </c>
      <c r="E44">
        <v>253764.16782153418</v>
      </c>
      <c r="F44">
        <v>107761.4255328154</v>
      </c>
      <c r="G44">
        <v>76099.727275393539</v>
      </c>
      <c r="H44" s="4">
        <f t="shared" si="3"/>
        <v>647626.95638830296</v>
      </c>
    </row>
    <row r="45" spans="1:18">
      <c r="D45">
        <v>315599.28421564342</v>
      </c>
      <c r="E45">
        <v>315599.28421564342</v>
      </c>
      <c r="F45">
        <v>139653.6750765809</v>
      </c>
      <c r="G45">
        <v>94643.068260174667</v>
      </c>
      <c r="H45" s="4">
        <f t="shared" si="3"/>
        <v>810505.70901280246</v>
      </c>
    </row>
    <row r="46" spans="1:18">
      <c r="D46">
        <v>372407.15537445922</v>
      </c>
      <c r="E46">
        <v>372407.15537445922</v>
      </c>
      <c r="F46">
        <v>164791.33659036545</v>
      </c>
      <c r="G46">
        <v>111678.82054700611</v>
      </c>
      <c r="H46" s="4">
        <f t="shared" si="3"/>
        <v>956396.73663510696</v>
      </c>
    </row>
  </sheetData>
  <sheetProtection password="EE33" sheet="1" objects="1" scenarios="1"/>
  <protectedRanges>
    <protectedRange sqref="B2:B5" name="Range1"/>
  </protectedRanges>
  <mergeCells count="6">
    <mergeCell ref="A38:B38"/>
    <mergeCell ref="A33:B33"/>
    <mergeCell ref="A34:B34"/>
    <mergeCell ref="A35:B35"/>
    <mergeCell ref="A36:B36"/>
    <mergeCell ref="A37:B37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300-000000000000}">
          <x14:formula1>
            <xm:f>DROPDOWN!$I$5:$I$8</xm:f>
          </x14:formula1>
          <xm:sqref>B8</xm:sqref>
        </x14:dataValidation>
        <x14:dataValidation type="list" allowBlank="1" showInputMessage="1" showErrorMessage="1" xr:uid="{00000000-0002-0000-0300-000001000000}">
          <x14:formula1>
            <xm:f>DROPDOWN!$H$6:$H$7</xm:f>
          </x14:formula1>
          <xm:sqref>I3:I8 B12:B32</xm:sqref>
        </x14:dataValidation>
        <x14:dataValidation type="list" allowBlank="1" showInputMessage="1" showErrorMessage="1" xr:uid="{00000000-0002-0000-0300-000002000000}">
          <x14:formula1>
            <xm:f>DROPDOWN!$A$2:$A$19</xm:f>
          </x14:formula1>
          <xm:sqref>B6</xm:sqref>
        </x14:dataValidation>
        <x14:dataValidation type="list" allowBlank="1" showInputMessage="1" showErrorMessage="1" xr:uid="{00000000-0002-0000-0300-000003000000}">
          <x14:formula1>
            <xm:f>DROPDOWN!$J$5:$J$14</xm:f>
          </x14:formula1>
          <xm:sqref>C20</xm:sqref>
        </x14:dataValidation>
        <x14:dataValidation type="list" allowBlank="1" showInputMessage="1" showErrorMessage="1" xr:uid="{00000000-0002-0000-0300-000004000000}">
          <x14:formula1>
            <xm:f>DROPDOWN!$F$5:$F$14</xm:f>
          </x14:formula1>
          <xm:sqref>C24</xm:sqref>
        </x14:dataValidation>
        <x14:dataValidation type="list" allowBlank="1" showInputMessage="1" showErrorMessage="1" xr:uid="{00000000-0002-0000-0300-000005000000}">
          <x14:formula1>
            <xm:f>DROPDOWN!$A$21:$A$22</xm:f>
          </x14:formula1>
          <xm:sqref>C25</xm:sqref>
        </x14:dataValidation>
        <x14:dataValidation type="list" allowBlank="1" showInputMessage="1" showErrorMessage="1" xr:uid="{00000000-0002-0000-0300-000006000000}">
          <x14:formula1>
            <xm:f>DROPDOWN!$B$21:$B$28</xm:f>
          </x14:formula1>
          <xm:sqref>C27</xm:sqref>
        </x14:dataValidation>
        <x14:dataValidation type="list" allowBlank="1" showInputMessage="1" showErrorMessage="1" xr:uid="{00000000-0002-0000-0300-000007000000}">
          <x14:formula1>
            <xm:f>DROPDOWN!$A$24:$A$25</xm:f>
          </x14:formula1>
          <xm:sqref>C29</xm:sqref>
        </x14:dataValidation>
        <x14:dataValidation type="list" allowBlank="1" showInputMessage="1" showErrorMessage="1" xr:uid="{00000000-0002-0000-0300-000008000000}">
          <x14:formula1>
            <xm:f>DROPDOWN!$C$21:$C$22</xm:f>
          </x14:formula1>
          <xm:sqref>B7</xm:sqref>
        </x14:dataValidation>
        <x14:dataValidation type="list" allowBlank="1" showInputMessage="1" showErrorMessage="1" xr:uid="{00000000-0002-0000-0300-000009000000}">
          <x14:formula1>
            <xm:f>Sheet1!$B$14:$B$29</xm:f>
          </x14:formula1>
          <xm:sqref>B10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V148"/>
  <sheetViews>
    <sheetView topLeftCell="A115" workbookViewId="0">
      <selection activeCell="D123" sqref="D123"/>
    </sheetView>
  </sheetViews>
  <sheetFormatPr defaultRowHeight="14.4"/>
  <cols>
    <col min="1" max="1" width="34.21875" customWidth="1"/>
    <col min="2" max="2" width="27.77734375" customWidth="1"/>
    <col min="3" max="3" width="15.44140625" customWidth="1"/>
    <col min="4" max="4" width="10.77734375" customWidth="1"/>
    <col min="5" max="5" width="10.44140625" customWidth="1"/>
    <col min="6" max="6" width="11.77734375" customWidth="1"/>
  </cols>
  <sheetData>
    <row r="1" spans="1:17">
      <c r="A1" s="34" t="s">
        <v>132</v>
      </c>
    </row>
    <row r="3" spans="1:17">
      <c r="A3" s="170" t="s">
        <v>133</v>
      </c>
      <c r="B3" s="170"/>
      <c r="C3" s="170"/>
      <c r="D3" s="170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spans="1:17">
      <c r="A4" s="35"/>
      <c r="B4" s="36" t="s">
        <v>134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>
      <c r="A5" s="35"/>
      <c r="B5" s="37" t="s">
        <v>135</v>
      </c>
      <c r="C5" s="66" t="s">
        <v>173</v>
      </c>
      <c r="D5" s="171" t="s">
        <v>174</v>
      </c>
      <c r="E5" s="172"/>
      <c r="F5" s="173" t="s">
        <v>136</v>
      </c>
      <c r="G5" s="174"/>
      <c r="H5" s="175"/>
      <c r="I5" s="176" t="s">
        <v>58</v>
      </c>
      <c r="J5" s="177"/>
      <c r="K5" s="177"/>
      <c r="L5" s="177"/>
      <c r="M5" s="178"/>
      <c r="N5" s="171" t="s">
        <v>59</v>
      </c>
      <c r="O5" s="172"/>
      <c r="P5" s="183"/>
      <c r="Q5" s="1"/>
    </row>
    <row r="6" spans="1:17">
      <c r="A6" s="35"/>
      <c r="B6" s="37"/>
      <c r="C6" s="2" t="s">
        <v>243</v>
      </c>
      <c r="D6" s="2" t="s">
        <v>244</v>
      </c>
      <c r="E6" s="6" t="s">
        <v>70</v>
      </c>
      <c r="F6" s="6" t="s">
        <v>71</v>
      </c>
      <c r="G6" s="6" t="s">
        <v>72</v>
      </c>
      <c r="H6" s="6" t="s">
        <v>73</v>
      </c>
      <c r="I6" s="6" t="s">
        <v>74</v>
      </c>
      <c r="J6" s="6" t="s">
        <v>75</v>
      </c>
      <c r="K6" s="6" t="s">
        <v>76</v>
      </c>
      <c r="L6" s="6" t="s">
        <v>77</v>
      </c>
      <c r="M6" s="6" t="s">
        <v>78</v>
      </c>
      <c r="N6" s="6" t="s">
        <v>79</v>
      </c>
      <c r="O6" s="6" t="s">
        <v>80</v>
      </c>
      <c r="P6" s="38"/>
      <c r="Q6" s="1"/>
    </row>
    <row r="7" spans="1:17" ht="22.5" customHeight="1">
      <c r="A7" s="35"/>
      <c r="B7" s="39" t="s">
        <v>138</v>
      </c>
      <c r="C7" s="40">
        <v>0.2</v>
      </c>
      <c r="D7" s="40">
        <v>0.2</v>
      </c>
      <c r="E7" s="40">
        <v>0.1</v>
      </c>
      <c r="F7" s="40">
        <v>0.1</v>
      </c>
      <c r="G7" s="40">
        <v>0.1</v>
      </c>
      <c r="H7" s="40">
        <v>0.1</v>
      </c>
      <c r="I7" s="40">
        <v>0.1</v>
      </c>
      <c r="J7" s="40">
        <v>0.1</v>
      </c>
      <c r="K7" s="40">
        <v>0.1</v>
      </c>
      <c r="L7" s="40">
        <v>0.1</v>
      </c>
      <c r="M7" s="40">
        <v>7.5000000000000011E-2</v>
      </c>
      <c r="N7" s="40">
        <v>7.5000000000000011E-2</v>
      </c>
      <c r="O7" s="40">
        <v>7.5000000000000011E-2</v>
      </c>
      <c r="P7" s="40"/>
      <c r="Q7" s="1"/>
    </row>
    <row r="8" spans="1:17" ht="22.5" customHeight="1">
      <c r="A8" s="35"/>
      <c r="B8" s="39" t="s">
        <v>139</v>
      </c>
      <c r="C8" s="40">
        <v>0.3</v>
      </c>
      <c r="D8" s="40">
        <v>0.3</v>
      </c>
      <c r="E8" s="40">
        <v>0.2</v>
      </c>
      <c r="F8" s="40">
        <v>0.2</v>
      </c>
      <c r="G8" s="40">
        <v>0.2</v>
      </c>
      <c r="H8" s="40">
        <v>0.2</v>
      </c>
      <c r="I8" s="40">
        <v>0.2</v>
      </c>
      <c r="J8" s="40">
        <v>0.2</v>
      </c>
      <c r="K8" s="40">
        <v>0.2</v>
      </c>
      <c r="L8" s="40">
        <v>0.2</v>
      </c>
      <c r="M8" s="40">
        <v>0.15000000000000002</v>
      </c>
      <c r="N8" s="40">
        <v>0.15000000000000002</v>
      </c>
      <c r="O8" s="40">
        <v>0.15</v>
      </c>
      <c r="P8" s="40"/>
      <c r="Q8" s="1"/>
    </row>
    <row r="9" spans="1:17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</row>
    <row r="10" spans="1:17">
      <c r="A10" s="170" t="s">
        <v>140</v>
      </c>
      <c r="B10" s="170"/>
      <c r="C10" s="170"/>
      <c r="D10" s="170"/>
      <c r="E10" s="170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</row>
    <row r="11" spans="1:17">
      <c r="A11" s="35"/>
      <c r="B11" s="36" t="s">
        <v>134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</row>
    <row r="12" spans="1:17">
      <c r="A12" s="35"/>
      <c r="B12" s="37" t="s">
        <v>135</v>
      </c>
      <c r="C12" s="66" t="s">
        <v>173</v>
      </c>
      <c r="D12" s="171" t="s">
        <v>174</v>
      </c>
      <c r="E12" s="172"/>
      <c r="F12" s="173" t="s">
        <v>136</v>
      </c>
      <c r="G12" s="174"/>
      <c r="H12" s="175"/>
      <c r="I12" s="176" t="s">
        <v>58</v>
      </c>
      <c r="J12" s="177"/>
      <c r="K12" s="177"/>
      <c r="L12" s="177"/>
      <c r="M12" s="178"/>
      <c r="N12" s="171" t="s">
        <v>59</v>
      </c>
      <c r="O12" s="172"/>
      <c r="P12" s="183"/>
    </row>
    <row r="13" spans="1:17">
      <c r="A13" s="35"/>
      <c r="B13" s="37"/>
      <c r="C13" s="2" t="s">
        <v>243</v>
      </c>
      <c r="D13" s="2" t="s">
        <v>244</v>
      </c>
      <c r="E13" s="6" t="s">
        <v>70</v>
      </c>
      <c r="F13" s="6" t="s">
        <v>71</v>
      </c>
      <c r="G13" s="6" t="s">
        <v>72</v>
      </c>
      <c r="H13" s="6" t="s">
        <v>73</v>
      </c>
      <c r="I13" s="6" t="s">
        <v>74</v>
      </c>
      <c r="J13" s="6" t="s">
        <v>75</v>
      </c>
      <c r="K13" s="6" t="s">
        <v>76</v>
      </c>
      <c r="L13" s="6" t="s">
        <v>77</v>
      </c>
      <c r="M13" s="6" t="s">
        <v>78</v>
      </c>
      <c r="N13" s="6" t="s">
        <v>79</v>
      </c>
      <c r="O13" s="6" t="s">
        <v>80</v>
      </c>
      <c r="P13" s="38" t="s">
        <v>137</v>
      </c>
    </row>
    <row r="14" spans="1:17" ht="24" customHeight="1">
      <c r="A14" s="35"/>
      <c r="B14" s="39" t="s">
        <v>138</v>
      </c>
      <c r="C14" s="40">
        <v>0.17500000000000002</v>
      </c>
      <c r="D14" s="40">
        <v>0.17500000000000002</v>
      </c>
      <c r="E14" s="40">
        <v>7.5000000000000011E-2</v>
      </c>
      <c r="F14" s="40">
        <v>7.5000000000000011E-2</v>
      </c>
      <c r="G14" s="40">
        <v>7.5000000000000011E-2</v>
      </c>
      <c r="H14" s="40">
        <v>7.5000000000000011E-2</v>
      </c>
      <c r="I14" s="40">
        <v>7.5000000000000011E-2</v>
      </c>
      <c r="J14" s="40">
        <v>7.5000000000000011E-2</v>
      </c>
      <c r="K14" s="40">
        <v>7.5000000000000011E-2</v>
      </c>
      <c r="L14" s="40">
        <v>7.5000000000000011E-2</v>
      </c>
      <c r="M14" s="40">
        <v>5.000000000000001E-2</v>
      </c>
      <c r="N14" s="40">
        <v>5.000000000000001E-2</v>
      </c>
      <c r="O14" s="40">
        <v>5.000000000000001E-2</v>
      </c>
      <c r="P14" s="40"/>
    </row>
    <row r="15" spans="1:17" ht="18" customHeight="1">
      <c r="A15" s="35"/>
      <c r="B15" s="39" t="s">
        <v>139</v>
      </c>
      <c r="C15" s="40">
        <v>0.25</v>
      </c>
      <c r="D15" s="40">
        <v>0.25</v>
      </c>
      <c r="E15" s="40">
        <v>0.15000000000000002</v>
      </c>
      <c r="F15" s="40">
        <v>0.15000000000000002</v>
      </c>
      <c r="G15" s="40">
        <v>0.15000000000000002</v>
      </c>
      <c r="H15" s="40">
        <v>0.15000000000000002</v>
      </c>
      <c r="I15" s="40">
        <v>0.15000000000000002</v>
      </c>
      <c r="J15" s="40">
        <v>0.15000000000000002</v>
      </c>
      <c r="K15" s="40">
        <v>0.15000000000000002</v>
      </c>
      <c r="L15" s="40">
        <v>0.15000000000000002</v>
      </c>
      <c r="M15" s="40">
        <v>0.10000000000000002</v>
      </c>
      <c r="N15" s="40">
        <v>0.10000000000000002</v>
      </c>
      <c r="O15" s="40">
        <v>0.10000000000000002</v>
      </c>
      <c r="P15" s="40"/>
    </row>
    <row r="16" spans="1:17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</row>
    <row r="18" spans="1:20">
      <c r="A18" s="170" t="s">
        <v>141</v>
      </c>
      <c r="B18" s="170"/>
    </row>
    <row r="19" spans="1:20">
      <c r="A19" s="69"/>
      <c r="B19" s="67" t="s">
        <v>173</v>
      </c>
      <c r="C19" s="180" t="s">
        <v>174</v>
      </c>
      <c r="D19" s="180"/>
      <c r="E19" s="181" t="s">
        <v>136</v>
      </c>
      <c r="F19" s="181"/>
      <c r="G19" s="181"/>
      <c r="H19" s="70" t="s">
        <v>58</v>
      </c>
      <c r="I19" s="70"/>
      <c r="J19" s="70"/>
      <c r="K19" s="70"/>
      <c r="L19" s="70"/>
      <c r="M19" s="180" t="s">
        <v>59</v>
      </c>
      <c r="N19" s="180"/>
      <c r="O19" s="180"/>
      <c r="P19" s="182" t="s">
        <v>176</v>
      </c>
      <c r="Q19" s="182"/>
      <c r="R19" s="182"/>
      <c r="S19" s="182"/>
      <c r="T19" s="182"/>
    </row>
    <row r="20" spans="1:20">
      <c r="A20" s="71" t="s">
        <v>142</v>
      </c>
      <c r="B20" s="38" t="s">
        <v>175</v>
      </c>
      <c r="C20" s="2" t="s">
        <v>243</v>
      </c>
      <c r="D20" s="2" t="s">
        <v>244</v>
      </c>
      <c r="E20" s="6" t="s">
        <v>70</v>
      </c>
      <c r="F20" s="6" t="s">
        <v>71</v>
      </c>
      <c r="G20" s="6" t="s">
        <v>72</v>
      </c>
      <c r="H20" s="6" t="s">
        <v>73</v>
      </c>
      <c r="I20" s="6" t="s">
        <v>74</v>
      </c>
      <c r="J20" s="6" t="s">
        <v>75</v>
      </c>
      <c r="K20" s="6" t="s">
        <v>76</v>
      </c>
      <c r="L20" s="6" t="s">
        <v>77</v>
      </c>
      <c r="M20" s="6" t="s">
        <v>78</v>
      </c>
      <c r="N20" s="6" t="s">
        <v>79</v>
      </c>
      <c r="O20" s="6" t="s">
        <v>80</v>
      </c>
      <c r="P20" s="2" t="s">
        <v>245</v>
      </c>
      <c r="Q20" s="2" t="s">
        <v>246</v>
      </c>
      <c r="R20" s="2" t="s">
        <v>247</v>
      </c>
      <c r="S20" s="2" t="s">
        <v>248</v>
      </c>
      <c r="T20" s="2" t="s">
        <v>310</v>
      </c>
    </row>
    <row r="21" spans="1:20">
      <c r="A21" s="91" t="s">
        <v>82</v>
      </c>
      <c r="B21" s="43">
        <v>1562.8564884019058</v>
      </c>
      <c r="C21" s="43">
        <v>2259.5483591212237</v>
      </c>
      <c r="D21" s="43">
        <v>2956.2402298405418</v>
      </c>
      <c r="E21" s="43">
        <v>3652.9321005598595</v>
      </c>
      <c r="F21" s="43">
        <v>5046.3158419984957</v>
      </c>
      <c r="G21" s="43">
        <v>6110.8165338615345</v>
      </c>
      <c r="H21" s="43">
        <v>7175.3172257245751</v>
      </c>
      <c r="I21" s="43">
        <v>8509.915108060326</v>
      </c>
      <c r="J21" s="43">
        <v>9844.5129903960787</v>
      </c>
      <c r="K21" s="43">
        <v>11179.11087273183</v>
      </c>
      <c r="L21" s="43">
        <v>12885.489593718257</v>
      </c>
      <c r="M21" s="43">
        <v>14591.86831470468</v>
      </c>
      <c r="N21" s="43">
        <v>16568.344226163816</v>
      </c>
      <c r="O21" s="43">
        <v>18544.820137622952</v>
      </c>
      <c r="P21" s="43">
        <v>20893.076887732765</v>
      </c>
      <c r="Q21" s="43">
        <v>23241.333637842574</v>
      </c>
      <c r="R21" s="43">
        <v>26129.784768897804</v>
      </c>
      <c r="S21" s="43">
        <v>29018.235899953041</v>
      </c>
      <c r="T21" s="43">
        <v>31906.687031008278</v>
      </c>
    </row>
    <row r="22" spans="1:20">
      <c r="A22" s="91" t="s">
        <v>83</v>
      </c>
      <c r="B22" s="43">
        <v>1795.0871119750118</v>
      </c>
      <c r="C22" s="43">
        <v>2607.8942944808828</v>
      </c>
      <c r="D22" s="43">
        <v>3420.7014769867542</v>
      </c>
      <c r="E22" s="43">
        <v>4233.5086594926242</v>
      </c>
      <c r="F22" s="43">
        <v>5859.1230245043662</v>
      </c>
      <c r="G22" s="43">
        <v>7101.0404983445806</v>
      </c>
      <c r="H22" s="43">
        <v>8342.9579721847913</v>
      </c>
      <c r="I22" s="43">
        <v>9899.9888349098364</v>
      </c>
      <c r="J22" s="43">
        <v>11457.01969763488</v>
      </c>
      <c r="K22" s="43">
        <v>13014.050560359923</v>
      </c>
      <c r="L22" s="43">
        <v>15004.825734844086</v>
      </c>
      <c r="M22" s="43">
        <v>16995.600909328248</v>
      </c>
      <c r="N22" s="43">
        <v>19301.489472697242</v>
      </c>
      <c r="O22" s="43">
        <v>21607.378036066231</v>
      </c>
      <c r="P22" s="43">
        <v>24347.010911194346</v>
      </c>
      <c r="Q22" s="43">
        <v>27086.643786322456</v>
      </c>
      <c r="R22" s="43">
        <v>30456.503439220229</v>
      </c>
      <c r="S22" s="43">
        <v>33826.363092118008</v>
      </c>
      <c r="T22" s="43">
        <v>37196.222745015781</v>
      </c>
    </row>
    <row r="23" spans="1:20">
      <c r="A23" s="91" t="s">
        <v>84</v>
      </c>
      <c r="B23" s="43">
        <v>2015.7062043694625</v>
      </c>
      <c r="C23" s="43">
        <v>2938.8229330725585</v>
      </c>
      <c r="D23" s="43">
        <v>3861.9396617756547</v>
      </c>
      <c r="E23" s="43">
        <v>4785.0563904787514</v>
      </c>
      <c r="F23" s="43">
        <v>6631.2898478849429</v>
      </c>
      <c r="G23" s="43">
        <v>8041.7532646034715</v>
      </c>
      <c r="H23" s="43">
        <v>9452.2166813219974</v>
      </c>
      <c r="I23" s="43">
        <v>11220.558875416868</v>
      </c>
      <c r="J23" s="43">
        <v>12988.901069511739</v>
      </c>
      <c r="K23" s="43">
        <v>14757.243263606611</v>
      </c>
      <c r="L23" s="43">
        <v>17018.195068913621</v>
      </c>
      <c r="M23" s="43">
        <v>19279.146874220642</v>
      </c>
      <c r="N23" s="43">
        <v>21897.977456903991</v>
      </c>
      <c r="O23" s="43">
        <v>24516.808039587348</v>
      </c>
      <c r="P23" s="43">
        <v>27628.248233482846</v>
      </c>
      <c r="Q23" s="43">
        <v>30739.688427378343</v>
      </c>
      <c r="R23" s="43">
        <v>34566.886176026528</v>
      </c>
      <c r="S23" s="43">
        <v>38394.08392467472</v>
      </c>
      <c r="T23" s="43">
        <v>42221.281673322897</v>
      </c>
    </row>
    <row r="24" spans="1:20">
      <c r="A24" s="91" t="s">
        <v>85</v>
      </c>
      <c r="B24" s="43">
        <v>2224.7137655852575</v>
      </c>
      <c r="C24" s="43">
        <v>3252.3342748962514</v>
      </c>
      <c r="D24" s="43">
        <v>4279.9547842072443</v>
      </c>
      <c r="E24" s="43">
        <v>5307.5752935182381</v>
      </c>
      <c r="F24" s="43">
        <v>7362.8163121402267</v>
      </c>
      <c r="G24" s="43">
        <v>8932.9548326382101</v>
      </c>
      <c r="H24" s="43">
        <v>10503.093353136193</v>
      </c>
      <c r="I24" s="43">
        <v>12471.625229581428</v>
      </c>
      <c r="J24" s="43">
        <v>14440.157106026661</v>
      </c>
      <c r="K24" s="43">
        <v>16408.688982471893</v>
      </c>
      <c r="L24" s="43">
        <v>18925.597595926869</v>
      </c>
      <c r="M24" s="43">
        <v>21442.506209381849</v>
      </c>
      <c r="N24" s="43">
        <v>24357.808178784075</v>
      </c>
      <c r="O24" s="43">
        <v>27273.110148186301</v>
      </c>
      <c r="P24" s="43">
        <v>30736.788854598268</v>
      </c>
      <c r="Q24" s="43">
        <v>34200.467561010228</v>
      </c>
      <c r="R24" s="43">
        <v>38460.932979316713</v>
      </c>
      <c r="S24" s="43">
        <v>42721.398397623183</v>
      </c>
      <c r="T24" s="43">
        <v>46981.863815929653</v>
      </c>
    </row>
    <row r="25" spans="1:20">
      <c r="A25" s="91" t="s">
        <v>86</v>
      </c>
      <c r="B25" s="43">
        <v>2422.109795622398</v>
      </c>
      <c r="C25" s="43">
        <v>3548.4283199519614</v>
      </c>
      <c r="D25" s="43">
        <v>4674.7468442815252</v>
      </c>
      <c r="E25" s="43">
        <v>5801.0653686110882</v>
      </c>
      <c r="F25" s="43">
        <v>8053.7024172702158</v>
      </c>
      <c r="G25" s="43">
        <v>9774.645202448799</v>
      </c>
      <c r="H25" s="43">
        <v>11495.587987627379</v>
      </c>
      <c r="I25" s="43">
        <v>13653.18789740351</v>
      </c>
      <c r="J25" s="43">
        <v>15810.787807179642</v>
      </c>
      <c r="K25" s="43">
        <v>17968.387716955775</v>
      </c>
      <c r="L25" s="43">
        <v>20727.033315883822</v>
      </c>
      <c r="M25" s="43">
        <v>23485.678914811881</v>
      </c>
      <c r="N25" s="43">
        <v>26680.981638337485</v>
      </c>
      <c r="O25" s="43">
        <v>29876.28436186309</v>
      </c>
      <c r="P25" s="43">
        <v>33672.632774540616</v>
      </c>
      <c r="Q25" s="43">
        <v>37468.981187218138</v>
      </c>
      <c r="R25" s="43">
        <v>42138.643849090768</v>
      </c>
      <c r="S25" s="43">
        <v>46808.306510963397</v>
      </c>
      <c r="T25" s="43">
        <v>51477.969172836012</v>
      </c>
    </row>
    <row r="26" spans="1:20">
      <c r="A26" s="91" t="s">
        <v>87</v>
      </c>
      <c r="B26" s="43">
        <v>2073.7638602627389</v>
      </c>
      <c r="C26" s="43">
        <v>3025.9094169124733</v>
      </c>
      <c r="D26" s="43">
        <v>3978.054973562208</v>
      </c>
      <c r="E26" s="43">
        <v>4930.2005302119433</v>
      </c>
      <c r="F26" s="43">
        <v>6834.4916435114101</v>
      </c>
      <c r="G26" s="43">
        <v>8289.3092557242308</v>
      </c>
      <c r="H26" s="43">
        <v>9744.1268679370532</v>
      </c>
      <c r="I26" s="43">
        <v>11568.077307129244</v>
      </c>
      <c r="J26" s="43">
        <v>13392.027746321442</v>
      </c>
      <c r="K26" s="43">
        <v>15215.978185513633</v>
      </c>
      <c r="L26" s="43">
        <v>17548.02910419508</v>
      </c>
      <c r="M26" s="43">
        <v>19880.080022876529</v>
      </c>
      <c r="N26" s="43">
        <v>22581.263768537345</v>
      </c>
      <c r="O26" s="43">
        <v>25282.447514198171</v>
      </c>
      <c r="P26" s="43">
        <v>28491.731739348248</v>
      </c>
      <c r="Q26" s="43">
        <v>31701.015964498318</v>
      </c>
      <c r="R26" s="43">
        <v>35648.565843607132</v>
      </c>
      <c r="S26" s="43">
        <v>39596.115722715957</v>
      </c>
      <c r="T26" s="43">
        <v>43543.665601824774</v>
      </c>
    </row>
    <row r="27" spans="1:20">
      <c r="A27" s="91" t="s">
        <v>88</v>
      </c>
      <c r="B27" s="43">
        <v>2282.7714214785342</v>
      </c>
      <c r="C27" s="43">
        <v>3339.4207587361666</v>
      </c>
      <c r="D27" s="43">
        <v>4396.0700959937976</v>
      </c>
      <c r="E27" s="43">
        <v>5452.7194332514309</v>
      </c>
      <c r="F27" s="43">
        <v>7566.0181077666948</v>
      </c>
      <c r="G27" s="43">
        <v>9180.5108237589702</v>
      </c>
      <c r="H27" s="43">
        <v>10795.003539751249</v>
      </c>
      <c r="I27" s="43">
        <v>12819.143661293805</v>
      </c>
      <c r="J27" s="43">
        <v>14843.283782836361</v>
      </c>
      <c r="K27" s="43">
        <v>16867.42390437892</v>
      </c>
      <c r="L27" s="43">
        <v>19455.431631208328</v>
      </c>
      <c r="M27" s="43">
        <v>22043.43935803774</v>
      </c>
      <c r="N27" s="43">
        <v>25041.094490417436</v>
      </c>
      <c r="O27" s="43">
        <v>28038.749622797121</v>
      </c>
      <c r="P27" s="43">
        <v>31600.272360463667</v>
      </c>
      <c r="Q27" s="43">
        <v>35161.795098130213</v>
      </c>
      <c r="R27" s="43">
        <v>39542.612646897309</v>
      </c>
      <c r="S27" s="43">
        <v>43923.430195664427</v>
      </c>
      <c r="T27" s="43">
        <v>48304.247744431523</v>
      </c>
    </row>
    <row r="28" spans="1:20">
      <c r="A28" s="91" t="s">
        <v>89</v>
      </c>
      <c r="B28" s="43">
        <v>2480.1674515156742</v>
      </c>
      <c r="C28" s="43">
        <v>3635.5148037918761</v>
      </c>
      <c r="D28" s="43">
        <v>4790.8621560680795</v>
      </c>
      <c r="E28" s="43">
        <v>5946.20950834428</v>
      </c>
      <c r="F28" s="43">
        <v>8256.9042128966848</v>
      </c>
      <c r="G28" s="43">
        <v>10022.201193569559</v>
      </c>
      <c r="H28" s="43">
        <v>11787.498174242433</v>
      </c>
      <c r="I28" s="43">
        <v>14000.706329115887</v>
      </c>
      <c r="J28" s="43">
        <v>16213.914483989343</v>
      </c>
      <c r="K28" s="43">
        <v>18427.122638862798</v>
      </c>
      <c r="L28" s="43">
        <v>21256.867351165285</v>
      </c>
      <c r="M28" s="43">
        <v>24086.612063467772</v>
      </c>
      <c r="N28" s="43">
        <v>27364.267949970843</v>
      </c>
      <c r="O28" s="43">
        <v>30641.923836473907</v>
      </c>
      <c r="P28" s="43">
        <v>34536.116280406008</v>
      </c>
      <c r="Q28" s="43">
        <v>38430.308724338116</v>
      </c>
      <c r="R28" s="43">
        <v>43220.323516671386</v>
      </c>
      <c r="S28" s="43">
        <v>48010.338309004641</v>
      </c>
      <c r="T28" s="43">
        <v>52800.353101337903</v>
      </c>
    </row>
    <row r="29" spans="1:20">
      <c r="A29" s="91" t="s">
        <v>90</v>
      </c>
      <c r="B29" s="43">
        <v>2665.9519503741585</v>
      </c>
      <c r="C29" s="43">
        <v>3914.1915520796042</v>
      </c>
      <c r="D29" s="43">
        <v>5162.431153785049</v>
      </c>
      <c r="E29" s="43">
        <v>6410.6707554904942</v>
      </c>
      <c r="F29" s="43">
        <v>8907.149958901382</v>
      </c>
      <c r="G29" s="43">
        <v>10814.380365155996</v>
      </c>
      <c r="H29" s="43">
        <v>12721.610771410609</v>
      </c>
      <c r="I29" s="43">
        <v>15112.765310595498</v>
      </c>
      <c r="J29" s="43">
        <v>17503.919849780385</v>
      </c>
      <c r="K29" s="43">
        <v>19895.074388965269</v>
      </c>
      <c r="L29" s="43">
        <v>22952.336264065947</v>
      </c>
      <c r="M29" s="43">
        <v>26009.598139166628</v>
      </c>
      <c r="N29" s="43">
        <v>29550.784147197584</v>
      </c>
      <c r="O29" s="43">
        <v>33091.970155228533</v>
      </c>
      <c r="P29" s="43">
        <v>37299.263499175278</v>
      </c>
      <c r="Q29" s="43">
        <v>41506.556843122031</v>
      </c>
      <c r="R29" s="43">
        <v>46681.698452929326</v>
      </c>
      <c r="S29" s="43">
        <v>51856.840062736606</v>
      </c>
      <c r="T29" s="43">
        <v>57031.981672543909</v>
      </c>
    </row>
    <row r="30" spans="1:20">
      <c r="A30" s="91" t="s">
        <v>91</v>
      </c>
      <c r="B30" s="43">
        <v>2840.1249180539885</v>
      </c>
      <c r="C30" s="43">
        <v>4175.4510035993462</v>
      </c>
      <c r="D30" s="43">
        <v>5510.7770891447071</v>
      </c>
      <c r="E30" s="43">
        <v>6846.1031746900662</v>
      </c>
      <c r="F30" s="43">
        <v>9516.7553457807862</v>
      </c>
      <c r="G30" s="43">
        <v>11557.048338518278</v>
      </c>
      <c r="H30" s="43">
        <v>13597.34133125577</v>
      </c>
      <c r="I30" s="43">
        <v>16155.320605732626</v>
      </c>
      <c r="J30" s="43">
        <v>18713.299880209488</v>
      </c>
      <c r="K30" s="43">
        <v>21271.279154686345</v>
      </c>
      <c r="L30" s="43">
        <v>24541.838369910325</v>
      </c>
      <c r="M30" s="43">
        <v>27812.397585134302</v>
      </c>
      <c r="N30" s="43">
        <v>31600.643082097646</v>
      </c>
      <c r="O30" s="43">
        <v>35388.888579060993</v>
      </c>
      <c r="P30" s="43">
        <v>39889.714016771468</v>
      </c>
      <c r="Q30" s="43">
        <v>44390.539454481936</v>
      </c>
      <c r="R30" s="43">
        <v>49926.737455671137</v>
      </c>
      <c r="S30" s="43">
        <v>55462.93545686033</v>
      </c>
      <c r="T30" s="43">
        <v>60999.133458049531</v>
      </c>
    </row>
    <row r="32" spans="1:20">
      <c r="A32" s="61" t="s">
        <v>129</v>
      </c>
      <c r="B32" s="62"/>
      <c r="C32" s="62"/>
      <c r="D32" s="62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44" t="s">
        <v>143</v>
      </c>
      <c r="C34" s="45">
        <v>5000</v>
      </c>
      <c r="D34" s="45">
        <v>10000</v>
      </c>
      <c r="E34" s="45">
        <v>15000</v>
      </c>
      <c r="F34" s="45">
        <v>20000</v>
      </c>
      <c r="G34" s="45">
        <v>25000</v>
      </c>
      <c r="H34" s="45">
        <v>30000</v>
      </c>
      <c r="I34" s="45">
        <v>35000</v>
      </c>
      <c r="J34" s="45">
        <v>40000</v>
      </c>
      <c r="K34" s="45">
        <v>45000</v>
      </c>
      <c r="L34" s="45">
        <v>50000</v>
      </c>
    </row>
    <row r="35" spans="1:12">
      <c r="A35" s="1"/>
      <c r="B35" s="91" t="s">
        <v>83</v>
      </c>
      <c r="C35" s="46">
        <v>1283.7862094846005</v>
      </c>
      <c r="D35" s="46">
        <v>3170.951937426963</v>
      </c>
      <c r="E35" s="46">
        <v>5215.3814760311898</v>
      </c>
      <c r="F35" s="46">
        <v>6884.3035483611702</v>
      </c>
      <c r="G35" s="46">
        <v>8711.7732175624988</v>
      </c>
      <c r="H35" s="46">
        <v>12091.340414030712</v>
      </c>
      <c r="I35" s="46">
        <v>15546.00910375377</v>
      </c>
      <c r="J35" s="46">
        <v>18169.398140012217</v>
      </c>
      <c r="K35" s="46">
        <v>21109.099880253605</v>
      </c>
      <c r="L35" s="46">
        <v>23513.338769427577</v>
      </c>
    </row>
    <row r="36" spans="1:12">
      <c r="A36" s="1"/>
      <c r="B36" s="91" t="s">
        <v>84</v>
      </c>
      <c r="C36" s="46">
        <v>1619.1898137643609</v>
      </c>
      <c r="D36" s="46">
        <v>3999.3988399979717</v>
      </c>
      <c r="E36" s="46">
        <v>6577.9586184177169</v>
      </c>
      <c r="F36" s="46">
        <v>8682.9053763113861</v>
      </c>
      <c r="G36" s="46">
        <v>10987.822076204953</v>
      </c>
      <c r="H36" s="46">
        <v>15250.339260939634</v>
      </c>
      <c r="I36" s="46">
        <v>19607.579049779528</v>
      </c>
      <c r="J36" s="46">
        <v>22916.358014429825</v>
      </c>
      <c r="K36" s="46">
        <v>26624.089939058606</v>
      </c>
      <c r="L36" s="46">
        <v>29656.46331279154</v>
      </c>
    </row>
    <row r="37" spans="1:12">
      <c r="A37" s="1"/>
      <c r="B37" s="91" t="s">
        <v>85</v>
      </c>
      <c r="C37" s="46">
        <v>1908.3308519365687</v>
      </c>
      <c r="D37" s="46">
        <v>4713.5772042833241</v>
      </c>
      <c r="E37" s="46">
        <v>7752.5940859923085</v>
      </c>
      <c r="F37" s="46">
        <v>10233.424193509849</v>
      </c>
      <c r="G37" s="46">
        <v>12949.933161241552</v>
      </c>
      <c r="H37" s="46">
        <v>17973.614128964567</v>
      </c>
      <c r="I37" s="46">
        <v>23108.932451525874</v>
      </c>
      <c r="J37" s="46">
        <v>27008.564802720866</v>
      </c>
      <c r="K37" s="46">
        <v>31378.391713890494</v>
      </c>
      <c r="L37" s="46">
        <v>34952.260332932878</v>
      </c>
    </row>
    <row r="38" spans="1:12">
      <c r="A38" s="1"/>
      <c r="B38" s="91" t="s">
        <v>86</v>
      </c>
      <c r="C38" s="46">
        <v>2012.421625678563</v>
      </c>
      <c r="D38" s="46">
        <v>4970.681415426051</v>
      </c>
      <c r="E38" s="46">
        <v>8175.462854319162</v>
      </c>
      <c r="F38" s="46">
        <v>10791.610967701294</v>
      </c>
      <c r="G38" s="46">
        <v>13656.293151854727</v>
      </c>
      <c r="H38" s="46">
        <v>18953.993081453547</v>
      </c>
      <c r="I38" s="46">
        <v>24369.419676154557</v>
      </c>
      <c r="J38" s="46">
        <v>28481.759246505637</v>
      </c>
      <c r="K38" s="46">
        <v>33089.940352829981</v>
      </c>
      <c r="L38" s="46">
        <v>36858.747260183765</v>
      </c>
    </row>
    <row r="39" spans="1:12">
      <c r="A39" s="1"/>
      <c r="B39" s="91" t="s">
        <v>87</v>
      </c>
      <c r="C39" s="46">
        <v>1665.4523798719142</v>
      </c>
      <c r="D39" s="46">
        <v>4113.6673782836278</v>
      </c>
      <c r="E39" s="46">
        <v>6765.9002932296517</v>
      </c>
      <c r="F39" s="46">
        <v>8930.9883870631402</v>
      </c>
      <c r="G39" s="46">
        <v>11301.759849810809</v>
      </c>
      <c r="H39" s="46">
        <v>15686.063239823623</v>
      </c>
      <c r="I39" s="46">
        <v>20167.795594058942</v>
      </c>
      <c r="J39" s="46">
        <v>23571.111100556391</v>
      </c>
      <c r="K39" s="46">
        <v>27384.77822303171</v>
      </c>
      <c r="L39" s="46">
        <v>30503.790836014156</v>
      </c>
    </row>
    <row r="40" spans="1:12">
      <c r="A40" s="1"/>
      <c r="B40" s="91" t="s">
        <v>88</v>
      </c>
      <c r="C40" s="46">
        <v>1966.1590595710097</v>
      </c>
      <c r="D40" s="46">
        <v>4856.4128771403939</v>
      </c>
      <c r="E40" s="46">
        <v>7987.5211795072273</v>
      </c>
      <c r="F40" s="46">
        <v>10543.52795694954</v>
      </c>
      <c r="G40" s="46">
        <v>13342.355378248873</v>
      </c>
      <c r="H40" s="46">
        <v>18518.269102569553</v>
      </c>
      <c r="I40" s="46">
        <v>23809.20313187514</v>
      </c>
      <c r="J40" s="46">
        <v>27827.006160379071</v>
      </c>
      <c r="K40" s="46">
        <v>32329.252068856873</v>
      </c>
      <c r="L40" s="46">
        <v>36011.41973696115</v>
      </c>
    </row>
    <row r="41" spans="1:12">
      <c r="A41" s="1"/>
      <c r="B41" s="91" t="s">
        <v>89</v>
      </c>
      <c r="C41" s="46">
        <v>2081.8154748398929</v>
      </c>
      <c r="D41" s="46">
        <v>5142.0842228545353</v>
      </c>
      <c r="E41" s="46">
        <v>8457.3753665370641</v>
      </c>
      <c r="F41" s="46">
        <v>11163.735483828925</v>
      </c>
      <c r="G41" s="46">
        <v>14127.199812263512</v>
      </c>
      <c r="H41" s="46">
        <v>19607.579049779528</v>
      </c>
      <c r="I41" s="46">
        <v>25209.744492573682</v>
      </c>
      <c r="J41" s="46">
        <v>29463.888875695488</v>
      </c>
      <c r="K41" s="46">
        <v>34230.972778789634</v>
      </c>
      <c r="L41" s="46">
        <v>38129.738545017688</v>
      </c>
    </row>
    <row r="42" spans="1:12">
      <c r="A42" s="1"/>
      <c r="B42" s="91" t="s">
        <v>90</v>
      </c>
      <c r="C42" s="46">
        <v>2266.8657392701052</v>
      </c>
      <c r="D42" s="46">
        <v>5599.15837599716</v>
      </c>
      <c r="E42" s="46">
        <v>9024.9592244691066</v>
      </c>
      <c r="F42" s="46">
        <v>11912.946176299221</v>
      </c>
      <c r="G42" s="46">
        <v>15075.291888553193</v>
      </c>
      <c r="H42" s="46">
        <v>20923.465466009173</v>
      </c>
      <c r="I42" s="46">
        <v>26901.59845629751</v>
      </c>
      <c r="J42" s="46">
        <v>31441.243195797717</v>
      </c>
      <c r="K42" s="46">
        <v>36528.251396388398</v>
      </c>
      <c r="L42" s="46">
        <v>40688.667665149995</v>
      </c>
    </row>
    <row r="43" spans="1:12">
      <c r="A43" s="1"/>
      <c r="B43" s="91" t="s">
        <v>91</v>
      </c>
      <c r="C43" s="46">
        <v>2220.6031731625521</v>
      </c>
      <c r="D43" s="46">
        <v>5484.8898377115029</v>
      </c>
      <c r="E43" s="46">
        <v>9021.2003909728683</v>
      </c>
      <c r="F43" s="46">
        <v>11907.984516084187</v>
      </c>
      <c r="G43" s="46">
        <v>15069.013133081078</v>
      </c>
      <c r="H43" s="46">
        <v>20914.750986431496</v>
      </c>
      <c r="I43" s="46">
        <v>26890.394125411924</v>
      </c>
      <c r="J43" s="46">
        <v>31428.148134075189</v>
      </c>
      <c r="K43" s="46">
        <v>36513.037630708939</v>
      </c>
      <c r="L43" s="46">
        <v>40671.721114685541</v>
      </c>
    </row>
    <row r="44" spans="1:12">
      <c r="A44" s="1"/>
      <c r="B44" s="91" t="s">
        <v>82</v>
      </c>
      <c r="C44" s="46">
        <v>925.25132215106339</v>
      </c>
      <c r="D44" s="46">
        <v>2285.3707657131267</v>
      </c>
      <c r="E44" s="46">
        <v>3758.8334962386953</v>
      </c>
      <c r="F44" s="46">
        <v>4961.6602150350773</v>
      </c>
      <c r="G44" s="46">
        <v>6278.7554721171164</v>
      </c>
      <c r="H44" s="46">
        <v>8714.479577679791</v>
      </c>
      <c r="I44" s="46">
        <v>11204.330885588301</v>
      </c>
      <c r="J44" s="46">
        <v>13095.061722531327</v>
      </c>
      <c r="K44" s="46">
        <v>15213.76567946206</v>
      </c>
      <c r="L44" s="46">
        <v>16946.550464452306</v>
      </c>
    </row>
    <row r="45" spans="1:12">
      <c r="A45" s="1" t="s">
        <v>144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8" spans="1:12">
      <c r="A48" s="170" t="s">
        <v>145</v>
      </c>
      <c r="B48" s="170"/>
      <c r="C48" s="170"/>
      <c r="D48" s="170"/>
      <c r="E48" s="170"/>
      <c r="F48" s="170"/>
    </row>
    <row r="49" spans="1:6" ht="15" thickBot="1">
      <c r="A49" s="47" t="s">
        <v>146</v>
      </c>
      <c r="B49" s="48"/>
      <c r="C49" s="35"/>
      <c r="D49" s="35"/>
      <c r="E49" s="35"/>
      <c r="F49" s="35"/>
    </row>
    <row r="50" spans="1:6" ht="27.6">
      <c r="A50" s="35"/>
      <c r="B50" s="49" t="s">
        <v>147</v>
      </c>
      <c r="C50" s="50" t="s">
        <v>148</v>
      </c>
      <c r="D50" s="35"/>
      <c r="E50" s="35"/>
      <c r="F50" s="35"/>
    </row>
    <row r="51" spans="1:6">
      <c r="A51" s="35"/>
      <c r="B51" s="51" t="s">
        <v>149</v>
      </c>
      <c r="C51" s="52">
        <v>0.15</v>
      </c>
      <c r="D51" s="35"/>
      <c r="E51" s="35"/>
      <c r="F51" s="35"/>
    </row>
    <row r="52" spans="1:6">
      <c r="A52" s="35"/>
      <c r="B52" s="51" t="s">
        <v>150</v>
      </c>
      <c r="C52" s="53">
        <v>0.25</v>
      </c>
      <c r="D52" s="35"/>
      <c r="E52" s="35"/>
      <c r="F52" s="35"/>
    </row>
    <row r="53" spans="1:6">
      <c r="A53" s="35"/>
      <c r="B53" s="51" t="s">
        <v>151</v>
      </c>
      <c r="C53" s="52">
        <v>0.3</v>
      </c>
      <c r="D53" s="35"/>
      <c r="E53" s="35"/>
      <c r="F53" s="35"/>
    </row>
    <row r="54" spans="1:6" ht="15" thickBot="1">
      <c r="A54" s="35"/>
      <c r="B54" s="54" t="s">
        <v>152</v>
      </c>
      <c r="C54" s="55">
        <v>0.4</v>
      </c>
      <c r="D54" s="35"/>
      <c r="E54" s="35"/>
      <c r="F54" s="35"/>
    </row>
    <row r="57" spans="1:6">
      <c r="A57" s="170" t="s">
        <v>153</v>
      </c>
      <c r="B57" s="170"/>
      <c r="C57" s="170"/>
      <c r="D57" s="170"/>
      <c r="E57" s="170"/>
      <c r="F57" s="170"/>
    </row>
    <row r="58" spans="1:6">
      <c r="B58" s="56" t="s">
        <v>0</v>
      </c>
      <c r="C58" s="56" t="s">
        <v>154</v>
      </c>
    </row>
    <row r="59" spans="1:6">
      <c r="B59" s="57" t="s">
        <v>155</v>
      </c>
      <c r="C59" s="68">
        <v>635.52280111226275</v>
      </c>
    </row>
    <row r="61" spans="1:6">
      <c r="A61" s="170" t="s">
        <v>156</v>
      </c>
      <c r="B61" s="170"/>
      <c r="C61" s="170"/>
      <c r="D61" s="170"/>
      <c r="E61" s="170"/>
      <c r="F61" s="170"/>
    </row>
    <row r="62" spans="1:6" ht="15.6">
      <c r="A62" s="58" t="s">
        <v>157</v>
      </c>
      <c r="B62" s="58" t="s">
        <v>158</v>
      </c>
      <c r="C62" s="1"/>
      <c r="D62" s="1"/>
    </row>
    <row r="63" spans="1:6" ht="15.6">
      <c r="A63" s="59" t="s">
        <v>159</v>
      </c>
      <c r="B63" s="60">
        <v>6.5000000000000002E-2</v>
      </c>
      <c r="C63" s="1"/>
      <c r="D63" s="1"/>
    </row>
    <row r="64" spans="1:6" ht="15.6">
      <c r="A64" s="59" t="s">
        <v>160</v>
      </c>
      <c r="B64" s="60">
        <v>0.05</v>
      </c>
      <c r="C64" s="1"/>
      <c r="D64" s="1"/>
    </row>
    <row r="65" spans="1:13">
      <c r="A65" s="1"/>
      <c r="B65" s="1"/>
      <c r="C65" s="1"/>
      <c r="D65" s="1"/>
    </row>
    <row r="66" spans="1:13">
      <c r="A66" s="1"/>
      <c r="B66" s="1"/>
      <c r="C66" s="1"/>
      <c r="D66" s="1"/>
    </row>
    <row r="67" spans="1:13">
      <c r="A67" s="1" t="s">
        <v>161</v>
      </c>
      <c r="B67" s="1"/>
      <c r="C67" s="1"/>
      <c r="D67" s="1"/>
    </row>
    <row r="68" spans="1:13">
      <c r="A68" s="1"/>
      <c r="B68" s="1"/>
      <c r="C68" s="1"/>
      <c r="D68" s="1"/>
    </row>
    <row r="69" spans="1:13">
      <c r="A69" s="61" t="s">
        <v>162</v>
      </c>
      <c r="B69" s="62"/>
      <c r="C69" s="62"/>
      <c r="D69" s="62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79" t="s">
        <v>163</v>
      </c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</row>
    <row r="72" spans="1:13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</row>
    <row r="73" spans="1:13">
      <c r="A73" s="64">
        <v>0.2</v>
      </c>
    </row>
    <row r="74" spans="1:13">
      <c r="A74" s="170" t="s">
        <v>164</v>
      </c>
      <c r="B74" s="170"/>
      <c r="C74" s="170"/>
      <c r="D74" s="170"/>
      <c r="E74" s="35"/>
      <c r="F74" s="35"/>
      <c r="G74" s="35"/>
    </row>
    <row r="75" spans="1:13">
      <c r="A75" s="35" t="s">
        <v>165</v>
      </c>
      <c r="C75" s="35"/>
      <c r="D75" s="35"/>
      <c r="E75" s="35"/>
      <c r="F75" s="35"/>
      <c r="G75" s="35"/>
    </row>
    <row r="76" spans="1:13">
      <c r="A76" s="35"/>
      <c r="B76" s="35"/>
      <c r="C76" s="35"/>
      <c r="D76" s="35"/>
      <c r="E76" s="35"/>
      <c r="F76" s="35"/>
      <c r="G76" s="35"/>
    </row>
    <row r="79" spans="1:13">
      <c r="A79" s="61" t="s">
        <v>166</v>
      </c>
      <c r="B79" s="62"/>
      <c r="C79" s="62"/>
      <c r="D79" s="62"/>
    </row>
    <row r="80" spans="1:13">
      <c r="A80" s="1"/>
      <c r="B80" s="1"/>
      <c r="C80" s="1"/>
      <c r="D80" s="1"/>
    </row>
    <row r="81" spans="1:5">
      <c r="A81" s="1"/>
      <c r="B81" s="33" t="s">
        <v>8</v>
      </c>
      <c r="C81" s="46">
        <v>254.58361302165136</v>
      </c>
      <c r="D81" s="1"/>
    </row>
    <row r="82" spans="1:5">
      <c r="A82" s="1" t="s">
        <v>167</v>
      </c>
      <c r="B82" s="1"/>
      <c r="C82" s="1"/>
      <c r="D82" s="1"/>
    </row>
    <row r="84" spans="1:5">
      <c r="A84" s="61" t="s">
        <v>168</v>
      </c>
      <c r="B84" s="62"/>
      <c r="C84" s="62"/>
      <c r="D84" s="62"/>
    </row>
    <row r="85" spans="1:5">
      <c r="A85" s="61"/>
      <c r="B85" s="62"/>
      <c r="C85" s="62"/>
      <c r="D85" s="62"/>
    </row>
    <row r="86" spans="1:5">
      <c r="A86" s="1"/>
      <c r="B86" s="1"/>
      <c r="C86" s="63" t="s">
        <v>169</v>
      </c>
      <c r="D86" s="1"/>
    </row>
    <row r="87" spans="1:5">
      <c r="A87" s="1"/>
      <c r="B87" s="33" t="s">
        <v>170</v>
      </c>
      <c r="C87" s="63">
        <v>0.25</v>
      </c>
      <c r="D87" s="1"/>
    </row>
    <row r="88" spans="1:5">
      <c r="A88" s="1"/>
      <c r="B88" s="33" t="s">
        <v>171</v>
      </c>
      <c r="C88" s="63">
        <v>0.125</v>
      </c>
      <c r="D88" s="1"/>
    </row>
    <row r="89" spans="1:5">
      <c r="A89" s="1"/>
      <c r="B89" s="1"/>
      <c r="C89" s="1"/>
      <c r="D89" s="1"/>
    </row>
    <row r="90" spans="1:5">
      <c r="A90" s="61" t="s">
        <v>177</v>
      </c>
      <c r="B90" s="62"/>
      <c r="C90" s="62"/>
      <c r="D90" s="62"/>
      <c r="E90" s="1"/>
    </row>
    <row r="91" spans="1:5">
      <c r="A91" s="1"/>
      <c r="B91" s="1"/>
      <c r="C91" s="1"/>
      <c r="D91" s="1"/>
      <c r="E91" s="1"/>
    </row>
    <row r="92" spans="1:5">
      <c r="A92" s="1"/>
      <c r="B92" s="1"/>
      <c r="C92" s="33" t="s">
        <v>8</v>
      </c>
      <c r="D92" s="1"/>
      <c r="E92" s="1"/>
    </row>
    <row r="93" spans="1:5">
      <c r="A93" s="1"/>
      <c r="B93" s="33" t="s">
        <v>178</v>
      </c>
      <c r="C93" s="46">
        <v>268.53197289998531</v>
      </c>
      <c r="D93" s="1"/>
      <c r="E93" s="1"/>
    </row>
    <row r="94" spans="1:5">
      <c r="A94" s="1"/>
      <c r="B94" s="33" t="s">
        <v>179</v>
      </c>
      <c r="C94" s="46">
        <v>537.06394579997061</v>
      </c>
      <c r="D94" s="1"/>
      <c r="E94" s="1"/>
    </row>
    <row r="95" spans="1:5">
      <c r="A95" s="1" t="s">
        <v>167</v>
      </c>
      <c r="B95" s="1"/>
      <c r="C95" s="1"/>
      <c r="D95" s="1"/>
      <c r="E95" s="1"/>
    </row>
    <row r="97" spans="1:15">
      <c r="A97" s="61" t="s">
        <v>181</v>
      </c>
    </row>
    <row r="98" spans="1:15">
      <c r="A98" s="35"/>
      <c r="B98" s="35"/>
      <c r="C98" s="35"/>
      <c r="D98" s="35"/>
      <c r="E98" s="35"/>
      <c r="F98" s="35"/>
    </row>
    <row r="99" spans="1:15">
      <c r="A99" s="184" t="s">
        <v>180</v>
      </c>
      <c r="B99" s="2" t="s">
        <v>245</v>
      </c>
      <c r="C99" s="2" t="s">
        <v>246</v>
      </c>
      <c r="D99" s="2" t="s">
        <v>247</v>
      </c>
      <c r="E99" s="2" t="s">
        <v>248</v>
      </c>
      <c r="F99" s="2" t="s">
        <v>310</v>
      </c>
    </row>
    <row r="100" spans="1:15">
      <c r="A100" s="185"/>
      <c r="B100" s="72">
        <v>0.2</v>
      </c>
      <c r="C100" s="72">
        <v>0.25</v>
      </c>
      <c r="D100" s="72">
        <v>0.27500000000000002</v>
      </c>
      <c r="E100" s="72">
        <v>0.3</v>
      </c>
      <c r="F100" s="72">
        <v>0.4</v>
      </c>
    </row>
    <row r="101" spans="1:15">
      <c r="A101" s="35"/>
      <c r="B101" s="35"/>
      <c r="C101" s="35"/>
      <c r="D101" s="35"/>
      <c r="E101" s="35"/>
      <c r="F101" s="35"/>
    </row>
    <row r="103" spans="1:15">
      <c r="A103" s="61" t="s">
        <v>185</v>
      </c>
    </row>
    <row r="104" spans="1:15">
      <c r="A104" s="33" t="s">
        <v>182</v>
      </c>
      <c r="B104" s="33"/>
      <c r="C104" s="33" t="s">
        <v>183</v>
      </c>
      <c r="D104" s="69"/>
      <c r="E104" s="35"/>
      <c r="F104" s="35"/>
      <c r="G104" s="35"/>
    </row>
    <row r="105" spans="1:15">
      <c r="A105" s="35"/>
      <c r="B105" s="35"/>
      <c r="C105" s="35" t="s">
        <v>302</v>
      </c>
      <c r="D105" s="35"/>
      <c r="E105" s="35"/>
      <c r="F105" s="35"/>
      <c r="G105" s="35"/>
    </row>
    <row r="106" spans="1:15">
      <c r="A106" s="35"/>
      <c r="B106" s="35"/>
      <c r="C106" s="35"/>
      <c r="D106" s="35"/>
      <c r="E106" s="35"/>
      <c r="F106" s="35"/>
      <c r="G106" s="35"/>
    </row>
    <row r="107" spans="1:15">
      <c r="A107" s="35"/>
      <c r="B107" s="35"/>
      <c r="C107" s="35"/>
      <c r="D107" s="35"/>
      <c r="E107" s="35"/>
      <c r="F107" s="35"/>
      <c r="G107" s="35"/>
    </row>
    <row r="108" spans="1:15">
      <c r="A108" s="186" t="s">
        <v>184</v>
      </c>
      <c r="B108" s="187"/>
      <c r="C108" s="187"/>
      <c r="D108" s="188"/>
      <c r="E108" s="35"/>
      <c r="F108" s="35"/>
      <c r="G108" s="35"/>
    </row>
    <row r="109" spans="1:15" ht="15" thickBot="1">
      <c r="A109" s="35"/>
      <c r="B109" s="35"/>
      <c r="C109" s="35"/>
      <c r="D109" s="35"/>
      <c r="E109" s="35"/>
      <c r="F109" s="35"/>
      <c r="G109" s="35"/>
    </row>
    <row r="110" spans="1:15">
      <c r="A110" s="189" t="s">
        <v>180</v>
      </c>
      <c r="B110" s="2" t="s">
        <v>245</v>
      </c>
      <c r="C110" s="2" t="s">
        <v>246</v>
      </c>
      <c r="D110" s="2" t="s">
        <v>247</v>
      </c>
      <c r="E110" s="2" t="s">
        <v>248</v>
      </c>
      <c r="F110" s="2" t="s">
        <v>310</v>
      </c>
      <c r="G110" s="35"/>
    </row>
    <row r="111" spans="1:15" ht="15" thickBot="1">
      <c r="A111" s="190"/>
      <c r="B111" s="74">
        <v>0.06</v>
      </c>
      <c r="C111" s="74">
        <v>0.06</v>
      </c>
      <c r="D111" s="74">
        <v>7.4999999999999997E-2</v>
      </c>
      <c r="E111" s="74">
        <v>7.4999999999999997E-2</v>
      </c>
      <c r="F111" s="74">
        <v>0.1</v>
      </c>
      <c r="G111" s="35"/>
    </row>
    <row r="112" spans="1:15">
      <c r="A112" s="61" t="s">
        <v>193</v>
      </c>
      <c r="B112" s="35"/>
      <c r="C112" s="35"/>
      <c r="D112" s="35"/>
      <c r="E112" s="35"/>
      <c r="F112" s="35"/>
      <c r="G112" s="35"/>
      <c r="M112" s="76" t="s">
        <v>54</v>
      </c>
      <c r="N112" s="35"/>
      <c r="O112" s="97"/>
    </row>
    <row r="113" spans="1:15">
      <c r="A113" s="75" t="s">
        <v>186</v>
      </c>
      <c r="B113" s="35" t="s">
        <v>311</v>
      </c>
      <c r="C113" s="35"/>
      <c r="D113" s="35"/>
      <c r="E113" s="35" t="s">
        <v>313</v>
      </c>
      <c r="F113" s="35"/>
      <c r="G113" s="35"/>
      <c r="I113" s="96" t="s">
        <v>312</v>
      </c>
      <c r="M113" s="75" t="s">
        <v>186</v>
      </c>
      <c r="N113" s="35"/>
      <c r="O113" s="35"/>
    </row>
    <row r="114" spans="1:15" ht="41.4">
      <c r="A114" s="41" t="s">
        <v>187</v>
      </c>
      <c r="B114" s="164" t="s">
        <v>188</v>
      </c>
      <c r="C114" s="164"/>
      <c r="D114" s="35"/>
      <c r="E114" s="41" t="s">
        <v>187</v>
      </c>
      <c r="F114" s="166" t="s">
        <v>188</v>
      </c>
      <c r="G114" s="167"/>
      <c r="I114" s="41" t="s">
        <v>187</v>
      </c>
      <c r="J114" s="166" t="s">
        <v>188</v>
      </c>
      <c r="K114" s="167"/>
      <c r="M114" s="41" t="s">
        <v>187</v>
      </c>
      <c r="N114" s="164" t="s">
        <v>188</v>
      </c>
      <c r="O114" s="164"/>
    </row>
    <row r="115" spans="1:15" ht="39" customHeight="1">
      <c r="A115" s="42" t="s">
        <v>189</v>
      </c>
      <c r="B115" s="168">
        <v>413.08982072297061</v>
      </c>
      <c r="C115" s="169"/>
      <c r="D115" s="35"/>
      <c r="E115" s="42" t="s">
        <v>189</v>
      </c>
      <c r="F115" s="168">
        <v>378.66566899605647</v>
      </c>
      <c r="G115" s="169"/>
      <c r="I115" s="42" t="s">
        <v>189</v>
      </c>
      <c r="J115" s="168">
        <v>361.45359313259934</v>
      </c>
      <c r="K115" s="169"/>
      <c r="M115" s="42" t="s">
        <v>189</v>
      </c>
      <c r="N115" s="165">
        <v>344.24151726914221</v>
      </c>
      <c r="O115" s="165"/>
    </row>
    <row r="116" spans="1:15">
      <c r="A116" s="42" t="s">
        <v>150</v>
      </c>
      <c r="B116" s="168">
        <v>660.94371315675323</v>
      </c>
      <c r="C116" s="169"/>
      <c r="D116" s="35"/>
      <c r="E116" s="42" t="s">
        <v>150</v>
      </c>
      <c r="F116" s="168">
        <v>605.86507039369053</v>
      </c>
      <c r="G116" s="169"/>
      <c r="I116" s="42" t="s">
        <v>150</v>
      </c>
      <c r="J116" s="168">
        <v>578.32574901215912</v>
      </c>
      <c r="K116" s="169"/>
      <c r="M116" s="42" t="s">
        <v>150</v>
      </c>
      <c r="N116" s="165">
        <v>550.78642763062771</v>
      </c>
      <c r="O116" s="165"/>
    </row>
    <row r="117" spans="1:15">
      <c r="A117" s="42" t="s">
        <v>190</v>
      </c>
      <c r="B117" s="168">
        <v>1436.2815305137135</v>
      </c>
      <c r="C117" s="169"/>
      <c r="D117" s="35"/>
      <c r="E117" s="42" t="s">
        <v>190</v>
      </c>
      <c r="F117" s="168">
        <v>1316.591402970904</v>
      </c>
      <c r="G117" s="169"/>
      <c r="I117" s="42" t="s">
        <v>190</v>
      </c>
      <c r="J117" s="168">
        <v>1256.7463391994993</v>
      </c>
      <c r="K117" s="169"/>
      <c r="M117" s="42" t="s">
        <v>190</v>
      </c>
      <c r="N117" s="165">
        <v>1196.9012754280946</v>
      </c>
      <c r="O117" s="165"/>
    </row>
    <row r="118" spans="1:15">
      <c r="A118" s="42" t="s">
        <v>191</v>
      </c>
      <c r="B118" s="168">
        <v>3203.0349176058044</v>
      </c>
      <c r="C118" s="169"/>
      <c r="D118" s="35"/>
      <c r="E118" s="42" t="s">
        <v>191</v>
      </c>
      <c r="F118" s="168">
        <v>2936.1153411386545</v>
      </c>
      <c r="G118" s="169"/>
      <c r="I118" s="42" t="s">
        <v>191</v>
      </c>
      <c r="J118" s="168">
        <v>2802.6555529050788</v>
      </c>
      <c r="K118" s="169"/>
      <c r="M118" s="42" t="s">
        <v>191</v>
      </c>
      <c r="N118" s="165">
        <v>2669.1957646715036</v>
      </c>
      <c r="O118" s="165"/>
    </row>
    <row r="119" spans="1:15">
      <c r="A119" s="35"/>
      <c r="B119" s="35"/>
      <c r="C119" s="48"/>
      <c r="D119" s="48"/>
      <c r="M119" s="35"/>
      <c r="N119" s="35"/>
      <c r="O119" s="48"/>
    </row>
    <row r="120" spans="1:15">
      <c r="A120" s="76" t="s">
        <v>192</v>
      </c>
      <c r="B120" s="35"/>
      <c r="C120" s="35"/>
      <c r="D120" s="35"/>
    </row>
    <row r="122" spans="1:15">
      <c r="A122" s="61" t="s">
        <v>196</v>
      </c>
    </row>
    <row r="123" spans="1:15">
      <c r="A123" s="77" t="s">
        <v>194</v>
      </c>
      <c r="B123" s="78">
        <v>70.748403431708624</v>
      </c>
      <c r="C123" s="35" t="s">
        <v>195</v>
      </c>
    </row>
    <row r="125" spans="1:15">
      <c r="A125" s="170" t="s">
        <v>197</v>
      </c>
      <c r="B125" s="170"/>
      <c r="C125" s="170"/>
      <c r="D125" s="170"/>
      <c r="E125" s="170"/>
    </row>
    <row r="126" spans="1:15">
      <c r="A126" s="35"/>
      <c r="B126" s="35" t="s">
        <v>198</v>
      </c>
      <c r="C126" s="68">
        <v>1051.1191366996711</v>
      </c>
      <c r="D126" s="35"/>
      <c r="E126" s="35"/>
    </row>
    <row r="129" spans="1:22">
      <c r="A129" s="170" t="s">
        <v>199</v>
      </c>
      <c r="B129" s="170"/>
      <c r="C129" s="170"/>
      <c r="D129" s="170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</row>
    <row r="130" spans="1:22">
      <c r="A130" s="35"/>
      <c r="B130" s="36" t="s">
        <v>200</v>
      </c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</row>
    <row r="131" spans="1:22">
      <c r="A131" s="35"/>
      <c r="B131" s="191" t="s">
        <v>201</v>
      </c>
      <c r="C131" s="79" t="s">
        <v>202</v>
      </c>
      <c r="D131" s="66" t="s">
        <v>173</v>
      </c>
      <c r="E131" s="171" t="s">
        <v>174</v>
      </c>
      <c r="F131" s="172"/>
      <c r="G131" s="173" t="s">
        <v>136</v>
      </c>
      <c r="H131" s="174"/>
      <c r="I131" s="175"/>
      <c r="J131" s="176" t="s">
        <v>58</v>
      </c>
      <c r="K131" s="177"/>
      <c r="L131" s="177"/>
      <c r="M131" s="177"/>
      <c r="N131" s="178"/>
      <c r="O131" s="180" t="s">
        <v>59</v>
      </c>
      <c r="P131" s="180"/>
      <c r="Q131" s="180"/>
      <c r="R131" s="182" t="s">
        <v>176</v>
      </c>
      <c r="S131" s="182"/>
      <c r="T131" s="182"/>
      <c r="U131" s="182"/>
      <c r="V131" s="182"/>
    </row>
    <row r="132" spans="1:22">
      <c r="A132" s="35"/>
      <c r="B132" s="191"/>
      <c r="C132" s="38" t="s">
        <v>203</v>
      </c>
      <c r="D132" s="38" t="s">
        <v>175</v>
      </c>
      <c r="E132" s="2" t="s">
        <v>243</v>
      </c>
      <c r="F132" s="2" t="s">
        <v>244</v>
      </c>
      <c r="G132" s="6" t="s">
        <v>70</v>
      </c>
      <c r="H132" s="6" t="s">
        <v>71</v>
      </c>
      <c r="I132" s="6" t="s">
        <v>72</v>
      </c>
      <c r="J132" s="6" t="s">
        <v>73</v>
      </c>
      <c r="K132" s="6" t="s">
        <v>74</v>
      </c>
      <c r="L132" s="6" t="s">
        <v>75</v>
      </c>
      <c r="M132" s="6" t="s">
        <v>76</v>
      </c>
      <c r="N132" s="6" t="s">
        <v>77</v>
      </c>
      <c r="O132" s="6" t="s">
        <v>78</v>
      </c>
      <c r="P132" s="6" t="s">
        <v>79</v>
      </c>
      <c r="Q132" s="6" t="s">
        <v>80</v>
      </c>
      <c r="R132" s="2" t="s">
        <v>245</v>
      </c>
      <c r="S132" s="2" t="s">
        <v>246</v>
      </c>
      <c r="T132" s="2" t="s">
        <v>247</v>
      </c>
      <c r="U132" s="2" t="s">
        <v>248</v>
      </c>
      <c r="V132" s="2" t="s">
        <v>310</v>
      </c>
    </row>
    <row r="133" spans="1:22">
      <c r="A133" s="35"/>
      <c r="B133" s="77">
        <v>5000</v>
      </c>
      <c r="C133" s="80">
        <v>0.185</v>
      </c>
      <c r="D133" s="80">
        <v>0.155</v>
      </c>
      <c r="E133" s="80">
        <v>0.13</v>
      </c>
      <c r="F133" s="80">
        <v>0.1075</v>
      </c>
      <c r="G133" s="80">
        <v>0.09</v>
      </c>
      <c r="H133" s="80">
        <v>7.2499999999999995E-2</v>
      </c>
      <c r="I133" s="80">
        <v>5.5E-2</v>
      </c>
      <c r="J133" s="80">
        <v>0.04</v>
      </c>
      <c r="K133" s="80">
        <v>3.5000000000000003E-2</v>
      </c>
      <c r="L133" s="80">
        <v>3.0000000000000002E-2</v>
      </c>
      <c r="M133" s="80">
        <v>2.5000000000000001E-2</v>
      </c>
      <c r="N133" s="80">
        <v>2.2500000000000003E-2</v>
      </c>
      <c r="O133" s="80">
        <v>2.0000000000000004E-2</v>
      </c>
      <c r="P133" s="80">
        <v>1.7500000000000005E-2</v>
      </c>
      <c r="Q133" s="80">
        <v>1.5000000000000005E-2</v>
      </c>
      <c r="R133" s="80">
        <v>1.2500000000000004E-2</v>
      </c>
      <c r="S133" s="80">
        <v>1.0000000000000004E-2</v>
      </c>
      <c r="T133" s="80">
        <v>7.5000000000000032E-3</v>
      </c>
      <c r="U133" s="80">
        <v>5.0000000000000027E-3</v>
      </c>
      <c r="V133" s="80">
        <v>2.5000000000000027E-3</v>
      </c>
    </row>
    <row r="134" spans="1:22">
      <c r="A134" s="35"/>
      <c r="B134" s="77">
        <v>10000</v>
      </c>
      <c r="C134" s="80">
        <v>0.27500000000000002</v>
      </c>
      <c r="D134" s="80">
        <v>0.23</v>
      </c>
      <c r="E134" s="80">
        <v>0.1925</v>
      </c>
      <c r="F134" s="80">
        <v>0.16</v>
      </c>
      <c r="G134" s="80">
        <v>0.13250000000000001</v>
      </c>
      <c r="H134" s="80">
        <v>0.105</v>
      </c>
      <c r="I134" s="80">
        <v>0.08</v>
      </c>
      <c r="J134" s="80">
        <v>5.7500000000000002E-2</v>
      </c>
      <c r="K134" s="80">
        <v>5.2500000000000005E-2</v>
      </c>
      <c r="L134" s="80">
        <v>4.7500000000000007E-2</v>
      </c>
      <c r="M134" s="80">
        <v>4.250000000000001E-2</v>
      </c>
      <c r="N134" s="80">
        <v>4.0000000000000008E-2</v>
      </c>
      <c r="O134" s="80">
        <v>3.7500000000000006E-2</v>
      </c>
      <c r="P134" s="80">
        <v>3.5000000000000003E-2</v>
      </c>
      <c r="Q134" s="80">
        <v>3.2500000000000001E-2</v>
      </c>
      <c r="R134" s="80">
        <v>3.0000000000000002E-2</v>
      </c>
      <c r="S134" s="80">
        <v>2.7500000000000004E-2</v>
      </c>
      <c r="T134" s="80">
        <v>2.5000000000000005E-2</v>
      </c>
      <c r="U134" s="80">
        <v>2.2500000000000006E-2</v>
      </c>
      <c r="V134" s="80">
        <v>2.0000000000000007E-2</v>
      </c>
    </row>
    <row r="135" spans="1:22">
      <c r="A135" s="35"/>
      <c r="B135" s="77">
        <v>25000</v>
      </c>
      <c r="C135" s="80">
        <v>0.36499999999999999</v>
      </c>
      <c r="D135" s="80">
        <v>0.30499999999999999</v>
      </c>
      <c r="E135" s="80">
        <v>0.255</v>
      </c>
      <c r="F135" s="80">
        <v>0.21249999999999999</v>
      </c>
      <c r="G135" s="80">
        <v>0.17499999999999999</v>
      </c>
      <c r="H135" s="80">
        <v>0.14000000000000001</v>
      </c>
      <c r="I135" s="80">
        <v>0.1075</v>
      </c>
      <c r="J135" s="80">
        <v>7.7499999999999999E-2</v>
      </c>
      <c r="K135" s="80">
        <v>7.2499999999999995E-2</v>
      </c>
      <c r="L135" s="80">
        <v>6.7499999999999991E-2</v>
      </c>
      <c r="M135" s="80">
        <v>6.2499999999999993E-2</v>
      </c>
      <c r="N135" s="80">
        <v>5.9999999999999991E-2</v>
      </c>
      <c r="O135" s="80">
        <v>5.7499999999999989E-2</v>
      </c>
      <c r="P135" s="80">
        <v>5.4999999999999986E-2</v>
      </c>
      <c r="Q135" s="80">
        <v>5.2499999999999984E-2</v>
      </c>
      <c r="R135" s="80">
        <v>4.9999999999999982E-2</v>
      </c>
      <c r="S135" s="80">
        <v>4.749999999999998E-2</v>
      </c>
      <c r="T135" s="80">
        <v>4.4999999999999978E-2</v>
      </c>
      <c r="U135" s="80">
        <v>4.2499999999999975E-2</v>
      </c>
      <c r="V135" s="80">
        <v>3.9999999999999973E-2</v>
      </c>
    </row>
    <row r="136" spans="1:22">
      <c r="A136" s="35"/>
      <c r="B136" s="77">
        <v>50000</v>
      </c>
      <c r="C136" s="80">
        <v>0.45</v>
      </c>
      <c r="D136" s="80">
        <v>0.375</v>
      </c>
      <c r="E136" s="80">
        <v>0.3125</v>
      </c>
      <c r="F136" s="80">
        <v>0.26</v>
      </c>
      <c r="G136" s="80">
        <v>0.215</v>
      </c>
      <c r="H136" s="80">
        <v>0.17250000000000001</v>
      </c>
      <c r="I136" s="80">
        <v>0.13250000000000001</v>
      </c>
      <c r="J136" s="80">
        <v>9.5000000000000001E-2</v>
      </c>
      <c r="K136" s="80">
        <v>0.09</v>
      </c>
      <c r="L136" s="80">
        <v>8.4999999999999992E-2</v>
      </c>
      <c r="M136" s="80">
        <v>7.9999999999999988E-2</v>
      </c>
      <c r="N136" s="80">
        <v>7.7499999999999986E-2</v>
      </c>
      <c r="O136" s="80">
        <v>7.4999999999999983E-2</v>
      </c>
      <c r="P136" s="80">
        <v>7.2499999999999981E-2</v>
      </c>
      <c r="Q136" s="80">
        <v>6.9999999999999979E-2</v>
      </c>
      <c r="R136" s="80">
        <v>6.7499999999999977E-2</v>
      </c>
      <c r="S136" s="80">
        <v>6.4999999999999974E-2</v>
      </c>
      <c r="T136" s="80">
        <v>6.2499999999999972E-2</v>
      </c>
      <c r="U136" s="80">
        <v>5.999999999999997E-2</v>
      </c>
      <c r="V136" s="80">
        <v>5.7499999999999968E-2</v>
      </c>
    </row>
    <row r="137" spans="1:22">
      <c r="A137" s="35"/>
      <c r="B137" s="77">
        <v>100000</v>
      </c>
      <c r="C137" s="80">
        <v>0.52500000000000002</v>
      </c>
      <c r="D137" s="80">
        <v>0.4375</v>
      </c>
      <c r="E137" s="80">
        <v>0.36499999999999999</v>
      </c>
      <c r="F137" s="80">
        <v>0.30249999999999999</v>
      </c>
      <c r="G137" s="80">
        <v>0.25</v>
      </c>
      <c r="H137" s="80">
        <v>0.2</v>
      </c>
      <c r="I137" s="80">
        <v>0.1525</v>
      </c>
      <c r="J137" s="80">
        <v>0.11</v>
      </c>
      <c r="K137" s="80">
        <v>0.105</v>
      </c>
      <c r="L137" s="80">
        <v>9.9999999999999992E-2</v>
      </c>
      <c r="M137" s="80">
        <v>9.4999999999999987E-2</v>
      </c>
      <c r="N137" s="80">
        <v>9.2499999999999985E-2</v>
      </c>
      <c r="O137" s="80">
        <v>8.9999999999999983E-2</v>
      </c>
      <c r="P137" s="80">
        <v>8.7499999999999981E-2</v>
      </c>
      <c r="Q137" s="80">
        <v>8.4999999999999978E-2</v>
      </c>
      <c r="R137" s="80">
        <v>8.2499999999999976E-2</v>
      </c>
      <c r="S137" s="80">
        <v>7.9999999999999974E-2</v>
      </c>
      <c r="T137" s="80">
        <v>7.7499999999999972E-2</v>
      </c>
      <c r="U137" s="80">
        <v>7.4999999999999969E-2</v>
      </c>
      <c r="V137" s="80">
        <v>7.2499999999999967E-2</v>
      </c>
    </row>
    <row r="138" spans="1:22">
      <c r="A138" s="35"/>
      <c r="B138" s="77">
        <v>200000</v>
      </c>
      <c r="C138" s="80">
        <v>0.58499999999999996</v>
      </c>
      <c r="D138" s="80">
        <v>0.48749999999999999</v>
      </c>
      <c r="E138" s="80">
        <v>0.40750000000000003</v>
      </c>
      <c r="F138" s="80">
        <v>0.33750000000000002</v>
      </c>
      <c r="G138" s="80">
        <v>0.28000000000000003</v>
      </c>
      <c r="H138" s="80">
        <v>0.22500000000000001</v>
      </c>
      <c r="I138" s="80">
        <v>0.17250000000000001</v>
      </c>
      <c r="J138" s="80">
        <v>0.125</v>
      </c>
      <c r="K138" s="80">
        <v>0.12</v>
      </c>
      <c r="L138" s="80">
        <v>0.11499999999999999</v>
      </c>
      <c r="M138" s="80">
        <v>0.10999999999999999</v>
      </c>
      <c r="N138" s="80">
        <v>0.10749999999999998</v>
      </c>
      <c r="O138" s="80">
        <v>0.10499999999999998</v>
      </c>
      <c r="P138" s="80">
        <v>0.10249999999999998</v>
      </c>
      <c r="Q138" s="80">
        <v>9.9999999999999978E-2</v>
      </c>
      <c r="R138" s="80">
        <v>9.7499999999999976E-2</v>
      </c>
      <c r="S138" s="80">
        <v>9.4999999999999973E-2</v>
      </c>
      <c r="T138" s="80">
        <v>9.2499999999999971E-2</v>
      </c>
      <c r="U138" s="80">
        <v>8.9999999999999969E-2</v>
      </c>
      <c r="V138" s="80">
        <v>8.7499999999999967E-2</v>
      </c>
    </row>
    <row r="139" spans="1:22">
      <c r="A139" s="35"/>
      <c r="B139" s="77">
        <v>300000</v>
      </c>
      <c r="C139" s="80">
        <v>0.63</v>
      </c>
      <c r="D139" s="80">
        <v>0.52500000000000002</v>
      </c>
      <c r="E139" s="80">
        <v>0.44</v>
      </c>
      <c r="F139" s="80">
        <v>0.36499999999999999</v>
      </c>
      <c r="G139" s="80">
        <v>0.30249999999999999</v>
      </c>
      <c r="H139" s="80">
        <v>0.24249999999999999</v>
      </c>
      <c r="I139" s="80">
        <v>0.185</v>
      </c>
      <c r="J139" s="80">
        <v>0.13500000000000001</v>
      </c>
      <c r="K139" s="80">
        <v>0.13</v>
      </c>
      <c r="L139" s="80">
        <v>0.125</v>
      </c>
      <c r="M139" s="80">
        <v>0.12</v>
      </c>
      <c r="N139" s="80">
        <v>0.11749999999999999</v>
      </c>
      <c r="O139" s="80">
        <v>0.11499999999999999</v>
      </c>
      <c r="P139" s="80">
        <v>0.11249999999999999</v>
      </c>
      <c r="Q139" s="80">
        <v>0.10999999999999999</v>
      </c>
      <c r="R139" s="80">
        <v>0.10749999999999998</v>
      </c>
      <c r="S139" s="80">
        <v>0.10499999999999998</v>
      </c>
      <c r="T139" s="80">
        <v>0.10249999999999998</v>
      </c>
      <c r="U139" s="80">
        <v>9.9999999999999978E-2</v>
      </c>
      <c r="V139" s="80">
        <v>9.7499999999999976E-2</v>
      </c>
    </row>
    <row r="140" spans="1:22">
      <c r="A140" s="35"/>
      <c r="B140" s="77">
        <v>500000</v>
      </c>
      <c r="C140" s="80">
        <v>0.75</v>
      </c>
      <c r="D140" s="80">
        <v>0.625</v>
      </c>
      <c r="E140" s="80">
        <v>0.52500000000000002</v>
      </c>
      <c r="F140" s="80">
        <v>0.435</v>
      </c>
      <c r="G140" s="80">
        <v>0.36</v>
      </c>
      <c r="H140" s="80">
        <v>0.28750000000000003</v>
      </c>
      <c r="I140" s="80">
        <v>0.22</v>
      </c>
      <c r="J140" s="80">
        <v>0.16</v>
      </c>
      <c r="K140" s="80">
        <v>0.155</v>
      </c>
      <c r="L140" s="80">
        <v>0.15</v>
      </c>
      <c r="M140" s="80">
        <v>0.14499999999999999</v>
      </c>
      <c r="N140" s="80">
        <v>0.14249999999999999</v>
      </c>
      <c r="O140" s="80">
        <v>0.13999999999999999</v>
      </c>
      <c r="P140" s="80">
        <v>0.13749999999999998</v>
      </c>
      <c r="Q140" s="80">
        <v>0.13499999999999998</v>
      </c>
      <c r="R140" s="80">
        <v>0.13249999999999998</v>
      </c>
      <c r="S140" s="80">
        <v>0.12999999999999998</v>
      </c>
      <c r="T140" s="80">
        <v>0.12749999999999997</v>
      </c>
      <c r="U140" s="80">
        <v>0.12499999999999997</v>
      </c>
      <c r="V140" s="80">
        <v>0.12249999999999997</v>
      </c>
    </row>
    <row r="142" spans="1:22">
      <c r="C142" s="38"/>
    </row>
    <row r="143" spans="1:22">
      <c r="C143" s="38"/>
    </row>
    <row r="144" spans="1:22">
      <c r="C144" s="38"/>
    </row>
    <row r="145" spans="3:3">
      <c r="C145" s="38"/>
    </row>
    <row r="146" spans="3:3">
      <c r="C146" s="38"/>
    </row>
    <row r="147" spans="3:3">
      <c r="C147" s="38"/>
    </row>
    <row r="148" spans="3:3">
      <c r="C148" s="38"/>
    </row>
  </sheetData>
  <mergeCells count="51">
    <mergeCell ref="R131:V131"/>
    <mergeCell ref="B131:B132"/>
    <mergeCell ref="E131:F131"/>
    <mergeCell ref="G131:I131"/>
    <mergeCell ref="J131:N131"/>
    <mergeCell ref="O131:Q131"/>
    <mergeCell ref="B116:C116"/>
    <mergeCell ref="B117:C117"/>
    <mergeCell ref="B118:C118"/>
    <mergeCell ref="A125:E125"/>
    <mergeCell ref="A129:D129"/>
    <mergeCell ref="A99:A100"/>
    <mergeCell ref="A108:D108"/>
    <mergeCell ref="A110:A111"/>
    <mergeCell ref="B114:C114"/>
    <mergeCell ref="B115:C115"/>
    <mergeCell ref="P19:T19"/>
    <mergeCell ref="N5:P5"/>
    <mergeCell ref="A10:E10"/>
    <mergeCell ref="D12:E12"/>
    <mergeCell ref="F12:H12"/>
    <mergeCell ref="I12:M12"/>
    <mergeCell ref="N12:P12"/>
    <mergeCell ref="A61:F61"/>
    <mergeCell ref="A71:M72"/>
    <mergeCell ref="A74:D74"/>
    <mergeCell ref="A18:B18"/>
    <mergeCell ref="A48:F48"/>
    <mergeCell ref="C19:D19"/>
    <mergeCell ref="E19:G19"/>
    <mergeCell ref="M19:O19"/>
    <mergeCell ref="A3:D3"/>
    <mergeCell ref="D5:E5"/>
    <mergeCell ref="F5:H5"/>
    <mergeCell ref="I5:M5"/>
    <mergeCell ref="A57:F57"/>
    <mergeCell ref="F114:G114"/>
    <mergeCell ref="F115:G115"/>
    <mergeCell ref="F116:G116"/>
    <mergeCell ref="F117:G117"/>
    <mergeCell ref="F118:G118"/>
    <mergeCell ref="J114:K114"/>
    <mergeCell ref="J115:K115"/>
    <mergeCell ref="J116:K116"/>
    <mergeCell ref="J117:K117"/>
    <mergeCell ref="J118:K118"/>
    <mergeCell ref="N114:O114"/>
    <mergeCell ref="N115:O115"/>
    <mergeCell ref="N116:O116"/>
    <mergeCell ref="N117:O117"/>
    <mergeCell ref="N118:O1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W170"/>
  <sheetViews>
    <sheetView topLeftCell="AD1" workbookViewId="0">
      <selection activeCell="AS12" sqref="AS12"/>
    </sheetView>
  </sheetViews>
  <sheetFormatPr defaultRowHeight="14.4"/>
  <cols>
    <col min="7" max="7" width="12.77734375" customWidth="1"/>
    <col min="17" max="17" width="10.44140625" customWidth="1"/>
    <col min="27" max="27" width="10.44140625" customWidth="1"/>
    <col min="37" max="37" width="10.77734375" customWidth="1"/>
  </cols>
  <sheetData>
    <row r="1" spans="1:49">
      <c r="B1" s="73" t="s">
        <v>115</v>
      </c>
      <c r="K1" s="73" t="s">
        <v>252</v>
      </c>
      <c r="V1" s="73" t="s">
        <v>53</v>
      </c>
      <c r="AF1" s="73" t="s">
        <v>54</v>
      </c>
    </row>
    <row r="2" spans="1:49">
      <c r="A2" s="5" t="s">
        <v>56</v>
      </c>
      <c r="B2" s="1"/>
      <c r="C2" s="144" t="s">
        <v>250</v>
      </c>
      <c r="D2" s="144"/>
      <c r="E2" s="154" t="s">
        <v>251</v>
      </c>
      <c r="F2" s="154"/>
      <c r="G2" s="154"/>
      <c r="K2" s="5" t="s">
        <v>56</v>
      </c>
      <c r="L2" s="1"/>
      <c r="M2" s="144" t="s">
        <v>250</v>
      </c>
      <c r="N2" s="144"/>
      <c r="O2" s="154" t="s">
        <v>251</v>
      </c>
      <c r="P2" s="154"/>
      <c r="Q2" s="154"/>
      <c r="U2" s="5" t="s">
        <v>56</v>
      </c>
      <c r="V2" s="1"/>
      <c r="W2" s="144" t="s">
        <v>250</v>
      </c>
      <c r="X2" s="144"/>
      <c r="Y2" s="154" t="s">
        <v>251</v>
      </c>
      <c r="Z2" s="154"/>
      <c r="AA2" s="154"/>
      <c r="AE2" s="5" t="s">
        <v>56</v>
      </c>
      <c r="AF2" s="1"/>
      <c r="AG2" s="144" t="s">
        <v>250</v>
      </c>
      <c r="AH2" s="144"/>
      <c r="AI2" s="154" t="s">
        <v>251</v>
      </c>
      <c r="AJ2" s="154"/>
      <c r="AK2" s="154"/>
    </row>
    <row r="3" spans="1:49">
      <c r="A3" s="1"/>
      <c r="B3" s="2" t="s">
        <v>60</v>
      </c>
      <c r="C3" s="6">
        <v>300000</v>
      </c>
      <c r="D3" s="6">
        <v>400000</v>
      </c>
      <c r="E3" s="6">
        <v>500000</v>
      </c>
      <c r="F3" s="6">
        <v>700000</v>
      </c>
      <c r="G3" s="6">
        <v>1000000</v>
      </c>
      <c r="K3" s="1"/>
      <c r="L3" s="2" t="s">
        <v>60</v>
      </c>
      <c r="M3" s="6">
        <v>300000</v>
      </c>
      <c r="N3" s="6">
        <v>400000</v>
      </c>
      <c r="O3" s="6">
        <v>500000</v>
      </c>
      <c r="P3" s="6">
        <v>700000</v>
      </c>
      <c r="Q3" s="6">
        <v>1000000</v>
      </c>
      <c r="U3" s="1"/>
      <c r="V3" s="2" t="s">
        <v>60</v>
      </c>
      <c r="W3" s="6">
        <v>300000</v>
      </c>
      <c r="X3" s="6">
        <v>400000</v>
      </c>
      <c r="Y3" s="6">
        <v>500000</v>
      </c>
      <c r="Z3" s="6">
        <v>700000</v>
      </c>
      <c r="AA3" s="6">
        <v>1000000</v>
      </c>
      <c r="AE3" s="1"/>
      <c r="AF3" s="2" t="s">
        <v>60</v>
      </c>
      <c r="AG3" s="6">
        <v>300000</v>
      </c>
      <c r="AH3" s="6">
        <v>400000</v>
      </c>
      <c r="AI3" s="6">
        <v>500000</v>
      </c>
      <c r="AJ3" s="6">
        <v>700000</v>
      </c>
      <c r="AK3" s="6">
        <v>1000000</v>
      </c>
    </row>
    <row r="4" spans="1:49">
      <c r="A4" s="1"/>
      <c r="B4" s="2" t="s">
        <v>9</v>
      </c>
      <c r="C4" s="141">
        <v>5176.1499999999996</v>
      </c>
      <c r="D4" s="141">
        <v>6232.9999999999991</v>
      </c>
      <c r="E4" s="141">
        <v>6858.5999999999995</v>
      </c>
      <c r="F4" s="141">
        <v>7672.7999999999993</v>
      </c>
      <c r="G4" s="141">
        <v>8566.3499999999985</v>
      </c>
      <c r="H4" s="1" t="s">
        <v>81</v>
      </c>
      <c r="K4" s="1"/>
      <c r="L4" s="2" t="s">
        <v>9</v>
      </c>
      <c r="M4" s="141">
        <v>4595.625</v>
      </c>
      <c r="N4" s="141">
        <v>5532.75</v>
      </c>
      <c r="O4" s="141">
        <v>6085.125</v>
      </c>
      <c r="P4" s="141">
        <v>6806.25</v>
      </c>
      <c r="Q4" s="141">
        <v>7599.375</v>
      </c>
      <c r="R4" s="1" t="s">
        <v>81</v>
      </c>
      <c r="U4" s="1"/>
      <c r="V4" s="2" t="s">
        <v>9</v>
      </c>
      <c r="W4" s="141">
        <v>4241.6000000000004</v>
      </c>
      <c r="X4" s="141">
        <v>5105.1000000000004</v>
      </c>
      <c r="Y4" s="141">
        <v>5614.4000000000005</v>
      </c>
      <c r="Z4" s="141">
        <v>6278.8</v>
      </c>
      <c r="AA4" s="141">
        <v>7009.2000000000007</v>
      </c>
      <c r="AB4" s="1" t="s">
        <v>81</v>
      </c>
      <c r="AE4" s="1"/>
      <c r="AF4" s="2" t="s">
        <v>9</v>
      </c>
      <c r="AG4" s="141">
        <v>3907.65</v>
      </c>
      <c r="AH4" s="141">
        <v>4701.17</v>
      </c>
      <c r="AI4" s="141">
        <v>5168.7800000000007</v>
      </c>
      <c r="AJ4" s="141">
        <v>5780.27</v>
      </c>
      <c r="AK4" s="141">
        <v>6451.71</v>
      </c>
      <c r="AL4" s="1" t="s">
        <v>81</v>
      </c>
    </row>
    <row r="5" spans="1:49">
      <c r="A5" s="1"/>
      <c r="B5" s="2" t="s">
        <v>10</v>
      </c>
      <c r="C5" s="141">
        <v>3890.45</v>
      </c>
      <c r="D5" s="141">
        <v>4698.8999999999996</v>
      </c>
      <c r="E5" s="141">
        <v>5258.95</v>
      </c>
      <c r="F5" s="141">
        <v>5886.8499999999995</v>
      </c>
      <c r="G5" s="141">
        <v>6577.9999999999991</v>
      </c>
      <c r="H5" s="9" t="s">
        <v>82</v>
      </c>
      <c r="I5" s="86" t="s">
        <v>253</v>
      </c>
      <c r="K5" s="1"/>
      <c r="L5" s="2" t="s">
        <v>10</v>
      </c>
      <c r="M5" s="141">
        <v>3458.25</v>
      </c>
      <c r="N5" s="141">
        <v>4173.75</v>
      </c>
      <c r="O5" s="141">
        <v>4668.75</v>
      </c>
      <c r="P5" s="141">
        <v>5225.625</v>
      </c>
      <c r="Q5" s="141">
        <v>5837.625</v>
      </c>
      <c r="R5" s="9" t="s">
        <v>82</v>
      </c>
      <c r="S5" s="86" t="s">
        <v>263</v>
      </c>
      <c r="U5" s="1"/>
      <c r="V5" s="2" t="s">
        <v>10</v>
      </c>
      <c r="W5" s="141">
        <v>3193.3</v>
      </c>
      <c r="X5" s="141">
        <v>3852.2000000000003</v>
      </c>
      <c r="Y5" s="141">
        <v>4308.7000000000007</v>
      </c>
      <c r="Z5" s="141">
        <v>4821.3</v>
      </c>
      <c r="AA5" s="141">
        <v>5385.6</v>
      </c>
      <c r="AB5" s="9" t="s">
        <v>82</v>
      </c>
      <c r="AC5" s="86" t="s">
        <v>273</v>
      </c>
      <c r="AE5" s="1"/>
      <c r="AF5" s="2" t="s">
        <v>10</v>
      </c>
      <c r="AG5" s="141">
        <v>2943</v>
      </c>
      <c r="AH5" s="141">
        <v>3549.0400000000004</v>
      </c>
      <c r="AI5" s="141">
        <v>3968.6900000000005</v>
      </c>
      <c r="AJ5" s="141">
        <v>4439.5700000000006</v>
      </c>
      <c r="AK5" s="141">
        <v>4959.5</v>
      </c>
      <c r="AL5" s="9" t="s">
        <v>82</v>
      </c>
      <c r="AM5" s="86" t="s">
        <v>283</v>
      </c>
      <c r="AQ5" t="str">
        <f>VLOOKUP('CALCULATOR CARE V6'!B2,DROPDOWN!K:L,2,0)</f>
        <v>18-24</v>
      </c>
      <c r="AR5" t="str">
        <f>VLOOKUP('CALCULATOR CARE V6'!E2,DROPDOWN!K:L,2,0)</f>
        <v>18-24</v>
      </c>
      <c r="AS5" t="str">
        <f>VLOOKUP('CALCULATOR CARE V6'!F2,DROPDOWN!K:L,2,0)</f>
        <v>18-24</v>
      </c>
    </row>
    <row r="6" spans="1:49">
      <c r="A6" s="1"/>
      <c r="B6" s="2" t="s">
        <v>11</v>
      </c>
      <c r="C6" s="141">
        <v>9847.4499999999989</v>
      </c>
      <c r="D6" s="141">
        <v>12232.55</v>
      </c>
      <c r="E6" s="141">
        <v>14089.8</v>
      </c>
      <c r="F6" s="141">
        <v>15771.099999999999</v>
      </c>
      <c r="G6" s="141">
        <v>17620.3</v>
      </c>
      <c r="H6" s="9" t="s">
        <v>83</v>
      </c>
      <c r="I6" s="86" t="s">
        <v>254</v>
      </c>
      <c r="K6" s="1"/>
      <c r="L6" s="2" t="s">
        <v>11</v>
      </c>
      <c r="M6" s="141">
        <v>8736.75</v>
      </c>
      <c r="N6" s="141">
        <v>10849.5</v>
      </c>
      <c r="O6" s="141">
        <v>12506.625</v>
      </c>
      <c r="P6" s="141">
        <v>13996.125</v>
      </c>
      <c r="Q6" s="141">
        <v>15635.25</v>
      </c>
      <c r="R6" s="9" t="s">
        <v>83</v>
      </c>
      <c r="S6" s="86" t="s">
        <v>264</v>
      </c>
      <c r="U6" s="1"/>
      <c r="V6" s="2" t="s">
        <v>11</v>
      </c>
      <c r="W6" s="141">
        <v>8060.8000000000011</v>
      </c>
      <c r="X6" s="141">
        <v>10006.700000000001</v>
      </c>
      <c r="Y6" s="141">
        <v>11540.1</v>
      </c>
      <c r="Z6" s="141">
        <v>12914.000000000002</v>
      </c>
      <c r="AA6" s="141">
        <v>14424.300000000001</v>
      </c>
      <c r="AB6" s="9" t="s">
        <v>83</v>
      </c>
      <c r="AC6" s="86" t="s">
        <v>274</v>
      </c>
      <c r="AE6" s="1"/>
      <c r="AF6" s="2" t="s">
        <v>11</v>
      </c>
      <c r="AG6" s="141">
        <v>7420.72</v>
      </c>
      <c r="AH6" s="141">
        <v>9211.59</v>
      </c>
      <c r="AI6" s="141">
        <v>10627.5</v>
      </c>
      <c r="AJ6" s="141">
        <v>11890.810000000001</v>
      </c>
      <c r="AK6" s="141">
        <v>13280.560000000001</v>
      </c>
      <c r="AL6" s="9" t="s">
        <v>83</v>
      </c>
      <c r="AM6" s="86" t="s">
        <v>284</v>
      </c>
      <c r="AP6" s="3" t="s">
        <v>102</v>
      </c>
      <c r="AQ6" t="str">
        <f>'CALCULATOR CARE V6'!B3&amp;"+"&amp;'CALCULATOR CARE V6'!B4</f>
        <v>1+0</v>
      </c>
    </row>
    <row r="7" spans="1:49">
      <c r="A7" s="1"/>
      <c r="B7" s="2" t="s">
        <v>12</v>
      </c>
      <c r="C7" s="141">
        <v>11642.599999999999</v>
      </c>
      <c r="D7" s="141">
        <v>14025.4</v>
      </c>
      <c r="E7" s="141">
        <v>15936.699999999999</v>
      </c>
      <c r="F7" s="141">
        <v>18035.449999999997</v>
      </c>
      <c r="G7" s="141">
        <v>20148</v>
      </c>
      <c r="H7" s="9" t="s">
        <v>84</v>
      </c>
      <c r="I7" s="86" t="s">
        <v>255</v>
      </c>
      <c r="K7" s="1"/>
      <c r="L7" s="2" t="s">
        <v>12</v>
      </c>
      <c r="M7" s="141">
        <v>10334.25</v>
      </c>
      <c r="N7" s="141">
        <v>12444.75</v>
      </c>
      <c r="O7" s="141">
        <v>14152.5</v>
      </c>
      <c r="P7" s="141">
        <v>16013.25</v>
      </c>
      <c r="Q7" s="141">
        <v>17885.25</v>
      </c>
      <c r="R7" s="9" t="s">
        <v>84</v>
      </c>
      <c r="S7" s="86" t="s">
        <v>265</v>
      </c>
      <c r="U7" s="1"/>
      <c r="V7" s="2" t="s">
        <v>12</v>
      </c>
      <c r="W7" s="141">
        <v>9535.9000000000015</v>
      </c>
      <c r="X7" s="141">
        <v>11481.800000000001</v>
      </c>
      <c r="Y7" s="141">
        <v>13063.6</v>
      </c>
      <c r="Z7" s="141">
        <v>14778.500000000002</v>
      </c>
      <c r="AA7" s="141">
        <v>16505.5</v>
      </c>
      <c r="AB7" s="9" t="s">
        <v>84</v>
      </c>
      <c r="AC7" s="86" t="s">
        <v>275</v>
      </c>
      <c r="AE7" s="1"/>
      <c r="AF7" s="2" t="s">
        <v>12</v>
      </c>
      <c r="AG7" s="141">
        <v>8782.130000000001</v>
      </c>
      <c r="AH7" s="141">
        <v>10570.820000000002</v>
      </c>
      <c r="AI7" s="141">
        <v>12033.6</v>
      </c>
      <c r="AJ7" s="141">
        <v>13611.920000000002</v>
      </c>
      <c r="AK7" s="141">
        <v>15200.050000000001</v>
      </c>
      <c r="AL7" s="9" t="s">
        <v>84</v>
      </c>
      <c r="AM7" s="86" t="s">
        <v>285</v>
      </c>
      <c r="AP7" t="s">
        <v>103</v>
      </c>
      <c r="AQ7">
        <f>IF(AQ6="1+0",AR7,AS7)</f>
        <v>4</v>
      </c>
      <c r="AR7">
        <f>VLOOKUP(AQ5,DROPDOWN!O15:Q27,2,0)</f>
        <v>4</v>
      </c>
      <c r="AS7">
        <f>VLOOKUP(AQ5,DROPDOWN!O15:Q27,3,0)</f>
        <v>2</v>
      </c>
      <c r="AT7">
        <f>VLOOKUP(AR5,DROPDOWN!O15:Q27,2,0)</f>
        <v>4</v>
      </c>
      <c r="AU7">
        <f>VLOOKUP(AR5,DROPDOWN!O15:Q27,3,0)</f>
        <v>2</v>
      </c>
      <c r="AV7">
        <f>VLOOKUP(AS5,DROPDOWN!O15:Q27,2,0)</f>
        <v>4</v>
      </c>
      <c r="AW7">
        <f>VLOOKUP(AS5,DROPDOWN!O15:Q27,3,0)</f>
        <v>2</v>
      </c>
    </row>
    <row r="8" spans="1:49">
      <c r="A8" s="1"/>
      <c r="B8" s="2" t="s">
        <v>13</v>
      </c>
      <c r="C8" s="141">
        <v>13293.999999999998</v>
      </c>
      <c r="D8" s="141">
        <v>16049.4</v>
      </c>
      <c r="E8" s="141">
        <v>18259.699999999997</v>
      </c>
      <c r="F8" s="141">
        <v>20704.599999999999</v>
      </c>
      <c r="G8" s="141">
        <v>23169.05</v>
      </c>
      <c r="H8" s="9" t="s">
        <v>85</v>
      </c>
      <c r="I8" s="86" t="s">
        <v>256</v>
      </c>
      <c r="K8" s="1"/>
      <c r="L8" s="2" t="s">
        <v>13</v>
      </c>
      <c r="M8" s="141">
        <v>11796.75</v>
      </c>
      <c r="N8" s="141">
        <v>14236.875</v>
      </c>
      <c r="O8" s="141">
        <v>16209</v>
      </c>
      <c r="P8" s="141">
        <v>18375.75</v>
      </c>
      <c r="Q8" s="141">
        <v>20560.5</v>
      </c>
      <c r="R8" s="9" t="s">
        <v>85</v>
      </c>
      <c r="S8" s="86" t="s">
        <v>266</v>
      </c>
      <c r="U8" s="1"/>
      <c r="V8" s="2" t="s">
        <v>13</v>
      </c>
      <c r="W8" s="141">
        <v>10884.5</v>
      </c>
      <c r="X8" s="141">
        <v>13131.800000000001</v>
      </c>
      <c r="Y8" s="141">
        <v>14958.900000000001</v>
      </c>
      <c r="Z8" s="141">
        <v>16956.5</v>
      </c>
      <c r="AA8" s="141">
        <v>18969.5</v>
      </c>
      <c r="AB8" s="9" t="s">
        <v>85</v>
      </c>
      <c r="AC8" s="86" t="s">
        <v>276</v>
      </c>
      <c r="AE8" s="1"/>
      <c r="AF8" s="2" t="s">
        <v>13</v>
      </c>
      <c r="AG8" s="141">
        <v>10021.460000000001</v>
      </c>
      <c r="AH8" s="141">
        <v>12088.1</v>
      </c>
      <c r="AI8" s="141">
        <v>13776.51</v>
      </c>
      <c r="AJ8" s="141">
        <v>15614.250000000002</v>
      </c>
      <c r="AK8" s="141">
        <v>17466.16</v>
      </c>
      <c r="AL8" s="9" t="s">
        <v>85</v>
      </c>
      <c r="AM8" s="86" t="s">
        <v>286</v>
      </c>
      <c r="AP8" t="s">
        <v>104</v>
      </c>
      <c r="AQ8">
        <f>VLOOKUP('CALCULATOR CARE V6'!B6,DROPDOWN!A:C,3,0)</f>
        <v>19</v>
      </c>
    </row>
    <row r="9" spans="1:49">
      <c r="A9" s="1"/>
      <c r="B9" s="2" t="s">
        <v>14</v>
      </c>
      <c r="C9" s="141">
        <v>15220.249999999998</v>
      </c>
      <c r="D9" s="141">
        <v>18404.599999999999</v>
      </c>
      <c r="E9" s="141">
        <v>20886.3</v>
      </c>
      <c r="F9" s="141">
        <v>23750.949999999997</v>
      </c>
      <c r="G9" s="141">
        <v>26642.05</v>
      </c>
      <c r="H9" s="9" t="s">
        <v>86</v>
      </c>
      <c r="I9" s="86" t="s">
        <v>257</v>
      </c>
      <c r="K9" s="1"/>
      <c r="L9" s="2" t="s">
        <v>14</v>
      </c>
      <c r="M9" s="141">
        <v>13502.25</v>
      </c>
      <c r="N9" s="141">
        <v>16322.625</v>
      </c>
      <c r="O9" s="141">
        <v>18535.5</v>
      </c>
      <c r="P9" s="141">
        <v>21073.5</v>
      </c>
      <c r="Q9" s="141">
        <v>23635.125</v>
      </c>
      <c r="R9" s="9" t="s">
        <v>86</v>
      </c>
      <c r="S9" s="86" t="s">
        <v>267</v>
      </c>
      <c r="U9" s="1"/>
      <c r="V9" s="2" t="s">
        <v>14</v>
      </c>
      <c r="W9" s="141">
        <v>12455.300000000001</v>
      </c>
      <c r="X9" s="141">
        <v>15053.500000000002</v>
      </c>
      <c r="Y9" s="141">
        <v>17101.7</v>
      </c>
      <c r="Z9" s="141">
        <v>19441.400000000001</v>
      </c>
      <c r="AA9" s="141">
        <v>21803.100000000002</v>
      </c>
      <c r="AB9" s="9" t="s">
        <v>86</v>
      </c>
      <c r="AC9" s="86" t="s">
        <v>277</v>
      </c>
      <c r="AE9" s="1"/>
      <c r="AF9" s="2" t="s">
        <v>14</v>
      </c>
      <c r="AG9" s="141">
        <v>11465.710000000001</v>
      </c>
      <c r="AH9" s="141">
        <v>13854.990000000002</v>
      </c>
      <c r="AI9" s="141">
        <v>15747.230000000001</v>
      </c>
      <c r="AJ9" s="141">
        <v>17898.890000000003</v>
      </c>
      <c r="AK9" s="141">
        <v>20071.260000000002</v>
      </c>
      <c r="AL9" s="9" t="s">
        <v>86</v>
      </c>
      <c r="AM9" s="86" t="s">
        <v>287</v>
      </c>
      <c r="AP9" t="s">
        <v>105</v>
      </c>
      <c r="AQ9" t="str">
        <f>HLOOKUP(AR10,AS9:AV10,2,0)</f>
        <v>AF3:AK16</v>
      </c>
      <c r="AS9" t="s">
        <v>115</v>
      </c>
      <c r="AT9" t="s">
        <v>118</v>
      </c>
      <c r="AU9" t="s">
        <v>106</v>
      </c>
      <c r="AV9" t="s">
        <v>108</v>
      </c>
    </row>
    <row r="10" spans="1:49">
      <c r="A10" s="1"/>
      <c r="B10" s="2" t="s">
        <v>15</v>
      </c>
      <c r="C10" s="141">
        <v>18441.399999999998</v>
      </c>
      <c r="D10" s="141">
        <v>22321.5</v>
      </c>
      <c r="E10" s="141">
        <v>25431.1</v>
      </c>
      <c r="F10" s="141">
        <v>29027.149999999998</v>
      </c>
      <c r="G10" s="141">
        <v>32546.149999999998</v>
      </c>
      <c r="H10" s="9" t="s">
        <v>87</v>
      </c>
      <c r="I10" s="86" t="s">
        <v>258</v>
      </c>
      <c r="K10" s="1"/>
      <c r="L10" s="2" t="s">
        <v>15</v>
      </c>
      <c r="M10" s="141">
        <v>16360.875</v>
      </c>
      <c r="N10" s="141">
        <v>19797.75</v>
      </c>
      <c r="O10" s="141">
        <v>22569.75</v>
      </c>
      <c r="P10" s="141">
        <v>25756.875</v>
      </c>
      <c r="Q10" s="141">
        <v>28875.375</v>
      </c>
      <c r="R10" s="9" t="s">
        <v>87</v>
      </c>
      <c r="S10" s="86" t="s">
        <v>268</v>
      </c>
      <c r="U10" s="1"/>
      <c r="V10" s="2" t="s">
        <v>15</v>
      </c>
      <c r="W10" s="141">
        <v>15093.1</v>
      </c>
      <c r="X10" s="141">
        <v>18260</v>
      </c>
      <c r="Y10" s="141">
        <v>20825.2</v>
      </c>
      <c r="Z10" s="141">
        <v>23763.300000000003</v>
      </c>
      <c r="AA10" s="141">
        <v>26637.600000000002</v>
      </c>
      <c r="AB10" s="9" t="s">
        <v>87</v>
      </c>
      <c r="AC10" s="86" t="s">
        <v>278</v>
      </c>
      <c r="AE10" s="1"/>
      <c r="AF10" s="2" t="s">
        <v>15</v>
      </c>
      <c r="AG10" s="141">
        <v>13895.320000000002</v>
      </c>
      <c r="AH10" s="141">
        <v>16806.710000000003</v>
      </c>
      <c r="AI10" s="141">
        <v>19176.370000000003</v>
      </c>
      <c r="AJ10" s="141">
        <v>21878.480000000003</v>
      </c>
      <c r="AK10" s="141">
        <v>24522.820000000003</v>
      </c>
      <c r="AL10" s="9" t="s">
        <v>87</v>
      </c>
      <c r="AM10" s="86" t="s">
        <v>288</v>
      </c>
      <c r="AP10" t="s">
        <v>114</v>
      </c>
      <c r="AR10" t="str">
        <f>'CALCULATOR CARE V6'!B8</f>
        <v>ZONE 3</v>
      </c>
      <c r="AS10" t="str">
        <f>VLOOKUP(AQ6,H5:I15,2,0)</f>
        <v>B3:G16</v>
      </c>
      <c r="AT10" t="str">
        <f>VLOOKUP(AQ6,R5:S15,2,0)</f>
        <v>L3:Q16</v>
      </c>
      <c r="AU10" t="str">
        <f>VLOOKUP(AQ6,AB5:AC14,2,0)</f>
        <v>V3:AA16</v>
      </c>
      <c r="AV10" t="str">
        <f>VLOOKUP(AQ6,AL5:AM14,2,0)</f>
        <v>AF3:AK16</v>
      </c>
    </row>
    <row r="11" spans="1:49">
      <c r="A11" s="1"/>
      <c r="B11" s="2" t="s">
        <v>16</v>
      </c>
      <c r="C11" s="141">
        <v>23887.8</v>
      </c>
      <c r="D11" s="141">
        <v>28976.55</v>
      </c>
      <c r="E11" s="141">
        <v>32972.799999999996</v>
      </c>
      <c r="F11" s="141">
        <v>37720</v>
      </c>
      <c r="G11" s="141">
        <v>42385.549999999996</v>
      </c>
      <c r="H11" s="9" t="s">
        <v>88</v>
      </c>
      <c r="I11" s="86" t="s">
        <v>259</v>
      </c>
      <c r="K11" s="1"/>
      <c r="L11" s="2" t="s">
        <v>16</v>
      </c>
      <c r="M11" s="141">
        <v>21183.75</v>
      </c>
      <c r="N11" s="141">
        <v>25689.375</v>
      </c>
      <c r="O11" s="141">
        <v>29247.75</v>
      </c>
      <c r="P11" s="141">
        <v>33454.125</v>
      </c>
      <c r="Q11" s="141">
        <v>37588.5</v>
      </c>
      <c r="R11" s="9" t="s">
        <v>88</v>
      </c>
      <c r="S11" s="86" t="s">
        <v>269</v>
      </c>
      <c r="U11" s="1"/>
      <c r="V11" s="2" t="s">
        <v>16</v>
      </c>
      <c r="W11" s="141">
        <v>19537.100000000002</v>
      </c>
      <c r="X11" s="141">
        <v>23689.600000000002</v>
      </c>
      <c r="Y11" s="141">
        <v>26978.600000000002</v>
      </c>
      <c r="Z11" s="141">
        <v>30856.100000000002</v>
      </c>
      <c r="AA11" s="141">
        <v>34666.5</v>
      </c>
      <c r="AB11" s="9" t="s">
        <v>88</v>
      </c>
      <c r="AC11" s="86" t="s">
        <v>279</v>
      </c>
      <c r="AE11" s="1"/>
      <c r="AF11" s="2" t="s">
        <v>16</v>
      </c>
      <c r="AG11" s="141">
        <v>17980.640000000003</v>
      </c>
      <c r="AH11" s="141">
        <v>21798.91</v>
      </c>
      <c r="AI11" s="141">
        <v>24834.560000000001</v>
      </c>
      <c r="AJ11" s="141">
        <v>28399.95</v>
      </c>
      <c r="AK11" s="141">
        <v>31905.390000000003</v>
      </c>
      <c r="AL11" s="9" t="s">
        <v>88</v>
      </c>
      <c r="AM11" s="86" t="s">
        <v>289</v>
      </c>
    </row>
    <row r="12" spans="1:49">
      <c r="A12" s="1"/>
      <c r="B12" s="2" t="s">
        <v>17</v>
      </c>
      <c r="C12" s="141">
        <v>31886.05</v>
      </c>
      <c r="D12" s="141">
        <v>38734.299999999996</v>
      </c>
      <c r="E12" s="141">
        <v>44176.1</v>
      </c>
      <c r="F12" s="141">
        <v>50629.899999999994</v>
      </c>
      <c r="G12" s="141">
        <v>57021.599999999999</v>
      </c>
      <c r="H12" s="9" t="s">
        <v>89</v>
      </c>
      <c r="I12" s="86" t="s">
        <v>260</v>
      </c>
      <c r="K12" s="1"/>
      <c r="L12" s="2" t="s">
        <v>17</v>
      </c>
      <c r="M12" s="141">
        <v>28275.75</v>
      </c>
      <c r="N12" s="141">
        <v>34339.5</v>
      </c>
      <c r="O12" s="141">
        <v>39184.875</v>
      </c>
      <c r="P12" s="141">
        <v>44903.25</v>
      </c>
      <c r="Q12" s="141">
        <v>50565.375</v>
      </c>
      <c r="R12" s="9" t="s">
        <v>89</v>
      </c>
      <c r="S12" s="86" t="s">
        <v>270</v>
      </c>
      <c r="U12" s="1"/>
      <c r="V12" s="2" t="s">
        <v>17</v>
      </c>
      <c r="W12" s="141">
        <v>26077.7</v>
      </c>
      <c r="X12" s="141">
        <v>31665.700000000004</v>
      </c>
      <c r="Y12" s="141">
        <v>36143.800000000003</v>
      </c>
      <c r="Z12" s="141">
        <v>41415</v>
      </c>
      <c r="AA12" s="141">
        <v>46634.500000000007</v>
      </c>
      <c r="AB12" s="9" t="s">
        <v>89</v>
      </c>
      <c r="AC12" s="86" t="s">
        <v>280</v>
      </c>
      <c r="AE12" s="1"/>
      <c r="AF12" s="2" t="s">
        <v>17</v>
      </c>
      <c r="AG12" s="141">
        <v>24000.710000000003</v>
      </c>
      <c r="AH12" s="141">
        <v>29138.97</v>
      </c>
      <c r="AI12" s="141">
        <v>33270.07</v>
      </c>
      <c r="AJ12" s="141">
        <v>38118.39</v>
      </c>
      <c r="AK12" s="141">
        <v>42919.840000000004</v>
      </c>
      <c r="AL12" s="9" t="s">
        <v>89</v>
      </c>
      <c r="AM12" s="86" t="s">
        <v>290</v>
      </c>
      <c r="AP12" s="73" t="s">
        <v>293</v>
      </c>
      <c r="AQ12" s="4" t="e">
        <f ca="1">INDEX(INDIRECT(AQ9),AQ7,AQ8)</f>
        <v>#REF!</v>
      </c>
      <c r="AR12" t="e">
        <f ca="1">INDEX(INDIRECT(AQ9),AQ15,AQ8)</f>
        <v>#REF!</v>
      </c>
      <c r="AS12" t="e">
        <f ca="1">INDEX(INDIRECT(AQ9),AQ16,AQ8)</f>
        <v>#REF!</v>
      </c>
    </row>
    <row r="13" spans="1:49">
      <c r="A13" s="1"/>
      <c r="B13" s="2" t="s">
        <v>18</v>
      </c>
      <c r="C13" s="141">
        <v>41258.549999999996</v>
      </c>
      <c r="D13" s="141">
        <v>50215.899999999994</v>
      </c>
      <c r="E13" s="141">
        <v>57192.95</v>
      </c>
      <c r="F13" s="141">
        <v>65719.049999999988</v>
      </c>
      <c r="G13" s="141">
        <v>75958.649999999994</v>
      </c>
      <c r="H13" s="9" t="s">
        <v>90</v>
      </c>
      <c r="I13" s="86" t="s">
        <v>261</v>
      </c>
      <c r="K13" s="1"/>
      <c r="L13" s="2" t="s">
        <v>18</v>
      </c>
      <c r="M13" s="141">
        <v>36573.75</v>
      </c>
      <c r="N13" s="141">
        <v>44505</v>
      </c>
      <c r="O13" s="141">
        <v>50707.125</v>
      </c>
      <c r="P13" s="141">
        <v>58260.375</v>
      </c>
      <c r="Q13" s="141">
        <v>67332.375</v>
      </c>
      <c r="R13" s="9" t="s">
        <v>90</v>
      </c>
      <c r="S13" s="86" t="s">
        <v>271</v>
      </c>
      <c r="U13" s="1"/>
      <c r="V13" s="2" t="s">
        <v>18</v>
      </c>
      <c r="W13" s="141">
        <v>33722.700000000004</v>
      </c>
      <c r="X13" s="141">
        <v>41032.200000000004</v>
      </c>
      <c r="Y13" s="141">
        <v>46759.9</v>
      </c>
      <c r="Z13" s="141">
        <v>53721.8</v>
      </c>
      <c r="AA13" s="141">
        <v>62084.000000000007</v>
      </c>
      <c r="AB13" s="9" t="s">
        <v>90</v>
      </c>
      <c r="AC13" s="86" t="s">
        <v>281</v>
      </c>
      <c r="AE13" s="1"/>
      <c r="AF13" s="2" t="s">
        <v>18</v>
      </c>
      <c r="AG13" s="141">
        <v>31029.030000000002</v>
      </c>
      <c r="AH13" s="141">
        <v>37749.97</v>
      </c>
      <c r="AI13" s="141">
        <v>43029.93</v>
      </c>
      <c r="AJ13" s="141">
        <v>49432.590000000004</v>
      </c>
      <c r="AK13" s="141">
        <v>57124.72</v>
      </c>
      <c r="AL13" s="9" t="s">
        <v>90</v>
      </c>
      <c r="AM13" s="86" t="s">
        <v>291</v>
      </c>
    </row>
    <row r="14" spans="1:49">
      <c r="A14" s="1"/>
      <c r="B14" s="2" t="s">
        <v>19</v>
      </c>
      <c r="C14" s="141">
        <v>54069.549999999996</v>
      </c>
      <c r="D14" s="141">
        <v>65947.899999999994</v>
      </c>
      <c r="E14" s="141">
        <v>75433.099999999991</v>
      </c>
      <c r="F14" s="141">
        <v>86828.45</v>
      </c>
      <c r="G14" s="141">
        <v>98281.299999999988</v>
      </c>
      <c r="H14" s="9" t="s">
        <v>91</v>
      </c>
      <c r="I14" s="86" t="s">
        <v>262</v>
      </c>
      <c r="K14" s="1"/>
      <c r="L14" s="2" t="s">
        <v>19</v>
      </c>
      <c r="M14" s="141">
        <v>47921.625</v>
      </c>
      <c r="N14" s="141">
        <v>58439.25</v>
      </c>
      <c r="O14" s="141">
        <v>66864.375</v>
      </c>
      <c r="P14" s="141">
        <v>76957.875</v>
      </c>
      <c r="Q14" s="141">
        <v>87103.125</v>
      </c>
      <c r="R14" s="9" t="s">
        <v>91</v>
      </c>
      <c r="S14" s="86" t="s">
        <v>272</v>
      </c>
      <c r="U14" s="1"/>
      <c r="V14" s="2" t="s">
        <v>19</v>
      </c>
      <c r="W14" s="141">
        <v>44181.5</v>
      </c>
      <c r="X14" s="141">
        <v>53874.700000000004</v>
      </c>
      <c r="Y14" s="141">
        <v>61650.600000000006</v>
      </c>
      <c r="Z14" s="141">
        <v>70954.400000000009</v>
      </c>
      <c r="AA14" s="141">
        <v>80304.400000000009</v>
      </c>
      <c r="AB14" s="9" t="s">
        <v>91</v>
      </c>
      <c r="AC14" s="86" t="s">
        <v>282</v>
      </c>
      <c r="AE14" s="1"/>
      <c r="AF14" s="2" t="s">
        <v>19</v>
      </c>
      <c r="AG14" s="141">
        <v>40648.280000000006</v>
      </c>
      <c r="AH14" s="141">
        <v>49560.12</v>
      </c>
      <c r="AI14" s="141">
        <v>56724.69</v>
      </c>
      <c r="AJ14" s="141">
        <v>65281.19</v>
      </c>
      <c r="AK14" s="141">
        <v>73880.200000000012</v>
      </c>
      <c r="AL14" s="9" t="s">
        <v>91</v>
      </c>
      <c r="AM14" s="86" t="s">
        <v>292</v>
      </c>
    </row>
    <row r="15" spans="1:49">
      <c r="A15" s="1"/>
      <c r="B15" s="2" t="s">
        <v>20</v>
      </c>
      <c r="C15" s="141">
        <v>63981.399999999994</v>
      </c>
      <c r="D15" s="141">
        <v>78166.649999999994</v>
      </c>
      <c r="E15" s="141">
        <v>89388.349999999991</v>
      </c>
      <c r="F15" s="141">
        <v>103049.2</v>
      </c>
      <c r="G15" s="141">
        <v>116834.24999999999</v>
      </c>
      <c r="K15" s="1"/>
      <c r="L15" s="2" t="s">
        <v>20</v>
      </c>
      <c r="M15" s="141">
        <v>56697.75</v>
      </c>
      <c r="N15" s="141">
        <v>69259.5</v>
      </c>
      <c r="O15" s="141">
        <v>79221.375</v>
      </c>
      <c r="P15" s="141">
        <v>91321.875</v>
      </c>
      <c r="Q15" s="141">
        <v>103531.5</v>
      </c>
      <c r="U15" s="1"/>
      <c r="V15" s="2" t="s">
        <v>20</v>
      </c>
      <c r="W15" s="141">
        <v>52269.8</v>
      </c>
      <c r="X15" s="141">
        <v>63845.100000000006</v>
      </c>
      <c r="Y15" s="141">
        <v>73038.900000000009</v>
      </c>
      <c r="Z15" s="141">
        <v>84190.700000000012</v>
      </c>
      <c r="AA15" s="141">
        <v>95443.700000000012</v>
      </c>
      <c r="AE15" s="1"/>
      <c r="AF15" s="2" t="s">
        <v>20</v>
      </c>
      <c r="AG15" s="141">
        <v>48085.350000000006</v>
      </c>
      <c r="AH15" s="141">
        <v>58728.110000000008</v>
      </c>
      <c r="AI15" s="141">
        <v>67195.23000000001</v>
      </c>
      <c r="AJ15" s="141">
        <v>77451.040000000008</v>
      </c>
      <c r="AK15" s="141">
        <v>87800.590000000011</v>
      </c>
      <c r="AQ15">
        <f>IF(AQ6="1+0",AT7,AU7)</f>
        <v>4</v>
      </c>
    </row>
    <row r="16" spans="1:49">
      <c r="A16" s="1"/>
      <c r="B16" s="2" t="s">
        <v>21</v>
      </c>
      <c r="C16" s="141">
        <v>83595.799999999988</v>
      </c>
      <c r="D16" s="141">
        <v>102295.95</v>
      </c>
      <c r="E16" s="141">
        <v>118655.84999999999</v>
      </c>
      <c r="F16" s="141">
        <v>136998.34999999998</v>
      </c>
      <c r="G16" s="141">
        <v>157395.9</v>
      </c>
      <c r="K16" s="1"/>
      <c r="L16" s="2" t="s">
        <v>21</v>
      </c>
      <c r="M16" s="141">
        <v>74066.625</v>
      </c>
      <c r="N16" s="141">
        <v>90625.5</v>
      </c>
      <c r="O16" s="141">
        <v>105138</v>
      </c>
      <c r="P16" s="141">
        <v>121384.125</v>
      </c>
      <c r="Q16" s="141">
        <v>139449.375</v>
      </c>
      <c r="U16" s="1"/>
      <c r="V16" s="2" t="s">
        <v>21</v>
      </c>
      <c r="W16" s="141">
        <v>68274.8</v>
      </c>
      <c r="X16" s="141">
        <v>83534</v>
      </c>
      <c r="Y16" s="141">
        <v>96919.900000000009</v>
      </c>
      <c r="Z16" s="141">
        <v>111893.1</v>
      </c>
      <c r="AA16" s="141">
        <v>128542.70000000001</v>
      </c>
      <c r="AE16" s="1"/>
      <c r="AF16" s="2" t="s">
        <v>21</v>
      </c>
      <c r="AG16" s="141">
        <v>62801.440000000002</v>
      </c>
      <c r="AH16" s="141">
        <v>76833.010000000009</v>
      </c>
      <c r="AI16" s="141">
        <v>89154.37000000001</v>
      </c>
      <c r="AJ16" s="141">
        <v>102924.34000000001</v>
      </c>
      <c r="AK16" s="141">
        <v>118236.66</v>
      </c>
      <c r="AQ16">
        <f>IF(AQ6="1+0",AV7,AW7)</f>
        <v>4</v>
      </c>
    </row>
    <row r="17" spans="1:37">
      <c r="A17" s="1"/>
      <c r="B17" s="1"/>
      <c r="C17" s="1"/>
      <c r="D17" s="1"/>
      <c r="E17" s="1"/>
      <c r="F17" s="1"/>
      <c r="G17" s="1"/>
      <c r="K17" s="1"/>
      <c r="L17" s="1"/>
      <c r="M17" s="1"/>
      <c r="N17" s="1"/>
      <c r="O17" s="1"/>
      <c r="P17" s="1"/>
      <c r="Q17" s="1"/>
      <c r="U17" s="1"/>
      <c r="V17" s="1"/>
      <c r="W17" s="1"/>
      <c r="X17" s="1"/>
      <c r="Y17" s="1"/>
      <c r="Z17" s="1"/>
      <c r="AA17" s="1"/>
      <c r="AE17" s="1"/>
      <c r="AF17" s="1"/>
      <c r="AG17" s="1"/>
      <c r="AH17" s="1"/>
      <c r="AI17" s="1"/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K18" s="1"/>
      <c r="L18" s="1"/>
      <c r="M18" s="1"/>
      <c r="N18" s="1"/>
      <c r="O18" s="1"/>
      <c r="P18" s="1"/>
      <c r="Q18" s="1"/>
      <c r="U18" s="1"/>
      <c r="V18" s="1"/>
      <c r="W18" s="1"/>
      <c r="X18" s="1"/>
      <c r="Y18" s="1"/>
      <c r="Z18" s="1"/>
      <c r="AA18" s="1"/>
      <c r="AE18" s="1"/>
      <c r="AF18" s="1"/>
      <c r="AG18" s="1"/>
      <c r="AH18" s="1"/>
      <c r="AI18" s="1"/>
      <c r="AJ18" s="1"/>
      <c r="AK18" s="1"/>
    </row>
    <row r="19" spans="1:37">
      <c r="A19" s="5" t="s">
        <v>61</v>
      </c>
      <c r="B19" s="1"/>
      <c r="C19" s="144" t="s">
        <v>250</v>
      </c>
      <c r="D19" s="144"/>
      <c r="E19" s="154" t="s">
        <v>251</v>
      </c>
      <c r="F19" s="154"/>
      <c r="G19" s="154"/>
      <c r="K19" s="5" t="s">
        <v>61</v>
      </c>
      <c r="L19" s="1"/>
      <c r="M19" s="144" t="s">
        <v>250</v>
      </c>
      <c r="N19" s="144"/>
      <c r="O19" s="154" t="s">
        <v>251</v>
      </c>
      <c r="P19" s="154"/>
      <c r="Q19" s="154"/>
      <c r="U19" s="5" t="s">
        <v>61</v>
      </c>
      <c r="V19" s="1"/>
      <c r="W19" s="144" t="s">
        <v>250</v>
      </c>
      <c r="X19" s="144"/>
      <c r="Y19" s="154" t="s">
        <v>251</v>
      </c>
      <c r="Z19" s="154"/>
      <c r="AA19" s="154"/>
      <c r="AE19" s="5" t="s">
        <v>61</v>
      </c>
      <c r="AF19" s="1"/>
      <c r="AG19" s="144" t="s">
        <v>250</v>
      </c>
      <c r="AH19" s="144"/>
      <c r="AI19" s="154" t="s">
        <v>251</v>
      </c>
      <c r="AJ19" s="154"/>
      <c r="AK19" s="154"/>
    </row>
    <row r="20" spans="1:37">
      <c r="A20" s="1"/>
      <c r="B20" s="2" t="s">
        <v>60</v>
      </c>
      <c r="C20" s="94">
        <v>300000</v>
      </c>
      <c r="D20" s="94">
        <v>400000</v>
      </c>
      <c r="E20" s="94">
        <v>500000</v>
      </c>
      <c r="F20" s="94">
        <v>700000</v>
      </c>
      <c r="G20" s="94">
        <v>1000000</v>
      </c>
      <c r="K20" s="1"/>
      <c r="L20" s="2" t="s">
        <v>60</v>
      </c>
      <c r="M20" s="94">
        <v>300000</v>
      </c>
      <c r="N20" s="94">
        <v>400000</v>
      </c>
      <c r="O20" s="94">
        <v>500000</v>
      </c>
      <c r="P20" s="94">
        <v>700000</v>
      </c>
      <c r="Q20" s="94">
        <v>1000000</v>
      </c>
      <c r="U20" s="1"/>
      <c r="V20" s="2" t="s">
        <v>60</v>
      </c>
      <c r="W20" s="94">
        <v>300000</v>
      </c>
      <c r="X20" s="94">
        <v>400000</v>
      </c>
      <c r="Y20" s="94">
        <v>500000</v>
      </c>
      <c r="Z20" s="94">
        <v>700000</v>
      </c>
      <c r="AA20" s="94">
        <v>1000000</v>
      </c>
      <c r="AE20" s="1"/>
      <c r="AF20" s="2" t="s">
        <v>60</v>
      </c>
      <c r="AG20" s="94">
        <v>300000</v>
      </c>
      <c r="AH20" s="94">
        <v>400000</v>
      </c>
      <c r="AI20" s="94">
        <v>500000</v>
      </c>
      <c r="AJ20" s="94">
        <v>700000</v>
      </c>
      <c r="AK20" s="94">
        <v>1000000</v>
      </c>
    </row>
    <row r="21" spans="1:37">
      <c r="A21" s="1"/>
      <c r="B21" s="2" t="s">
        <v>11</v>
      </c>
      <c r="C21" s="141">
        <v>10693.849999999999</v>
      </c>
      <c r="D21" s="141">
        <v>13032.949999999999</v>
      </c>
      <c r="E21" s="141">
        <v>15063.849999999999</v>
      </c>
      <c r="F21" s="141">
        <v>16504.8</v>
      </c>
      <c r="G21" s="141">
        <v>18431.05</v>
      </c>
      <c r="K21" s="1"/>
      <c r="L21" s="2" t="s">
        <v>11</v>
      </c>
      <c r="M21" s="141">
        <v>9499.5</v>
      </c>
      <c r="N21" s="141">
        <v>11570.625</v>
      </c>
      <c r="O21" s="141">
        <v>13381.875</v>
      </c>
      <c r="P21" s="141">
        <v>14657.625</v>
      </c>
      <c r="Q21" s="141">
        <v>16365.375</v>
      </c>
      <c r="U21" s="1"/>
      <c r="V21" s="2" t="s">
        <v>11</v>
      </c>
      <c r="W21" s="141">
        <v>8770.3000000000011</v>
      </c>
      <c r="X21" s="141">
        <v>10678.800000000001</v>
      </c>
      <c r="Y21" s="141">
        <v>12354.1</v>
      </c>
      <c r="Z21" s="141">
        <v>13530.000000000002</v>
      </c>
      <c r="AA21" s="141">
        <v>15104.1</v>
      </c>
      <c r="AE21" s="1"/>
      <c r="AF21" s="2" t="s">
        <v>11</v>
      </c>
      <c r="AG21" s="141">
        <v>8080.170000000001</v>
      </c>
      <c r="AH21" s="141">
        <v>9836.16</v>
      </c>
      <c r="AI21" s="141">
        <v>11381.78</v>
      </c>
      <c r="AJ21" s="141">
        <v>12463.060000000001</v>
      </c>
      <c r="AK21" s="141">
        <v>13911.670000000002</v>
      </c>
    </row>
    <row r="22" spans="1:37">
      <c r="A22" s="1"/>
      <c r="B22" s="2" t="s">
        <v>12</v>
      </c>
      <c r="C22" s="141">
        <v>11867.999999999998</v>
      </c>
      <c r="D22" s="141">
        <v>14258.849999999999</v>
      </c>
      <c r="E22" s="141">
        <v>16553.099999999999</v>
      </c>
      <c r="F22" s="141">
        <v>17797.399999999998</v>
      </c>
      <c r="G22" s="141">
        <v>19602.899999999998</v>
      </c>
      <c r="K22" s="1"/>
      <c r="L22" s="2" t="s">
        <v>12</v>
      </c>
      <c r="M22" s="141">
        <v>10546.875</v>
      </c>
      <c r="N22" s="141">
        <v>12663</v>
      </c>
      <c r="O22" s="141">
        <v>14711.625</v>
      </c>
      <c r="P22" s="141">
        <v>15813</v>
      </c>
      <c r="Q22" s="141">
        <v>17413.875</v>
      </c>
      <c r="U22" s="1"/>
      <c r="V22" s="2" t="s">
        <v>12</v>
      </c>
      <c r="W22" s="141">
        <v>9738.3000000000011</v>
      </c>
      <c r="X22" s="141">
        <v>11689.7</v>
      </c>
      <c r="Y22" s="141">
        <v>13586.1</v>
      </c>
      <c r="Z22" s="141">
        <v>14600.300000000001</v>
      </c>
      <c r="AA22" s="141">
        <v>16075.400000000001</v>
      </c>
      <c r="AE22" s="1"/>
      <c r="AF22" s="2" t="s">
        <v>12</v>
      </c>
      <c r="AG22" s="141">
        <v>8975.0600000000013</v>
      </c>
      <c r="AH22" s="141">
        <v>10768.11</v>
      </c>
      <c r="AI22" s="141">
        <v>12520.830000000002</v>
      </c>
      <c r="AJ22" s="141">
        <v>13453.87</v>
      </c>
      <c r="AK22" s="141">
        <v>14810.920000000002</v>
      </c>
    </row>
    <row r="23" spans="1:37">
      <c r="A23" s="1"/>
      <c r="B23" s="2" t="s">
        <v>13</v>
      </c>
      <c r="C23" s="141">
        <v>13514.8</v>
      </c>
      <c r="D23" s="141">
        <v>16305.849999999999</v>
      </c>
      <c r="E23" s="141">
        <v>19031.349999999999</v>
      </c>
      <c r="F23" s="141">
        <v>20900.099999999999</v>
      </c>
      <c r="G23" s="141">
        <v>22929.85</v>
      </c>
      <c r="K23" s="1"/>
      <c r="L23" s="2" t="s">
        <v>13</v>
      </c>
      <c r="M23" s="141">
        <v>12004.875</v>
      </c>
      <c r="N23" s="141">
        <v>14476.5</v>
      </c>
      <c r="O23" s="141">
        <v>16908.75</v>
      </c>
      <c r="P23" s="141">
        <v>18564.75</v>
      </c>
      <c r="Q23" s="141">
        <v>20363.625</v>
      </c>
      <c r="U23" s="1"/>
      <c r="V23" s="2" t="s">
        <v>13</v>
      </c>
      <c r="W23" s="141">
        <v>11082.5</v>
      </c>
      <c r="X23" s="141">
        <v>13360.6</v>
      </c>
      <c r="Y23" s="141">
        <v>15612.300000000001</v>
      </c>
      <c r="Z23" s="141">
        <v>17138</v>
      </c>
      <c r="AA23" s="141">
        <v>18796.800000000003</v>
      </c>
      <c r="AE23" s="1"/>
      <c r="AF23" s="2" t="s">
        <v>13</v>
      </c>
      <c r="AG23" s="141">
        <v>10211.120000000001</v>
      </c>
      <c r="AH23" s="141">
        <v>12306.1</v>
      </c>
      <c r="AI23" s="141">
        <v>14385.820000000002</v>
      </c>
      <c r="AJ23" s="141">
        <v>15789.740000000002</v>
      </c>
      <c r="AK23" s="141">
        <v>17314.650000000001</v>
      </c>
    </row>
    <row r="24" spans="1:37">
      <c r="A24" s="1"/>
      <c r="B24" s="2" t="s">
        <v>14</v>
      </c>
      <c r="C24" s="141">
        <v>15645.749999999998</v>
      </c>
      <c r="D24" s="141">
        <v>18930.149999999998</v>
      </c>
      <c r="E24" s="141">
        <v>22131.75</v>
      </c>
      <c r="F24" s="141">
        <v>24353.55</v>
      </c>
      <c r="G24" s="141">
        <v>27297.55</v>
      </c>
      <c r="K24" s="1"/>
      <c r="L24" s="2" t="s">
        <v>14</v>
      </c>
      <c r="M24" s="141">
        <v>13894.875</v>
      </c>
      <c r="N24" s="141">
        <v>16803</v>
      </c>
      <c r="O24" s="141">
        <v>19659.375</v>
      </c>
      <c r="P24" s="141">
        <v>21627</v>
      </c>
      <c r="Q24" s="141">
        <v>24237</v>
      </c>
      <c r="U24" s="1"/>
      <c r="V24" s="2" t="s">
        <v>14</v>
      </c>
      <c r="W24" s="141">
        <v>12824.900000000001</v>
      </c>
      <c r="X24" s="141">
        <v>15505.6</v>
      </c>
      <c r="Y24" s="141">
        <v>18147.800000000003</v>
      </c>
      <c r="Z24" s="141">
        <v>19961.7</v>
      </c>
      <c r="AA24" s="141">
        <v>22367.4</v>
      </c>
      <c r="AE24" s="1"/>
      <c r="AF24" s="2" t="s">
        <v>14</v>
      </c>
      <c r="AG24" s="141">
        <v>11813.42</v>
      </c>
      <c r="AH24" s="141">
        <v>14277.910000000002</v>
      </c>
      <c r="AI24" s="141">
        <v>16719.510000000002</v>
      </c>
      <c r="AJ24" s="141">
        <v>18387.210000000003</v>
      </c>
      <c r="AK24" s="141">
        <v>20602.09</v>
      </c>
    </row>
    <row r="25" spans="1:37">
      <c r="A25" s="1"/>
      <c r="B25" s="2" t="s">
        <v>15</v>
      </c>
      <c r="C25" s="141">
        <v>18972.699999999997</v>
      </c>
      <c r="D25" s="141">
        <v>22966.649999999998</v>
      </c>
      <c r="E25" s="141">
        <v>26960.6</v>
      </c>
      <c r="F25" s="141">
        <v>31232.85</v>
      </c>
      <c r="G25" s="141">
        <v>34902.5</v>
      </c>
      <c r="K25" s="1"/>
      <c r="L25" s="2" t="s">
        <v>15</v>
      </c>
      <c r="M25" s="141">
        <v>16846.875</v>
      </c>
      <c r="N25" s="141">
        <v>20383.875</v>
      </c>
      <c r="O25" s="141">
        <v>23947.875</v>
      </c>
      <c r="P25" s="141">
        <v>27730.125</v>
      </c>
      <c r="Q25" s="141">
        <v>30982.5</v>
      </c>
      <c r="U25" s="1"/>
      <c r="V25" s="2" t="s">
        <v>15</v>
      </c>
      <c r="W25" s="141">
        <v>15548.500000000002</v>
      </c>
      <c r="X25" s="141">
        <v>18807.800000000003</v>
      </c>
      <c r="Y25" s="141">
        <v>22106.7</v>
      </c>
      <c r="Z25" s="141">
        <v>25592.600000000002</v>
      </c>
      <c r="AA25" s="141">
        <v>28591.200000000001</v>
      </c>
      <c r="AE25" s="1"/>
      <c r="AF25" s="2" t="s">
        <v>15</v>
      </c>
      <c r="AG25" s="141">
        <v>14321.51</v>
      </c>
      <c r="AH25" s="141">
        <v>17319.010000000002</v>
      </c>
      <c r="AI25" s="141">
        <v>20366.650000000001</v>
      </c>
      <c r="AJ25" s="141">
        <v>23572.34</v>
      </c>
      <c r="AK25" s="141">
        <v>26331.13</v>
      </c>
    </row>
    <row r="26" spans="1:37">
      <c r="A26" s="1"/>
      <c r="B26" s="2" t="s">
        <v>16</v>
      </c>
      <c r="C26" s="141">
        <v>24638.749999999996</v>
      </c>
      <c r="D26" s="141">
        <v>29913.8</v>
      </c>
      <c r="E26" s="141">
        <v>34509.199999999997</v>
      </c>
      <c r="F26" s="141">
        <v>40102.799999999996</v>
      </c>
      <c r="G26" s="141">
        <v>44902.899999999994</v>
      </c>
      <c r="K26" s="1"/>
      <c r="L26" s="2" t="s">
        <v>16</v>
      </c>
      <c r="M26" s="141">
        <v>21865.5</v>
      </c>
      <c r="N26" s="141">
        <v>26536.5</v>
      </c>
      <c r="O26" s="141">
        <v>30636</v>
      </c>
      <c r="P26" s="141">
        <v>35589.375</v>
      </c>
      <c r="Q26" s="141">
        <v>39843</v>
      </c>
      <c r="U26" s="1"/>
      <c r="V26" s="2" t="s">
        <v>16</v>
      </c>
      <c r="W26" s="141">
        <v>20175.100000000002</v>
      </c>
      <c r="X26" s="141">
        <v>24478.300000000003</v>
      </c>
      <c r="Y26" s="141">
        <v>28271.100000000002</v>
      </c>
      <c r="Z26" s="141">
        <v>32837.200000000004</v>
      </c>
      <c r="AA26" s="141">
        <v>36757.600000000006</v>
      </c>
      <c r="AE26" s="1"/>
      <c r="AF26" s="2" t="s">
        <v>16</v>
      </c>
      <c r="AG26" s="141">
        <v>18576.870000000003</v>
      </c>
      <c r="AH26" s="141">
        <v>22533.570000000003</v>
      </c>
      <c r="AI26" s="141">
        <v>26036.83</v>
      </c>
      <c r="AJ26" s="141">
        <v>30235.510000000002</v>
      </c>
      <c r="AK26" s="141">
        <v>33842.32</v>
      </c>
    </row>
    <row r="27" spans="1:37">
      <c r="A27" s="1"/>
      <c r="B27" s="2" t="s">
        <v>17</v>
      </c>
      <c r="C27" s="141">
        <v>32793.399999999994</v>
      </c>
      <c r="D27" s="141">
        <v>39863.599999999999</v>
      </c>
      <c r="E27" s="141">
        <v>46379.5</v>
      </c>
      <c r="F27" s="141">
        <v>52505.549999999996</v>
      </c>
      <c r="G27" s="141">
        <v>58937.499999999993</v>
      </c>
      <c r="K27" s="1"/>
      <c r="L27" s="2" t="s">
        <v>17</v>
      </c>
      <c r="M27" s="141">
        <v>29097</v>
      </c>
      <c r="N27" s="141">
        <v>35357.625</v>
      </c>
      <c r="O27" s="141">
        <v>41164.875</v>
      </c>
      <c r="P27" s="141">
        <v>46590.75</v>
      </c>
      <c r="Q27" s="141">
        <v>52290</v>
      </c>
      <c r="U27" s="1"/>
      <c r="V27" s="2" t="s">
        <v>17</v>
      </c>
      <c r="W27" s="141">
        <v>26844.400000000001</v>
      </c>
      <c r="X27" s="141">
        <v>32612.800000000003</v>
      </c>
      <c r="Y27" s="141">
        <v>37984.100000000006</v>
      </c>
      <c r="Z27" s="141">
        <v>42983.600000000006</v>
      </c>
      <c r="AA27" s="141">
        <v>48238.3</v>
      </c>
      <c r="AE27" s="1"/>
      <c r="AF27" s="2" t="s">
        <v>17</v>
      </c>
      <c r="AG27" s="141">
        <v>24714.660000000003</v>
      </c>
      <c r="AH27" s="141">
        <v>30018.600000000002</v>
      </c>
      <c r="AI27" s="141">
        <v>34978.100000000006</v>
      </c>
      <c r="AJ27" s="141">
        <v>39575.72</v>
      </c>
      <c r="AK27" s="141">
        <v>44408.780000000006</v>
      </c>
    </row>
    <row r="28" spans="1:37">
      <c r="A28" s="1"/>
      <c r="B28" s="2" t="s">
        <v>18</v>
      </c>
      <c r="C28" s="141">
        <v>42541.95</v>
      </c>
      <c r="D28" s="141">
        <v>51785.649999999994</v>
      </c>
      <c r="E28" s="141">
        <v>59000.749999999993</v>
      </c>
      <c r="F28" s="141">
        <v>69121.899999999994</v>
      </c>
      <c r="G28" s="141">
        <v>79775.5</v>
      </c>
      <c r="K28" s="1"/>
      <c r="L28" s="2" t="s">
        <v>18</v>
      </c>
      <c r="M28" s="141">
        <v>37729.125</v>
      </c>
      <c r="N28" s="141">
        <v>45914.625</v>
      </c>
      <c r="O28" s="141">
        <v>52338.375</v>
      </c>
      <c r="P28" s="141">
        <v>61302.375</v>
      </c>
      <c r="Q28" s="141">
        <v>70741.125</v>
      </c>
      <c r="U28" s="1"/>
      <c r="V28" s="2" t="s">
        <v>18</v>
      </c>
      <c r="W28" s="141">
        <v>34798.5</v>
      </c>
      <c r="X28" s="141">
        <v>42341.200000000004</v>
      </c>
      <c r="Y28" s="141">
        <v>48279.000000000007</v>
      </c>
      <c r="Z28" s="141">
        <v>56540.000000000007</v>
      </c>
      <c r="AA28" s="141">
        <v>65242.100000000006</v>
      </c>
      <c r="AE28" s="1"/>
      <c r="AF28" s="2" t="s">
        <v>18</v>
      </c>
      <c r="AG28" s="141">
        <v>32028.560000000001</v>
      </c>
      <c r="AH28" s="141">
        <v>38964.230000000003</v>
      </c>
      <c r="AI28" s="141">
        <v>44442.57</v>
      </c>
      <c r="AJ28" s="141">
        <v>52038.780000000006</v>
      </c>
      <c r="AK28" s="141">
        <v>60043.740000000005</v>
      </c>
    </row>
    <row r="29" spans="1:37">
      <c r="A29" s="1"/>
      <c r="B29" s="2" t="s">
        <v>19</v>
      </c>
      <c r="C29" s="141">
        <v>55043.6</v>
      </c>
      <c r="D29" s="141">
        <v>67154.25</v>
      </c>
      <c r="E29" s="141">
        <v>78773.849999999991</v>
      </c>
      <c r="F29" s="141">
        <v>89679.299999999988</v>
      </c>
      <c r="G29" s="141">
        <v>101279.34999999999</v>
      </c>
      <c r="K29" s="1"/>
      <c r="L29" s="2" t="s">
        <v>19</v>
      </c>
      <c r="M29" s="141">
        <v>48799.125</v>
      </c>
      <c r="N29" s="141">
        <v>59522.625</v>
      </c>
      <c r="O29" s="141">
        <v>69849</v>
      </c>
      <c r="P29" s="141">
        <v>79507.125</v>
      </c>
      <c r="Q29" s="141">
        <v>89782.875</v>
      </c>
      <c r="U29" s="1"/>
      <c r="V29" s="2" t="s">
        <v>19</v>
      </c>
      <c r="W29" s="141">
        <v>44998.8</v>
      </c>
      <c r="X29" s="141">
        <v>54881.200000000004</v>
      </c>
      <c r="Y29" s="141">
        <v>64416.000000000007</v>
      </c>
      <c r="Z29" s="141">
        <v>73316.100000000006</v>
      </c>
      <c r="AA29" s="141">
        <v>82788.200000000012</v>
      </c>
      <c r="AE29" s="1"/>
      <c r="AF29" s="2" t="s">
        <v>19</v>
      </c>
      <c r="AG29" s="141">
        <v>41406.920000000006</v>
      </c>
      <c r="AH29" s="141">
        <v>50494.250000000007</v>
      </c>
      <c r="AI29" s="141">
        <v>59280.740000000005</v>
      </c>
      <c r="AJ29" s="141">
        <v>67465.55</v>
      </c>
      <c r="AK29" s="141">
        <v>76177.920000000013</v>
      </c>
    </row>
    <row r="30" spans="1:37">
      <c r="A30" s="1"/>
      <c r="B30" s="2" t="s">
        <v>20</v>
      </c>
      <c r="C30" s="141">
        <v>64993.399999999994</v>
      </c>
      <c r="D30" s="141">
        <v>79409.799999999988</v>
      </c>
      <c r="E30" s="141">
        <v>91526.2</v>
      </c>
      <c r="F30" s="141">
        <v>104431.49999999999</v>
      </c>
      <c r="G30" s="141">
        <v>118159.04999999999</v>
      </c>
      <c r="K30" s="1"/>
      <c r="L30" s="2" t="s">
        <v>20</v>
      </c>
      <c r="M30" s="141">
        <v>57610.125</v>
      </c>
      <c r="N30" s="141">
        <v>70376.625</v>
      </c>
      <c r="O30" s="141">
        <v>81140.625</v>
      </c>
      <c r="P30" s="141">
        <v>92569.5</v>
      </c>
      <c r="Q30" s="141">
        <v>104729.625</v>
      </c>
      <c r="U30" s="1"/>
      <c r="V30" s="2" t="s">
        <v>20</v>
      </c>
      <c r="W30" s="141">
        <v>53117.9</v>
      </c>
      <c r="X30" s="141">
        <v>64882.400000000009</v>
      </c>
      <c r="Y30" s="141">
        <v>74820.900000000009</v>
      </c>
      <c r="Z30" s="141">
        <v>85353.400000000009</v>
      </c>
      <c r="AA30" s="141">
        <v>96561.3</v>
      </c>
      <c r="AE30" s="1"/>
      <c r="AF30" s="2" t="s">
        <v>20</v>
      </c>
      <c r="AG30" s="141">
        <v>48873.420000000006</v>
      </c>
      <c r="AH30" s="141">
        <v>59690.58</v>
      </c>
      <c r="AI30" s="141">
        <v>68847.67</v>
      </c>
      <c r="AJ30" s="141">
        <v>78533.41</v>
      </c>
      <c r="AK30" s="141">
        <v>88841.540000000008</v>
      </c>
    </row>
    <row r="31" spans="1:37">
      <c r="A31" s="1"/>
      <c r="B31" s="2" t="s">
        <v>21</v>
      </c>
      <c r="C31" s="141">
        <v>84868.849999999991</v>
      </c>
      <c r="D31" s="141">
        <v>103847.29999999999</v>
      </c>
      <c r="E31" s="141">
        <v>122557.79999999999</v>
      </c>
      <c r="F31" s="141">
        <v>140196.5</v>
      </c>
      <c r="G31" s="141">
        <v>162196</v>
      </c>
      <c r="K31" s="1"/>
      <c r="L31" s="2" t="s">
        <v>21</v>
      </c>
      <c r="M31" s="141">
        <v>75210.75</v>
      </c>
      <c r="N31" s="141">
        <v>92016</v>
      </c>
      <c r="O31" s="141">
        <v>108622.125</v>
      </c>
      <c r="P31" s="141">
        <v>124242.75</v>
      </c>
      <c r="Q31" s="141">
        <v>143730</v>
      </c>
      <c r="U31" s="1"/>
      <c r="V31" s="2" t="s">
        <v>21</v>
      </c>
      <c r="W31" s="141">
        <v>69337.400000000009</v>
      </c>
      <c r="X31" s="141">
        <v>84824.3</v>
      </c>
      <c r="Y31" s="141">
        <v>100146.20000000001</v>
      </c>
      <c r="Z31" s="141">
        <v>114541.90000000001</v>
      </c>
      <c r="AA31" s="141">
        <v>132502.70000000001</v>
      </c>
      <c r="AE31" s="1"/>
      <c r="AF31" s="2" t="s">
        <v>21</v>
      </c>
      <c r="AG31" s="141">
        <v>63787.890000000007</v>
      </c>
      <c r="AH31" s="141">
        <v>78027.650000000009</v>
      </c>
      <c r="AI31" s="141">
        <v>92137.700000000012</v>
      </c>
      <c r="AJ31" s="141">
        <v>105374.66</v>
      </c>
      <c r="AK31" s="141">
        <v>121892.52</v>
      </c>
    </row>
    <row r="32" spans="1:37">
      <c r="A32" s="1"/>
      <c r="B32" s="1"/>
      <c r="C32" s="1"/>
      <c r="D32" s="1"/>
      <c r="E32" s="1"/>
      <c r="F32" s="1"/>
      <c r="G32" s="1"/>
      <c r="K32" s="1"/>
      <c r="L32" s="1"/>
      <c r="M32" s="1"/>
      <c r="N32" s="1"/>
      <c r="O32" s="1"/>
      <c r="P32" s="1"/>
      <c r="Q32" s="1"/>
      <c r="U32" s="1"/>
      <c r="V32" s="1"/>
      <c r="W32" s="1"/>
      <c r="X32" s="1"/>
      <c r="Y32" s="1"/>
      <c r="Z32" s="1"/>
      <c r="AA32" s="1"/>
      <c r="AE32" s="1"/>
      <c r="AF32" s="1"/>
      <c r="AG32" s="1"/>
      <c r="AH32" s="1"/>
      <c r="AI32" s="1"/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K33" s="1"/>
      <c r="L33" s="1"/>
      <c r="M33" s="1"/>
      <c r="N33" s="1"/>
      <c r="O33" s="1"/>
      <c r="P33" s="1"/>
      <c r="Q33" s="1"/>
      <c r="U33" s="1"/>
      <c r="V33" s="1"/>
      <c r="W33" s="1"/>
      <c r="X33" s="1"/>
      <c r="Y33" s="1"/>
      <c r="Z33" s="1"/>
      <c r="AA33" s="1"/>
      <c r="AE33" s="1"/>
      <c r="AF33" s="1"/>
      <c r="AG33" s="1"/>
      <c r="AH33" s="1"/>
      <c r="AI33" s="1"/>
      <c r="AJ33" s="1"/>
      <c r="AK33" s="1"/>
    </row>
    <row r="34" spans="1:37">
      <c r="A34" s="5" t="s">
        <v>62</v>
      </c>
      <c r="B34" s="1"/>
      <c r="C34" s="144" t="s">
        <v>250</v>
      </c>
      <c r="D34" s="144"/>
      <c r="E34" s="154" t="s">
        <v>251</v>
      </c>
      <c r="F34" s="154"/>
      <c r="G34" s="154"/>
      <c r="K34" s="5" t="s">
        <v>62</v>
      </c>
      <c r="L34" s="1"/>
      <c r="M34" s="144" t="s">
        <v>250</v>
      </c>
      <c r="N34" s="144"/>
      <c r="O34" s="154" t="s">
        <v>251</v>
      </c>
      <c r="P34" s="154"/>
      <c r="Q34" s="154"/>
      <c r="U34" s="5" t="s">
        <v>62</v>
      </c>
      <c r="V34" s="1"/>
      <c r="W34" s="144" t="s">
        <v>250</v>
      </c>
      <c r="X34" s="144"/>
      <c r="Y34" s="154" t="s">
        <v>251</v>
      </c>
      <c r="Z34" s="154"/>
      <c r="AA34" s="154"/>
      <c r="AE34" s="5" t="s">
        <v>62</v>
      </c>
      <c r="AF34" s="1"/>
      <c r="AG34" s="144" t="s">
        <v>250</v>
      </c>
      <c r="AH34" s="144"/>
      <c r="AI34" s="154" t="s">
        <v>251</v>
      </c>
      <c r="AJ34" s="154"/>
      <c r="AK34" s="154"/>
    </row>
    <row r="35" spans="1:37">
      <c r="A35" s="1"/>
      <c r="B35" s="2" t="s">
        <v>60</v>
      </c>
      <c r="C35" s="94">
        <v>300000</v>
      </c>
      <c r="D35" s="94">
        <v>400000</v>
      </c>
      <c r="E35" s="94">
        <v>500000</v>
      </c>
      <c r="F35" s="94">
        <v>700000</v>
      </c>
      <c r="G35" s="94">
        <v>1000000</v>
      </c>
      <c r="K35" s="1"/>
      <c r="L35" s="2" t="s">
        <v>60</v>
      </c>
      <c r="M35" s="94">
        <v>300000</v>
      </c>
      <c r="N35" s="94">
        <v>400000</v>
      </c>
      <c r="O35" s="94">
        <v>500000</v>
      </c>
      <c r="P35" s="94">
        <v>700000</v>
      </c>
      <c r="Q35" s="94">
        <v>1000000</v>
      </c>
      <c r="U35" s="1"/>
      <c r="V35" s="2" t="s">
        <v>60</v>
      </c>
      <c r="W35" s="94">
        <v>300000</v>
      </c>
      <c r="X35" s="94">
        <v>400000</v>
      </c>
      <c r="Y35" s="94">
        <v>500000</v>
      </c>
      <c r="Z35" s="94">
        <v>700000</v>
      </c>
      <c r="AA35" s="94">
        <v>1000000</v>
      </c>
      <c r="AE35" s="1"/>
      <c r="AF35" s="2" t="s">
        <v>60</v>
      </c>
      <c r="AG35" s="94">
        <v>300000</v>
      </c>
      <c r="AH35" s="94">
        <v>400000</v>
      </c>
      <c r="AI35" s="94">
        <v>500000</v>
      </c>
      <c r="AJ35" s="94">
        <v>700000</v>
      </c>
      <c r="AK35" s="94">
        <v>1000000</v>
      </c>
    </row>
    <row r="36" spans="1:37">
      <c r="A36" s="1"/>
      <c r="B36" s="2" t="s">
        <v>11</v>
      </c>
      <c r="C36" s="141">
        <v>13831.05</v>
      </c>
      <c r="D36" s="141">
        <v>16646.25</v>
      </c>
      <c r="E36" s="141">
        <v>18648.399999999998</v>
      </c>
      <c r="F36" s="141">
        <v>21158.85</v>
      </c>
      <c r="G36" s="141">
        <v>23684.249999999996</v>
      </c>
      <c r="K36" s="1"/>
      <c r="L36" s="2" t="s">
        <v>11</v>
      </c>
      <c r="M36" s="141">
        <v>12277.125</v>
      </c>
      <c r="N36" s="141">
        <v>14770.125</v>
      </c>
      <c r="O36" s="141">
        <v>16553.25</v>
      </c>
      <c r="P36" s="141">
        <v>18779.625</v>
      </c>
      <c r="Q36" s="141">
        <v>21017.25</v>
      </c>
      <c r="U36" s="1"/>
      <c r="V36" s="2" t="s">
        <v>11</v>
      </c>
      <c r="W36" s="141">
        <v>11330.000000000002</v>
      </c>
      <c r="X36" s="141">
        <v>13626.800000000001</v>
      </c>
      <c r="Y36" s="141">
        <v>15275.7</v>
      </c>
      <c r="Z36" s="141">
        <v>17327.2</v>
      </c>
      <c r="AA36" s="141">
        <v>19390.800000000003</v>
      </c>
      <c r="AE36" s="1"/>
      <c r="AF36" s="2" t="s">
        <v>11</v>
      </c>
      <c r="AG36" s="141">
        <v>10433.480000000001</v>
      </c>
      <c r="AH36" s="141">
        <v>12545.900000000001</v>
      </c>
      <c r="AI36" s="141">
        <v>14067.54</v>
      </c>
      <c r="AJ36" s="141">
        <v>15955.420000000002</v>
      </c>
      <c r="AK36" s="141">
        <v>17853.11</v>
      </c>
    </row>
    <row r="37" spans="1:37">
      <c r="A37" s="1"/>
      <c r="B37" s="2" t="s">
        <v>12</v>
      </c>
      <c r="C37" s="141">
        <v>14890.199999999999</v>
      </c>
      <c r="D37" s="141">
        <v>17905.5</v>
      </c>
      <c r="E37" s="141">
        <v>19945.599999999999</v>
      </c>
      <c r="F37" s="141">
        <v>22643.5</v>
      </c>
      <c r="G37" s="141">
        <v>24500.749999999996</v>
      </c>
      <c r="K37" s="1"/>
      <c r="L37" s="2" t="s">
        <v>12</v>
      </c>
      <c r="M37" s="141">
        <v>13222.125</v>
      </c>
      <c r="N37" s="141">
        <v>15892.875</v>
      </c>
      <c r="O37" s="141">
        <v>17714.25</v>
      </c>
      <c r="P37" s="141">
        <v>20104.875</v>
      </c>
      <c r="Q37" s="141">
        <v>21749.625</v>
      </c>
      <c r="U37" s="1"/>
      <c r="V37" s="2" t="s">
        <v>12</v>
      </c>
      <c r="W37" s="141">
        <v>12204.500000000002</v>
      </c>
      <c r="X37" s="141">
        <v>14665.2</v>
      </c>
      <c r="Y37" s="141">
        <v>16351.500000000002</v>
      </c>
      <c r="Z37" s="141">
        <v>18555.900000000001</v>
      </c>
      <c r="AA37" s="141">
        <v>20071.7</v>
      </c>
      <c r="AE37" s="1"/>
      <c r="AF37" s="2" t="s">
        <v>12</v>
      </c>
      <c r="AG37" s="141">
        <v>11241.17</v>
      </c>
      <c r="AH37" s="141">
        <v>13504.01</v>
      </c>
      <c r="AI37" s="141">
        <v>15062.710000000001</v>
      </c>
      <c r="AJ37" s="141">
        <v>17091.2</v>
      </c>
      <c r="AK37" s="141">
        <v>18485.310000000001</v>
      </c>
    </row>
    <row r="38" spans="1:37">
      <c r="A38" s="1"/>
      <c r="B38" s="2" t="s">
        <v>13</v>
      </c>
      <c r="C38" s="141">
        <v>16942.949999999997</v>
      </c>
      <c r="D38" s="141">
        <v>20483.8</v>
      </c>
      <c r="E38" s="141">
        <v>22973.55</v>
      </c>
      <c r="F38" s="141">
        <v>26109.599999999999</v>
      </c>
      <c r="G38" s="141">
        <v>28979.999999999996</v>
      </c>
      <c r="K38" s="1"/>
      <c r="L38" s="2" t="s">
        <v>13</v>
      </c>
      <c r="M38" s="141">
        <v>15040.125</v>
      </c>
      <c r="N38" s="141">
        <v>18176.625</v>
      </c>
      <c r="O38" s="141">
        <v>20398.5</v>
      </c>
      <c r="P38" s="141">
        <v>23178.375</v>
      </c>
      <c r="Q38" s="141">
        <v>25720.875</v>
      </c>
      <c r="U38" s="1"/>
      <c r="V38" s="2" t="s">
        <v>13</v>
      </c>
      <c r="W38" s="141">
        <v>13879.800000000001</v>
      </c>
      <c r="X38" s="141">
        <v>16769.5</v>
      </c>
      <c r="Y38" s="141">
        <v>18826.5</v>
      </c>
      <c r="Z38" s="141">
        <v>21388.400000000001</v>
      </c>
      <c r="AA38" s="141">
        <v>23733.600000000002</v>
      </c>
      <c r="AE38" s="1"/>
      <c r="AF38" s="2" t="s">
        <v>13</v>
      </c>
      <c r="AG38" s="141">
        <v>12783.52</v>
      </c>
      <c r="AH38" s="141">
        <v>15439.85</v>
      </c>
      <c r="AI38" s="141">
        <v>17340.810000000001</v>
      </c>
      <c r="AJ38" s="141">
        <v>19697.390000000003</v>
      </c>
      <c r="AK38" s="141">
        <v>21854.5</v>
      </c>
    </row>
    <row r="39" spans="1:37">
      <c r="A39" s="1"/>
      <c r="B39" s="2" t="s">
        <v>14</v>
      </c>
      <c r="C39" s="141">
        <v>18710.5</v>
      </c>
      <c r="D39" s="141">
        <v>22699.85</v>
      </c>
      <c r="E39" s="141">
        <v>25554.149999999998</v>
      </c>
      <c r="F39" s="141">
        <v>29083.499999999996</v>
      </c>
      <c r="G39" s="141">
        <v>32642.749999999996</v>
      </c>
      <c r="K39" s="1"/>
      <c r="L39" s="2" t="s">
        <v>14</v>
      </c>
      <c r="M39" s="141">
        <v>16607.25</v>
      </c>
      <c r="N39" s="141">
        <v>20139.75</v>
      </c>
      <c r="O39" s="141">
        <v>22685.625</v>
      </c>
      <c r="P39" s="141">
        <v>25813.125</v>
      </c>
      <c r="Q39" s="141">
        <v>28966.5</v>
      </c>
      <c r="U39" s="1"/>
      <c r="V39" s="2" t="s">
        <v>14</v>
      </c>
      <c r="W39" s="141">
        <v>15324.1</v>
      </c>
      <c r="X39" s="141">
        <v>18579</v>
      </c>
      <c r="Y39" s="141">
        <v>20935.2</v>
      </c>
      <c r="Z39" s="141">
        <v>23818.300000000003</v>
      </c>
      <c r="AA39" s="141">
        <v>26725.600000000002</v>
      </c>
      <c r="AE39" s="1"/>
      <c r="AF39" s="2" t="s">
        <v>14</v>
      </c>
      <c r="AG39" s="141">
        <v>14111.140000000001</v>
      </c>
      <c r="AH39" s="141">
        <v>17104.280000000002</v>
      </c>
      <c r="AI39" s="141">
        <v>19279.920000000002</v>
      </c>
      <c r="AJ39" s="141">
        <v>21931.890000000003</v>
      </c>
      <c r="AK39" s="141">
        <v>24607.84</v>
      </c>
    </row>
    <row r="40" spans="1:37">
      <c r="A40" s="1"/>
      <c r="B40" s="2" t="s">
        <v>15</v>
      </c>
      <c r="C40" s="141">
        <v>23162.149999999998</v>
      </c>
      <c r="D40" s="141">
        <v>28099.1</v>
      </c>
      <c r="E40" s="141">
        <v>32034.399999999998</v>
      </c>
      <c r="F40" s="141">
        <v>37913.199999999997</v>
      </c>
      <c r="G40" s="141">
        <v>42341.85</v>
      </c>
      <c r="K40" s="1"/>
      <c r="L40" s="2" t="s">
        <v>15</v>
      </c>
      <c r="M40" s="141">
        <v>20557.125</v>
      </c>
      <c r="N40" s="141">
        <v>24928.875</v>
      </c>
      <c r="O40" s="141">
        <v>28438.875</v>
      </c>
      <c r="P40" s="141">
        <v>33646.5</v>
      </c>
      <c r="Q40" s="141">
        <v>37570.5</v>
      </c>
      <c r="U40" s="1"/>
      <c r="V40" s="2" t="s">
        <v>15</v>
      </c>
      <c r="W40" s="141">
        <v>18967.300000000003</v>
      </c>
      <c r="X40" s="141">
        <v>22996.600000000002</v>
      </c>
      <c r="Y40" s="141">
        <v>26243.800000000003</v>
      </c>
      <c r="Z40" s="141">
        <v>31045.300000000003</v>
      </c>
      <c r="AA40" s="141">
        <v>34662.100000000006</v>
      </c>
      <c r="AE40" s="1"/>
      <c r="AF40" s="2" t="s">
        <v>15</v>
      </c>
      <c r="AG40" s="141">
        <v>17466.16</v>
      </c>
      <c r="AH40" s="141">
        <v>21169.980000000003</v>
      </c>
      <c r="AI40" s="141">
        <v>24169.660000000003</v>
      </c>
      <c r="AJ40" s="141">
        <v>28585.250000000004</v>
      </c>
      <c r="AK40" s="141">
        <v>31914.11</v>
      </c>
    </row>
    <row r="41" spans="1:37">
      <c r="A41" s="1"/>
      <c r="B41" s="2" t="s">
        <v>16</v>
      </c>
      <c r="C41" s="141">
        <v>29362.949999999997</v>
      </c>
      <c r="D41" s="141">
        <v>35732.799999999996</v>
      </c>
      <c r="E41" s="141">
        <v>40753.699999999997</v>
      </c>
      <c r="F41" s="141">
        <v>48377.049999999996</v>
      </c>
      <c r="G41" s="141">
        <v>54115.549999999996</v>
      </c>
      <c r="K41" s="1"/>
      <c r="L41" s="2" t="s">
        <v>16</v>
      </c>
      <c r="M41" s="141">
        <v>26048.25</v>
      </c>
      <c r="N41" s="141">
        <v>31689</v>
      </c>
      <c r="O41" s="141">
        <v>36163.125</v>
      </c>
      <c r="P41" s="141">
        <v>42916.5</v>
      </c>
      <c r="Q41" s="141">
        <v>48000.375</v>
      </c>
      <c r="U41" s="1"/>
      <c r="V41" s="2" t="s">
        <v>16</v>
      </c>
      <c r="W41" s="141">
        <v>24028.400000000001</v>
      </c>
      <c r="X41" s="141">
        <v>29227.000000000004</v>
      </c>
      <c r="Y41" s="141">
        <v>33364.100000000006</v>
      </c>
      <c r="Z41" s="141">
        <v>39589</v>
      </c>
      <c r="AA41" s="141">
        <v>44276.100000000006</v>
      </c>
      <c r="AE41" s="1"/>
      <c r="AF41" s="2" t="s">
        <v>16</v>
      </c>
      <c r="AG41" s="141">
        <v>22120.460000000003</v>
      </c>
      <c r="AH41" s="141">
        <v>26899.02</v>
      </c>
      <c r="AI41" s="141">
        <v>30719.47</v>
      </c>
      <c r="AJ41" s="141">
        <v>36444.15</v>
      </c>
      <c r="AK41" s="141">
        <v>40755.100000000006</v>
      </c>
    </row>
    <row r="42" spans="1:37">
      <c r="A42" s="1"/>
      <c r="B42" s="2" t="s">
        <v>17</v>
      </c>
      <c r="C42" s="141">
        <v>37983.35</v>
      </c>
      <c r="D42" s="141">
        <v>46261.049999999996</v>
      </c>
      <c r="E42" s="141">
        <v>52836.749999999993</v>
      </c>
      <c r="F42" s="141">
        <v>61426.1</v>
      </c>
      <c r="G42" s="141">
        <v>68865.45</v>
      </c>
      <c r="K42" s="1"/>
      <c r="L42" s="2" t="s">
        <v>17</v>
      </c>
      <c r="M42" s="141">
        <v>33692.625</v>
      </c>
      <c r="N42" s="141">
        <v>41022</v>
      </c>
      <c r="O42" s="141">
        <v>46881</v>
      </c>
      <c r="P42" s="141">
        <v>54490.5</v>
      </c>
      <c r="Q42" s="141">
        <v>61081.875</v>
      </c>
      <c r="U42" s="1"/>
      <c r="V42" s="2" t="s">
        <v>17</v>
      </c>
      <c r="W42" s="141">
        <v>31078.300000000003</v>
      </c>
      <c r="X42" s="141">
        <v>37832.300000000003</v>
      </c>
      <c r="Y42" s="141">
        <v>43249.8</v>
      </c>
      <c r="Z42" s="141">
        <v>50264.500000000007</v>
      </c>
      <c r="AA42" s="141">
        <v>56340.9</v>
      </c>
      <c r="AE42" s="1"/>
      <c r="AF42" s="2" t="s">
        <v>17</v>
      </c>
      <c r="AG42" s="141">
        <v>28607.050000000003</v>
      </c>
      <c r="AH42" s="141">
        <v>34817.870000000003</v>
      </c>
      <c r="AI42" s="141">
        <v>39818.79</v>
      </c>
      <c r="AJ42" s="141">
        <v>46270.5</v>
      </c>
      <c r="AK42" s="141">
        <v>51860.020000000004</v>
      </c>
    </row>
    <row r="43" spans="1:37">
      <c r="A43" s="1"/>
      <c r="B43" s="2" t="s">
        <v>18</v>
      </c>
      <c r="C43" s="141">
        <v>45856.25</v>
      </c>
      <c r="D43" s="141">
        <v>55894.6</v>
      </c>
      <c r="E43" s="141">
        <v>63793.95</v>
      </c>
      <c r="F43" s="141">
        <v>76531.349999999991</v>
      </c>
      <c r="G43" s="141">
        <v>86013.099999999991</v>
      </c>
      <c r="K43" s="1"/>
      <c r="L43" s="2" t="s">
        <v>18</v>
      </c>
      <c r="M43" s="141">
        <v>40662</v>
      </c>
      <c r="N43" s="141">
        <v>49550.625</v>
      </c>
      <c r="O43" s="141">
        <v>56579.625</v>
      </c>
      <c r="P43" s="141">
        <v>67862.25</v>
      </c>
      <c r="Q43" s="141">
        <v>76262.625</v>
      </c>
      <c r="U43" s="1"/>
      <c r="V43" s="2" t="s">
        <v>18</v>
      </c>
      <c r="W43" s="141">
        <v>37499</v>
      </c>
      <c r="X43" s="141">
        <v>45690.700000000004</v>
      </c>
      <c r="Y43" s="141">
        <v>52185.100000000006</v>
      </c>
      <c r="Z43" s="141">
        <v>62584.500000000007</v>
      </c>
      <c r="AA43" s="141">
        <v>70327.400000000009</v>
      </c>
      <c r="AE43" s="1"/>
      <c r="AF43" s="2" t="s">
        <v>18</v>
      </c>
      <c r="AG43" s="141">
        <v>34510.490000000005</v>
      </c>
      <c r="AH43" s="141">
        <v>42042.390000000007</v>
      </c>
      <c r="AI43" s="141">
        <v>48031.94</v>
      </c>
      <c r="AJ43" s="141">
        <v>57596.69</v>
      </c>
      <c r="AK43" s="141">
        <v>64718.750000000007</v>
      </c>
    </row>
    <row r="44" spans="1:37">
      <c r="A44" s="1"/>
      <c r="B44" s="2" t="s">
        <v>19</v>
      </c>
      <c r="C44" s="141">
        <v>57347.049999999996</v>
      </c>
      <c r="D44" s="141">
        <v>70840</v>
      </c>
      <c r="E44" s="141">
        <v>84090.299999999988</v>
      </c>
      <c r="F44" s="141">
        <v>98459.549999999988</v>
      </c>
      <c r="G44" s="141">
        <v>111041.7</v>
      </c>
      <c r="K44" s="1"/>
      <c r="L44" s="2" t="s">
        <v>19</v>
      </c>
      <c r="M44" s="141">
        <v>50836.5</v>
      </c>
      <c r="N44" s="141">
        <v>62785.125</v>
      </c>
      <c r="O44" s="141">
        <v>74554.875</v>
      </c>
      <c r="P44" s="141">
        <v>87283.125</v>
      </c>
      <c r="Q44" s="141">
        <v>98428.5</v>
      </c>
      <c r="U44" s="1"/>
      <c r="V44" s="2" t="s">
        <v>19</v>
      </c>
      <c r="W44" s="141">
        <v>46874.3</v>
      </c>
      <c r="X44" s="141">
        <v>57885.3</v>
      </c>
      <c r="Y44" s="141">
        <v>68751.100000000006</v>
      </c>
      <c r="Z44" s="141">
        <v>80481.5</v>
      </c>
      <c r="AA44" s="141">
        <v>90754.400000000009</v>
      </c>
      <c r="AE44" s="1"/>
      <c r="AF44" s="2" t="s">
        <v>19</v>
      </c>
      <c r="AG44" s="141">
        <v>43130.210000000006</v>
      </c>
      <c r="AH44" s="141">
        <v>53256.310000000005</v>
      </c>
      <c r="AI44" s="141">
        <v>63265.780000000006</v>
      </c>
      <c r="AJ44" s="141">
        <v>74054.600000000006</v>
      </c>
      <c r="AK44" s="141">
        <v>83502.720000000001</v>
      </c>
    </row>
    <row r="45" spans="1:37">
      <c r="A45" s="1"/>
      <c r="B45" s="2" t="s">
        <v>20</v>
      </c>
      <c r="C45" s="141">
        <v>64398.85</v>
      </c>
      <c r="D45" s="141">
        <v>79843.349999999991</v>
      </c>
      <c r="E45" s="141">
        <v>94828.999999999985</v>
      </c>
      <c r="F45" s="141">
        <v>114661.9</v>
      </c>
      <c r="G45" s="141">
        <v>129560.15</v>
      </c>
      <c r="K45" s="1"/>
      <c r="L45" s="2" t="s">
        <v>20</v>
      </c>
      <c r="M45" s="141">
        <v>57078</v>
      </c>
      <c r="N45" s="141">
        <v>70755.75</v>
      </c>
      <c r="O45" s="141">
        <v>84061.125</v>
      </c>
      <c r="P45" s="141">
        <v>101630.25</v>
      </c>
      <c r="Q45" s="141">
        <v>114827.625</v>
      </c>
      <c r="U45" s="1"/>
      <c r="V45" s="2" t="s">
        <v>20</v>
      </c>
      <c r="W45" s="141">
        <v>52626.200000000004</v>
      </c>
      <c r="X45" s="141">
        <v>65230.000000000007</v>
      </c>
      <c r="Y45" s="141">
        <v>77509.3</v>
      </c>
      <c r="Z45" s="141">
        <v>93703.500000000015</v>
      </c>
      <c r="AA45" s="141">
        <v>105867.3</v>
      </c>
      <c r="AE45" s="1"/>
      <c r="AF45" s="2" t="s">
        <v>20</v>
      </c>
      <c r="AG45" s="141">
        <v>48417.8</v>
      </c>
      <c r="AH45" s="141">
        <v>60008.860000000008</v>
      </c>
      <c r="AI45" s="141">
        <v>71318.700000000012</v>
      </c>
      <c r="AJ45" s="141">
        <v>86212.46</v>
      </c>
      <c r="AK45" s="141">
        <v>97399.13</v>
      </c>
    </row>
    <row r="46" spans="1:37">
      <c r="A46" s="1"/>
      <c r="B46" s="2" t="s">
        <v>21</v>
      </c>
      <c r="C46" s="141">
        <v>81391.25</v>
      </c>
      <c r="D46" s="141">
        <v>101482.9</v>
      </c>
      <c r="E46" s="141">
        <v>120833.95</v>
      </c>
      <c r="F46" s="141">
        <v>147987.75</v>
      </c>
      <c r="G46" s="141">
        <v>167569.94999999998</v>
      </c>
      <c r="K46" s="1"/>
      <c r="L46" s="2" t="s">
        <v>21</v>
      </c>
      <c r="M46" s="141">
        <v>72124.875</v>
      </c>
      <c r="N46" s="141">
        <v>89917.875</v>
      </c>
      <c r="O46" s="141">
        <v>107088.75</v>
      </c>
      <c r="P46" s="141">
        <v>131141.25</v>
      </c>
      <c r="Q46" s="141">
        <v>148486.5</v>
      </c>
      <c r="U46" s="1"/>
      <c r="V46" s="2" t="s">
        <v>21</v>
      </c>
      <c r="W46" s="141">
        <v>66491.700000000012</v>
      </c>
      <c r="X46" s="141">
        <v>82887.200000000012</v>
      </c>
      <c r="Y46" s="141">
        <v>98729.400000000009</v>
      </c>
      <c r="Z46" s="141">
        <v>120898.8</v>
      </c>
      <c r="AA46" s="141">
        <v>136884</v>
      </c>
      <c r="AE46" s="1"/>
      <c r="AF46" s="2" t="s">
        <v>21</v>
      </c>
      <c r="AG46" s="141">
        <v>61167.530000000006</v>
      </c>
      <c r="AH46" s="141">
        <v>76244.41</v>
      </c>
      <c r="AI46" s="141">
        <v>90830.790000000008</v>
      </c>
      <c r="AJ46" s="141">
        <v>111219.24</v>
      </c>
      <c r="AK46" s="141">
        <v>125920.07</v>
      </c>
    </row>
    <row r="47" spans="1:37">
      <c r="A47" s="1"/>
      <c r="B47" s="1"/>
      <c r="C47" s="1"/>
      <c r="D47" s="1"/>
      <c r="E47" s="1"/>
      <c r="F47" s="1"/>
      <c r="G47" s="1"/>
      <c r="K47" s="1"/>
      <c r="L47" s="1"/>
      <c r="M47" s="1"/>
      <c r="N47" s="1"/>
      <c r="O47" s="1"/>
      <c r="P47" s="1"/>
      <c r="Q47" s="1"/>
      <c r="U47" s="1"/>
      <c r="V47" s="1"/>
      <c r="W47" s="1"/>
      <c r="X47" s="1"/>
      <c r="Y47" s="1"/>
      <c r="Z47" s="1"/>
      <c r="AA47" s="1"/>
      <c r="AE47" s="1"/>
      <c r="AF47" s="1"/>
      <c r="AG47" s="1"/>
      <c r="AH47" s="1"/>
      <c r="AI47" s="1"/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K48" s="1"/>
      <c r="L48" s="1"/>
      <c r="M48" s="1"/>
      <c r="N48" s="1"/>
      <c r="O48" s="1"/>
      <c r="P48" s="1"/>
      <c r="Q48" s="1"/>
      <c r="U48" s="1"/>
      <c r="V48" s="1"/>
      <c r="W48" s="1"/>
      <c r="X48" s="1"/>
      <c r="Y48" s="1"/>
      <c r="Z48" s="1"/>
      <c r="AA48" s="1"/>
      <c r="AE48" s="1"/>
      <c r="AF48" s="1"/>
      <c r="AG48" s="1"/>
      <c r="AH48" s="1"/>
      <c r="AI48" s="1"/>
      <c r="AJ48" s="1"/>
      <c r="AK48" s="1"/>
    </row>
    <row r="49" spans="1:37">
      <c r="A49" s="5" t="s">
        <v>63</v>
      </c>
      <c r="B49" s="1"/>
      <c r="C49" s="144" t="s">
        <v>250</v>
      </c>
      <c r="D49" s="144"/>
      <c r="E49" s="154" t="s">
        <v>251</v>
      </c>
      <c r="F49" s="154"/>
      <c r="G49" s="154"/>
      <c r="K49" s="5" t="s">
        <v>63</v>
      </c>
      <c r="L49" s="1"/>
      <c r="M49" s="144" t="s">
        <v>250</v>
      </c>
      <c r="N49" s="144"/>
      <c r="O49" s="154" t="s">
        <v>251</v>
      </c>
      <c r="P49" s="154"/>
      <c r="Q49" s="154"/>
      <c r="U49" s="5" t="s">
        <v>63</v>
      </c>
      <c r="V49" s="1"/>
      <c r="W49" s="144" t="s">
        <v>250</v>
      </c>
      <c r="X49" s="144"/>
      <c r="Y49" s="154" t="s">
        <v>251</v>
      </c>
      <c r="Z49" s="154"/>
      <c r="AA49" s="154"/>
      <c r="AE49" s="5" t="s">
        <v>63</v>
      </c>
      <c r="AF49" s="1"/>
      <c r="AG49" s="144" t="s">
        <v>250</v>
      </c>
      <c r="AH49" s="144"/>
      <c r="AI49" s="154" t="s">
        <v>251</v>
      </c>
      <c r="AJ49" s="154"/>
      <c r="AK49" s="154"/>
    </row>
    <row r="50" spans="1:37">
      <c r="A50" s="1"/>
      <c r="B50" s="2" t="s">
        <v>60</v>
      </c>
      <c r="C50" s="94">
        <v>300000</v>
      </c>
      <c r="D50" s="94">
        <v>400000</v>
      </c>
      <c r="E50" s="94">
        <v>500000</v>
      </c>
      <c r="F50" s="94">
        <v>700000</v>
      </c>
      <c r="G50" s="94">
        <v>1000000</v>
      </c>
      <c r="K50" s="1"/>
      <c r="L50" s="2" t="s">
        <v>60</v>
      </c>
      <c r="M50" s="94">
        <v>300000</v>
      </c>
      <c r="N50" s="94">
        <v>400000</v>
      </c>
      <c r="O50" s="94">
        <v>500000</v>
      </c>
      <c r="P50" s="94">
        <v>700000</v>
      </c>
      <c r="Q50" s="94">
        <v>1000000</v>
      </c>
      <c r="U50" s="1"/>
      <c r="V50" s="2" t="s">
        <v>60</v>
      </c>
      <c r="W50" s="94">
        <v>300000</v>
      </c>
      <c r="X50" s="94">
        <v>400000</v>
      </c>
      <c r="Y50" s="94">
        <v>500000</v>
      </c>
      <c r="Z50" s="94">
        <v>700000</v>
      </c>
      <c r="AA50" s="94">
        <v>1000000</v>
      </c>
      <c r="AE50" s="1"/>
      <c r="AF50" s="2" t="s">
        <v>60</v>
      </c>
      <c r="AG50" s="94">
        <v>300000</v>
      </c>
      <c r="AH50" s="94">
        <v>400000</v>
      </c>
      <c r="AI50" s="94">
        <v>500000</v>
      </c>
      <c r="AJ50" s="94">
        <v>700000</v>
      </c>
      <c r="AK50" s="94">
        <v>1000000</v>
      </c>
    </row>
    <row r="51" spans="1:37">
      <c r="A51" s="1"/>
      <c r="B51" s="2" t="s">
        <v>11</v>
      </c>
      <c r="C51" s="141">
        <v>16635.899999999998</v>
      </c>
      <c r="D51" s="141">
        <v>20612.599999999999</v>
      </c>
      <c r="E51" s="141">
        <v>22069.649999999998</v>
      </c>
      <c r="F51" s="141">
        <v>25828.999999999996</v>
      </c>
      <c r="G51" s="141">
        <v>28951.249999999996</v>
      </c>
      <c r="K51" s="1"/>
      <c r="L51" s="2" t="s">
        <v>11</v>
      </c>
      <c r="M51" s="141">
        <v>14761.125</v>
      </c>
      <c r="N51" s="141">
        <v>18282.375</v>
      </c>
      <c r="O51" s="141">
        <v>19581.75</v>
      </c>
      <c r="P51" s="141">
        <v>22914</v>
      </c>
      <c r="Q51" s="141">
        <v>25680.375</v>
      </c>
      <c r="U51" s="1"/>
      <c r="V51" s="2" t="s">
        <v>11</v>
      </c>
      <c r="W51" s="141">
        <v>13618.000000000002</v>
      </c>
      <c r="X51" s="141">
        <v>16863</v>
      </c>
      <c r="Y51" s="141">
        <v>18065.300000000003</v>
      </c>
      <c r="Z51" s="141">
        <v>21137.600000000002</v>
      </c>
      <c r="AA51" s="141">
        <v>23688.500000000004</v>
      </c>
      <c r="AE51" s="1"/>
      <c r="AF51" s="2" t="s">
        <v>11</v>
      </c>
      <c r="AG51" s="141">
        <v>12537.18</v>
      </c>
      <c r="AH51" s="141">
        <v>15522.69</v>
      </c>
      <c r="AI51" s="141">
        <v>16632.310000000001</v>
      </c>
      <c r="AJ51" s="141">
        <v>19458.68</v>
      </c>
      <c r="AK51" s="141">
        <v>21805.45</v>
      </c>
    </row>
    <row r="52" spans="1:37">
      <c r="A52" s="1"/>
      <c r="B52" s="2" t="s">
        <v>12</v>
      </c>
      <c r="C52" s="141">
        <v>17979.099999999999</v>
      </c>
      <c r="D52" s="141">
        <v>21631.5</v>
      </c>
      <c r="E52" s="141">
        <v>23952.199999999997</v>
      </c>
      <c r="F52" s="141">
        <v>27234.3</v>
      </c>
      <c r="G52" s="141">
        <v>30534.799999999999</v>
      </c>
      <c r="K52" s="1"/>
      <c r="L52" s="2" t="s">
        <v>12</v>
      </c>
      <c r="M52" s="141">
        <v>15957</v>
      </c>
      <c r="N52" s="141">
        <v>19192.5</v>
      </c>
      <c r="O52" s="141">
        <v>21262.5</v>
      </c>
      <c r="P52" s="141">
        <v>24169.5</v>
      </c>
      <c r="Q52" s="141">
        <v>27095.625</v>
      </c>
      <c r="U52" s="1"/>
      <c r="V52" s="2" t="s">
        <v>12</v>
      </c>
      <c r="W52" s="141">
        <v>14724.6</v>
      </c>
      <c r="X52" s="141">
        <v>17705.600000000002</v>
      </c>
      <c r="Y52" s="141">
        <v>19620.7</v>
      </c>
      <c r="Z52" s="141">
        <v>22301.4</v>
      </c>
      <c r="AA52" s="141">
        <v>24998.600000000002</v>
      </c>
      <c r="AE52" s="1"/>
      <c r="AF52" s="2" t="s">
        <v>12</v>
      </c>
      <c r="AG52" s="141">
        <v>13558.51</v>
      </c>
      <c r="AH52" s="141">
        <v>16299.86</v>
      </c>
      <c r="AI52" s="141">
        <v>18068.93</v>
      </c>
      <c r="AJ52" s="141">
        <v>20535.600000000002</v>
      </c>
      <c r="AK52" s="141">
        <v>23016.440000000002</v>
      </c>
    </row>
    <row r="53" spans="1:37">
      <c r="A53" s="1"/>
      <c r="B53" s="2" t="s">
        <v>13</v>
      </c>
      <c r="C53" s="141">
        <v>20444.699999999997</v>
      </c>
      <c r="D53" s="141">
        <v>24749.149999999998</v>
      </c>
      <c r="E53" s="141">
        <v>27618.399999999998</v>
      </c>
      <c r="F53" s="141">
        <v>31430.649999999998</v>
      </c>
      <c r="G53" s="141">
        <v>35271.649999999994</v>
      </c>
      <c r="K53" s="1"/>
      <c r="L53" s="2" t="s">
        <v>13</v>
      </c>
      <c r="M53" s="141">
        <v>18141.75</v>
      </c>
      <c r="N53" s="141">
        <v>21954.375</v>
      </c>
      <c r="O53" s="141">
        <v>24511.5</v>
      </c>
      <c r="P53" s="141">
        <v>27889.875</v>
      </c>
      <c r="Q53" s="141">
        <v>31294.125</v>
      </c>
      <c r="U53" s="1"/>
      <c r="V53" s="2" t="s">
        <v>13</v>
      </c>
      <c r="W53" s="141">
        <v>16737.600000000002</v>
      </c>
      <c r="X53" s="141">
        <v>20251</v>
      </c>
      <c r="Y53" s="141">
        <v>22616.000000000004</v>
      </c>
      <c r="Z53" s="141">
        <v>25731.200000000001</v>
      </c>
      <c r="AA53" s="141">
        <v>28868.400000000001</v>
      </c>
      <c r="AE53" s="1"/>
      <c r="AF53" s="2" t="s">
        <v>13</v>
      </c>
      <c r="AG53" s="141">
        <v>15410.420000000002</v>
      </c>
      <c r="AH53" s="141">
        <v>18641.18</v>
      </c>
      <c r="AI53" s="141">
        <v>20825.54</v>
      </c>
      <c r="AJ53" s="141">
        <v>23690.06</v>
      </c>
      <c r="AK53" s="141">
        <v>26577.47</v>
      </c>
    </row>
    <row r="54" spans="1:37">
      <c r="A54" s="1"/>
      <c r="B54" s="2" t="s">
        <v>14</v>
      </c>
      <c r="C54" s="141">
        <v>22380.149999999998</v>
      </c>
      <c r="D54" s="141">
        <v>27198.649999999998</v>
      </c>
      <c r="E54" s="141">
        <v>30502.6</v>
      </c>
      <c r="F54" s="141">
        <v>34751.85</v>
      </c>
      <c r="G54" s="141">
        <v>39036.75</v>
      </c>
      <c r="K54" s="1"/>
      <c r="L54" s="2" t="s">
        <v>14</v>
      </c>
      <c r="M54" s="141">
        <v>19856.25</v>
      </c>
      <c r="N54" s="141">
        <v>24123.375</v>
      </c>
      <c r="O54" s="141">
        <v>27066.375</v>
      </c>
      <c r="P54" s="141">
        <v>30832.875</v>
      </c>
      <c r="Q54" s="141">
        <v>34629.75</v>
      </c>
      <c r="U54" s="1"/>
      <c r="V54" s="2" t="s">
        <v>14</v>
      </c>
      <c r="W54" s="141">
        <v>18318.300000000003</v>
      </c>
      <c r="X54" s="141">
        <v>22250.800000000003</v>
      </c>
      <c r="Y54" s="141">
        <v>24972.2</v>
      </c>
      <c r="Z54" s="141">
        <v>28443.800000000003</v>
      </c>
      <c r="AA54" s="141">
        <v>31944.000000000004</v>
      </c>
      <c r="AE54" s="1"/>
      <c r="AF54" s="2" t="s">
        <v>14</v>
      </c>
      <c r="AG54" s="141">
        <v>16864.48</v>
      </c>
      <c r="AH54" s="141">
        <v>20480.010000000002</v>
      </c>
      <c r="AI54" s="141">
        <v>22992.460000000003</v>
      </c>
      <c r="AJ54" s="141">
        <v>26186.160000000003</v>
      </c>
      <c r="AK54" s="141">
        <v>29406.02</v>
      </c>
    </row>
    <row r="55" spans="1:37">
      <c r="A55" s="1"/>
      <c r="B55" s="2" t="s">
        <v>15</v>
      </c>
      <c r="C55" s="141">
        <v>27437.85</v>
      </c>
      <c r="D55" s="141">
        <v>33336.199999999997</v>
      </c>
      <c r="E55" s="141">
        <v>37938.5</v>
      </c>
      <c r="F55" s="141">
        <v>44575.149999999994</v>
      </c>
      <c r="G55" s="141">
        <v>49762.799999999996</v>
      </c>
      <c r="K55" s="1"/>
      <c r="L55" s="2" t="s">
        <v>15</v>
      </c>
      <c r="M55" s="141">
        <v>24342.75</v>
      </c>
      <c r="N55" s="141">
        <v>29566.125</v>
      </c>
      <c r="O55" s="141">
        <v>33667.875</v>
      </c>
      <c r="P55" s="141">
        <v>39547.125</v>
      </c>
      <c r="Q55" s="141">
        <v>44143.875</v>
      </c>
      <c r="U55" s="1"/>
      <c r="V55" s="2" t="s">
        <v>15</v>
      </c>
      <c r="W55" s="141">
        <v>22456.5</v>
      </c>
      <c r="X55" s="141">
        <v>27270.100000000002</v>
      </c>
      <c r="Y55" s="141">
        <v>31062.9</v>
      </c>
      <c r="Z55" s="141">
        <v>36482.600000000006</v>
      </c>
      <c r="AA55" s="141">
        <v>40719.800000000003</v>
      </c>
      <c r="AE55" s="1"/>
      <c r="AF55" s="2" t="s">
        <v>15</v>
      </c>
      <c r="AG55" s="141">
        <v>20674.030000000002</v>
      </c>
      <c r="AH55" s="141">
        <v>25100.52</v>
      </c>
      <c r="AI55" s="141">
        <v>28601.600000000002</v>
      </c>
      <c r="AJ55" s="141">
        <v>33586.170000000006</v>
      </c>
      <c r="AK55" s="141">
        <v>37482.920000000006</v>
      </c>
    </row>
    <row r="56" spans="1:37">
      <c r="A56" s="1"/>
      <c r="B56" s="2" t="s">
        <v>16</v>
      </c>
      <c r="C56" s="141">
        <v>34102.1</v>
      </c>
      <c r="D56" s="141">
        <v>41569.049999999996</v>
      </c>
      <c r="E56" s="141">
        <v>47346.649999999994</v>
      </c>
      <c r="F56" s="141">
        <v>55781.899999999994</v>
      </c>
      <c r="G56" s="141">
        <v>62359.899999999994</v>
      </c>
      <c r="K56" s="1"/>
      <c r="L56" s="2" t="s">
        <v>16</v>
      </c>
      <c r="M56" s="141">
        <v>30244.5</v>
      </c>
      <c r="N56" s="141">
        <v>36857.25</v>
      </c>
      <c r="O56" s="141">
        <v>42000.75</v>
      </c>
      <c r="P56" s="141">
        <v>49474.125</v>
      </c>
      <c r="Q56" s="141">
        <v>55300.5</v>
      </c>
      <c r="U56" s="1"/>
      <c r="V56" s="2" t="s">
        <v>16</v>
      </c>
      <c r="W56" s="141">
        <v>27896.000000000004</v>
      </c>
      <c r="X56" s="141">
        <v>33988.9</v>
      </c>
      <c r="Y56" s="141">
        <v>38744.200000000004</v>
      </c>
      <c r="Z56" s="141">
        <v>45631.3</v>
      </c>
      <c r="AA56" s="141">
        <v>51002.600000000006</v>
      </c>
      <c r="AE56" s="1"/>
      <c r="AF56" s="2" t="s">
        <v>16</v>
      </c>
      <c r="AG56" s="141">
        <v>25674.95</v>
      </c>
      <c r="AH56" s="141">
        <v>31278.640000000003</v>
      </c>
      <c r="AI56" s="141">
        <v>35665.89</v>
      </c>
      <c r="AJ56" s="141">
        <v>41999.880000000005</v>
      </c>
      <c r="AK56" s="141">
        <v>46940.850000000006</v>
      </c>
    </row>
    <row r="57" spans="1:37">
      <c r="A57" s="1"/>
      <c r="B57" s="2" t="s">
        <v>17</v>
      </c>
      <c r="C57" s="141">
        <v>42228</v>
      </c>
      <c r="D57" s="141">
        <v>51506.2</v>
      </c>
      <c r="E57" s="141">
        <v>58758.1</v>
      </c>
      <c r="F57" s="141">
        <v>68042.049999999988</v>
      </c>
      <c r="G57" s="141">
        <v>76216.25</v>
      </c>
      <c r="K57" s="1"/>
      <c r="L57" s="2" t="s">
        <v>17</v>
      </c>
      <c r="M57" s="141">
        <v>37450.125</v>
      </c>
      <c r="N57" s="141">
        <v>45664.875</v>
      </c>
      <c r="O57" s="141">
        <v>52122.375</v>
      </c>
      <c r="P57" s="141">
        <v>60347.25</v>
      </c>
      <c r="Q57" s="141">
        <v>67588.875</v>
      </c>
      <c r="U57" s="1"/>
      <c r="V57" s="2" t="s">
        <v>17</v>
      </c>
      <c r="W57" s="141">
        <v>34540</v>
      </c>
      <c r="X57" s="141">
        <v>42110.200000000004</v>
      </c>
      <c r="Y57" s="141">
        <v>48079.9</v>
      </c>
      <c r="Z57" s="141">
        <v>55660.000000000007</v>
      </c>
      <c r="AA57" s="141">
        <v>62335.9</v>
      </c>
      <c r="AE57" s="1"/>
      <c r="AF57" s="2" t="s">
        <v>17</v>
      </c>
      <c r="AG57" s="141">
        <v>31789.850000000002</v>
      </c>
      <c r="AH57" s="141">
        <v>38751.68</v>
      </c>
      <c r="AI57" s="141">
        <v>44258.36</v>
      </c>
      <c r="AJ57" s="141">
        <v>51230.000000000007</v>
      </c>
      <c r="AK57" s="141">
        <v>57371.060000000005</v>
      </c>
    </row>
    <row r="58" spans="1:37">
      <c r="A58" s="1"/>
      <c r="B58" s="2" t="s">
        <v>18</v>
      </c>
      <c r="C58" s="141">
        <v>50575.85</v>
      </c>
      <c r="D58" s="141">
        <v>61712.45</v>
      </c>
      <c r="E58" s="141">
        <v>70388.049999999988</v>
      </c>
      <c r="F58" s="141">
        <v>83897.099999999991</v>
      </c>
      <c r="G58" s="141">
        <v>94189.599999999991</v>
      </c>
      <c r="K58" s="1"/>
      <c r="L58" s="2" t="s">
        <v>18</v>
      </c>
      <c r="M58" s="141">
        <v>44840.25</v>
      </c>
      <c r="N58" s="141">
        <v>54702</v>
      </c>
      <c r="O58" s="141">
        <v>62418.375</v>
      </c>
      <c r="P58" s="141">
        <v>74383.875</v>
      </c>
      <c r="Q58" s="141">
        <v>83502</v>
      </c>
      <c r="U58" s="1"/>
      <c r="V58" s="2" t="s">
        <v>18</v>
      </c>
      <c r="W58" s="141">
        <v>41349</v>
      </c>
      <c r="X58" s="141">
        <v>50437.200000000004</v>
      </c>
      <c r="Y58" s="141">
        <v>57565.200000000004</v>
      </c>
      <c r="Z58" s="141">
        <v>68593.8</v>
      </c>
      <c r="AA58" s="141">
        <v>76997.8</v>
      </c>
      <c r="AE58" s="1"/>
      <c r="AF58" s="2" t="s">
        <v>18</v>
      </c>
      <c r="AG58" s="141">
        <v>38049.72</v>
      </c>
      <c r="AH58" s="141">
        <v>46406.75</v>
      </c>
      <c r="AI58" s="141">
        <v>52979.450000000004</v>
      </c>
      <c r="AJ58" s="141">
        <v>63121.9</v>
      </c>
      <c r="AK58" s="141">
        <v>70852.180000000008</v>
      </c>
    </row>
    <row r="59" spans="1:37">
      <c r="A59" s="1"/>
      <c r="B59" s="2" t="s">
        <v>19</v>
      </c>
      <c r="C59" s="141">
        <v>63396.049999999996</v>
      </c>
      <c r="D59" s="141">
        <v>76719.95</v>
      </c>
      <c r="E59" s="141">
        <v>89419.4</v>
      </c>
      <c r="F59" s="141">
        <v>104363.65</v>
      </c>
      <c r="G59" s="141">
        <v>117566.79999999999</v>
      </c>
      <c r="K59" s="1"/>
      <c r="L59" s="2" t="s">
        <v>19</v>
      </c>
      <c r="M59" s="141">
        <v>56193.75</v>
      </c>
      <c r="N59" s="141">
        <v>67991.625</v>
      </c>
      <c r="O59" s="141">
        <v>79272</v>
      </c>
      <c r="P59" s="141">
        <v>92508.75</v>
      </c>
      <c r="Q59" s="141">
        <v>104204.25</v>
      </c>
      <c r="U59" s="1"/>
      <c r="V59" s="2" t="s">
        <v>19</v>
      </c>
      <c r="W59" s="141">
        <v>51811.100000000006</v>
      </c>
      <c r="X59" s="141">
        <v>62683.500000000007</v>
      </c>
      <c r="Y59" s="141">
        <v>73096.100000000006</v>
      </c>
      <c r="Z59" s="141">
        <v>85296.200000000012</v>
      </c>
      <c r="AA59" s="141">
        <v>96076.200000000012</v>
      </c>
      <c r="AE59" s="1"/>
      <c r="AF59" s="2" t="s">
        <v>19</v>
      </c>
      <c r="AG59" s="141">
        <v>47670.060000000005</v>
      </c>
      <c r="AH59" s="141">
        <v>57667.54</v>
      </c>
      <c r="AI59" s="141">
        <v>67260.63</v>
      </c>
      <c r="AJ59" s="141">
        <v>78481.090000000011</v>
      </c>
      <c r="AK59" s="141">
        <v>88394.64</v>
      </c>
    </row>
    <row r="60" spans="1:37">
      <c r="A60" s="1"/>
      <c r="B60" s="2" t="s">
        <v>20</v>
      </c>
      <c r="C60" s="141">
        <v>72082</v>
      </c>
      <c r="D60" s="141">
        <v>87332.15</v>
      </c>
      <c r="E60" s="141">
        <v>102768.59999999999</v>
      </c>
      <c r="F60" s="141">
        <v>120281.95</v>
      </c>
      <c r="G60" s="141">
        <v>135755.19999999998</v>
      </c>
      <c r="K60" s="1"/>
      <c r="L60" s="2" t="s">
        <v>20</v>
      </c>
      <c r="M60" s="141">
        <v>63884.25</v>
      </c>
      <c r="N60" s="141">
        <v>77387.625</v>
      </c>
      <c r="O60" s="141">
        <v>91092.375</v>
      </c>
      <c r="P60" s="141">
        <v>106603.875</v>
      </c>
      <c r="Q60" s="141">
        <v>120310.875</v>
      </c>
      <c r="U60" s="1"/>
      <c r="V60" s="2" t="s">
        <v>20</v>
      </c>
      <c r="W60" s="141">
        <v>58898.400000000001</v>
      </c>
      <c r="X60" s="141">
        <v>71342.700000000012</v>
      </c>
      <c r="Y60" s="141">
        <v>83989.400000000009</v>
      </c>
      <c r="Z60" s="141">
        <v>98286.1</v>
      </c>
      <c r="AA60" s="141">
        <v>110918.50000000001</v>
      </c>
      <c r="AE60" s="1"/>
      <c r="AF60" s="2" t="s">
        <v>20</v>
      </c>
      <c r="AG60" s="141">
        <v>54187.170000000006</v>
      </c>
      <c r="AH60" s="141">
        <v>65628.900000000009</v>
      </c>
      <c r="AI60" s="141">
        <v>77276.639999999999</v>
      </c>
      <c r="AJ60" s="141">
        <v>90425.310000000012</v>
      </c>
      <c r="AK60" s="141">
        <v>102043.62000000001</v>
      </c>
    </row>
    <row r="61" spans="1:37">
      <c r="A61" s="1"/>
      <c r="B61" s="2" t="s">
        <v>21</v>
      </c>
      <c r="C61" s="141">
        <v>89310.15</v>
      </c>
      <c r="D61" s="141">
        <v>108852.09999999999</v>
      </c>
      <c r="E61" s="141">
        <v>131073.54999999999</v>
      </c>
      <c r="F61" s="141">
        <v>153955.09999999998</v>
      </c>
      <c r="G61" s="141">
        <v>174143.34999999998</v>
      </c>
      <c r="K61" s="1"/>
      <c r="L61" s="2" t="s">
        <v>21</v>
      </c>
      <c r="M61" s="141">
        <v>79139.25</v>
      </c>
      <c r="N61" s="141">
        <v>96444</v>
      </c>
      <c r="O61" s="141">
        <v>116158.5</v>
      </c>
      <c r="P61" s="141">
        <v>136424.25</v>
      </c>
      <c r="Q61" s="141">
        <v>154305</v>
      </c>
      <c r="U61" s="1"/>
      <c r="V61" s="2" t="s">
        <v>21</v>
      </c>
      <c r="W61" s="141">
        <v>72955.3</v>
      </c>
      <c r="X61" s="141">
        <v>88902</v>
      </c>
      <c r="Y61" s="141">
        <v>107088.3</v>
      </c>
      <c r="Z61" s="141">
        <v>125766.3</v>
      </c>
      <c r="AA61" s="141">
        <v>142245.40000000002</v>
      </c>
      <c r="AE61" s="1"/>
      <c r="AF61" s="2" t="s">
        <v>21</v>
      </c>
      <c r="AG61" s="141">
        <v>67112.39</v>
      </c>
      <c r="AH61" s="141">
        <v>81775.070000000007</v>
      </c>
      <c r="AI61" s="141">
        <v>98517.47</v>
      </c>
      <c r="AJ61" s="141">
        <v>115694.78000000001</v>
      </c>
      <c r="AK61" s="141">
        <v>130849.05</v>
      </c>
    </row>
    <row r="62" spans="1:37">
      <c r="A62" s="1"/>
      <c r="B62" s="1"/>
      <c r="C62" s="1"/>
      <c r="D62" s="1"/>
      <c r="E62" s="1"/>
      <c r="F62" s="1"/>
      <c r="G62" s="1"/>
      <c r="K62" s="1"/>
      <c r="L62" s="1"/>
      <c r="M62" s="1"/>
      <c r="N62" s="1"/>
      <c r="O62" s="1"/>
      <c r="P62" s="1"/>
      <c r="Q62" s="1"/>
      <c r="U62" s="1"/>
      <c r="V62" s="1"/>
      <c r="W62" s="1"/>
      <c r="X62" s="1"/>
      <c r="Y62" s="1"/>
      <c r="Z62" s="1"/>
      <c r="AA62" s="1"/>
      <c r="AE62" s="1"/>
      <c r="AF62" s="1"/>
      <c r="AG62" s="1"/>
      <c r="AH62" s="1"/>
      <c r="AI62" s="1"/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K63" s="1"/>
      <c r="L63" s="1"/>
      <c r="M63" s="1"/>
      <c r="N63" s="1"/>
      <c r="O63" s="1"/>
      <c r="P63" s="1"/>
      <c r="Q63" s="1"/>
      <c r="U63" s="1"/>
      <c r="V63" s="1"/>
      <c r="W63" s="1"/>
      <c r="X63" s="1"/>
      <c r="Y63" s="1"/>
      <c r="Z63" s="1"/>
      <c r="AA63" s="1"/>
      <c r="AE63" s="1"/>
      <c r="AF63" s="1"/>
      <c r="AG63" s="1"/>
      <c r="AH63" s="1"/>
      <c r="AI63" s="1"/>
      <c r="AJ63" s="1"/>
      <c r="AK63" s="1"/>
    </row>
    <row r="64" spans="1:37">
      <c r="A64" s="5" t="s">
        <v>64</v>
      </c>
      <c r="B64" s="1"/>
      <c r="C64" s="144" t="s">
        <v>250</v>
      </c>
      <c r="D64" s="144"/>
      <c r="E64" s="154" t="s">
        <v>251</v>
      </c>
      <c r="F64" s="154"/>
      <c r="G64" s="154"/>
      <c r="K64" s="5" t="s">
        <v>64</v>
      </c>
      <c r="L64" s="1"/>
      <c r="M64" s="144" t="s">
        <v>250</v>
      </c>
      <c r="N64" s="144"/>
      <c r="O64" s="154" t="s">
        <v>251</v>
      </c>
      <c r="P64" s="154"/>
      <c r="Q64" s="154"/>
      <c r="U64" s="5" t="s">
        <v>64</v>
      </c>
      <c r="V64" s="1"/>
      <c r="W64" s="144" t="s">
        <v>250</v>
      </c>
      <c r="X64" s="144"/>
      <c r="Y64" s="154" t="s">
        <v>251</v>
      </c>
      <c r="Z64" s="154"/>
      <c r="AA64" s="154"/>
      <c r="AE64" s="5" t="s">
        <v>64</v>
      </c>
      <c r="AF64" s="1"/>
      <c r="AG64" s="144" t="s">
        <v>250</v>
      </c>
      <c r="AH64" s="144"/>
      <c r="AI64" s="154" t="s">
        <v>251</v>
      </c>
      <c r="AJ64" s="154"/>
      <c r="AK64" s="154"/>
    </row>
    <row r="65" spans="1:37">
      <c r="A65" s="1"/>
      <c r="B65" s="2" t="s">
        <v>60</v>
      </c>
      <c r="C65" s="94">
        <v>300000</v>
      </c>
      <c r="D65" s="94">
        <v>400000</v>
      </c>
      <c r="E65" s="94">
        <v>500000</v>
      </c>
      <c r="F65" s="94">
        <v>700000</v>
      </c>
      <c r="G65" s="94">
        <v>1000000</v>
      </c>
      <c r="K65" s="1"/>
      <c r="L65" s="2" t="s">
        <v>60</v>
      </c>
      <c r="M65" s="94">
        <v>300000</v>
      </c>
      <c r="N65" s="94">
        <v>400000</v>
      </c>
      <c r="O65" s="94">
        <v>500000</v>
      </c>
      <c r="P65" s="94">
        <v>700000</v>
      </c>
      <c r="Q65" s="94">
        <v>1000000</v>
      </c>
      <c r="U65" s="1"/>
      <c r="V65" s="2" t="s">
        <v>60</v>
      </c>
      <c r="W65" s="94">
        <v>300000</v>
      </c>
      <c r="X65" s="94">
        <v>400000</v>
      </c>
      <c r="Y65" s="94">
        <v>500000</v>
      </c>
      <c r="Z65" s="94">
        <v>700000</v>
      </c>
      <c r="AA65" s="94">
        <v>1000000</v>
      </c>
      <c r="AE65" s="1"/>
      <c r="AF65" s="2" t="s">
        <v>60</v>
      </c>
      <c r="AG65" s="94">
        <v>300000</v>
      </c>
      <c r="AH65" s="94">
        <v>400000</v>
      </c>
      <c r="AI65" s="94">
        <v>500000</v>
      </c>
      <c r="AJ65" s="94">
        <v>700000</v>
      </c>
      <c r="AK65" s="94">
        <v>1000000</v>
      </c>
    </row>
    <row r="66" spans="1:37">
      <c r="A66" s="1"/>
      <c r="B66" s="2" t="s">
        <v>11</v>
      </c>
      <c r="C66" s="141">
        <v>20310.149999999998</v>
      </c>
      <c r="D66" s="141">
        <v>24413.35</v>
      </c>
      <c r="E66" s="141">
        <v>26808.799999999999</v>
      </c>
      <c r="F66" s="141">
        <v>30506.05</v>
      </c>
      <c r="G66" s="141">
        <v>34224</v>
      </c>
      <c r="K66" s="1"/>
      <c r="L66" s="2" t="s">
        <v>11</v>
      </c>
      <c r="M66" s="141">
        <v>18014.625</v>
      </c>
      <c r="N66" s="141">
        <v>21648.375</v>
      </c>
      <c r="O66" s="141">
        <v>23780.25</v>
      </c>
      <c r="P66" s="141">
        <v>27056.25</v>
      </c>
      <c r="Q66" s="141">
        <v>30350.25</v>
      </c>
      <c r="U66" s="1"/>
      <c r="V66" s="2" t="s">
        <v>11</v>
      </c>
      <c r="W66" s="141">
        <v>16616.600000000002</v>
      </c>
      <c r="X66" s="141">
        <v>19965</v>
      </c>
      <c r="Y66" s="141">
        <v>21935.100000000002</v>
      </c>
      <c r="Z66" s="141">
        <v>24954.600000000002</v>
      </c>
      <c r="AA66" s="141">
        <v>27990.600000000002</v>
      </c>
      <c r="AE66" s="1"/>
      <c r="AF66" s="2" t="s">
        <v>11</v>
      </c>
      <c r="AG66" s="141">
        <v>15295.970000000001</v>
      </c>
      <c r="AH66" s="141">
        <v>18374.13</v>
      </c>
      <c r="AI66" s="141">
        <v>20191.16</v>
      </c>
      <c r="AJ66" s="141">
        <v>22968.480000000003</v>
      </c>
      <c r="AK66" s="141">
        <v>25761.06</v>
      </c>
    </row>
    <row r="67" spans="1:37">
      <c r="A67" s="1"/>
      <c r="B67" s="2" t="s">
        <v>12</v>
      </c>
      <c r="C67" s="141">
        <v>21071.449999999997</v>
      </c>
      <c r="D67" s="141">
        <v>25362.1</v>
      </c>
      <c r="E67" s="141">
        <v>27965.699999999997</v>
      </c>
      <c r="F67" s="141">
        <v>31828.55</v>
      </c>
      <c r="G67" s="141">
        <v>34675.949999999997</v>
      </c>
      <c r="K67" s="1"/>
      <c r="L67" s="2" t="s">
        <v>12</v>
      </c>
      <c r="M67" s="141">
        <v>18696.375</v>
      </c>
      <c r="N67" s="141">
        <v>22495.5</v>
      </c>
      <c r="O67" s="141">
        <v>24815.25</v>
      </c>
      <c r="P67" s="141">
        <v>28238.625</v>
      </c>
      <c r="Q67" s="141">
        <v>30760.875</v>
      </c>
      <c r="U67" s="1"/>
      <c r="V67" s="2" t="s">
        <v>12</v>
      </c>
      <c r="W67" s="141">
        <v>17248</v>
      </c>
      <c r="X67" s="141">
        <v>20749.300000000003</v>
      </c>
      <c r="Y67" s="141">
        <v>22895.4</v>
      </c>
      <c r="Z67" s="141">
        <v>26051.300000000003</v>
      </c>
      <c r="AA67" s="141">
        <v>28374.500000000004</v>
      </c>
      <c r="AE67" s="1"/>
      <c r="AF67" s="2" t="s">
        <v>12</v>
      </c>
      <c r="AG67" s="141">
        <v>15879.12</v>
      </c>
      <c r="AH67" s="141">
        <v>19098.980000000003</v>
      </c>
      <c r="AI67" s="141">
        <v>21079.510000000002</v>
      </c>
      <c r="AJ67" s="141">
        <v>23983.27</v>
      </c>
      <c r="AK67" s="141">
        <v>26119.670000000002</v>
      </c>
    </row>
    <row r="68" spans="1:37">
      <c r="A68" s="1"/>
      <c r="B68" s="2" t="s">
        <v>13</v>
      </c>
      <c r="C68" s="141">
        <v>23949.899999999998</v>
      </c>
      <c r="D68" s="141">
        <v>29019.1</v>
      </c>
      <c r="E68" s="141">
        <v>32267.85</v>
      </c>
      <c r="F68" s="141">
        <v>36756.299999999996</v>
      </c>
      <c r="G68" s="141">
        <v>40468.5</v>
      </c>
      <c r="K68" s="1"/>
      <c r="L68" s="2" t="s">
        <v>13</v>
      </c>
      <c r="M68" s="141">
        <v>21245.625</v>
      </c>
      <c r="N68" s="141">
        <v>25734.375</v>
      </c>
      <c r="O68" s="141">
        <v>28627.875</v>
      </c>
      <c r="P68" s="141">
        <v>32605.875</v>
      </c>
      <c r="Q68" s="141">
        <v>35893.125</v>
      </c>
      <c r="U68" s="1"/>
      <c r="V68" s="2" t="s">
        <v>13</v>
      </c>
      <c r="W68" s="141">
        <v>19597.600000000002</v>
      </c>
      <c r="X68" s="141">
        <v>23734.7</v>
      </c>
      <c r="Y68" s="141">
        <v>26409.9</v>
      </c>
      <c r="Z68" s="141">
        <v>30076.2</v>
      </c>
      <c r="AA68" s="141">
        <v>33106.700000000004</v>
      </c>
      <c r="AE68" s="1"/>
      <c r="AF68" s="2" t="s">
        <v>13</v>
      </c>
      <c r="AG68" s="141">
        <v>18040.59</v>
      </c>
      <c r="AH68" s="141">
        <v>21844.690000000002</v>
      </c>
      <c r="AI68" s="141">
        <v>24313.54</v>
      </c>
      <c r="AJ68" s="141">
        <v>27686.000000000004</v>
      </c>
      <c r="AK68" s="141">
        <v>30473.13</v>
      </c>
    </row>
    <row r="69" spans="1:37">
      <c r="A69" s="1"/>
      <c r="B69" s="2" t="s">
        <v>14</v>
      </c>
      <c r="C69" s="141">
        <v>26052.1</v>
      </c>
      <c r="D69" s="141">
        <v>31699.749999999996</v>
      </c>
      <c r="E69" s="141">
        <v>35451.049999999996</v>
      </c>
      <c r="F69" s="141">
        <v>40421.35</v>
      </c>
      <c r="G69" s="141">
        <v>44108.25</v>
      </c>
      <c r="K69" s="1"/>
      <c r="L69" s="2" t="s">
        <v>14</v>
      </c>
      <c r="M69" s="141">
        <v>23107.5</v>
      </c>
      <c r="N69" s="141">
        <v>28109.25</v>
      </c>
      <c r="O69" s="141">
        <v>31449.375</v>
      </c>
      <c r="P69" s="141">
        <v>35853.75</v>
      </c>
      <c r="Q69" s="141">
        <v>39118.5</v>
      </c>
      <c r="U69" s="1"/>
      <c r="V69" s="2" t="s">
        <v>14</v>
      </c>
      <c r="W69" s="141">
        <v>21313.600000000002</v>
      </c>
      <c r="X69" s="141">
        <v>25922.600000000002</v>
      </c>
      <c r="Y69" s="141">
        <v>29011.4</v>
      </c>
      <c r="Z69" s="141">
        <v>33070.400000000001</v>
      </c>
      <c r="AA69" s="141">
        <v>36080</v>
      </c>
      <c r="AE69" s="1"/>
      <c r="AF69" s="2" t="s">
        <v>14</v>
      </c>
      <c r="AG69" s="141">
        <v>19618.91</v>
      </c>
      <c r="AH69" s="141">
        <v>23856.83</v>
      </c>
      <c r="AI69" s="141">
        <v>26706.09</v>
      </c>
      <c r="AJ69" s="141">
        <v>30440.430000000004</v>
      </c>
      <c r="AK69" s="141">
        <v>33207.94</v>
      </c>
    </row>
    <row r="70" spans="1:37">
      <c r="A70" s="1"/>
      <c r="B70" s="2" t="s">
        <v>15</v>
      </c>
      <c r="C70" s="141">
        <v>31708.949999999997</v>
      </c>
      <c r="D70" s="141">
        <v>38567.549999999996</v>
      </c>
      <c r="E70" s="141">
        <v>43834.549999999996</v>
      </c>
      <c r="F70" s="141">
        <v>51227.899999999994</v>
      </c>
      <c r="G70" s="141">
        <v>57174.549999999996</v>
      </c>
      <c r="K70" s="1"/>
      <c r="L70" s="2" t="s">
        <v>15</v>
      </c>
      <c r="M70" s="141">
        <v>28125</v>
      </c>
      <c r="N70" s="141">
        <v>34198.875</v>
      </c>
      <c r="O70" s="141">
        <v>38887.875</v>
      </c>
      <c r="P70" s="141">
        <v>45438.75</v>
      </c>
      <c r="Q70" s="141">
        <v>50707.125</v>
      </c>
      <c r="U70" s="1"/>
      <c r="V70" s="2" t="s">
        <v>15</v>
      </c>
      <c r="W70" s="141">
        <v>25942.400000000001</v>
      </c>
      <c r="X70" s="141">
        <v>31539.200000000004</v>
      </c>
      <c r="Y70" s="141">
        <v>35874.300000000003</v>
      </c>
      <c r="Z70" s="141">
        <v>41911.100000000006</v>
      </c>
      <c r="AA70" s="141">
        <v>46767.600000000006</v>
      </c>
      <c r="AE70" s="1"/>
      <c r="AF70" s="2" t="s">
        <v>15</v>
      </c>
      <c r="AG70" s="141">
        <v>23879.72</v>
      </c>
      <c r="AH70" s="141">
        <v>29026.7</v>
      </c>
      <c r="AI70" s="141">
        <v>33025.910000000003</v>
      </c>
      <c r="AJ70" s="141">
        <v>38578.370000000003</v>
      </c>
      <c r="AK70" s="141">
        <v>43045.19</v>
      </c>
    </row>
    <row r="71" spans="1:37">
      <c r="A71" s="1"/>
      <c r="B71" s="2" t="s">
        <v>16</v>
      </c>
      <c r="C71" s="141">
        <v>38081.1</v>
      </c>
      <c r="D71" s="141">
        <v>46477.25</v>
      </c>
      <c r="E71" s="141">
        <v>52880.45</v>
      </c>
      <c r="F71" s="141">
        <v>61956.249999999993</v>
      </c>
      <c r="G71" s="141">
        <v>69231.149999999994</v>
      </c>
      <c r="K71" s="1"/>
      <c r="L71" s="2" t="s">
        <v>16</v>
      </c>
      <c r="M71" s="141">
        <v>33766.875</v>
      </c>
      <c r="N71" s="141">
        <v>41202</v>
      </c>
      <c r="O71" s="141">
        <v>46900.125</v>
      </c>
      <c r="P71" s="141">
        <v>54939.375</v>
      </c>
      <c r="Q71" s="141">
        <v>61383.375</v>
      </c>
      <c r="U71" s="1"/>
      <c r="V71" s="2" t="s">
        <v>16</v>
      </c>
      <c r="W71" s="141">
        <v>31141.000000000004</v>
      </c>
      <c r="X71" s="141">
        <v>37991.800000000003</v>
      </c>
      <c r="Y71" s="141">
        <v>43256.4</v>
      </c>
      <c r="Z71" s="141">
        <v>50667.100000000006</v>
      </c>
      <c r="AA71" s="141">
        <v>56607.100000000006</v>
      </c>
      <c r="AE71" s="1"/>
      <c r="AF71" s="2" t="s">
        <v>16</v>
      </c>
      <c r="AG71" s="141">
        <v>28659.370000000003</v>
      </c>
      <c r="AH71" s="141">
        <v>34958.480000000003</v>
      </c>
      <c r="AI71" s="141">
        <v>39814.43</v>
      </c>
      <c r="AJ71" s="141">
        <v>46629.11</v>
      </c>
      <c r="AK71" s="141">
        <v>52092.19</v>
      </c>
    </row>
    <row r="72" spans="1:37">
      <c r="A72" s="1"/>
      <c r="B72" s="2" t="s">
        <v>17</v>
      </c>
      <c r="C72" s="141">
        <v>46098.899999999994</v>
      </c>
      <c r="D72" s="141">
        <v>56290.2</v>
      </c>
      <c r="E72" s="141">
        <v>64155.049999999996</v>
      </c>
      <c r="F72" s="141">
        <v>74068.049999999988</v>
      </c>
      <c r="G72" s="141">
        <v>82912.7</v>
      </c>
      <c r="K72" s="1"/>
      <c r="L72" s="2" t="s">
        <v>17</v>
      </c>
      <c r="M72" s="141">
        <v>40875.75</v>
      </c>
      <c r="N72" s="141">
        <v>49900.5</v>
      </c>
      <c r="O72" s="141">
        <v>56899.125</v>
      </c>
      <c r="P72" s="141">
        <v>65680.875</v>
      </c>
      <c r="Q72" s="141">
        <v>73515.375</v>
      </c>
      <c r="U72" s="1"/>
      <c r="V72" s="2" t="s">
        <v>17</v>
      </c>
      <c r="W72" s="141">
        <v>37695.9</v>
      </c>
      <c r="X72" s="141">
        <v>46013.000000000007</v>
      </c>
      <c r="Y72" s="141">
        <v>52479.9</v>
      </c>
      <c r="Z72" s="141">
        <v>60573.700000000004</v>
      </c>
      <c r="AA72" s="141">
        <v>67795.200000000012</v>
      </c>
      <c r="AE72" s="1"/>
      <c r="AF72" s="2" t="s">
        <v>17</v>
      </c>
      <c r="AG72" s="141">
        <v>34691.43</v>
      </c>
      <c r="AH72" s="141">
        <v>42338.87</v>
      </c>
      <c r="AI72" s="141">
        <v>48303.350000000006</v>
      </c>
      <c r="AJ72" s="141">
        <v>55746.960000000006</v>
      </c>
      <c r="AK72" s="141">
        <v>62389.420000000006</v>
      </c>
    </row>
    <row r="73" spans="1:37">
      <c r="A73" s="1"/>
      <c r="B73" s="2" t="s">
        <v>18</v>
      </c>
      <c r="C73" s="141">
        <v>54630.749999999993</v>
      </c>
      <c r="D73" s="141">
        <v>66720.7</v>
      </c>
      <c r="E73" s="141">
        <v>76054.099999999991</v>
      </c>
      <c r="F73" s="141">
        <v>90177.25</v>
      </c>
      <c r="G73" s="141">
        <v>101155.15</v>
      </c>
      <c r="K73" s="1"/>
      <c r="L73" s="2" t="s">
        <v>18</v>
      </c>
      <c r="M73" s="141">
        <v>48430.125</v>
      </c>
      <c r="N73" s="141">
        <v>59135.625</v>
      </c>
      <c r="O73" s="141">
        <v>67433.625</v>
      </c>
      <c r="P73" s="141">
        <v>79943.625</v>
      </c>
      <c r="Q73" s="141">
        <v>89668.125</v>
      </c>
      <c r="U73" s="1"/>
      <c r="V73" s="2" t="s">
        <v>18</v>
      </c>
      <c r="W73" s="141">
        <v>44656.700000000004</v>
      </c>
      <c r="X73" s="141">
        <v>54522.600000000006</v>
      </c>
      <c r="Y73" s="141">
        <v>62186.3</v>
      </c>
      <c r="Z73" s="141">
        <v>73716.5</v>
      </c>
      <c r="AA73" s="141">
        <v>82679.3</v>
      </c>
      <c r="AE73" s="1"/>
      <c r="AF73" s="2" t="s">
        <v>18</v>
      </c>
      <c r="AG73" s="141">
        <v>41090.82</v>
      </c>
      <c r="AH73" s="141">
        <v>50162.890000000007</v>
      </c>
      <c r="AI73" s="141">
        <v>57228.270000000004</v>
      </c>
      <c r="AJ73" s="141">
        <v>67830.700000000012</v>
      </c>
      <c r="AK73" s="141">
        <v>76075.460000000006</v>
      </c>
    </row>
    <row r="74" spans="1:37">
      <c r="A74" s="1"/>
      <c r="B74" s="2" t="s">
        <v>19</v>
      </c>
      <c r="C74" s="141">
        <v>67933.95</v>
      </c>
      <c r="D74" s="141">
        <v>83082.899999999994</v>
      </c>
      <c r="E74" s="141">
        <v>94870.399999999994</v>
      </c>
      <c r="F74" s="141">
        <v>110427.59999999999</v>
      </c>
      <c r="G74" s="141">
        <v>124279.34999999999</v>
      </c>
      <c r="K74" s="1"/>
      <c r="L74" s="2" t="s">
        <v>19</v>
      </c>
      <c r="M74" s="141">
        <v>60211.125</v>
      </c>
      <c r="N74" s="141">
        <v>73625.625</v>
      </c>
      <c r="O74" s="141">
        <v>84097.125</v>
      </c>
      <c r="P74" s="141">
        <v>97876.125</v>
      </c>
      <c r="Q74" s="141">
        <v>110145.375</v>
      </c>
      <c r="U74" s="1"/>
      <c r="V74" s="2" t="s">
        <v>19</v>
      </c>
      <c r="W74" s="141">
        <v>55513.700000000004</v>
      </c>
      <c r="X74" s="141">
        <v>67875.5</v>
      </c>
      <c r="Y74" s="141">
        <v>77542.3</v>
      </c>
      <c r="Z74" s="141">
        <v>90241.8</v>
      </c>
      <c r="AA74" s="141">
        <v>101550.90000000001</v>
      </c>
      <c r="AE74" s="1"/>
      <c r="AF74" s="2" t="s">
        <v>19</v>
      </c>
      <c r="AG74" s="141">
        <v>51074.130000000005</v>
      </c>
      <c r="AH74" s="141">
        <v>62441.740000000005</v>
      </c>
      <c r="AI74" s="141">
        <v>71348.13</v>
      </c>
      <c r="AJ74" s="141">
        <v>83027.48000000001</v>
      </c>
      <c r="AK74" s="141">
        <v>93427.170000000013</v>
      </c>
    </row>
    <row r="75" spans="1:37">
      <c r="A75" s="1"/>
      <c r="B75" s="2" t="s">
        <v>20</v>
      </c>
      <c r="C75" s="141">
        <v>76677.399999999994</v>
      </c>
      <c r="D75" s="141">
        <v>92943</v>
      </c>
      <c r="E75" s="141">
        <v>106118.54999999999</v>
      </c>
      <c r="F75" s="141">
        <v>126360.84999999999</v>
      </c>
      <c r="G75" s="141">
        <v>140372.44999999998</v>
      </c>
      <c r="K75" s="1"/>
      <c r="L75" s="2" t="s">
        <v>20</v>
      </c>
      <c r="M75" s="141">
        <v>67953.375</v>
      </c>
      <c r="N75" s="141">
        <v>82355.625</v>
      </c>
      <c r="O75" s="141">
        <v>94055.625</v>
      </c>
      <c r="P75" s="141">
        <v>111985.875</v>
      </c>
      <c r="Q75" s="141">
        <v>124395.75</v>
      </c>
      <c r="U75" s="1"/>
      <c r="V75" s="2" t="s">
        <v>20</v>
      </c>
      <c r="W75" s="141">
        <v>62648.3</v>
      </c>
      <c r="X75" s="141">
        <v>75919.8</v>
      </c>
      <c r="Y75" s="141">
        <v>86718.5</v>
      </c>
      <c r="Z75" s="141">
        <v>103243.8</v>
      </c>
      <c r="AA75" s="141">
        <v>114681.60000000001</v>
      </c>
      <c r="AE75" s="1"/>
      <c r="AF75" s="2" t="s">
        <v>20</v>
      </c>
      <c r="AG75" s="141">
        <v>57634.840000000004</v>
      </c>
      <c r="AH75" s="141">
        <v>69838.48000000001</v>
      </c>
      <c r="AI75" s="141">
        <v>79784.73000000001</v>
      </c>
      <c r="AJ75" s="141">
        <v>94983.69</v>
      </c>
      <c r="AK75" s="141">
        <v>105501.1</v>
      </c>
    </row>
    <row r="76" spans="1:37">
      <c r="A76" s="1"/>
      <c r="B76" s="2" t="s">
        <v>21</v>
      </c>
      <c r="C76" s="141">
        <v>94110.25</v>
      </c>
      <c r="D76" s="141">
        <v>114737.79999999999</v>
      </c>
      <c r="E76" s="141">
        <v>134073.9</v>
      </c>
      <c r="F76" s="141">
        <v>160259.4</v>
      </c>
      <c r="G76" s="141">
        <v>178428.25</v>
      </c>
      <c r="K76" s="1"/>
      <c r="L76" s="2" t="s">
        <v>21</v>
      </c>
      <c r="M76" s="141">
        <v>83389.5</v>
      </c>
      <c r="N76" s="141">
        <v>101656.125</v>
      </c>
      <c r="O76" s="141">
        <v>118812.375</v>
      </c>
      <c r="P76" s="141">
        <v>142005.375</v>
      </c>
      <c r="Q76" s="141">
        <v>158097.375</v>
      </c>
      <c r="U76" s="1"/>
      <c r="V76" s="2" t="s">
        <v>21</v>
      </c>
      <c r="W76" s="141">
        <v>76872.400000000009</v>
      </c>
      <c r="X76" s="141">
        <v>93704.6</v>
      </c>
      <c r="Y76" s="141">
        <v>109532.50000000001</v>
      </c>
      <c r="Z76" s="141">
        <v>130908.80000000002</v>
      </c>
      <c r="AA76" s="141">
        <v>145739</v>
      </c>
      <c r="AE76" s="1"/>
      <c r="AF76" s="2" t="s">
        <v>21</v>
      </c>
      <c r="AG76" s="141">
        <v>70713.75</v>
      </c>
      <c r="AH76" s="141">
        <v>86191.75</v>
      </c>
      <c r="AI76" s="141">
        <v>100763.96</v>
      </c>
      <c r="AJ76" s="141">
        <v>120422.11000000002</v>
      </c>
      <c r="AK76" s="141">
        <v>134060.19</v>
      </c>
    </row>
    <row r="77" spans="1:37">
      <c r="A77" s="1"/>
      <c r="B77" s="1"/>
      <c r="C77" s="1"/>
      <c r="D77" s="1"/>
      <c r="E77" s="1"/>
      <c r="F77" s="1"/>
      <c r="G77" s="1"/>
      <c r="K77" s="1"/>
      <c r="L77" s="1"/>
      <c r="M77" s="1"/>
      <c r="N77" s="1"/>
      <c r="O77" s="1"/>
      <c r="P77" s="1"/>
      <c r="Q77" s="1"/>
      <c r="U77" s="1"/>
      <c r="V77" s="1"/>
      <c r="W77" s="1"/>
      <c r="X77" s="1"/>
      <c r="Y77" s="1"/>
      <c r="Z77" s="1"/>
      <c r="AA77" s="1"/>
      <c r="AE77" s="1"/>
      <c r="AF77" s="1"/>
      <c r="AG77" s="1"/>
      <c r="AH77" s="1"/>
      <c r="AI77" s="1"/>
      <c r="AJ77" s="1"/>
      <c r="AK77" s="1"/>
    </row>
    <row r="78" spans="1:37">
      <c r="A78" s="1"/>
      <c r="B78" s="1"/>
      <c r="C78" s="1"/>
      <c r="D78" s="1"/>
      <c r="E78" s="1"/>
      <c r="F78" s="1"/>
      <c r="G78" s="1"/>
      <c r="K78" s="1"/>
      <c r="L78" s="1"/>
      <c r="M78" s="1"/>
      <c r="N78" s="1"/>
      <c r="O78" s="1"/>
      <c r="P78" s="1"/>
      <c r="Q78" s="1"/>
      <c r="U78" s="1"/>
      <c r="V78" s="1"/>
      <c r="W78" s="1"/>
      <c r="X78" s="1"/>
      <c r="Y78" s="1"/>
      <c r="Z78" s="1"/>
      <c r="AA78" s="1"/>
      <c r="AE78" s="1"/>
      <c r="AF78" s="1"/>
      <c r="AG78" s="1"/>
      <c r="AH78" s="1"/>
      <c r="AI78" s="1"/>
      <c r="AJ78" s="1"/>
      <c r="AK78" s="1"/>
    </row>
    <row r="79" spans="1:37">
      <c r="A79" s="8"/>
      <c r="B79" s="1"/>
      <c r="C79" s="1"/>
      <c r="D79" s="1"/>
      <c r="E79" s="1"/>
      <c r="F79" s="1"/>
      <c r="G79" s="1"/>
      <c r="K79" s="8"/>
      <c r="L79" s="1"/>
      <c r="M79" s="144" t="s">
        <v>250</v>
      </c>
      <c r="N79" s="144"/>
      <c r="O79" s="154" t="s">
        <v>251</v>
      </c>
      <c r="P79" s="154"/>
      <c r="Q79" s="154"/>
      <c r="U79" s="8"/>
      <c r="V79" s="1"/>
      <c r="W79" s="1"/>
      <c r="X79" s="1"/>
      <c r="Y79" s="1"/>
      <c r="Z79" s="1"/>
      <c r="AA79" s="1"/>
      <c r="AE79" s="8"/>
      <c r="AF79" s="1"/>
      <c r="AG79" s="1"/>
      <c r="AH79" s="1"/>
      <c r="AI79" s="1"/>
      <c r="AJ79" s="1"/>
      <c r="AK79" s="1"/>
    </row>
    <row r="80" spans="1:37">
      <c r="A80" s="5" t="s">
        <v>65</v>
      </c>
      <c r="B80" s="1"/>
      <c r="C80" s="144" t="s">
        <v>250</v>
      </c>
      <c r="D80" s="144"/>
      <c r="E80" s="154" t="s">
        <v>251</v>
      </c>
      <c r="F80" s="154"/>
      <c r="G80" s="154"/>
      <c r="K80" s="5" t="s">
        <v>65</v>
      </c>
      <c r="L80" s="1"/>
      <c r="M80" s="144" t="s">
        <v>250</v>
      </c>
      <c r="N80" s="144"/>
      <c r="O80" s="154" t="s">
        <v>251</v>
      </c>
      <c r="P80" s="154"/>
      <c r="Q80" s="154"/>
      <c r="U80" s="5" t="s">
        <v>65</v>
      </c>
      <c r="V80" s="1"/>
      <c r="W80" s="144" t="s">
        <v>250</v>
      </c>
      <c r="X80" s="144"/>
      <c r="Y80" s="154" t="s">
        <v>251</v>
      </c>
      <c r="Z80" s="154"/>
      <c r="AA80" s="154"/>
      <c r="AE80" s="5" t="s">
        <v>65</v>
      </c>
      <c r="AF80" s="1"/>
      <c r="AG80" s="144" t="s">
        <v>250</v>
      </c>
      <c r="AH80" s="144"/>
      <c r="AI80" s="154" t="s">
        <v>251</v>
      </c>
      <c r="AJ80" s="154"/>
      <c r="AK80" s="154"/>
    </row>
    <row r="81" spans="1:37">
      <c r="A81" s="1"/>
      <c r="B81" s="2" t="s">
        <v>60</v>
      </c>
      <c r="C81" s="94">
        <v>300000</v>
      </c>
      <c r="D81" s="94">
        <v>400000</v>
      </c>
      <c r="E81" s="94">
        <v>500000</v>
      </c>
      <c r="F81" s="94">
        <v>700000</v>
      </c>
      <c r="G81" s="94">
        <v>1000000</v>
      </c>
      <c r="K81" s="1"/>
      <c r="L81" s="2" t="s">
        <v>60</v>
      </c>
      <c r="M81" s="94">
        <v>300000</v>
      </c>
      <c r="N81" s="94">
        <v>400000</v>
      </c>
      <c r="O81" s="94">
        <v>500000</v>
      </c>
      <c r="P81" s="94">
        <v>700000</v>
      </c>
      <c r="Q81" s="94">
        <v>1000000</v>
      </c>
      <c r="U81" s="1"/>
      <c r="V81" s="2" t="s">
        <v>60</v>
      </c>
      <c r="W81" s="94">
        <v>300000</v>
      </c>
      <c r="X81" s="94">
        <v>400000</v>
      </c>
      <c r="Y81" s="94">
        <v>500000</v>
      </c>
      <c r="Z81" s="94">
        <v>700000</v>
      </c>
      <c r="AA81" s="94">
        <v>1000000</v>
      </c>
      <c r="AE81" s="1"/>
      <c r="AF81" s="2" t="s">
        <v>60</v>
      </c>
      <c r="AG81" s="94">
        <v>300000</v>
      </c>
      <c r="AH81" s="94">
        <v>400000</v>
      </c>
      <c r="AI81" s="94">
        <v>500000</v>
      </c>
      <c r="AJ81" s="94">
        <v>700000</v>
      </c>
      <c r="AK81" s="94">
        <v>1000000</v>
      </c>
    </row>
    <row r="82" spans="1:37">
      <c r="A82" s="1"/>
      <c r="B82" s="2" t="s">
        <v>11</v>
      </c>
      <c r="C82" s="141">
        <v>14588.9</v>
      </c>
      <c r="D82" s="141">
        <v>17705.399999999998</v>
      </c>
      <c r="E82" s="141">
        <v>22142.1</v>
      </c>
      <c r="F82" s="141">
        <v>23495.649999999998</v>
      </c>
      <c r="G82" s="141">
        <v>26121.1</v>
      </c>
      <c r="K82" s="1"/>
      <c r="L82" s="2" t="s">
        <v>11</v>
      </c>
      <c r="M82" s="141">
        <v>12953.25</v>
      </c>
      <c r="N82" s="141">
        <v>15712.875</v>
      </c>
      <c r="O82" s="141">
        <v>19670.625</v>
      </c>
      <c r="P82" s="141">
        <v>20867.625</v>
      </c>
      <c r="Q82" s="141">
        <v>23194.125</v>
      </c>
      <c r="U82" s="1"/>
      <c r="V82" s="2" t="s">
        <v>11</v>
      </c>
      <c r="W82" s="141">
        <v>11955.900000000001</v>
      </c>
      <c r="X82" s="141">
        <v>14498.000000000002</v>
      </c>
      <c r="Y82" s="141">
        <v>18159.900000000001</v>
      </c>
      <c r="Z82" s="141">
        <v>19262.100000000002</v>
      </c>
      <c r="AA82" s="141">
        <v>21407.100000000002</v>
      </c>
      <c r="AE82" s="1"/>
      <c r="AF82" s="2" t="s">
        <v>11</v>
      </c>
      <c r="AG82" s="141">
        <v>11012.27</v>
      </c>
      <c r="AH82" s="141">
        <v>13349.230000000001</v>
      </c>
      <c r="AI82" s="141">
        <v>16732.59</v>
      </c>
      <c r="AJ82" s="141">
        <v>17745.2</v>
      </c>
      <c r="AK82" s="141">
        <v>19718.100000000002</v>
      </c>
    </row>
    <row r="83" spans="1:37">
      <c r="A83" s="1"/>
      <c r="B83" s="2" t="s">
        <v>12</v>
      </c>
      <c r="C83" s="141">
        <v>16871.649999999998</v>
      </c>
      <c r="D83" s="141">
        <v>20318.199999999997</v>
      </c>
      <c r="E83" s="141">
        <v>23535.899999999998</v>
      </c>
      <c r="F83" s="141">
        <v>26529.35</v>
      </c>
      <c r="G83" s="141">
        <v>28962.749999999996</v>
      </c>
      <c r="K83" s="1"/>
      <c r="L83" s="2" t="s">
        <v>12</v>
      </c>
      <c r="M83" s="141">
        <v>14988.375</v>
      </c>
      <c r="N83" s="141">
        <v>18040.5</v>
      </c>
      <c r="O83" s="141">
        <v>20921.625</v>
      </c>
      <c r="P83" s="141">
        <v>23576.625</v>
      </c>
      <c r="Q83" s="141">
        <v>25732.125</v>
      </c>
      <c r="U83" s="1"/>
      <c r="V83" s="2" t="s">
        <v>12</v>
      </c>
      <c r="W83" s="141">
        <v>13836.900000000001</v>
      </c>
      <c r="X83" s="141">
        <v>16650.7</v>
      </c>
      <c r="Y83" s="141">
        <v>19322.600000000002</v>
      </c>
      <c r="Z83" s="141">
        <v>21770.100000000002</v>
      </c>
      <c r="AA83" s="141">
        <v>23757.800000000003</v>
      </c>
      <c r="AE83" s="1"/>
      <c r="AF83" s="2" t="s">
        <v>12</v>
      </c>
      <c r="AG83" s="141">
        <v>12748.640000000001</v>
      </c>
      <c r="AH83" s="141">
        <v>15335.210000000001</v>
      </c>
      <c r="AI83" s="141">
        <v>17810.600000000002</v>
      </c>
      <c r="AJ83" s="141">
        <v>20062.54</v>
      </c>
      <c r="AK83" s="141">
        <v>21890.47</v>
      </c>
    </row>
    <row r="84" spans="1:37">
      <c r="A84" s="1"/>
      <c r="B84" s="2" t="s">
        <v>13</v>
      </c>
      <c r="C84" s="141">
        <v>18750.75</v>
      </c>
      <c r="D84" s="141">
        <v>22583.699999999997</v>
      </c>
      <c r="E84" s="141">
        <v>25894.55</v>
      </c>
      <c r="F84" s="141">
        <v>29247.949999999997</v>
      </c>
      <c r="G84" s="141">
        <v>32626.649999999998</v>
      </c>
      <c r="K84" s="1"/>
      <c r="L84" s="2" t="s">
        <v>13</v>
      </c>
      <c r="M84" s="141">
        <v>16653.375</v>
      </c>
      <c r="N84" s="141">
        <v>20047.5</v>
      </c>
      <c r="O84" s="141">
        <v>23011.875</v>
      </c>
      <c r="P84" s="141">
        <v>25984.125</v>
      </c>
      <c r="Q84" s="141">
        <v>28980</v>
      </c>
      <c r="U84" s="1"/>
      <c r="V84" s="2" t="s">
        <v>13</v>
      </c>
      <c r="W84" s="141">
        <v>15372.500000000002</v>
      </c>
      <c r="X84" s="141">
        <v>18500.900000000001</v>
      </c>
      <c r="Y84" s="141">
        <v>21249.800000000003</v>
      </c>
      <c r="Z84" s="141">
        <v>23989.9</v>
      </c>
      <c r="AA84" s="141">
        <v>26750.9</v>
      </c>
      <c r="AE84" s="1"/>
      <c r="AF84" s="2" t="s">
        <v>13</v>
      </c>
      <c r="AG84" s="141">
        <v>14161.28</v>
      </c>
      <c r="AH84" s="141">
        <v>17037.79</v>
      </c>
      <c r="AI84" s="141">
        <v>19582.940000000002</v>
      </c>
      <c r="AJ84" s="141">
        <v>22104.11</v>
      </c>
      <c r="AK84" s="141">
        <v>24644.9</v>
      </c>
    </row>
    <row r="85" spans="1:37">
      <c r="A85" s="1"/>
      <c r="B85" s="2" t="s">
        <v>14</v>
      </c>
      <c r="C85" s="141">
        <v>21406.1</v>
      </c>
      <c r="D85" s="141">
        <v>25831.3</v>
      </c>
      <c r="E85" s="141">
        <v>29542.35</v>
      </c>
      <c r="F85" s="141">
        <v>33468.449999999997</v>
      </c>
      <c r="G85" s="141">
        <v>37432.5</v>
      </c>
      <c r="K85" s="1"/>
      <c r="L85" s="2" t="s">
        <v>14</v>
      </c>
      <c r="M85" s="141">
        <v>19003.5</v>
      </c>
      <c r="N85" s="141">
        <v>22923</v>
      </c>
      <c r="O85" s="141">
        <v>26240.625</v>
      </c>
      <c r="P85" s="141">
        <v>29721.375</v>
      </c>
      <c r="Q85" s="141">
        <v>33233.625</v>
      </c>
      <c r="U85" s="1"/>
      <c r="V85" s="2" t="s">
        <v>14</v>
      </c>
      <c r="W85" s="141">
        <v>17538.400000000001</v>
      </c>
      <c r="X85" s="141">
        <v>21149.7</v>
      </c>
      <c r="Y85" s="141">
        <v>24224.2</v>
      </c>
      <c r="Z85" s="141">
        <v>27432.9</v>
      </c>
      <c r="AA85" s="141">
        <v>30671.300000000003</v>
      </c>
      <c r="AE85" s="1"/>
      <c r="AF85" s="2" t="s">
        <v>14</v>
      </c>
      <c r="AG85" s="141">
        <v>16152.710000000001</v>
      </c>
      <c r="AH85" s="141">
        <v>19473.940000000002</v>
      </c>
      <c r="AI85" s="141">
        <v>22317.75</v>
      </c>
      <c r="AJ85" s="141">
        <v>25269.47</v>
      </c>
      <c r="AK85" s="141">
        <v>28249.530000000002</v>
      </c>
    </row>
    <row r="86" spans="1:37">
      <c r="A86" s="1"/>
      <c r="B86" s="2" t="s">
        <v>15</v>
      </c>
      <c r="C86" s="141">
        <v>26529.35</v>
      </c>
      <c r="D86" s="141">
        <v>32057.399999999998</v>
      </c>
      <c r="E86" s="141">
        <v>37634.899999999994</v>
      </c>
      <c r="F86" s="141">
        <v>43836.85</v>
      </c>
      <c r="G86" s="141">
        <v>49032.549999999996</v>
      </c>
      <c r="K86" s="1"/>
      <c r="L86" s="2" t="s">
        <v>15</v>
      </c>
      <c r="M86" s="141">
        <v>23549.625</v>
      </c>
      <c r="N86" s="141">
        <v>28444.5</v>
      </c>
      <c r="O86" s="141">
        <v>33422.625</v>
      </c>
      <c r="P86" s="141">
        <v>38916</v>
      </c>
      <c r="Q86" s="141">
        <v>43520.625</v>
      </c>
      <c r="U86" s="1"/>
      <c r="V86" s="2" t="s">
        <v>15</v>
      </c>
      <c r="W86" s="141">
        <v>21730.5</v>
      </c>
      <c r="X86" s="141">
        <v>26242.7</v>
      </c>
      <c r="Y86" s="141">
        <v>30850.600000000002</v>
      </c>
      <c r="Z86" s="141">
        <v>35913.9</v>
      </c>
      <c r="AA86" s="141">
        <v>40158.800000000003</v>
      </c>
      <c r="AE86" s="1"/>
      <c r="AF86" s="2" t="s">
        <v>15</v>
      </c>
      <c r="AG86" s="141">
        <v>20012.400000000001</v>
      </c>
      <c r="AH86" s="141">
        <v>24160.940000000002</v>
      </c>
      <c r="AI86" s="141">
        <v>28419.570000000003</v>
      </c>
      <c r="AJ86" s="141">
        <v>33074.959999999999</v>
      </c>
      <c r="AK86" s="141">
        <v>36980.43</v>
      </c>
    </row>
    <row r="87" spans="1:37">
      <c r="A87" s="1"/>
      <c r="B87" s="2" t="s">
        <v>16</v>
      </c>
      <c r="C87" s="141">
        <v>34264.25</v>
      </c>
      <c r="D87" s="141">
        <v>41495.449999999997</v>
      </c>
      <c r="E87" s="141">
        <v>47413.35</v>
      </c>
      <c r="F87" s="141">
        <v>57893.299999999996</v>
      </c>
      <c r="G87" s="141">
        <v>64928.999999999993</v>
      </c>
      <c r="K87" s="1"/>
      <c r="L87" s="2" t="s">
        <v>16</v>
      </c>
      <c r="M87" s="141">
        <v>30403.125</v>
      </c>
      <c r="N87" s="141">
        <v>36805.5</v>
      </c>
      <c r="O87" s="141">
        <v>42086.25</v>
      </c>
      <c r="P87" s="141">
        <v>51370.875</v>
      </c>
      <c r="Q87" s="141">
        <v>57605.625</v>
      </c>
      <c r="U87" s="1"/>
      <c r="V87" s="2" t="s">
        <v>16</v>
      </c>
      <c r="W87" s="141">
        <v>28048.9</v>
      </c>
      <c r="X87" s="141">
        <v>33949.300000000003</v>
      </c>
      <c r="Y87" s="141">
        <v>38836.600000000006</v>
      </c>
      <c r="Z87" s="141">
        <v>47393.500000000007</v>
      </c>
      <c r="AA87" s="141">
        <v>53141.000000000007</v>
      </c>
      <c r="AE87" s="1"/>
      <c r="AF87" s="2" t="s">
        <v>16</v>
      </c>
      <c r="AG87" s="141">
        <v>25824.280000000002</v>
      </c>
      <c r="AH87" s="141">
        <v>31249.210000000003</v>
      </c>
      <c r="AI87" s="141">
        <v>35763.990000000005</v>
      </c>
      <c r="AJ87" s="141">
        <v>43634.880000000005</v>
      </c>
      <c r="AK87" s="141">
        <v>48922.47</v>
      </c>
    </row>
    <row r="88" spans="1:37">
      <c r="A88" s="1"/>
      <c r="B88" s="2" t="s">
        <v>17</v>
      </c>
      <c r="C88" s="141">
        <v>47352.399999999994</v>
      </c>
      <c r="D88" s="141">
        <v>57456.299999999996</v>
      </c>
      <c r="E88" s="141">
        <v>65665</v>
      </c>
      <c r="F88" s="141">
        <v>78206.899999999994</v>
      </c>
      <c r="G88" s="141">
        <v>87945.099999999991</v>
      </c>
      <c r="K88" s="1"/>
      <c r="L88" s="2" t="s">
        <v>17</v>
      </c>
      <c r="M88" s="141">
        <v>42005.25</v>
      </c>
      <c r="N88" s="141">
        <v>50952.375</v>
      </c>
      <c r="O88" s="141">
        <v>58268.25</v>
      </c>
      <c r="P88" s="141">
        <v>69379.875</v>
      </c>
      <c r="Q88" s="141">
        <v>78008.625</v>
      </c>
      <c r="U88" s="1"/>
      <c r="V88" s="2" t="s">
        <v>17</v>
      </c>
      <c r="W88" s="141">
        <v>38747.5</v>
      </c>
      <c r="X88" s="141">
        <v>46992.000000000007</v>
      </c>
      <c r="Y88" s="141">
        <v>53759.200000000004</v>
      </c>
      <c r="Z88" s="141">
        <v>64001.3</v>
      </c>
      <c r="AA88" s="141">
        <v>71954.3</v>
      </c>
      <c r="AE88" s="1"/>
      <c r="AF88" s="2" t="s">
        <v>17</v>
      </c>
      <c r="AG88" s="141">
        <v>35668.07</v>
      </c>
      <c r="AH88" s="141">
        <v>43249.020000000004</v>
      </c>
      <c r="AI88" s="141">
        <v>49496.9</v>
      </c>
      <c r="AJ88" s="141">
        <v>58917.770000000004</v>
      </c>
      <c r="AK88" s="141">
        <v>66233.850000000006</v>
      </c>
    </row>
    <row r="89" spans="1:37">
      <c r="A89" s="1"/>
      <c r="B89" s="2" t="s">
        <v>18</v>
      </c>
      <c r="C89" s="141">
        <v>62492.149999999994</v>
      </c>
      <c r="D89" s="141">
        <v>75967.849999999991</v>
      </c>
      <c r="E89" s="141">
        <v>92248.4</v>
      </c>
      <c r="F89" s="141">
        <v>105058.24999999999</v>
      </c>
      <c r="G89" s="141">
        <v>118446.54999999999</v>
      </c>
      <c r="K89" s="1"/>
      <c r="L89" s="2" t="s">
        <v>18</v>
      </c>
      <c r="M89" s="141">
        <v>55415.25</v>
      </c>
      <c r="N89" s="141">
        <v>67348.125</v>
      </c>
      <c r="O89" s="141">
        <v>81821.25</v>
      </c>
      <c r="P89" s="141">
        <v>93162.375</v>
      </c>
      <c r="Q89" s="141">
        <v>105023.25</v>
      </c>
      <c r="U89" s="1"/>
      <c r="V89" s="2" t="s">
        <v>18</v>
      </c>
      <c r="W89" s="141">
        <v>51106.000000000007</v>
      </c>
      <c r="X89" s="141">
        <v>62102.700000000004</v>
      </c>
      <c r="Y89" s="141">
        <v>75469.900000000009</v>
      </c>
      <c r="Z89" s="141">
        <v>85919.900000000009</v>
      </c>
      <c r="AA89" s="141">
        <v>96852.800000000003</v>
      </c>
      <c r="AE89" s="1"/>
      <c r="AF89" s="2" t="s">
        <v>18</v>
      </c>
      <c r="AG89" s="141">
        <v>47033.5</v>
      </c>
      <c r="AH89" s="141">
        <v>57145.430000000008</v>
      </c>
      <c r="AI89" s="141">
        <v>69466.790000000008</v>
      </c>
      <c r="AJ89" s="141">
        <v>79075.14</v>
      </c>
      <c r="AK89" s="141">
        <v>89130.39</v>
      </c>
    </row>
    <row r="90" spans="1:37">
      <c r="A90" s="1"/>
      <c r="B90" s="2" t="s">
        <v>19</v>
      </c>
      <c r="C90" s="141">
        <v>89213.549999999988</v>
      </c>
      <c r="D90" s="141">
        <v>108726.74999999999</v>
      </c>
      <c r="E90" s="141">
        <v>124349.49999999999</v>
      </c>
      <c r="F90" s="141">
        <v>148392.54999999999</v>
      </c>
      <c r="G90" s="141">
        <v>167831</v>
      </c>
      <c r="K90" s="1"/>
      <c r="L90" s="2" t="s">
        <v>19</v>
      </c>
      <c r="M90" s="141">
        <v>79081.875</v>
      </c>
      <c r="N90" s="141">
        <v>96360.75</v>
      </c>
      <c r="O90" s="141">
        <v>110244.375</v>
      </c>
      <c r="P90" s="141">
        <v>131541.75</v>
      </c>
      <c r="Q90" s="141">
        <v>148761</v>
      </c>
      <c r="U90" s="1"/>
      <c r="V90" s="2" t="s">
        <v>19</v>
      </c>
      <c r="W90" s="141">
        <v>72916.800000000003</v>
      </c>
      <c r="X90" s="141">
        <v>88840.400000000009</v>
      </c>
      <c r="Y90" s="141">
        <v>101660.90000000001</v>
      </c>
      <c r="Z90" s="141">
        <v>121289.3</v>
      </c>
      <c r="AA90" s="141">
        <v>137160.1</v>
      </c>
      <c r="AE90" s="1"/>
      <c r="AF90" s="2" t="s">
        <v>19</v>
      </c>
      <c r="AG90" s="141">
        <v>67091.680000000008</v>
      </c>
      <c r="AH90" s="141">
        <v>81733.650000000009</v>
      </c>
      <c r="AI90" s="141">
        <v>93548.160000000003</v>
      </c>
      <c r="AJ90" s="141">
        <v>111600.74</v>
      </c>
      <c r="AK90" s="141">
        <v>126196.93000000001</v>
      </c>
    </row>
    <row r="91" spans="1:37">
      <c r="A91" s="1"/>
      <c r="B91" s="2" t="s">
        <v>20</v>
      </c>
      <c r="C91" s="141">
        <v>110539.15</v>
      </c>
      <c r="D91" s="141">
        <v>134957.09999999998</v>
      </c>
      <c r="E91" s="141">
        <v>154374.84999999998</v>
      </c>
      <c r="F91" s="141">
        <v>182628.05</v>
      </c>
      <c r="G91" s="141">
        <v>210394.8</v>
      </c>
      <c r="K91" s="1"/>
      <c r="L91" s="2" t="s">
        <v>20</v>
      </c>
      <c r="M91" s="141">
        <v>97966.125</v>
      </c>
      <c r="N91" s="141">
        <v>119588.625</v>
      </c>
      <c r="O91" s="141">
        <v>136831.5</v>
      </c>
      <c r="P91" s="141">
        <v>161857.125</v>
      </c>
      <c r="Q91" s="141">
        <v>186453</v>
      </c>
      <c r="U91" s="1"/>
      <c r="V91" s="2" t="s">
        <v>20</v>
      </c>
      <c r="W91" s="141">
        <v>90319.900000000009</v>
      </c>
      <c r="X91" s="141">
        <v>110245.3</v>
      </c>
      <c r="Y91" s="141">
        <v>126161.20000000001</v>
      </c>
      <c r="Z91" s="141">
        <v>149224.90000000002</v>
      </c>
      <c r="AA91" s="141">
        <v>171895.90000000002</v>
      </c>
      <c r="AE91" s="1"/>
      <c r="AF91" s="2" t="s">
        <v>20</v>
      </c>
      <c r="AG91" s="141">
        <v>83093.97</v>
      </c>
      <c r="AH91" s="141">
        <v>101415.78000000001</v>
      </c>
      <c r="AI91" s="141">
        <v>116077.37000000001</v>
      </c>
      <c r="AJ91" s="141">
        <v>137287.68000000002</v>
      </c>
      <c r="AK91" s="141">
        <v>158138.29</v>
      </c>
    </row>
    <row r="92" spans="1:37">
      <c r="A92" s="1"/>
      <c r="B92" s="2" t="s">
        <v>21</v>
      </c>
      <c r="C92" s="141">
        <v>138991.29999999999</v>
      </c>
      <c r="D92" s="141">
        <v>169983.8</v>
      </c>
      <c r="E92" s="141">
        <v>195075.65</v>
      </c>
      <c r="F92" s="141">
        <v>234206.69999999998</v>
      </c>
      <c r="G92" s="141">
        <v>283465.8</v>
      </c>
      <c r="K92" s="1"/>
      <c r="L92" s="2" t="s">
        <v>21</v>
      </c>
      <c r="M92" s="141">
        <v>123159.375</v>
      </c>
      <c r="N92" s="141">
        <v>150603.75</v>
      </c>
      <c r="O92" s="141">
        <v>172870.875</v>
      </c>
      <c r="P92" s="141">
        <v>207529.875</v>
      </c>
      <c r="Q92" s="141">
        <v>251165.25</v>
      </c>
      <c r="U92" s="1"/>
      <c r="V92" s="2" t="s">
        <v>21</v>
      </c>
      <c r="W92" s="141">
        <v>113535.40000000001</v>
      </c>
      <c r="X92" s="141">
        <v>138825.5</v>
      </c>
      <c r="Y92" s="141">
        <v>159370.20000000001</v>
      </c>
      <c r="Z92" s="141">
        <v>191313.1</v>
      </c>
      <c r="AA92" s="141">
        <v>231531.30000000002</v>
      </c>
      <c r="AE92" s="1"/>
      <c r="AF92" s="2" t="s">
        <v>21</v>
      </c>
      <c r="AG92" s="141">
        <v>104439.44</v>
      </c>
      <c r="AH92" s="141">
        <v>127695.68000000001</v>
      </c>
      <c r="AI92" s="141">
        <v>146611.54</v>
      </c>
      <c r="AJ92" s="141">
        <v>175988.13</v>
      </c>
      <c r="AK92" s="141">
        <v>212978.37000000002</v>
      </c>
    </row>
    <row r="93" spans="1:37">
      <c r="A93" s="1"/>
      <c r="B93" s="1"/>
      <c r="C93" s="1"/>
      <c r="D93" s="1"/>
      <c r="E93" s="1"/>
      <c r="F93" s="1"/>
      <c r="G93" s="1"/>
      <c r="K93" s="1"/>
      <c r="L93" s="1"/>
      <c r="M93" s="1"/>
      <c r="N93" s="1"/>
      <c r="O93" s="1"/>
      <c r="P93" s="1"/>
      <c r="Q93" s="1"/>
      <c r="U93" s="1"/>
      <c r="V93" s="1"/>
      <c r="W93" s="1"/>
      <c r="X93" s="1"/>
      <c r="Y93" s="1"/>
      <c r="Z93" s="1"/>
      <c r="AA93" s="1"/>
      <c r="AE93" s="1"/>
      <c r="AF93" s="1"/>
      <c r="AG93" s="1"/>
      <c r="AH93" s="1"/>
      <c r="AI93" s="1"/>
      <c r="AJ93" s="1"/>
      <c r="AK93" s="1"/>
    </row>
    <row r="94" spans="1:37">
      <c r="A94" s="1"/>
      <c r="B94" s="1"/>
      <c r="C94" s="1"/>
      <c r="D94" s="1"/>
      <c r="E94" s="1"/>
      <c r="F94" s="1"/>
      <c r="G94" s="1"/>
      <c r="K94" s="1"/>
      <c r="L94" s="1"/>
      <c r="M94" s="1"/>
      <c r="N94" s="1"/>
      <c r="O94" s="1"/>
      <c r="P94" s="1"/>
      <c r="Q94" s="1"/>
      <c r="U94" s="1"/>
      <c r="V94" s="1"/>
      <c r="W94" s="1"/>
      <c r="X94" s="1"/>
      <c r="Y94" s="1"/>
      <c r="Z94" s="1"/>
      <c r="AA94" s="1"/>
      <c r="AE94" s="1"/>
      <c r="AF94" s="1"/>
      <c r="AG94" s="1"/>
      <c r="AH94" s="1"/>
      <c r="AI94" s="1"/>
      <c r="AJ94" s="1"/>
      <c r="AK94" s="1"/>
    </row>
    <row r="95" spans="1:37">
      <c r="A95" s="1"/>
      <c r="B95" s="1"/>
      <c r="C95" s="1"/>
      <c r="D95" s="1"/>
      <c r="E95" s="1"/>
      <c r="F95" s="1"/>
      <c r="G95" s="1"/>
      <c r="K95" s="1"/>
      <c r="L95" s="1"/>
      <c r="M95" s="1"/>
      <c r="N95" s="1"/>
      <c r="O95" s="1"/>
      <c r="P95" s="1"/>
      <c r="Q95" s="1"/>
      <c r="U95" s="1"/>
      <c r="V95" s="1"/>
      <c r="W95" s="1"/>
      <c r="X95" s="1"/>
      <c r="Y95" s="1"/>
      <c r="Z95" s="1"/>
      <c r="AA95" s="1"/>
      <c r="AE95" s="1"/>
      <c r="AF95" s="1"/>
      <c r="AG95" s="1"/>
      <c r="AH95" s="1"/>
      <c r="AI95" s="1"/>
      <c r="AJ95" s="1"/>
      <c r="AK95" s="1"/>
    </row>
    <row r="96" spans="1:37">
      <c r="A96" s="1"/>
      <c r="B96" s="1"/>
      <c r="C96" s="1"/>
      <c r="D96" s="1"/>
      <c r="E96" s="1"/>
      <c r="F96" s="1"/>
      <c r="G96" s="1"/>
      <c r="K96" s="1"/>
      <c r="L96" s="1"/>
      <c r="M96" s="1"/>
      <c r="N96" s="1"/>
      <c r="O96" s="1"/>
      <c r="P96" s="1"/>
      <c r="Q96" s="1"/>
      <c r="U96" s="1"/>
      <c r="V96" s="1"/>
      <c r="W96" s="1"/>
      <c r="X96" s="1"/>
      <c r="Y96" s="1"/>
      <c r="Z96" s="1"/>
      <c r="AA96" s="1"/>
      <c r="AE96" s="1"/>
      <c r="AF96" s="1"/>
      <c r="AG96" s="1"/>
      <c r="AH96" s="1"/>
      <c r="AI96" s="1"/>
      <c r="AJ96" s="1"/>
      <c r="AK96" s="1"/>
    </row>
    <row r="97" spans="1:37">
      <c r="A97" s="5" t="s">
        <v>66</v>
      </c>
      <c r="B97" s="1"/>
      <c r="C97" s="119" t="s">
        <v>250</v>
      </c>
      <c r="D97" s="119"/>
      <c r="E97" s="116" t="s">
        <v>251</v>
      </c>
      <c r="F97" s="116"/>
      <c r="G97" s="116"/>
      <c r="K97" s="5" t="s">
        <v>66</v>
      </c>
      <c r="L97" s="1"/>
      <c r="M97" s="119" t="s">
        <v>250</v>
      </c>
      <c r="N97" s="119"/>
      <c r="O97" s="116" t="s">
        <v>251</v>
      </c>
      <c r="P97" s="116"/>
      <c r="Q97" s="116"/>
      <c r="U97" s="5" t="s">
        <v>66</v>
      </c>
      <c r="V97" s="1"/>
      <c r="W97" s="119" t="s">
        <v>250</v>
      </c>
      <c r="X97" s="119"/>
      <c r="Y97" s="116" t="s">
        <v>251</v>
      </c>
      <c r="Z97" s="116"/>
      <c r="AA97" s="116"/>
      <c r="AE97" s="5" t="s">
        <v>66</v>
      </c>
      <c r="AF97" s="1"/>
      <c r="AG97" s="119" t="s">
        <v>250</v>
      </c>
      <c r="AH97" s="119"/>
      <c r="AI97" s="116" t="s">
        <v>251</v>
      </c>
      <c r="AJ97" s="116"/>
      <c r="AK97" s="116"/>
    </row>
    <row r="98" spans="1:37">
      <c r="A98" s="1"/>
      <c r="B98" s="2" t="s">
        <v>60</v>
      </c>
      <c r="C98" s="94">
        <v>300000</v>
      </c>
      <c r="D98" s="94">
        <v>400000</v>
      </c>
      <c r="E98" s="94">
        <v>500000</v>
      </c>
      <c r="F98" s="94">
        <v>700000</v>
      </c>
      <c r="G98" s="94">
        <v>1000000</v>
      </c>
      <c r="K98" s="1"/>
      <c r="L98" s="2" t="s">
        <v>60</v>
      </c>
      <c r="M98" s="94">
        <v>300000</v>
      </c>
      <c r="N98" s="94">
        <v>400000</v>
      </c>
      <c r="O98" s="94">
        <v>500000</v>
      </c>
      <c r="P98" s="94">
        <v>700000</v>
      </c>
      <c r="Q98" s="94">
        <v>1000000</v>
      </c>
      <c r="U98" s="1"/>
      <c r="V98" s="2" t="s">
        <v>60</v>
      </c>
      <c r="W98" s="94">
        <v>300000</v>
      </c>
      <c r="X98" s="94">
        <v>400000</v>
      </c>
      <c r="Y98" s="94">
        <v>500000</v>
      </c>
      <c r="Z98" s="94">
        <v>700000</v>
      </c>
      <c r="AA98" s="94">
        <v>1000000</v>
      </c>
      <c r="AE98" s="1"/>
      <c r="AF98" s="2" t="s">
        <v>60</v>
      </c>
      <c r="AG98" s="94">
        <v>300000</v>
      </c>
      <c r="AH98" s="94">
        <v>400000</v>
      </c>
      <c r="AI98" s="94">
        <v>500000</v>
      </c>
      <c r="AJ98" s="94">
        <v>700000</v>
      </c>
      <c r="AK98" s="94">
        <v>1000000</v>
      </c>
    </row>
    <row r="99" spans="1:37">
      <c r="A99" s="1"/>
      <c r="B99" s="2" t="s">
        <v>11</v>
      </c>
      <c r="C99" s="141">
        <v>17956.099999999999</v>
      </c>
      <c r="D99" s="141">
        <v>21977.649999999998</v>
      </c>
      <c r="E99" s="141">
        <v>24753.749999999996</v>
      </c>
      <c r="F99" s="141">
        <v>28015.149999999998</v>
      </c>
      <c r="G99" s="141">
        <v>30825.749999999996</v>
      </c>
      <c r="K99" s="1"/>
      <c r="L99" s="2" t="s">
        <v>11</v>
      </c>
      <c r="M99" s="141">
        <v>15948</v>
      </c>
      <c r="N99" s="141">
        <v>19508.625</v>
      </c>
      <c r="O99" s="141">
        <v>21989.25</v>
      </c>
      <c r="P99" s="141">
        <v>24880.5</v>
      </c>
      <c r="Q99" s="141">
        <v>27371.25</v>
      </c>
      <c r="U99" s="1"/>
      <c r="V99" s="2" t="s">
        <v>11</v>
      </c>
      <c r="W99" s="141">
        <v>14721.300000000001</v>
      </c>
      <c r="X99" s="141">
        <v>18002.600000000002</v>
      </c>
      <c r="Y99" s="141">
        <v>20300.5</v>
      </c>
      <c r="Z99" s="141">
        <v>22965.800000000003</v>
      </c>
      <c r="AA99" s="141">
        <v>25262.600000000002</v>
      </c>
      <c r="AE99" s="1"/>
      <c r="AF99" s="2" t="s">
        <v>11</v>
      </c>
      <c r="AG99" s="141">
        <v>13561.78</v>
      </c>
      <c r="AH99" s="141">
        <v>16579.990000000002</v>
      </c>
      <c r="AI99" s="141">
        <v>18704.400000000001</v>
      </c>
      <c r="AJ99" s="141">
        <v>21155.81</v>
      </c>
      <c r="AK99" s="141">
        <v>23269.320000000003</v>
      </c>
    </row>
    <row r="100" spans="1:37">
      <c r="A100" s="1"/>
      <c r="B100" s="2" t="s">
        <v>12</v>
      </c>
      <c r="C100" s="141">
        <v>20240</v>
      </c>
      <c r="D100" s="141">
        <v>24358.149999999998</v>
      </c>
      <c r="E100" s="141">
        <v>27613.8</v>
      </c>
      <c r="F100" s="141">
        <v>31209.85</v>
      </c>
      <c r="G100" s="141">
        <v>33469.599999999999</v>
      </c>
      <c r="K100" s="1"/>
      <c r="L100" s="2" t="s">
        <v>12</v>
      </c>
      <c r="M100" s="141">
        <v>17984.25</v>
      </c>
      <c r="N100" s="141">
        <v>21630.375</v>
      </c>
      <c r="O100" s="141">
        <v>24544.125</v>
      </c>
      <c r="P100" s="141">
        <v>27731.25</v>
      </c>
      <c r="Q100" s="141">
        <v>29732.625</v>
      </c>
      <c r="U100" s="1"/>
      <c r="V100" s="2" t="s">
        <v>12</v>
      </c>
      <c r="W100" s="141">
        <v>16604.5</v>
      </c>
      <c r="X100" s="141">
        <v>19965</v>
      </c>
      <c r="Y100" s="141">
        <v>22665.500000000004</v>
      </c>
      <c r="Z100" s="141">
        <v>25604.7</v>
      </c>
      <c r="AA100" s="141">
        <v>27448.300000000003</v>
      </c>
      <c r="AE100" s="1"/>
      <c r="AF100" s="2" t="s">
        <v>12</v>
      </c>
      <c r="AG100" s="141">
        <v>15300.330000000002</v>
      </c>
      <c r="AH100" s="141">
        <v>18390.48</v>
      </c>
      <c r="AI100" s="141">
        <v>20890.940000000002</v>
      </c>
      <c r="AJ100" s="141">
        <v>23595.230000000003</v>
      </c>
      <c r="AK100" s="141">
        <v>25290.18</v>
      </c>
    </row>
    <row r="101" spans="1:37">
      <c r="A101" s="1"/>
      <c r="B101" s="2" t="s">
        <v>13</v>
      </c>
      <c r="C101" s="141">
        <v>22391.649999999998</v>
      </c>
      <c r="D101" s="141">
        <v>26989.35</v>
      </c>
      <c r="E101" s="141">
        <v>30678.55</v>
      </c>
      <c r="F101" s="141">
        <v>34724.25</v>
      </c>
      <c r="G101" s="141">
        <v>38220.25</v>
      </c>
      <c r="K101" s="1"/>
      <c r="L101" s="2" t="s">
        <v>13</v>
      </c>
      <c r="M101" s="141">
        <v>19890</v>
      </c>
      <c r="N101" s="141">
        <v>23961.375</v>
      </c>
      <c r="O101" s="141">
        <v>27263.25</v>
      </c>
      <c r="P101" s="141">
        <v>30848.625</v>
      </c>
      <c r="Q101" s="141">
        <v>33945.75</v>
      </c>
      <c r="U101" s="1"/>
      <c r="V101" s="2" t="s">
        <v>13</v>
      </c>
      <c r="W101" s="141">
        <v>18362.300000000003</v>
      </c>
      <c r="X101" s="141">
        <v>22114.400000000001</v>
      </c>
      <c r="Y101" s="141">
        <v>25173.500000000004</v>
      </c>
      <c r="Z101" s="141">
        <v>28480.100000000002</v>
      </c>
      <c r="AA101" s="141">
        <v>31335.7</v>
      </c>
      <c r="AE101" s="1"/>
      <c r="AF101" s="2" t="s">
        <v>13</v>
      </c>
      <c r="AG101" s="141">
        <v>16917.890000000003</v>
      </c>
      <c r="AH101" s="141">
        <v>20367.740000000002</v>
      </c>
      <c r="AI101" s="141">
        <v>23198.47</v>
      </c>
      <c r="AJ101" s="141">
        <v>26241.750000000004</v>
      </c>
      <c r="AK101" s="141">
        <v>28867.56</v>
      </c>
    </row>
    <row r="102" spans="1:37">
      <c r="A102" s="1"/>
      <c r="B102" s="2" t="s">
        <v>14</v>
      </c>
      <c r="C102" s="141">
        <v>25234.449999999997</v>
      </c>
      <c r="D102" s="141">
        <v>30493.399999999998</v>
      </c>
      <c r="E102" s="141">
        <v>34678.25</v>
      </c>
      <c r="F102" s="141">
        <v>39340.35</v>
      </c>
      <c r="G102" s="141">
        <v>43384.899999999994</v>
      </c>
      <c r="K102" s="1"/>
      <c r="L102" s="2" t="s">
        <v>14</v>
      </c>
      <c r="M102" s="141">
        <v>22408.875</v>
      </c>
      <c r="N102" s="141">
        <v>27065.25</v>
      </c>
      <c r="O102" s="141">
        <v>30804.75</v>
      </c>
      <c r="P102" s="141">
        <v>34938</v>
      </c>
      <c r="Q102" s="141">
        <v>38521.125</v>
      </c>
      <c r="U102" s="1"/>
      <c r="V102" s="2" t="s">
        <v>14</v>
      </c>
      <c r="W102" s="141">
        <v>20683.300000000003</v>
      </c>
      <c r="X102" s="141">
        <v>24973.300000000003</v>
      </c>
      <c r="Y102" s="141">
        <v>28438.300000000003</v>
      </c>
      <c r="Z102" s="141">
        <v>32248.700000000004</v>
      </c>
      <c r="AA102" s="141">
        <v>35552</v>
      </c>
      <c r="AE102" s="1"/>
      <c r="AF102" s="2" t="s">
        <v>14</v>
      </c>
      <c r="AG102" s="141">
        <v>19052.11</v>
      </c>
      <c r="AH102" s="141">
        <v>22996.820000000003</v>
      </c>
      <c r="AI102" s="141">
        <v>26201.420000000002</v>
      </c>
      <c r="AJ102" s="141">
        <v>29706.86</v>
      </c>
      <c r="AK102" s="141">
        <v>32745.780000000002</v>
      </c>
    </row>
    <row r="103" spans="1:37">
      <c r="A103" s="1"/>
      <c r="B103" s="2" t="s">
        <v>15</v>
      </c>
      <c r="C103" s="141">
        <v>31010.899999999998</v>
      </c>
      <c r="D103" s="141">
        <v>37506.1</v>
      </c>
      <c r="E103" s="141">
        <v>46117.299999999996</v>
      </c>
      <c r="F103" s="141">
        <v>50793.2</v>
      </c>
      <c r="G103" s="141">
        <v>56681.2</v>
      </c>
      <c r="K103" s="1"/>
      <c r="L103" s="2" t="s">
        <v>15</v>
      </c>
      <c r="M103" s="141">
        <v>27533.25</v>
      </c>
      <c r="N103" s="141">
        <v>33284.25</v>
      </c>
      <c r="O103" s="141">
        <v>40960.125</v>
      </c>
      <c r="P103" s="141">
        <v>45096.75</v>
      </c>
      <c r="Q103" s="141">
        <v>50315.625</v>
      </c>
      <c r="U103" s="1"/>
      <c r="V103" s="2" t="s">
        <v>15</v>
      </c>
      <c r="W103" s="141">
        <v>25410.000000000004</v>
      </c>
      <c r="X103" s="141">
        <v>30709.800000000003</v>
      </c>
      <c r="Y103" s="141">
        <v>37810.300000000003</v>
      </c>
      <c r="Z103" s="141">
        <v>41619.600000000006</v>
      </c>
      <c r="AA103" s="141">
        <v>46431.000000000007</v>
      </c>
      <c r="AE103" s="1"/>
      <c r="AF103" s="2" t="s">
        <v>15</v>
      </c>
      <c r="AG103" s="141">
        <v>23403.390000000003</v>
      </c>
      <c r="AH103" s="141">
        <v>28276.780000000002</v>
      </c>
      <c r="AI103" s="141">
        <v>34832.04</v>
      </c>
      <c r="AJ103" s="141">
        <v>38333.120000000003</v>
      </c>
      <c r="AK103" s="141">
        <v>42759.61</v>
      </c>
    </row>
    <row r="104" spans="1:37">
      <c r="A104" s="1"/>
      <c r="B104" s="2" t="s">
        <v>16</v>
      </c>
      <c r="C104" s="141">
        <v>39725.599999999999</v>
      </c>
      <c r="D104" s="141">
        <v>48165.45</v>
      </c>
      <c r="E104" s="141">
        <v>56684.649999999994</v>
      </c>
      <c r="F104" s="141">
        <v>66476.899999999994</v>
      </c>
      <c r="G104" s="141">
        <v>74460.2</v>
      </c>
      <c r="K104" s="1"/>
      <c r="L104" s="2" t="s">
        <v>16</v>
      </c>
      <c r="M104" s="141">
        <v>35255.25</v>
      </c>
      <c r="N104" s="141">
        <v>42728.625</v>
      </c>
      <c r="O104" s="141">
        <v>50323.5</v>
      </c>
      <c r="P104" s="141">
        <v>58996.125</v>
      </c>
      <c r="Q104" s="141">
        <v>66071.25</v>
      </c>
      <c r="U104" s="1"/>
      <c r="V104" s="2" t="s">
        <v>16</v>
      </c>
      <c r="W104" s="141">
        <v>32528.100000000002</v>
      </c>
      <c r="X104" s="141">
        <v>39415.200000000004</v>
      </c>
      <c r="Y104" s="141">
        <v>46440.9</v>
      </c>
      <c r="Z104" s="141">
        <v>54434.600000000006</v>
      </c>
      <c r="AA104" s="141">
        <v>60956.500000000007</v>
      </c>
      <c r="AE104" s="1"/>
      <c r="AF104" s="2" t="s">
        <v>16</v>
      </c>
      <c r="AG104" s="141">
        <v>29951.02</v>
      </c>
      <c r="AH104" s="141">
        <v>36283.920000000006</v>
      </c>
      <c r="AI104" s="141">
        <v>42771.600000000006</v>
      </c>
      <c r="AJ104" s="141">
        <v>50122.560000000005</v>
      </c>
      <c r="AK104" s="141">
        <v>56121.920000000006</v>
      </c>
    </row>
    <row r="105" spans="1:37">
      <c r="A105" s="1"/>
      <c r="B105" s="2" t="s">
        <v>17</v>
      </c>
      <c r="C105" s="141">
        <v>53224.299999999996</v>
      </c>
      <c r="D105" s="141">
        <v>64636.899999999994</v>
      </c>
      <c r="E105" s="141">
        <v>76572.75</v>
      </c>
      <c r="F105" s="141">
        <v>87452.9</v>
      </c>
      <c r="G105" s="141">
        <v>97220.999999999985</v>
      </c>
      <c r="K105" s="1"/>
      <c r="L105" s="2" t="s">
        <v>17</v>
      </c>
      <c r="M105" s="141">
        <v>47221.875</v>
      </c>
      <c r="N105" s="141">
        <v>57327.75</v>
      </c>
      <c r="O105" s="141">
        <v>67957.875</v>
      </c>
      <c r="P105" s="141">
        <v>77594.625</v>
      </c>
      <c r="Q105" s="141">
        <v>86248.125</v>
      </c>
      <c r="U105" s="1"/>
      <c r="V105" s="2" t="s">
        <v>17</v>
      </c>
      <c r="W105" s="141">
        <v>43562.200000000004</v>
      </c>
      <c r="X105" s="141">
        <v>52875.9</v>
      </c>
      <c r="Y105" s="141">
        <v>62704.4</v>
      </c>
      <c r="Z105" s="141">
        <v>71584.700000000012</v>
      </c>
      <c r="AA105" s="141">
        <v>79561.900000000009</v>
      </c>
      <c r="AE105" s="1"/>
      <c r="AF105" s="2" t="s">
        <v>17</v>
      </c>
      <c r="AG105" s="141">
        <v>40104.370000000003</v>
      </c>
      <c r="AH105" s="141">
        <v>48667.41</v>
      </c>
      <c r="AI105" s="141">
        <v>57738.390000000007</v>
      </c>
      <c r="AJ105" s="141">
        <v>65904.67</v>
      </c>
      <c r="AK105" s="141">
        <v>73242.55</v>
      </c>
    </row>
    <row r="106" spans="1:37">
      <c r="A106" s="1"/>
      <c r="B106" s="2" t="s">
        <v>18</v>
      </c>
      <c r="C106" s="141">
        <v>68433.049999999988</v>
      </c>
      <c r="D106" s="141">
        <v>83230.099999999991</v>
      </c>
      <c r="E106" s="141">
        <v>103880.65</v>
      </c>
      <c r="F106" s="141">
        <v>114453.74999999999</v>
      </c>
      <c r="G106" s="141">
        <v>132915.84999999998</v>
      </c>
      <c r="K106" s="1"/>
      <c r="L106" s="2" t="s">
        <v>18</v>
      </c>
      <c r="M106" s="141">
        <v>60691.5</v>
      </c>
      <c r="N106" s="141">
        <v>73794.375</v>
      </c>
      <c r="O106" s="141">
        <v>92153.25</v>
      </c>
      <c r="P106" s="141">
        <v>101508.75</v>
      </c>
      <c r="Q106" s="141">
        <v>117868.5</v>
      </c>
      <c r="U106" s="1"/>
      <c r="V106" s="2" t="s">
        <v>18</v>
      </c>
      <c r="W106" s="141">
        <v>55976.800000000003</v>
      </c>
      <c r="X106" s="141">
        <v>68051.5</v>
      </c>
      <c r="Y106" s="141">
        <v>85006.900000000009</v>
      </c>
      <c r="Z106" s="141">
        <v>93624.3</v>
      </c>
      <c r="AA106" s="141">
        <v>108706.40000000001</v>
      </c>
      <c r="AE106" s="1"/>
      <c r="AF106" s="2" t="s">
        <v>18</v>
      </c>
      <c r="AG106" s="141">
        <v>51521.030000000006</v>
      </c>
      <c r="AH106" s="141">
        <v>62623.770000000004</v>
      </c>
      <c r="AI106" s="141">
        <v>78253.279999999999</v>
      </c>
      <c r="AJ106" s="141">
        <v>86173.22</v>
      </c>
      <c r="AK106" s="141">
        <v>100047.83</v>
      </c>
    </row>
    <row r="107" spans="1:37">
      <c r="A107" s="1"/>
      <c r="B107" s="2" t="s">
        <v>19</v>
      </c>
      <c r="C107" s="141">
        <v>93074.099999999991</v>
      </c>
      <c r="D107" s="141">
        <v>113463.59999999999</v>
      </c>
      <c r="E107" s="141">
        <v>129790.15</v>
      </c>
      <c r="F107" s="141">
        <v>154316.19999999998</v>
      </c>
      <c r="G107" s="141">
        <v>173727.05</v>
      </c>
      <c r="K107" s="1"/>
      <c r="L107" s="2" t="s">
        <v>19</v>
      </c>
      <c r="M107" s="141">
        <v>82513.125</v>
      </c>
      <c r="N107" s="141">
        <v>100569.375</v>
      </c>
      <c r="O107" s="141">
        <v>115085.25</v>
      </c>
      <c r="P107" s="141">
        <v>136810.125</v>
      </c>
      <c r="Q107" s="141">
        <v>154005.75</v>
      </c>
      <c r="U107" s="1"/>
      <c r="V107" s="2" t="s">
        <v>19</v>
      </c>
      <c r="W107" s="141">
        <v>76087</v>
      </c>
      <c r="X107" s="141">
        <v>92725.6</v>
      </c>
      <c r="Y107" s="141">
        <v>106133.50000000001</v>
      </c>
      <c r="Z107" s="141">
        <v>126156.80000000002</v>
      </c>
      <c r="AA107" s="141">
        <v>142005.6</v>
      </c>
      <c r="AE107" s="1"/>
      <c r="AF107" s="2" t="s">
        <v>19</v>
      </c>
      <c r="AG107" s="141">
        <v>70013.97</v>
      </c>
      <c r="AH107" s="141">
        <v>85313.21</v>
      </c>
      <c r="AI107" s="141">
        <v>97672.72</v>
      </c>
      <c r="AJ107" s="141">
        <v>116089.36000000002</v>
      </c>
      <c r="AK107" s="141">
        <v>130664.84000000001</v>
      </c>
    </row>
    <row r="108" spans="1:37">
      <c r="A108" s="1"/>
      <c r="B108" s="2" t="s">
        <v>20</v>
      </c>
      <c r="C108" s="141">
        <v>113623.45</v>
      </c>
      <c r="D108" s="141">
        <v>138745.19999999998</v>
      </c>
      <c r="E108" s="141">
        <v>158723</v>
      </c>
      <c r="F108" s="141">
        <v>187290.15</v>
      </c>
      <c r="G108" s="141">
        <v>221360.05</v>
      </c>
      <c r="K108" s="1"/>
      <c r="L108" s="2" t="s">
        <v>20</v>
      </c>
      <c r="M108" s="141">
        <v>100711.125</v>
      </c>
      <c r="N108" s="141">
        <v>122956.875</v>
      </c>
      <c r="O108" s="141">
        <v>140704.875</v>
      </c>
      <c r="P108" s="141">
        <v>166008.375</v>
      </c>
      <c r="Q108" s="141">
        <v>196192.125</v>
      </c>
      <c r="U108" s="1"/>
      <c r="V108" s="2" t="s">
        <v>20</v>
      </c>
      <c r="W108" s="141">
        <v>92856.500000000015</v>
      </c>
      <c r="X108" s="141">
        <v>113356.1</v>
      </c>
      <c r="Y108" s="141">
        <v>129741.70000000001</v>
      </c>
      <c r="Z108" s="141">
        <v>153062.80000000002</v>
      </c>
      <c r="AA108" s="141">
        <v>180885.1</v>
      </c>
      <c r="AE108" s="1"/>
      <c r="AF108" s="2" t="s">
        <v>20</v>
      </c>
      <c r="AG108" s="141">
        <v>85434.200000000012</v>
      </c>
      <c r="AH108" s="141">
        <v>104283.57</v>
      </c>
      <c r="AI108" s="141">
        <v>119381.16</v>
      </c>
      <c r="AJ108" s="141">
        <v>140829.09</v>
      </c>
      <c r="AK108" s="141">
        <v>166420.11000000002</v>
      </c>
    </row>
    <row r="109" spans="1:37">
      <c r="A109" s="1"/>
      <c r="B109" s="2" t="s">
        <v>21</v>
      </c>
      <c r="C109" s="141">
        <v>141993.94999999998</v>
      </c>
      <c r="D109" s="141">
        <v>173663.8</v>
      </c>
      <c r="E109" s="141">
        <v>199290.4</v>
      </c>
      <c r="F109" s="141">
        <v>246233.4</v>
      </c>
      <c r="G109" s="141">
        <v>292088.5</v>
      </c>
      <c r="K109" s="1"/>
      <c r="L109" s="2" t="s">
        <v>21</v>
      </c>
      <c r="M109" s="141">
        <v>125831.25</v>
      </c>
      <c r="N109" s="141">
        <v>153876.375</v>
      </c>
      <c r="O109" s="141">
        <v>176626.125</v>
      </c>
      <c r="P109" s="141">
        <v>218208.375</v>
      </c>
      <c r="Q109" s="141">
        <v>258828.75</v>
      </c>
      <c r="U109" s="1"/>
      <c r="V109" s="2" t="s">
        <v>21</v>
      </c>
      <c r="W109" s="141">
        <v>116004.90000000001</v>
      </c>
      <c r="X109" s="141">
        <v>141848.30000000002</v>
      </c>
      <c r="Y109" s="141">
        <v>162842.90000000002</v>
      </c>
      <c r="Z109" s="141">
        <v>201169.1</v>
      </c>
      <c r="AA109" s="141">
        <v>238608.7</v>
      </c>
      <c r="AE109" s="1"/>
      <c r="AF109" s="2" t="s">
        <v>21</v>
      </c>
      <c r="AG109" s="141">
        <v>106718.63</v>
      </c>
      <c r="AH109" s="141">
        <v>130481.72000000002</v>
      </c>
      <c r="AI109" s="141">
        <v>149817.23000000001</v>
      </c>
      <c r="AJ109" s="141">
        <v>185065.65000000002</v>
      </c>
      <c r="AK109" s="141">
        <v>219500.93000000002</v>
      </c>
    </row>
    <row r="110" spans="1:37">
      <c r="A110" s="1"/>
      <c r="B110" s="1"/>
      <c r="C110" s="1"/>
      <c r="D110" s="1"/>
      <c r="E110" s="1"/>
      <c r="F110" s="1"/>
      <c r="G110" s="1"/>
      <c r="K110" s="1"/>
      <c r="L110" s="1"/>
      <c r="M110" s="1"/>
      <c r="N110" s="1"/>
      <c r="O110" s="1"/>
      <c r="P110" s="1"/>
      <c r="Q110" s="1"/>
      <c r="U110" s="1"/>
      <c r="V110" s="1"/>
      <c r="W110" s="1"/>
      <c r="X110" s="1"/>
      <c r="Y110" s="1"/>
      <c r="Z110" s="1"/>
      <c r="AA110" s="1"/>
      <c r="AE110" s="1"/>
      <c r="AF110" s="1"/>
      <c r="AG110" s="1"/>
      <c r="AH110" s="1"/>
      <c r="AI110" s="1"/>
      <c r="AJ110" s="1"/>
      <c r="AK110" s="1"/>
    </row>
    <row r="111" spans="1:37">
      <c r="A111" s="1"/>
      <c r="B111" s="1"/>
      <c r="C111" s="1"/>
      <c r="D111" s="1"/>
      <c r="E111" s="1"/>
      <c r="F111" s="1"/>
      <c r="G111" s="1"/>
      <c r="K111" s="1"/>
      <c r="L111" s="1"/>
      <c r="M111" s="1"/>
      <c r="N111" s="1"/>
      <c r="O111" s="1"/>
      <c r="P111" s="1"/>
      <c r="Q111" s="1"/>
      <c r="U111" s="1"/>
      <c r="V111" s="1"/>
      <c r="W111" s="1"/>
      <c r="X111" s="1"/>
      <c r="Y111" s="1"/>
      <c r="Z111" s="1"/>
      <c r="AA111" s="1"/>
      <c r="AE111" s="1"/>
      <c r="AF111" s="1"/>
      <c r="AG111" s="1"/>
      <c r="AH111" s="1"/>
      <c r="AI111" s="1"/>
      <c r="AJ111" s="1"/>
      <c r="AK111" s="1"/>
    </row>
    <row r="112" spans="1:37">
      <c r="A112" s="5" t="s">
        <v>67</v>
      </c>
      <c r="B112" s="1"/>
      <c r="C112" s="119" t="s">
        <v>250</v>
      </c>
      <c r="D112" s="119"/>
      <c r="E112" s="116" t="s">
        <v>251</v>
      </c>
      <c r="F112" s="116"/>
      <c r="G112" s="116"/>
      <c r="K112" s="5" t="s">
        <v>67</v>
      </c>
      <c r="L112" s="1"/>
      <c r="M112" s="119" t="s">
        <v>250</v>
      </c>
      <c r="N112" s="119"/>
      <c r="O112" s="116" t="s">
        <v>251</v>
      </c>
      <c r="P112" s="116"/>
      <c r="Q112" s="116"/>
      <c r="U112" s="5" t="s">
        <v>67</v>
      </c>
      <c r="V112" s="1"/>
      <c r="W112" s="119" t="s">
        <v>250</v>
      </c>
      <c r="X112" s="119"/>
      <c r="Y112" s="116" t="s">
        <v>251</v>
      </c>
      <c r="Z112" s="116"/>
      <c r="AA112" s="116"/>
      <c r="AE112" s="5" t="s">
        <v>67</v>
      </c>
      <c r="AF112" s="1"/>
      <c r="AG112" s="119" t="s">
        <v>250</v>
      </c>
      <c r="AH112" s="119"/>
      <c r="AI112" s="116" t="s">
        <v>251</v>
      </c>
      <c r="AJ112" s="116"/>
      <c r="AK112" s="116"/>
    </row>
    <row r="113" spans="1:37">
      <c r="A113" s="1"/>
      <c r="B113" s="2" t="s">
        <v>60</v>
      </c>
      <c r="C113" s="94">
        <v>300000</v>
      </c>
      <c r="D113" s="94">
        <v>400000</v>
      </c>
      <c r="E113" s="94">
        <v>500000</v>
      </c>
      <c r="F113" s="94">
        <v>700000</v>
      </c>
      <c r="G113" s="94">
        <v>1000000</v>
      </c>
      <c r="K113" s="1"/>
      <c r="L113" s="2" t="s">
        <v>60</v>
      </c>
      <c r="M113" s="94">
        <v>300000</v>
      </c>
      <c r="N113" s="94">
        <v>400000</v>
      </c>
      <c r="O113" s="94">
        <v>500000</v>
      </c>
      <c r="P113" s="94">
        <v>700000</v>
      </c>
      <c r="Q113" s="94">
        <v>1000000</v>
      </c>
      <c r="U113" s="1"/>
      <c r="V113" s="2" t="s">
        <v>60</v>
      </c>
      <c r="W113" s="94">
        <v>300000</v>
      </c>
      <c r="X113" s="94">
        <v>400000</v>
      </c>
      <c r="Y113" s="94">
        <v>500000</v>
      </c>
      <c r="Z113" s="94">
        <v>700000</v>
      </c>
      <c r="AA113" s="94">
        <v>1000000</v>
      </c>
      <c r="AE113" s="1"/>
      <c r="AF113" s="2" t="s">
        <v>60</v>
      </c>
      <c r="AG113" s="94">
        <v>300000</v>
      </c>
      <c r="AH113" s="94">
        <v>400000</v>
      </c>
      <c r="AI113" s="94">
        <v>500000</v>
      </c>
      <c r="AJ113" s="94">
        <v>700000</v>
      </c>
      <c r="AK113" s="94">
        <v>1000000</v>
      </c>
    </row>
    <row r="114" spans="1:37">
      <c r="A114" s="1"/>
      <c r="B114" s="2" t="s">
        <v>11</v>
      </c>
      <c r="C114" s="141">
        <v>21079.5</v>
      </c>
      <c r="D114" s="141">
        <v>25747.35</v>
      </c>
      <c r="E114" s="141">
        <v>28787.949999999997</v>
      </c>
      <c r="F114" s="141">
        <v>32649.649999999998</v>
      </c>
      <c r="G114" s="141">
        <v>35985.799999999996</v>
      </c>
      <c r="K114" s="1"/>
      <c r="L114" s="2" t="s">
        <v>11</v>
      </c>
      <c r="M114" s="141">
        <v>18714.375</v>
      </c>
      <c r="N114" s="141">
        <v>22847.625</v>
      </c>
      <c r="O114" s="141">
        <v>25561.125</v>
      </c>
      <c r="P114" s="141">
        <v>28984.5</v>
      </c>
      <c r="Q114" s="141">
        <v>31939.875</v>
      </c>
      <c r="U114" s="1"/>
      <c r="V114" s="2" t="s">
        <v>11</v>
      </c>
      <c r="W114" s="141">
        <v>17270</v>
      </c>
      <c r="X114" s="141">
        <v>21079.300000000003</v>
      </c>
      <c r="Y114" s="141">
        <v>23591.7</v>
      </c>
      <c r="Z114" s="141">
        <v>26747.600000000002</v>
      </c>
      <c r="AA114" s="141">
        <v>29472.300000000003</v>
      </c>
      <c r="AE114" s="1"/>
      <c r="AF114" s="2" t="s">
        <v>11</v>
      </c>
      <c r="AG114" s="141">
        <v>15905.28</v>
      </c>
      <c r="AH114" s="141">
        <v>19408.54</v>
      </c>
      <c r="AI114" s="141">
        <v>21730.240000000002</v>
      </c>
      <c r="AJ114" s="141">
        <v>24632.910000000003</v>
      </c>
      <c r="AK114" s="141">
        <v>27139.910000000003</v>
      </c>
    </row>
    <row r="115" spans="1:37">
      <c r="A115" s="1"/>
      <c r="B115" s="2" t="s">
        <v>12</v>
      </c>
      <c r="C115" s="141">
        <v>23303.599999999999</v>
      </c>
      <c r="D115" s="141">
        <v>28057.699999999997</v>
      </c>
      <c r="E115" s="141">
        <v>31580.149999999998</v>
      </c>
      <c r="F115" s="141">
        <v>35766.149999999994</v>
      </c>
      <c r="G115" s="141">
        <v>39380.6</v>
      </c>
      <c r="K115" s="1"/>
      <c r="L115" s="2" t="s">
        <v>12</v>
      </c>
      <c r="M115" s="141">
        <v>20696.625</v>
      </c>
      <c r="N115" s="141">
        <v>24906.375</v>
      </c>
      <c r="O115" s="141">
        <v>28056.375</v>
      </c>
      <c r="P115" s="141">
        <v>31766.625</v>
      </c>
      <c r="Q115" s="141">
        <v>34968.375</v>
      </c>
      <c r="U115" s="1"/>
      <c r="V115" s="2" t="s">
        <v>12</v>
      </c>
      <c r="W115" s="141">
        <v>19103.7</v>
      </c>
      <c r="X115" s="141">
        <v>22983.4</v>
      </c>
      <c r="Y115" s="141">
        <v>25901.7</v>
      </c>
      <c r="Z115" s="141">
        <v>29322.7</v>
      </c>
      <c r="AA115" s="141">
        <v>32275.100000000002</v>
      </c>
      <c r="AE115" s="1"/>
      <c r="AF115" s="2" t="s">
        <v>12</v>
      </c>
      <c r="AG115" s="141">
        <v>17599.140000000003</v>
      </c>
      <c r="AH115" s="141">
        <v>21166.710000000003</v>
      </c>
      <c r="AI115" s="141">
        <v>23865.550000000003</v>
      </c>
      <c r="AJ115" s="141">
        <v>27013.47</v>
      </c>
      <c r="AK115" s="141">
        <v>29729.750000000004</v>
      </c>
    </row>
    <row r="116" spans="1:37">
      <c r="A116" s="1"/>
      <c r="B116" s="2" t="s">
        <v>13</v>
      </c>
      <c r="C116" s="141">
        <v>25878.449999999997</v>
      </c>
      <c r="D116" s="141">
        <v>31239.749999999996</v>
      </c>
      <c r="E116" s="141">
        <v>35300.399999999994</v>
      </c>
      <c r="F116" s="141">
        <v>40028.049999999996</v>
      </c>
      <c r="G116" s="141">
        <v>44119.75</v>
      </c>
      <c r="K116" s="1"/>
      <c r="L116" s="2" t="s">
        <v>13</v>
      </c>
      <c r="M116" s="141">
        <v>22978.125</v>
      </c>
      <c r="N116" s="141">
        <v>27725.625</v>
      </c>
      <c r="O116" s="141">
        <v>31354.875</v>
      </c>
      <c r="P116" s="141">
        <v>35545.5</v>
      </c>
      <c r="Q116" s="141">
        <v>39170.25</v>
      </c>
      <c r="U116" s="1"/>
      <c r="V116" s="2" t="s">
        <v>13</v>
      </c>
      <c r="W116" s="141">
        <v>21206.9</v>
      </c>
      <c r="X116" s="141">
        <v>25582.7</v>
      </c>
      <c r="Y116" s="141">
        <v>28944.300000000003</v>
      </c>
      <c r="Z116" s="141">
        <v>32807.5</v>
      </c>
      <c r="AA116" s="141">
        <v>36149.300000000003</v>
      </c>
      <c r="AE116" s="1"/>
      <c r="AF116" s="2" t="s">
        <v>13</v>
      </c>
      <c r="AG116" s="141">
        <v>19533.890000000003</v>
      </c>
      <c r="AH116" s="141">
        <v>23557.08</v>
      </c>
      <c r="AI116" s="141">
        <v>26665.760000000002</v>
      </c>
      <c r="AJ116" s="141">
        <v>30220.250000000004</v>
      </c>
      <c r="AK116" s="141">
        <v>33294.050000000003</v>
      </c>
    </row>
    <row r="117" spans="1:37">
      <c r="A117" s="1"/>
      <c r="B117" s="2" t="s">
        <v>14</v>
      </c>
      <c r="C117" s="141">
        <v>28896.05</v>
      </c>
      <c r="D117" s="141">
        <v>34985.299999999996</v>
      </c>
      <c r="E117" s="141">
        <v>39614.049999999996</v>
      </c>
      <c r="F117" s="141">
        <v>45001.799999999996</v>
      </c>
      <c r="G117" s="141">
        <v>49679.999999999993</v>
      </c>
      <c r="K117" s="1"/>
      <c r="L117" s="2" t="s">
        <v>14</v>
      </c>
      <c r="M117" s="141">
        <v>25651.125</v>
      </c>
      <c r="N117" s="141">
        <v>31043.25</v>
      </c>
      <c r="O117" s="141">
        <v>35176.5</v>
      </c>
      <c r="P117" s="141">
        <v>39951</v>
      </c>
      <c r="Q117" s="141">
        <v>44096.625</v>
      </c>
      <c r="U117" s="1"/>
      <c r="V117" s="2" t="s">
        <v>14</v>
      </c>
      <c r="W117" s="141">
        <v>23670.9</v>
      </c>
      <c r="X117" s="141">
        <v>28639.600000000002</v>
      </c>
      <c r="Y117" s="141">
        <v>32466.500000000004</v>
      </c>
      <c r="Z117" s="141">
        <v>36868.700000000004</v>
      </c>
      <c r="AA117" s="141">
        <v>40690.100000000006</v>
      </c>
      <c r="AE117" s="1"/>
      <c r="AF117" s="2" t="s">
        <v>14</v>
      </c>
      <c r="AG117" s="141">
        <v>21798.91</v>
      </c>
      <c r="AH117" s="141">
        <v>26368.190000000002</v>
      </c>
      <c r="AI117" s="141">
        <v>29905.24</v>
      </c>
      <c r="AJ117" s="141">
        <v>33954.590000000004</v>
      </c>
      <c r="AK117" s="141">
        <v>37469.840000000004</v>
      </c>
    </row>
    <row r="118" spans="1:37">
      <c r="A118" s="1"/>
      <c r="B118" s="2" t="s">
        <v>15</v>
      </c>
      <c r="C118" s="141">
        <v>35766.149999999994</v>
      </c>
      <c r="D118" s="141">
        <v>42760.45</v>
      </c>
      <c r="E118" s="141">
        <v>53653.249999999993</v>
      </c>
      <c r="F118" s="141">
        <v>59877.049999999996</v>
      </c>
      <c r="G118" s="141">
        <v>64433.35</v>
      </c>
      <c r="K118" s="1"/>
      <c r="L118" s="2" t="s">
        <v>15</v>
      </c>
      <c r="M118" s="141">
        <v>31745.25</v>
      </c>
      <c r="N118" s="141">
        <v>37937.25</v>
      </c>
      <c r="O118" s="141">
        <v>47637</v>
      </c>
      <c r="P118" s="141">
        <v>53146.125</v>
      </c>
      <c r="Q118" s="141">
        <v>57180.375</v>
      </c>
      <c r="U118" s="1"/>
      <c r="V118" s="2" t="s">
        <v>15</v>
      </c>
      <c r="W118" s="141">
        <v>29291.9</v>
      </c>
      <c r="X118" s="141">
        <v>34997.600000000006</v>
      </c>
      <c r="Y118" s="141">
        <v>43964.800000000003</v>
      </c>
      <c r="Z118" s="141">
        <v>49040.200000000004</v>
      </c>
      <c r="AA118" s="141">
        <v>52758.200000000004</v>
      </c>
      <c r="AE118" s="1"/>
      <c r="AF118" s="2" t="s">
        <v>15</v>
      </c>
      <c r="AG118" s="141">
        <v>26973.140000000003</v>
      </c>
      <c r="AH118" s="141">
        <v>32219.31</v>
      </c>
      <c r="AI118" s="141">
        <v>40493.5</v>
      </c>
      <c r="AJ118" s="141">
        <v>45159.79</v>
      </c>
      <c r="AK118" s="141">
        <v>48578.030000000006</v>
      </c>
    </row>
    <row r="119" spans="1:37">
      <c r="A119" s="1"/>
      <c r="B119" s="2" t="s">
        <v>16</v>
      </c>
      <c r="C119" s="141">
        <v>44988</v>
      </c>
      <c r="D119" s="141">
        <v>54637.649999999994</v>
      </c>
      <c r="E119" s="141">
        <v>65444.2</v>
      </c>
      <c r="F119" s="141">
        <v>74747.7</v>
      </c>
      <c r="G119" s="141">
        <v>84306.5</v>
      </c>
      <c r="K119" s="1"/>
      <c r="L119" s="2" t="s">
        <v>16</v>
      </c>
      <c r="M119" s="141">
        <v>39915</v>
      </c>
      <c r="N119" s="141">
        <v>48460.5</v>
      </c>
      <c r="O119" s="141">
        <v>58083.75</v>
      </c>
      <c r="P119" s="141">
        <v>66322.125</v>
      </c>
      <c r="Q119" s="141">
        <v>74792.25</v>
      </c>
      <c r="U119" s="1"/>
      <c r="V119" s="2" t="s">
        <v>16</v>
      </c>
      <c r="W119" s="141">
        <v>36823.600000000006</v>
      </c>
      <c r="X119" s="141">
        <v>44697.4</v>
      </c>
      <c r="Y119" s="141">
        <v>53594.200000000004</v>
      </c>
      <c r="Z119" s="141">
        <v>61185.3</v>
      </c>
      <c r="AA119" s="141">
        <v>68993.100000000006</v>
      </c>
      <c r="AE119" s="1"/>
      <c r="AF119" s="2" t="s">
        <v>16</v>
      </c>
      <c r="AG119" s="141">
        <v>33901.18</v>
      </c>
      <c r="AH119" s="141">
        <v>41142.050000000003</v>
      </c>
      <c r="AI119" s="141">
        <v>49350.840000000004</v>
      </c>
      <c r="AJ119" s="141">
        <v>56330.11</v>
      </c>
      <c r="AK119" s="141">
        <v>63513.210000000006</v>
      </c>
    </row>
    <row r="120" spans="1:37">
      <c r="A120" s="1"/>
      <c r="B120" s="2" t="s">
        <v>17</v>
      </c>
      <c r="C120" s="141">
        <v>58215.299999999996</v>
      </c>
      <c r="D120" s="141">
        <v>70790.549999999988</v>
      </c>
      <c r="E120" s="141">
        <v>85566.9</v>
      </c>
      <c r="F120" s="141">
        <v>95261.4</v>
      </c>
      <c r="G120" s="141">
        <v>109672.04999999999</v>
      </c>
      <c r="K120" s="1"/>
      <c r="L120" s="2" t="s">
        <v>17</v>
      </c>
      <c r="M120" s="141">
        <v>51639.75</v>
      </c>
      <c r="N120" s="141">
        <v>62776.125</v>
      </c>
      <c r="O120" s="141">
        <v>75926.25</v>
      </c>
      <c r="P120" s="141">
        <v>84507.75</v>
      </c>
      <c r="Q120" s="141">
        <v>97278.75</v>
      </c>
      <c r="U120" s="1"/>
      <c r="V120" s="2" t="s">
        <v>17</v>
      </c>
      <c r="W120" s="141">
        <v>47634.400000000001</v>
      </c>
      <c r="X120" s="141">
        <v>57896.3</v>
      </c>
      <c r="Y120" s="141">
        <v>70049.100000000006</v>
      </c>
      <c r="Z120" s="141">
        <v>77955.900000000009</v>
      </c>
      <c r="AA120" s="141">
        <v>89729.200000000012</v>
      </c>
      <c r="AE120" s="1"/>
      <c r="AF120" s="2" t="s">
        <v>17</v>
      </c>
      <c r="AG120" s="141">
        <v>43848.520000000004</v>
      </c>
      <c r="AH120" s="141">
        <v>53284.65</v>
      </c>
      <c r="AI120" s="141">
        <v>64493.120000000003</v>
      </c>
      <c r="AJ120" s="141">
        <v>71762.33</v>
      </c>
      <c r="AK120" s="141">
        <v>82593.66</v>
      </c>
    </row>
    <row r="121" spans="1:37">
      <c r="A121" s="1"/>
      <c r="B121" s="2" t="s">
        <v>18</v>
      </c>
      <c r="C121" s="141">
        <v>74375.099999999991</v>
      </c>
      <c r="D121" s="141">
        <v>88362.549999999988</v>
      </c>
      <c r="E121" s="141">
        <v>112959.9</v>
      </c>
      <c r="F121" s="141">
        <v>120878.79999999999</v>
      </c>
      <c r="G121" s="141">
        <v>145111.59999999998</v>
      </c>
      <c r="K121" s="1"/>
      <c r="L121" s="2" t="s">
        <v>18</v>
      </c>
      <c r="M121" s="141">
        <v>65954.25</v>
      </c>
      <c r="N121" s="141">
        <v>78338.25</v>
      </c>
      <c r="O121" s="141">
        <v>100194.75</v>
      </c>
      <c r="P121" s="141">
        <v>107195.625</v>
      </c>
      <c r="Q121" s="141">
        <v>128671.875</v>
      </c>
      <c r="U121" s="1"/>
      <c r="V121" s="2" t="s">
        <v>18</v>
      </c>
      <c r="W121" s="141">
        <v>60826.700000000004</v>
      </c>
      <c r="X121" s="141">
        <v>72238.100000000006</v>
      </c>
      <c r="Y121" s="141">
        <v>92418.700000000012</v>
      </c>
      <c r="Z121" s="141">
        <v>98864.700000000012</v>
      </c>
      <c r="AA121" s="141">
        <v>118663.6</v>
      </c>
      <c r="AE121" s="1"/>
      <c r="AF121" s="2" t="s">
        <v>18</v>
      </c>
      <c r="AG121" s="141">
        <v>55981.310000000005</v>
      </c>
      <c r="AH121" s="141">
        <v>66472.56</v>
      </c>
      <c r="AI121" s="141">
        <v>85070.14</v>
      </c>
      <c r="AJ121" s="141">
        <v>90991.02</v>
      </c>
      <c r="AK121" s="141">
        <v>109204.92000000001</v>
      </c>
    </row>
    <row r="122" spans="1:37">
      <c r="A122" s="1"/>
      <c r="B122" s="2" t="s">
        <v>19</v>
      </c>
      <c r="C122" s="141">
        <v>95173.999999999985</v>
      </c>
      <c r="D122" s="141">
        <v>116094.79999999999</v>
      </c>
      <c r="E122" s="141">
        <v>132733</v>
      </c>
      <c r="F122" s="141">
        <v>157345.29999999999</v>
      </c>
      <c r="G122" s="141">
        <v>174933.4</v>
      </c>
      <c r="K122" s="1"/>
      <c r="L122" s="2" t="s">
        <v>19</v>
      </c>
      <c r="M122" s="141">
        <v>84369.375</v>
      </c>
      <c r="N122" s="141">
        <v>102895.875</v>
      </c>
      <c r="O122" s="141">
        <v>117686.25</v>
      </c>
      <c r="P122" s="141">
        <v>139486.5</v>
      </c>
      <c r="Q122" s="141">
        <v>155065.5</v>
      </c>
      <c r="U122" s="1"/>
      <c r="V122" s="2" t="s">
        <v>19</v>
      </c>
      <c r="W122" s="141">
        <v>77796.400000000009</v>
      </c>
      <c r="X122" s="141">
        <v>94868.400000000009</v>
      </c>
      <c r="Y122" s="141">
        <v>108527.1</v>
      </c>
      <c r="Z122" s="141">
        <v>128620.80000000002</v>
      </c>
      <c r="AA122" s="141">
        <v>142978</v>
      </c>
      <c r="AE122" s="1"/>
      <c r="AF122" s="2" t="s">
        <v>19</v>
      </c>
      <c r="AG122" s="141">
        <v>71583.570000000007</v>
      </c>
      <c r="AH122" s="141">
        <v>87281.75</v>
      </c>
      <c r="AI122" s="141">
        <v>99871.250000000015</v>
      </c>
      <c r="AJ122" s="141">
        <v>118351.11000000002</v>
      </c>
      <c r="AK122" s="141">
        <v>131555.37</v>
      </c>
    </row>
    <row r="123" spans="1:37">
      <c r="A123" s="1"/>
      <c r="B123" s="2" t="s">
        <v>20</v>
      </c>
      <c r="C123" s="141">
        <v>115877.45</v>
      </c>
      <c r="D123" s="141">
        <v>141559.25</v>
      </c>
      <c r="E123" s="141">
        <v>161867.09999999998</v>
      </c>
      <c r="F123" s="141">
        <v>188710.39999999999</v>
      </c>
      <c r="G123" s="141">
        <v>219620.09999999998</v>
      </c>
      <c r="K123" s="1"/>
      <c r="L123" s="2" t="s">
        <v>20</v>
      </c>
      <c r="M123" s="141">
        <v>102704.625</v>
      </c>
      <c r="N123" s="141">
        <v>125446.5</v>
      </c>
      <c r="O123" s="141">
        <v>143485.875</v>
      </c>
      <c r="P123" s="141">
        <v>167260.5</v>
      </c>
      <c r="Q123" s="141">
        <v>194643</v>
      </c>
      <c r="U123" s="1"/>
      <c r="V123" s="2" t="s">
        <v>20</v>
      </c>
      <c r="W123" s="141">
        <v>94692.400000000009</v>
      </c>
      <c r="X123" s="141">
        <v>115649.60000000001</v>
      </c>
      <c r="Y123" s="141">
        <v>132301.40000000002</v>
      </c>
      <c r="Z123" s="141">
        <v>154213.40000000002</v>
      </c>
      <c r="AA123" s="141">
        <v>179452.90000000002</v>
      </c>
      <c r="AE123" s="1"/>
      <c r="AF123" s="2" t="s">
        <v>20</v>
      </c>
      <c r="AG123" s="141">
        <v>87120.430000000008</v>
      </c>
      <c r="AH123" s="141">
        <v>106390.54000000001</v>
      </c>
      <c r="AI123" s="141">
        <v>121733.38</v>
      </c>
      <c r="AJ123" s="141">
        <v>141884.21000000002</v>
      </c>
      <c r="AK123" s="141">
        <v>165097.94</v>
      </c>
    </row>
    <row r="124" spans="1:37">
      <c r="A124" s="1"/>
      <c r="B124" s="2" t="s">
        <v>21</v>
      </c>
      <c r="C124" s="141">
        <v>144384.79999999999</v>
      </c>
      <c r="D124" s="141">
        <v>176637.69999999998</v>
      </c>
      <c r="E124" s="141">
        <v>202608.15</v>
      </c>
      <c r="F124" s="141">
        <v>239153.99999999997</v>
      </c>
      <c r="G124" s="141">
        <v>288352.14999999997</v>
      </c>
      <c r="K124" s="1"/>
      <c r="L124" s="2" t="s">
        <v>21</v>
      </c>
      <c r="M124" s="141">
        <v>127947.375</v>
      </c>
      <c r="N124" s="141">
        <v>156508.875</v>
      </c>
      <c r="O124" s="141">
        <v>179561.25</v>
      </c>
      <c r="P124" s="141">
        <v>211929.75</v>
      </c>
      <c r="Q124" s="141">
        <v>255513.375</v>
      </c>
      <c r="U124" s="1"/>
      <c r="V124" s="2" t="s">
        <v>21</v>
      </c>
      <c r="W124" s="141">
        <v>117953.00000000001</v>
      </c>
      <c r="X124" s="141">
        <v>144272.70000000001</v>
      </c>
      <c r="Y124" s="141">
        <v>165545.60000000001</v>
      </c>
      <c r="Z124" s="141">
        <v>195377.6</v>
      </c>
      <c r="AA124" s="141">
        <v>235548.50000000003</v>
      </c>
      <c r="AE124" s="1"/>
      <c r="AF124" s="2" t="s">
        <v>21</v>
      </c>
      <c r="AG124" s="141">
        <v>108509.50000000001</v>
      </c>
      <c r="AH124" s="141">
        <v>132710.77000000002</v>
      </c>
      <c r="AI124" s="141">
        <v>152300.25</v>
      </c>
      <c r="AJ124" s="141">
        <v>179734.46000000002</v>
      </c>
      <c r="AK124" s="141">
        <v>216682.19</v>
      </c>
    </row>
    <row r="125" spans="1:37">
      <c r="A125" s="1"/>
      <c r="B125" s="1"/>
      <c r="C125" s="1"/>
      <c r="D125" s="1"/>
      <c r="E125" s="1"/>
      <c r="F125" s="1"/>
      <c r="G125" s="1"/>
      <c r="K125" s="1"/>
      <c r="L125" s="1"/>
      <c r="M125" s="1"/>
      <c r="N125" s="1"/>
      <c r="O125" s="1"/>
      <c r="P125" s="1"/>
      <c r="Q125" s="1"/>
      <c r="U125" s="1"/>
      <c r="V125" s="1"/>
      <c r="W125" s="1"/>
      <c r="X125" s="1"/>
      <c r="Y125" s="1"/>
      <c r="Z125" s="1"/>
      <c r="AA125" s="1"/>
      <c r="AE125" s="1"/>
      <c r="AF125" s="1"/>
      <c r="AG125" s="1"/>
      <c r="AH125" s="1"/>
      <c r="AI125" s="1"/>
      <c r="AJ125" s="1"/>
      <c r="AK125" s="1"/>
    </row>
    <row r="126" spans="1:37">
      <c r="A126" s="1"/>
      <c r="B126" s="1"/>
      <c r="C126" s="1"/>
      <c r="D126" s="1"/>
      <c r="E126" s="1"/>
      <c r="F126" s="1"/>
      <c r="G126" s="1"/>
      <c r="K126" s="1"/>
      <c r="L126" s="1"/>
      <c r="M126" s="1"/>
      <c r="N126" s="1"/>
      <c r="O126" s="1"/>
      <c r="P126" s="1"/>
      <c r="Q126" s="1"/>
      <c r="U126" s="1"/>
      <c r="V126" s="1"/>
      <c r="W126" s="1"/>
      <c r="X126" s="1"/>
      <c r="Y126" s="1"/>
      <c r="Z126" s="1"/>
      <c r="AA126" s="1"/>
      <c r="AE126" s="1"/>
      <c r="AF126" s="1"/>
      <c r="AG126" s="1"/>
      <c r="AH126" s="1"/>
      <c r="AI126" s="1"/>
      <c r="AJ126" s="1"/>
      <c r="AK126" s="1"/>
    </row>
    <row r="127" spans="1:37">
      <c r="A127" s="5" t="s">
        <v>68</v>
      </c>
      <c r="B127" s="1"/>
      <c r="C127" s="119" t="s">
        <v>250</v>
      </c>
      <c r="D127" s="119"/>
      <c r="E127" s="116" t="s">
        <v>251</v>
      </c>
      <c r="F127" s="116"/>
      <c r="G127" s="116"/>
      <c r="K127" s="5" t="s">
        <v>68</v>
      </c>
      <c r="L127" s="1"/>
      <c r="M127" s="119" t="s">
        <v>250</v>
      </c>
      <c r="N127" s="119"/>
      <c r="O127" s="116" t="s">
        <v>251</v>
      </c>
      <c r="P127" s="116"/>
      <c r="Q127" s="116"/>
      <c r="U127" s="5" t="s">
        <v>68</v>
      </c>
      <c r="V127" s="1"/>
      <c r="W127" s="119" t="s">
        <v>250</v>
      </c>
      <c r="X127" s="119"/>
      <c r="Y127" s="116" t="s">
        <v>251</v>
      </c>
      <c r="Z127" s="116"/>
      <c r="AA127" s="116"/>
      <c r="AE127" s="5" t="s">
        <v>68</v>
      </c>
      <c r="AF127" s="1"/>
      <c r="AG127" s="119" t="s">
        <v>250</v>
      </c>
      <c r="AH127" s="119"/>
      <c r="AI127" s="116" t="s">
        <v>251</v>
      </c>
      <c r="AJ127" s="116"/>
      <c r="AK127" s="116"/>
    </row>
    <row r="128" spans="1:37">
      <c r="A128" s="1"/>
      <c r="B128" s="2" t="s">
        <v>60</v>
      </c>
      <c r="C128" s="94">
        <v>300000</v>
      </c>
      <c r="D128" s="94">
        <v>400000</v>
      </c>
      <c r="E128" s="94">
        <v>500000</v>
      </c>
      <c r="F128" s="94">
        <v>700000</v>
      </c>
      <c r="G128" s="94">
        <v>1000000</v>
      </c>
      <c r="K128" s="1"/>
      <c r="L128" s="2" t="s">
        <v>60</v>
      </c>
      <c r="M128" s="94">
        <v>300000</v>
      </c>
      <c r="N128" s="94">
        <v>400000</v>
      </c>
      <c r="O128" s="94">
        <v>500000</v>
      </c>
      <c r="P128" s="94">
        <v>700000</v>
      </c>
      <c r="Q128" s="94">
        <v>1000000</v>
      </c>
      <c r="U128" s="1"/>
      <c r="V128" s="2" t="s">
        <v>60</v>
      </c>
      <c r="W128" s="94">
        <v>300000</v>
      </c>
      <c r="X128" s="94">
        <v>400000</v>
      </c>
      <c r="Y128" s="94">
        <v>500000</v>
      </c>
      <c r="Z128" s="94">
        <v>700000</v>
      </c>
      <c r="AA128" s="94">
        <v>1000000</v>
      </c>
      <c r="AE128" s="1"/>
      <c r="AF128" s="2" t="s">
        <v>60</v>
      </c>
      <c r="AG128" s="94">
        <v>300000</v>
      </c>
      <c r="AH128" s="94">
        <v>400000</v>
      </c>
      <c r="AI128" s="94">
        <v>500000</v>
      </c>
      <c r="AJ128" s="94">
        <v>700000</v>
      </c>
      <c r="AK128" s="94">
        <v>1000000</v>
      </c>
    </row>
    <row r="129" spans="1:37">
      <c r="A129" s="1"/>
      <c r="B129" s="2" t="s">
        <v>11</v>
      </c>
      <c r="C129" s="141">
        <v>24589.3</v>
      </c>
      <c r="D129" s="141">
        <v>29482.55</v>
      </c>
      <c r="E129" s="141">
        <v>32845.149999999994</v>
      </c>
      <c r="F129" s="141">
        <v>37303.699999999997</v>
      </c>
      <c r="G129" s="141">
        <v>41788.699999999997</v>
      </c>
      <c r="K129" s="1"/>
      <c r="L129" s="2" t="s">
        <v>11</v>
      </c>
      <c r="M129" s="141">
        <v>21822.75</v>
      </c>
      <c r="N129" s="141">
        <v>26155.125</v>
      </c>
      <c r="O129" s="141">
        <v>29153.25</v>
      </c>
      <c r="P129" s="141">
        <v>33105.375</v>
      </c>
      <c r="Q129" s="141">
        <v>37078.875</v>
      </c>
      <c r="U129" s="1"/>
      <c r="V129" s="2" t="s">
        <v>11</v>
      </c>
      <c r="W129" s="141">
        <v>20135.5</v>
      </c>
      <c r="X129" s="141">
        <v>24127.4</v>
      </c>
      <c r="Y129" s="141">
        <v>26901.600000000002</v>
      </c>
      <c r="Z129" s="141">
        <v>30544.800000000003</v>
      </c>
      <c r="AA129" s="141">
        <v>34208.9</v>
      </c>
      <c r="AE129" s="1"/>
      <c r="AF129" s="2" t="s">
        <v>11</v>
      </c>
      <c r="AG129" s="141">
        <v>18539.810000000001</v>
      </c>
      <c r="AH129" s="141">
        <v>22210.93</v>
      </c>
      <c r="AI129" s="141">
        <v>24773.52</v>
      </c>
      <c r="AJ129" s="141">
        <v>28125.27</v>
      </c>
      <c r="AK129" s="141">
        <v>31495.550000000003</v>
      </c>
    </row>
    <row r="130" spans="1:37">
      <c r="A130" s="1"/>
      <c r="B130" s="2" t="s">
        <v>12</v>
      </c>
      <c r="C130" s="141">
        <v>26378.699999999997</v>
      </c>
      <c r="D130" s="141">
        <v>31769.899999999998</v>
      </c>
      <c r="E130" s="141">
        <v>35564.899999999994</v>
      </c>
      <c r="F130" s="141">
        <v>40338.549999999996</v>
      </c>
      <c r="G130" s="141">
        <v>44257.75</v>
      </c>
      <c r="K130" s="1"/>
      <c r="L130" s="2" t="s">
        <v>12</v>
      </c>
      <c r="M130" s="141">
        <v>23419.125</v>
      </c>
      <c r="N130" s="141">
        <v>28193.625</v>
      </c>
      <c r="O130" s="141">
        <v>31584.375</v>
      </c>
      <c r="P130" s="141">
        <v>35814.375</v>
      </c>
      <c r="Q130" s="141">
        <v>39287.25</v>
      </c>
      <c r="U130" s="1"/>
      <c r="V130" s="2" t="s">
        <v>12</v>
      </c>
      <c r="W130" s="141">
        <v>21612.800000000003</v>
      </c>
      <c r="X130" s="141">
        <v>26012.800000000003</v>
      </c>
      <c r="Y130" s="141">
        <v>29153.300000000003</v>
      </c>
      <c r="Z130" s="141">
        <v>33053.9</v>
      </c>
      <c r="AA130" s="141">
        <v>36254.9</v>
      </c>
      <c r="AE130" s="1"/>
      <c r="AF130" s="2" t="s">
        <v>12</v>
      </c>
      <c r="AG130" s="141">
        <v>19905.580000000002</v>
      </c>
      <c r="AH130" s="141">
        <v>23951.660000000003</v>
      </c>
      <c r="AI130" s="141">
        <v>26855.420000000002</v>
      </c>
      <c r="AJ130" s="141">
        <v>30443.7</v>
      </c>
      <c r="AK130" s="141">
        <v>33387.79</v>
      </c>
    </row>
    <row r="131" spans="1:37">
      <c r="A131" s="1"/>
      <c r="B131" s="2" t="s">
        <v>13</v>
      </c>
      <c r="C131" s="141">
        <v>29372.149999999998</v>
      </c>
      <c r="D131" s="141">
        <v>35498.199999999997</v>
      </c>
      <c r="E131" s="141">
        <v>39932.6</v>
      </c>
      <c r="F131" s="141">
        <v>45339.899999999994</v>
      </c>
      <c r="G131" s="141">
        <v>50787.45</v>
      </c>
      <c r="K131" s="1"/>
      <c r="L131" s="2" t="s">
        <v>13</v>
      </c>
      <c r="M131" s="141">
        <v>26071.875</v>
      </c>
      <c r="N131" s="141">
        <v>31496.625</v>
      </c>
      <c r="O131" s="141">
        <v>35456.625</v>
      </c>
      <c r="P131" s="141">
        <v>40249.125</v>
      </c>
      <c r="Q131" s="141">
        <v>45076.5</v>
      </c>
      <c r="U131" s="1"/>
      <c r="V131" s="2" t="s">
        <v>13</v>
      </c>
      <c r="W131" s="141">
        <v>24058.100000000002</v>
      </c>
      <c r="X131" s="141">
        <v>29057.600000000002</v>
      </c>
      <c r="Y131" s="141">
        <v>32723.9</v>
      </c>
      <c r="Z131" s="141">
        <v>37141.5</v>
      </c>
      <c r="AA131" s="141">
        <v>41593.200000000004</v>
      </c>
      <c r="AE131" s="1"/>
      <c r="AF131" s="2" t="s">
        <v>13</v>
      </c>
      <c r="AG131" s="141">
        <v>22155.34</v>
      </c>
      <c r="AH131" s="141">
        <v>26751.870000000003</v>
      </c>
      <c r="AI131" s="141">
        <v>30140.680000000004</v>
      </c>
      <c r="AJ131" s="141">
        <v>34205.29</v>
      </c>
      <c r="AK131" s="141">
        <v>38300.420000000006</v>
      </c>
    </row>
    <row r="132" spans="1:37">
      <c r="A132" s="1"/>
      <c r="B132" s="2" t="s">
        <v>14</v>
      </c>
      <c r="C132" s="141">
        <v>32561.1</v>
      </c>
      <c r="D132" s="141">
        <v>39480.649999999994</v>
      </c>
      <c r="E132" s="141">
        <v>44555.6</v>
      </c>
      <c r="F132" s="141">
        <v>50666.7</v>
      </c>
      <c r="G132" s="141">
        <v>56829.549999999996</v>
      </c>
      <c r="K132" s="1"/>
      <c r="L132" s="2" t="s">
        <v>14</v>
      </c>
      <c r="M132" s="141">
        <v>28896.75</v>
      </c>
      <c r="N132" s="141">
        <v>35023.5</v>
      </c>
      <c r="O132" s="141">
        <v>39551.625</v>
      </c>
      <c r="P132" s="141">
        <v>44966.25</v>
      </c>
      <c r="Q132" s="141">
        <v>50428.125</v>
      </c>
      <c r="U132" s="1"/>
      <c r="V132" s="2" t="s">
        <v>14</v>
      </c>
      <c r="W132" s="141">
        <v>26660.7</v>
      </c>
      <c r="X132" s="141">
        <v>32308.100000000002</v>
      </c>
      <c r="Y132" s="141">
        <v>36498</v>
      </c>
      <c r="Z132" s="141">
        <v>41490.9</v>
      </c>
      <c r="AA132" s="141">
        <v>46525.600000000006</v>
      </c>
      <c r="AE132" s="1"/>
      <c r="AF132" s="2" t="s">
        <v>14</v>
      </c>
      <c r="AG132" s="141">
        <v>24548.980000000003</v>
      </c>
      <c r="AH132" s="141">
        <v>29740.65</v>
      </c>
      <c r="AI132" s="141">
        <v>33612.33</v>
      </c>
      <c r="AJ132" s="141">
        <v>38204.5</v>
      </c>
      <c r="AK132" s="141">
        <v>42837</v>
      </c>
    </row>
    <row r="133" spans="1:37">
      <c r="A133" s="1"/>
      <c r="B133" s="2" t="s">
        <v>15</v>
      </c>
      <c r="C133" s="141">
        <v>39583</v>
      </c>
      <c r="D133" s="141">
        <v>48005.599999999999</v>
      </c>
      <c r="E133" s="141">
        <v>54743.45</v>
      </c>
      <c r="F133" s="141">
        <v>64156.2</v>
      </c>
      <c r="G133" s="141">
        <v>71639.25</v>
      </c>
      <c r="K133" s="1"/>
      <c r="L133" s="2" t="s">
        <v>15</v>
      </c>
      <c r="M133" s="141">
        <v>35124.75</v>
      </c>
      <c r="N133" s="141">
        <v>42582.375</v>
      </c>
      <c r="O133" s="141">
        <v>48592.125</v>
      </c>
      <c r="P133" s="141">
        <v>56930.625</v>
      </c>
      <c r="Q133" s="141">
        <v>63561.375</v>
      </c>
      <c r="U133" s="1"/>
      <c r="V133" s="2" t="s">
        <v>15</v>
      </c>
      <c r="W133" s="141">
        <v>32406.000000000004</v>
      </c>
      <c r="X133" s="141">
        <v>39278.800000000003</v>
      </c>
      <c r="Y133" s="141">
        <v>44839.3</v>
      </c>
      <c r="Z133" s="141">
        <v>52526.100000000006</v>
      </c>
      <c r="AA133" s="141">
        <v>58637.700000000004</v>
      </c>
      <c r="AE133" s="1"/>
      <c r="AF133" s="2" t="s">
        <v>15</v>
      </c>
      <c r="AG133" s="141">
        <v>29836.570000000003</v>
      </c>
      <c r="AH133" s="141">
        <v>36156.39</v>
      </c>
      <c r="AI133" s="141">
        <v>41291.380000000005</v>
      </c>
      <c r="AJ133" s="141">
        <v>48362.210000000006</v>
      </c>
      <c r="AK133" s="141">
        <v>53984.430000000008</v>
      </c>
    </row>
    <row r="134" spans="1:37">
      <c r="A134" s="1"/>
      <c r="B134" s="2" t="s">
        <v>16</v>
      </c>
      <c r="C134" s="141">
        <v>49341.899999999994</v>
      </c>
      <c r="D134" s="141">
        <v>60005.85</v>
      </c>
      <c r="E134" s="141">
        <v>68430.75</v>
      </c>
      <c r="F134" s="141">
        <v>81513.149999999994</v>
      </c>
      <c r="G134" s="141">
        <v>91195</v>
      </c>
      <c r="K134" s="1"/>
      <c r="L134" s="2" t="s">
        <v>16</v>
      </c>
      <c r="M134" s="141">
        <v>43769.25</v>
      </c>
      <c r="N134" s="141">
        <v>53212.5</v>
      </c>
      <c r="O134" s="141">
        <v>60720.75</v>
      </c>
      <c r="P134" s="141">
        <v>72310.5</v>
      </c>
      <c r="Q134" s="141">
        <v>80888.625</v>
      </c>
      <c r="U134" s="1"/>
      <c r="V134" s="2" t="s">
        <v>16</v>
      </c>
      <c r="W134" s="141">
        <v>40374.400000000001</v>
      </c>
      <c r="X134" s="141">
        <v>49076.500000000007</v>
      </c>
      <c r="Y134" s="141">
        <v>56020.800000000003</v>
      </c>
      <c r="Z134" s="141">
        <v>66702.900000000009</v>
      </c>
      <c r="AA134" s="141">
        <v>74610.8</v>
      </c>
      <c r="AE134" s="1"/>
      <c r="AF134" s="2" t="s">
        <v>16</v>
      </c>
      <c r="AG134" s="141">
        <v>37165.730000000003</v>
      </c>
      <c r="AH134" s="141">
        <v>45167.420000000006</v>
      </c>
      <c r="AI134" s="141">
        <v>51577.710000000006</v>
      </c>
      <c r="AJ134" s="141">
        <v>61404.060000000005</v>
      </c>
      <c r="AK134" s="141">
        <v>68676.540000000008</v>
      </c>
    </row>
    <row r="135" spans="1:37">
      <c r="A135" s="1"/>
      <c r="B135" s="2" t="s">
        <v>17</v>
      </c>
      <c r="C135" s="141">
        <v>62229.95</v>
      </c>
      <c r="D135" s="141">
        <v>75757.399999999994</v>
      </c>
      <c r="E135" s="141">
        <v>86469.65</v>
      </c>
      <c r="F135" s="141">
        <v>101485.2</v>
      </c>
      <c r="G135" s="141">
        <v>113794.79999999999</v>
      </c>
      <c r="K135" s="1"/>
      <c r="L135" s="2" t="s">
        <v>17</v>
      </c>
      <c r="M135" s="141">
        <v>55193.625</v>
      </c>
      <c r="N135" s="141">
        <v>67172.625</v>
      </c>
      <c r="O135" s="141">
        <v>76714.875</v>
      </c>
      <c r="P135" s="141">
        <v>90015.75</v>
      </c>
      <c r="Q135" s="141">
        <v>100922.625</v>
      </c>
      <c r="U135" s="1"/>
      <c r="V135" s="2" t="s">
        <v>17</v>
      </c>
      <c r="W135" s="141">
        <v>50908.000000000007</v>
      </c>
      <c r="X135" s="141">
        <v>61946.500000000007</v>
      </c>
      <c r="Y135" s="141">
        <v>70768.5</v>
      </c>
      <c r="Z135" s="141">
        <v>83030.200000000012</v>
      </c>
      <c r="AA135" s="141">
        <v>93083.1</v>
      </c>
      <c r="AE135" s="1"/>
      <c r="AF135" s="2" t="s">
        <v>17</v>
      </c>
      <c r="AG135" s="141">
        <v>46858.01</v>
      </c>
      <c r="AH135" s="141">
        <v>57008.090000000004</v>
      </c>
      <c r="AI135" s="141">
        <v>65149.3</v>
      </c>
      <c r="AJ135" s="141">
        <v>76426.44</v>
      </c>
      <c r="AK135" s="141">
        <v>85674</v>
      </c>
    </row>
    <row r="136" spans="1:37">
      <c r="A136" s="1"/>
      <c r="B136" s="2" t="s">
        <v>18</v>
      </c>
      <c r="C136" s="141">
        <v>76655.549999999988</v>
      </c>
      <c r="D136" s="141">
        <v>93384.599999999991</v>
      </c>
      <c r="E136" s="141">
        <v>106564.74999999999</v>
      </c>
      <c r="F136" s="141">
        <v>127170.45</v>
      </c>
      <c r="G136" s="141">
        <v>142943.84999999998</v>
      </c>
      <c r="K136" s="1"/>
      <c r="L136" s="2" t="s">
        <v>18</v>
      </c>
      <c r="M136" s="141">
        <v>67971.375</v>
      </c>
      <c r="N136" s="141">
        <v>82784.25</v>
      </c>
      <c r="O136" s="141">
        <v>94512.375</v>
      </c>
      <c r="P136" s="141">
        <v>112765.5</v>
      </c>
      <c r="Q136" s="141">
        <v>126739.125</v>
      </c>
      <c r="U136" s="1"/>
      <c r="V136" s="2" t="s">
        <v>18</v>
      </c>
      <c r="W136" s="141">
        <v>62683.500000000007</v>
      </c>
      <c r="X136" s="141">
        <v>76334.5</v>
      </c>
      <c r="Y136" s="141">
        <v>87171.700000000012</v>
      </c>
      <c r="Z136" s="141">
        <v>103995.1</v>
      </c>
      <c r="AA136" s="141">
        <v>116876.1</v>
      </c>
      <c r="AE136" s="1"/>
      <c r="AF136" s="2" t="s">
        <v>18</v>
      </c>
      <c r="AG136" s="141">
        <v>57687.16</v>
      </c>
      <c r="AH136" s="141">
        <v>70239.600000000006</v>
      </c>
      <c r="AI136" s="141">
        <v>80234.900000000009</v>
      </c>
      <c r="AJ136" s="141">
        <v>95707.450000000012</v>
      </c>
      <c r="AK136" s="141">
        <v>107554.66</v>
      </c>
    </row>
    <row r="137" spans="1:37">
      <c r="A137" s="1"/>
      <c r="B137" s="2" t="s">
        <v>19</v>
      </c>
      <c r="C137" s="141">
        <v>98975.9</v>
      </c>
      <c r="D137" s="141">
        <v>120800.59999999999</v>
      </c>
      <c r="E137" s="141">
        <v>138049.44999999998</v>
      </c>
      <c r="F137" s="141">
        <v>163211.44999999998</v>
      </c>
      <c r="G137" s="141">
        <v>188834.59999999998</v>
      </c>
      <c r="K137" s="1"/>
      <c r="L137" s="2" t="s">
        <v>19</v>
      </c>
      <c r="M137" s="141">
        <v>87735.375</v>
      </c>
      <c r="N137" s="141">
        <v>107061.75</v>
      </c>
      <c r="O137" s="141">
        <v>122391</v>
      </c>
      <c r="P137" s="141">
        <v>144679.5</v>
      </c>
      <c r="Q137" s="141">
        <v>167379.75</v>
      </c>
      <c r="U137" s="1"/>
      <c r="V137" s="2" t="s">
        <v>19</v>
      </c>
      <c r="W137" s="141">
        <v>80897.3</v>
      </c>
      <c r="X137" s="141">
        <v>98706.3</v>
      </c>
      <c r="Y137" s="141">
        <v>112862.20000000001</v>
      </c>
      <c r="Z137" s="141">
        <v>133404.70000000001</v>
      </c>
      <c r="AA137" s="141">
        <v>154328.90000000002</v>
      </c>
      <c r="AE137" s="1"/>
      <c r="AF137" s="2" t="s">
        <v>19</v>
      </c>
      <c r="AG137" s="141">
        <v>74435.010000000009</v>
      </c>
      <c r="AH137" s="141">
        <v>90810.08</v>
      </c>
      <c r="AI137" s="141">
        <v>103857.38</v>
      </c>
      <c r="AJ137" s="141">
        <v>122749.26000000001</v>
      </c>
      <c r="AK137" s="141">
        <v>141995.39000000001</v>
      </c>
    </row>
    <row r="138" spans="1:37">
      <c r="A138" s="1"/>
      <c r="B138" s="2" t="s">
        <v>20</v>
      </c>
      <c r="C138" s="141">
        <v>120031.24999999999</v>
      </c>
      <c r="D138" s="141">
        <v>146692.84999999998</v>
      </c>
      <c r="E138" s="141">
        <v>167665.4</v>
      </c>
      <c r="F138" s="141">
        <v>195094.05</v>
      </c>
      <c r="G138" s="141">
        <v>230875.15</v>
      </c>
      <c r="K138" s="1"/>
      <c r="L138" s="2" t="s">
        <v>20</v>
      </c>
      <c r="M138" s="141">
        <v>106381.125</v>
      </c>
      <c r="N138" s="141">
        <v>129991.5</v>
      </c>
      <c r="O138" s="141">
        <v>148618.125</v>
      </c>
      <c r="P138" s="141">
        <v>172912.5</v>
      </c>
      <c r="Q138" s="141">
        <v>204610.5</v>
      </c>
      <c r="U138" s="1"/>
      <c r="V138" s="2" t="s">
        <v>20</v>
      </c>
      <c r="W138" s="141">
        <v>98080.400000000009</v>
      </c>
      <c r="X138" s="141">
        <v>119837.3</v>
      </c>
      <c r="Y138" s="141">
        <v>137031.40000000002</v>
      </c>
      <c r="Z138" s="141">
        <v>159420.80000000002</v>
      </c>
      <c r="AA138" s="141">
        <v>188639.00000000003</v>
      </c>
      <c r="AE138" s="1"/>
      <c r="AF138" s="2" t="s">
        <v>20</v>
      </c>
      <c r="AG138" s="141">
        <v>90235.650000000009</v>
      </c>
      <c r="AH138" s="141">
        <v>110241.51000000001</v>
      </c>
      <c r="AI138" s="141">
        <v>126081.39000000001</v>
      </c>
      <c r="AJ138" s="141">
        <v>146671.49000000002</v>
      </c>
      <c r="AK138" s="141">
        <v>173545.44</v>
      </c>
    </row>
    <row r="139" spans="1:37">
      <c r="A139" s="1"/>
      <c r="B139" s="2" t="s">
        <v>21</v>
      </c>
      <c r="C139" s="141">
        <v>148781.25</v>
      </c>
      <c r="D139" s="141">
        <v>182064.55</v>
      </c>
      <c r="E139" s="141">
        <v>208738.8</v>
      </c>
      <c r="F139" s="141">
        <v>253167.9</v>
      </c>
      <c r="G139" s="141">
        <v>305326.14999999997</v>
      </c>
      <c r="K139" s="1"/>
      <c r="L139" s="2" t="s">
        <v>21</v>
      </c>
      <c r="M139" s="141">
        <v>131839.875</v>
      </c>
      <c r="N139" s="141">
        <v>161312.625</v>
      </c>
      <c r="O139" s="141">
        <v>184988.25</v>
      </c>
      <c r="P139" s="141">
        <v>224343</v>
      </c>
      <c r="Q139" s="141">
        <v>270547.875</v>
      </c>
      <c r="U139" s="1"/>
      <c r="V139" s="2" t="s">
        <v>21</v>
      </c>
      <c r="W139" s="141">
        <v>121540.1</v>
      </c>
      <c r="X139" s="141">
        <v>148700.20000000001</v>
      </c>
      <c r="Y139" s="141">
        <v>170546.2</v>
      </c>
      <c r="Z139" s="141">
        <v>206817.6</v>
      </c>
      <c r="AA139" s="141">
        <v>249406.30000000002</v>
      </c>
      <c r="AE139" s="1"/>
      <c r="AF139" s="2" t="s">
        <v>21</v>
      </c>
      <c r="AG139" s="141">
        <v>111806.75000000001</v>
      </c>
      <c r="AH139" s="141">
        <v>136780.83000000002</v>
      </c>
      <c r="AI139" s="141">
        <v>156898.96000000002</v>
      </c>
      <c r="AJ139" s="141">
        <v>190256.23</v>
      </c>
      <c r="AK139" s="141">
        <v>229426.47000000003</v>
      </c>
    </row>
    <row r="140" spans="1:37">
      <c r="A140" s="1"/>
      <c r="B140" s="1"/>
      <c r="C140" s="1"/>
      <c r="D140" s="1"/>
      <c r="E140" s="1"/>
      <c r="F140" s="1"/>
      <c r="G140" s="1"/>
      <c r="K140" s="1"/>
      <c r="L140" s="1"/>
      <c r="M140" s="1"/>
      <c r="N140" s="1"/>
      <c r="O140" s="1"/>
      <c r="P140" s="1"/>
      <c r="Q140" s="1"/>
      <c r="U140" s="1"/>
      <c r="V140" s="1"/>
      <c r="W140" s="1"/>
      <c r="X140" s="1"/>
      <c r="Y140" s="1"/>
      <c r="Z140" s="1"/>
      <c r="AA140" s="1"/>
      <c r="AE140" s="1"/>
      <c r="AF140" s="1"/>
      <c r="AG140" s="1"/>
      <c r="AH140" s="1"/>
      <c r="AI140" s="1"/>
      <c r="AJ140" s="1"/>
      <c r="AK140" s="1"/>
    </row>
    <row r="141" spans="1:37">
      <c r="A141" s="1"/>
      <c r="B141" s="1"/>
      <c r="C141" s="1"/>
      <c r="D141" s="1"/>
      <c r="E141" s="1"/>
      <c r="F141" s="1"/>
      <c r="G141" s="1"/>
      <c r="K141" s="1"/>
      <c r="L141" s="1"/>
      <c r="M141" s="1"/>
      <c r="N141" s="1"/>
      <c r="O141" s="1"/>
      <c r="P141" s="1"/>
      <c r="Q141" s="1"/>
      <c r="U141" s="1"/>
      <c r="V141" s="1"/>
      <c r="W141" s="1"/>
      <c r="X141" s="1"/>
      <c r="Y141" s="1"/>
      <c r="Z141" s="1"/>
      <c r="AA141" s="1"/>
      <c r="AE141" s="1"/>
      <c r="AF141" s="1"/>
      <c r="AG141" s="1"/>
      <c r="AH141" s="1"/>
      <c r="AI141" s="1"/>
      <c r="AJ141" s="1"/>
      <c r="AK141" s="1"/>
    </row>
    <row r="142" spans="1:37">
      <c r="A142" s="5" t="s">
        <v>69</v>
      </c>
      <c r="B142" s="1"/>
      <c r="C142" s="119" t="s">
        <v>250</v>
      </c>
      <c r="D142" s="119"/>
      <c r="E142" s="116" t="s">
        <v>251</v>
      </c>
      <c r="F142" s="116"/>
      <c r="G142" s="116"/>
      <c r="K142" s="5" t="s">
        <v>69</v>
      </c>
      <c r="L142" s="1"/>
      <c r="M142" s="119" t="s">
        <v>250</v>
      </c>
      <c r="N142" s="119"/>
      <c r="O142" s="116" t="s">
        <v>251</v>
      </c>
      <c r="P142" s="116"/>
      <c r="Q142" s="116"/>
      <c r="U142" s="5" t="s">
        <v>69</v>
      </c>
      <c r="V142" s="1"/>
      <c r="W142" s="119" t="s">
        <v>250</v>
      </c>
      <c r="X142" s="119"/>
      <c r="Y142" s="116" t="s">
        <v>251</v>
      </c>
      <c r="Z142" s="116"/>
      <c r="AA142" s="116"/>
      <c r="AE142" s="5" t="s">
        <v>69</v>
      </c>
      <c r="AF142" s="1"/>
      <c r="AG142" s="119" t="s">
        <v>250</v>
      </c>
      <c r="AH142" s="119"/>
      <c r="AI142" s="116" t="s">
        <v>251</v>
      </c>
      <c r="AJ142" s="116"/>
      <c r="AK142" s="116"/>
    </row>
    <row r="143" spans="1:37">
      <c r="A143" s="1"/>
      <c r="B143" s="2" t="s">
        <v>60</v>
      </c>
      <c r="C143" s="94">
        <v>300000</v>
      </c>
      <c r="D143" s="94">
        <v>400000</v>
      </c>
      <c r="E143" s="94">
        <v>500000</v>
      </c>
      <c r="F143" s="94">
        <v>700000</v>
      </c>
      <c r="G143" s="94">
        <v>1000000</v>
      </c>
      <c r="K143" s="1"/>
      <c r="L143" s="2" t="s">
        <v>60</v>
      </c>
      <c r="M143" s="94">
        <v>300000</v>
      </c>
      <c r="N143" s="94">
        <v>400000</v>
      </c>
      <c r="O143" s="94">
        <v>500000</v>
      </c>
      <c r="P143" s="94">
        <v>700000</v>
      </c>
      <c r="Q143" s="94">
        <v>1000000</v>
      </c>
      <c r="U143" s="1"/>
      <c r="V143" s="2" t="s">
        <v>60</v>
      </c>
      <c r="W143" s="94">
        <v>300000</v>
      </c>
      <c r="X143" s="94">
        <v>400000</v>
      </c>
      <c r="Y143" s="94">
        <v>500000</v>
      </c>
      <c r="Z143" s="94">
        <v>700000</v>
      </c>
      <c r="AA143" s="94">
        <v>1000000</v>
      </c>
      <c r="AE143" s="1"/>
      <c r="AF143" s="2" t="s">
        <v>60</v>
      </c>
      <c r="AG143" s="94">
        <v>300000</v>
      </c>
      <c r="AH143" s="94">
        <v>400000</v>
      </c>
      <c r="AI143" s="94">
        <v>500000</v>
      </c>
      <c r="AJ143" s="94">
        <v>700000</v>
      </c>
      <c r="AK143" s="94">
        <v>1000000</v>
      </c>
    </row>
    <row r="144" spans="1:37">
      <c r="A144" s="1"/>
      <c r="B144" s="2" t="s">
        <v>11</v>
      </c>
      <c r="C144" s="141">
        <v>27903.599999999999</v>
      </c>
      <c r="D144" s="141">
        <v>33712.25</v>
      </c>
      <c r="E144" s="141">
        <v>36913.85</v>
      </c>
      <c r="F144" s="141">
        <v>41968.1</v>
      </c>
      <c r="G144" s="141">
        <v>47051.1</v>
      </c>
      <c r="K144" s="1"/>
      <c r="L144" s="2" t="s">
        <v>11</v>
      </c>
      <c r="M144" s="141">
        <v>24757.875</v>
      </c>
      <c r="N144" s="141">
        <v>29900.25</v>
      </c>
      <c r="O144" s="141">
        <v>32757.75</v>
      </c>
      <c r="P144" s="141">
        <v>37235.25</v>
      </c>
      <c r="Q144" s="141">
        <v>41739.75</v>
      </c>
      <c r="U144" s="1"/>
      <c r="V144" s="2" t="s">
        <v>11</v>
      </c>
      <c r="W144" s="141">
        <v>22840.400000000001</v>
      </c>
      <c r="X144" s="141">
        <v>27579.200000000001</v>
      </c>
      <c r="Y144" s="141">
        <v>30222.500000000004</v>
      </c>
      <c r="Z144" s="141">
        <v>34350.800000000003</v>
      </c>
      <c r="AA144" s="141">
        <v>38503.300000000003</v>
      </c>
      <c r="AE144" s="1"/>
      <c r="AF144" s="2" t="s">
        <v>11</v>
      </c>
      <c r="AG144" s="141">
        <v>21027.190000000002</v>
      </c>
      <c r="AH144" s="141">
        <v>25385.010000000002</v>
      </c>
      <c r="AI144" s="141">
        <v>27827.7</v>
      </c>
      <c r="AJ144" s="141">
        <v>31625.260000000002</v>
      </c>
      <c r="AK144" s="141">
        <v>35444.620000000003</v>
      </c>
    </row>
    <row r="145" spans="1:37">
      <c r="A145" s="1"/>
      <c r="B145" s="2" t="s">
        <v>12</v>
      </c>
      <c r="C145" s="141">
        <v>29460.699999999997</v>
      </c>
      <c r="D145" s="141">
        <v>35489</v>
      </c>
      <c r="E145" s="141">
        <v>39560</v>
      </c>
      <c r="F145" s="141">
        <v>44919</v>
      </c>
      <c r="G145" s="141">
        <v>48846.249999999993</v>
      </c>
      <c r="K145" s="1"/>
      <c r="L145" s="2" t="s">
        <v>12</v>
      </c>
      <c r="M145" s="141">
        <v>26148.375</v>
      </c>
      <c r="N145" s="141">
        <v>31486.5</v>
      </c>
      <c r="O145" s="141">
        <v>35122.5</v>
      </c>
      <c r="P145" s="141">
        <v>39871.125</v>
      </c>
      <c r="Q145" s="141">
        <v>43349.625</v>
      </c>
      <c r="U145" s="1"/>
      <c r="V145" s="2" t="s">
        <v>12</v>
      </c>
      <c r="W145" s="141">
        <v>24128.500000000004</v>
      </c>
      <c r="X145" s="141">
        <v>29047.7</v>
      </c>
      <c r="Y145" s="141">
        <v>32412.600000000002</v>
      </c>
      <c r="Z145" s="141">
        <v>36791.700000000004</v>
      </c>
      <c r="AA145" s="141">
        <v>39998.200000000004</v>
      </c>
      <c r="AE145" s="1"/>
      <c r="AF145" s="2" t="s">
        <v>12</v>
      </c>
      <c r="AG145" s="141">
        <v>22218.560000000001</v>
      </c>
      <c r="AH145" s="141">
        <v>26742.06</v>
      </c>
      <c r="AI145" s="141">
        <v>29852.920000000002</v>
      </c>
      <c r="AJ145" s="141">
        <v>33880.47</v>
      </c>
      <c r="AK145" s="141">
        <v>36830.01</v>
      </c>
    </row>
    <row r="146" spans="1:37">
      <c r="A146" s="1"/>
      <c r="B146" s="2" t="s">
        <v>13</v>
      </c>
      <c r="C146" s="141">
        <v>33216.6</v>
      </c>
      <c r="D146" s="141">
        <v>39761.25</v>
      </c>
      <c r="E146" s="141">
        <v>44571.7</v>
      </c>
      <c r="F146" s="141">
        <v>50657.499999999993</v>
      </c>
      <c r="G146" s="141">
        <v>56786.999999999993</v>
      </c>
      <c r="K146" s="1"/>
      <c r="L146" s="2" t="s">
        <v>13</v>
      </c>
      <c r="M146" s="141">
        <v>29477.25</v>
      </c>
      <c r="N146" s="141">
        <v>35271</v>
      </c>
      <c r="O146" s="141">
        <v>39565.125</v>
      </c>
      <c r="P146" s="141">
        <v>44957.25</v>
      </c>
      <c r="Q146" s="141">
        <v>50388.75</v>
      </c>
      <c r="U146" s="1"/>
      <c r="V146" s="2" t="s">
        <v>13</v>
      </c>
      <c r="W146" s="141">
        <v>27196.400000000001</v>
      </c>
      <c r="X146" s="141">
        <v>32535.800000000003</v>
      </c>
      <c r="Y146" s="141">
        <v>36509</v>
      </c>
      <c r="Z146" s="141">
        <v>41481</v>
      </c>
      <c r="AA146" s="141">
        <v>46488.200000000004</v>
      </c>
      <c r="AE146" s="1"/>
      <c r="AF146" s="2" t="s">
        <v>13</v>
      </c>
      <c r="AG146" s="141">
        <v>25040.570000000003</v>
      </c>
      <c r="AH146" s="141">
        <v>29949.930000000004</v>
      </c>
      <c r="AI146" s="141">
        <v>33622.14</v>
      </c>
      <c r="AJ146" s="141">
        <v>38194.69</v>
      </c>
      <c r="AK146" s="141">
        <v>42802.12</v>
      </c>
    </row>
    <row r="147" spans="1:37">
      <c r="A147" s="1"/>
      <c r="B147" s="2" t="s">
        <v>14</v>
      </c>
      <c r="C147" s="141">
        <v>36228.449999999997</v>
      </c>
      <c r="D147" s="141">
        <v>43978.299999999996</v>
      </c>
      <c r="E147" s="141">
        <v>49499.45</v>
      </c>
      <c r="F147" s="141">
        <v>56332.749999999993</v>
      </c>
      <c r="G147" s="141">
        <v>63222.399999999994</v>
      </c>
      <c r="K147" s="1"/>
      <c r="L147" s="2" t="s">
        <v>14</v>
      </c>
      <c r="M147" s="141">
        <v>32143.5</v>
      </c>
      <c r="N147" s="141">
        <v>39006</v>
      </c>
      <c r="O147" s="141">
        <v>43929</v>
      </c>
      <c r="P147" s="141">
        <v>49983.75</v>
      </c>
      <c r="Q147" s="141">
        <v>56089.125</v>
      </c>
      <c r="U147" s="1"/>
      <c r="V147" s="2" t="s">
        <v>14</v>
      </c>
      <c r="W147" s="141">
        <v>29653.800000000003</v>
      </c>
      <c r="X147" s="141">
        <v>35977.700000000004</v>
      </c>
      <c r="Y147" s="141">
        <v>40532.800000000003</v>
      </c>
      <c r="Z147" s="141">
        <v>46114.200000000004</v>
      </c>
      <c r="AA147" s="141">
        <v>51742.9</v>
      </c>
      <c r="AE147" s="1"/>
      <c r="AF147" s="2" t="s">
        <v>14</v>
      </c>
      <c r="AG147" s="141">
        <v>27300.140000000003</v>
      </c>
      <c r="AH147" s="141">
        <v>33115.29</v>
      </c>
      <c r="AI147" s="141">
        <v>37321.600000000006</v>
      </c>
      <c r="AJ147" s="141">
        <v>42456.590000000004</v>
      </c>
      <c r="AK147" s="141">
        <v>47634.090000000004</v>
      </c>
    </row>
    <row r="148" spans="1:37">
      <c r="A148" s="1"/>
      <c r="B148" s="2" t="s">
        <v>15</v>
      </c>
      <c r="C148" s="141">
        <v>43861</v>
      </c>
      <c r="D148" s="141">
        <v>53244.999999999993</v>
      </c>
      <c r="E148" s="141">
        <v>60652.149999999994</v>
      </c>
      <c r="F148" s="141">
        <v>70819.299999999988</v>
      </c>
      <c r="G148" s="141">
        <v>79062.5</v>
      </c>
      <c r="K148" s="1"/>
      <c r="L148" s="2" t="s">
        <v>15</v>
      </c>
      <c r="M148" s="141">
        <v>38912.625</v>
      </c>
      <c r="N148" s="141">
        <v>47223</v>
      </c>
      <c r="O148" s="141">
        <v>53824.5</v>
      </c>
      <c r="P148" s="141">
        <v>62832.375</v>
      </c>
      <c r="Q148" s="141">
        <v>70135.875</v>
      </c>
      <c r="U148" s="1"/>
      <c r="V148" s="2" t="s">
        <v>15</v>
      </c>
      <c r="W148" s="141">
        <v>35897.4</v>
      </c>
      <c r="X148" s="141">
        <v>43554.5</v>
      </c>
      <c r="Y148" s="141">
        <v>49661.700000000004</v>
      </c>
      <c r="Z148" s="141">
        <v>57964.500000000007</v>
      </c>
      <c r="AA148" s="141">
        <v>64696.500000000007</v>
      </c>
      <c r="AE148" s="1"/>
      <c r="AF148" s="2" t="s">
        <v>15</v>
      </c>
      <c r="AG148" s="141">
        <v>33046.620000000003</v>
      </c>
      <c r="AH148" s="141">
        <v>40088.020000000004</v>
      </c>
      <c r="AI148" s="141">
        <v>45726.590000000004</v>
      </c>
      <c r="AJ148" s="141">
        <v>53363.130000000005</v>
      </c>
      <c r="AK148" s="141">
        <v>59555.420000000006</v>
      </c>
    </row>
    <row r="149" spans="1:37">
      <c r="A149" s="1"/>
      <c r="B149" s="2" t="s">
        <v>16</v>
      </c>
      <c r="C149" s="141">
        <v>53948.799999999996</v>
      </c>
      <c r="D149" s="141">
        <v>64866.899999999994</v>
      </c>
      <c r="E149" s="141">
        <v>73915.099999999991</v>
      </c>
      <c r="F149" s="141">
        <v>87608.15</v>
      </c>
      <c r="G149" s="141">
        <v>97974.249999999985</v>
      </c>
      <c r="K149" s="1"/>
      <c r="L149" s="2" t="s">
        <v>16</v>
      </c>
      <c r="M149" s="141">
        <v>47849.625</v>
      </c>
      <c r="N149" s="141">
        <v>57516.75</v>
      </c>
      <c r="O149" s="141">
        <v>65575.125</v>
      </c>
      <c r="P149" s="141">
        <v>77706</v>
      </c>
      <c r="Q149" s="141">
        <v>86889.375</v>
      </c>
      <c r="U149" s="1"/>
      <c r="V149" s="2" t="s">
        <v>16</v>
      </c>
      <c r="W149" s="141">
        <v>44134.200000000004</v>
      </c>
      <c r="X149" s="141">
        <v>53042.000000000007</v>
      </c>
      <c r="Y149" s="141">
        <v>60492.3</v>
      </c>
      <c r="Z149" s="141">
        <v>71673.8</v>
      </c>
      <c r="AA149" s="141">
        <v>80138.3</v>
      </c>
      <c r="AE149" s="1"/>
      <c r="AF149" s="2" t="s">
        <v>16</v>
      </c>
      <c r="AG149" s="141">
        <v>40622.120000000003</v>
      </c>
      <c r="AH149" s="141">
        <v>48813.47</v>
      </c>
      <c r="AI149" s="141">
        <v>55689.19</v>
      </c>
      <c r="AJ149" s="141">
        <v>65972.25</v>
      </c>
      <c r="AK149" s="141">
        <v>73759.210000000006</v>
      </c>
    </row>
    <row r="150" spans="1:37">
      <c r="A150" s="1"/>
      <c r="B150" s="2" t="s">
        <v>17</v>
      </c>
      <c r="C150" s="141">
        <v>66174.45</v>
      </c>
      <c r="D150" s="141">
        <v>80634.549999999988</v>
      </c>
      <c r="E150" s="141">
        <v>91975.849999999991</v>
      </c>
      <c r="F150" s="141">
        <v>107606.65</v>
      </c>
      <c r="G150" s="141">
        <v>120592.45</v>
      </c>
      <c r="K150" s="1"/>
      <c r="L150" s="2" t="s">
        <v>17</v>
      </c>
      <c r="M150" s="141">
        <v>58685.625</v>
      </c>
      <c r="N150" s="141">
        <v>71489.25</v>
      </c>
      <c r="O150" s="141">
        <v>81587.25</v>
      </c>
      <c r="P150" s="141">
        <v>95433.75</v>
      </c>
      <c r="Q150" s="141">
        <v>106939.125</v>
      </c>
      <c r="U150" s="1"/>
      <c r="V150" s="2" t="s">
        <v>17</v>
      </c>
      <c r="W150" s="141">
        <v>54124.4</v>
      </c>
      <c r="X150" s="141">
        <v>65924.100000000006</v>
      </c>
      <c r="Y150" s="141">
        <v>75258.700000000012</v>
      </c>
      <c r="Z150" s="141">
        <v>88020.900000000009</v>
      </c>
      <c r="AA150" s="141">
        <v>98626.000000000015</v>
      </c>
      <c r="AE150" s="1"/>
      <c r="AF150" s="2" t="s">
        <v>17</v>
      </c>
      <c r="AG150" s="141">
        <v>49814.090000000004</v>
      </c>
      <c r="AH150" s="141">
        <v>60663.950000000004</v>
      </c>
      <c r="AI150" s="141">
        <v>69277.13</v>
      </c>
      <c r="AJ150" s="141">
        <v>81015.340000000011</v>
      </c>
      <c r="AK150" s="141">
        <v>90768.66</v>
      </c>
    </row>
    <row r="151" spans="1:37">
      <c r="A151" s="1"/>
      <c r="B151" s="2" t="s">
        <v>18</v>
      </c>
      <c r="C151" s="141">
        <v>80539.099999999991</v>
      </c>
      <c r="D151" s="141">
        <v>98183.549999999988</v>
      </c>
      <c r="E151" s="141">
        <v>113090.99999999999</v>
      </c>
      <c r="F151" s="141">
        <v>135237.69999999998</v>
      </c>
      <c r="G151" s="141">
        <v>153175.4</v>
      </c>
      <c r="K151" s="1"/>
      <c r="L151" s="2" t="s">
        <v>18</v>
      </c>
      <c r="M151" s="141">
        <v>71408.25</v>
      </c>
      <c r="N151" s="141">
        <v>87032.25</v>
      </c>
      <c r="O151" s="141">
        <v>100291.5</v>
      </c>
      <c r="P151" s="141">
        <v>119910.375</v>
      </c>
      <c r="Q151" s="141">
        <v>135801</v>
      </c>
      <c r="U151" s="1"/>
      <c r="V151" s="2" t="s">
        <v>18</v>
      </c>
      <c r="W151" s="141">
        <v>65850.400000000009</v>
      </c>
      <c r="X151" s="141">
        <v>80248.3</v>
      </c>
      <c r="Y151" s="141">
        <v>92497.900000000009</v>
      </c>
      <c r="Z151" s="141">
        <v>110579.70000000001</v>
      </c>
      <c r="AA151" s="141">
        <v>125227.3</v>
      </c>
      <c r="AE151" s="1"/>
      <c r="AF151" s="2" t="s">
        <v>18</v>
      </c>
      <c r="AG151" s="141">
        <v>60598.55</v>
      </c>
      <c r="AH151" s="141">
        <v>73837.69</v>
      </c>
      <c r="AI151" s="141">
        <v>85131.180000000008</v>
      </c>
      <c r="AJ151" s="141">
        <v>101762.40000000001</v>
      </c>
      <c r="AK151" s="141">
        <v>115234.8</v>
      </c>
    </row>
    <row r="152" spans="1:37">
      <c r="A152" s="1"/>
      <c r="B152" s="2" t="s">
        <v>19</v>
      </c>
      <c r="C152" s="141">
        <v>103140.04999999999</v>
      </c>
      <c r="D152" s="141">
        <v>125945.7</v>
      </c>
      <c r="E152" s="141">
        <v>143867.29999999999</v>
      </c>
      <c r="F152" s="141">
        <v>166691.34999999998</v>
      </c>
      <c r="G152" s="141">
        <v>194111.94999999998</v>
      </c>
      <c r="K152" s="1"/>
      <c r="L152" s="2" t="s">
        <v>19</v>
      </c>
      <c r="M152" s="141">
        <v>91422</v>
      </c>
      <c r="N152" s="141">
        <v>111616.875</v>
      </c>
      <c r="O152" s="141">
        <v>127542.375</v>
      </c>
      <c r="P152" s="141">
        <v>147757.5</v>
      </c>
      <c r="Q152" s="141">
        <v>172049.625</v>
      </c>
      <c r="U152" s="1"/>
      <c r="V152" s="2" t="s">
        <v>19</v>
      </c>
      <c r="W152" s="141">
        <v>84294.1</v>
      </c>
      <c r="X152" s="141">
        <v>102903.90000000001</v>
      </c>
      <c r="Y152" s="141">
        <v>117608.70000000001</v>
      </c>
      <c r="Z152" s="141">
        <v>136238.30000000002</v>
      </c>
      <c r="AA152" s="141">
        <v>158631</v>
      </c>
      <c r="AE152" s="1"/>
      <c r="AF152" s="2" t="s">
        <v>19</v>
      </c>
      <c r="AG152" s="141">
        <v>77557.86</v>
      </c>
      <c r="AH152" s="141">
        <v>94669.77</v>
      </c>
      <c r="AI152" s="141">
        <v>108220.65000000001</v>
      </c>
      <c r="AJ152" s="141">
        <v>125353.27</v>
      </c>
      <c r="AK152" s="141">
        <v>145948.82</v>
      </c>
    </row>
    <row r="153" spans="1:37">
      <c r="A153" s="1"/>
      <c r="B153" s="2" t="s">
        <v>20</v>
      </c>
      <c r="C153" s="141">
        <v>123903.29999999999</v>
      </c>
      <c r="D153" s="141">
        <v>151482.59999999998</v>
      </c>
      <c r="E153" s="141">
        <v>173070.4</v>
      </c>
      <c r="F153" s="141">
        <v>203788.05</v>
      </c>
      <c r="G153" s="141">
        <v>240278.69999999998</v>
      </c>
      <c r="K153" s="1"/>
      <c r="L153" s="2" t="s">
        <v>20</v>
      </c>
      <c r="M153" s="141">
        <v>109810.125</v>
      </c>
      <c r="N153" s="141">
        <v>134231.625</v>
      </c>
      <c r="O153" s="141">
        <v>153402.75</v>
      </c>
      <c r="P153" s="141">
        <v>180610.875</v>
      </c>
      <c r="Q153" s="141">
        <v>212937.75</v>
      </c>
      <c r="U153" s="1"/>
      <c r="V153" s="2" t="s">
        <v>20</v>
      </c>
      <c r="W153" s="141">
        <v>101238.50000000001</v>
      </c>
      <c r="X153" s="141">
        <v>123743.40000000001</v>
      </c>
      <c r="Y153" s="141">
        <v>141440.20000000001</v>
      </c>
      <c r="Z153" s="141">
        <v>166515.80000000002</v>
      </c>
      <c r="AA153" s="141">
        <v>196312.6</v>
      </c>
      <c r="AE153" s="1"/>
      <c r="AF153" s="2" t="s">
        <v>20</v>
      </c>
      <c r="AG153" s="141">
        <v>93139.41</v>
      </c>
      <c r="AH153" s="141">
        <v>113833.06000000001</v>
      </c>
      <c r="AI153" s="141">
        <v>130134.01000000001</v>
      </c>
      <c r="AJ153" s="141">
        <v>153196.23000000001</v>
      </c>
      <c r="AK153" s="141">
        <v>180601.01</v>
      </c>
    </row>
    <row r="154" spans="1:37">
      <c r="A154" s="1"/>
      <c r="B154" s="2" t="s">
        <v>21</v>
      </c>
      <c r="C154" s="141">
        <v>152092.09999999998</v>
      </c>
      <c r="D154" s="141">
        <v>179306.84999999998</v>
      </c>
      <c r="E154" s="141">
        <v>211833.44999999998</v>
      </c>
      <c r="F154" s="141">
        <v>260633.69999999998</v>
      </c>
      <c r="G154" s="141">
        <v>309921.55</v>
      </c>
      <c r="K154" s="1"/>
      <c r="L154" s="2" t="s">
        <v>21</v>
      </c>
      <c r="M154" s="141">
        <v>134770.5</v>
      </c>
      <c r="N154" s="141">
        <v>158866.875</v>
      </c>
      <c r="O154" s="141">
        <v>187726.5</v>
      </c>
      <c r="P154" s="141">
        <v>230953.5</v>
      </c>
      <c r="Q154" s="141">
        <v>274614.75</v>
      </c>
      <c r="U154" s="1"/>
      <c r="V154" s="2" t="s">
        <v>21</v>
      </c>
      <c r="W154" s="141">
        <v>124240.6</v>
      </c>
      <c r="X154" s="141">
        <v>146443</v>
      </c>
      <c r="Y154" s="141">
        <v>173068.5</v>
      </c>
      <c r="Z154" s="141">
        <v>212909.40000000002</v>
      </c>
      <c r="AA154" s="141">
        <v>253151.80000000002</v>
      </c>
      <c r="AE154" s="1"/>
      <c r="AF154" s="2" t="s">
        <v>21</v>
      </c>
      <c r="AG154" s="141">
        <v>114289.77</v>
      </c>
      <c r="AH154" s="141">
        <v>134703.29</v>
      </c>
      <c r="AI154" s="141">
        <v>159216.30000000002</v>
      </c>
      <c r="AJ154" s="141">
        <v>195857.74000000002</v>
      </c>
      <c r="AK154" s="141">
        <v>232868.69000000003</v>
      </c>
    </row>
    <row r="155" spans="1:37">
      <c r="A155" s="1"/>
      <c r="B155" s="1"/>
      <c r="C155" s="1"/>
      <c r="D155" s="1"/>
      <c r="E155" s="1"/>
      <c r="F155" s="1"/>
      <c r="G155" s="1"/>
      <c r="K155" s="1"/>
      <c r="L155" s="1"/>
      <c r="M155" s="1"/>
      <c r="N155" s="1"/>
      <c r="O155" s="1"/>
      <c r="P155" s="1"/>
      <c r="Q155" s="1"/>
      <c r="U155" s="1"/>
      <c r="V155" s="1"/>
      <c r="W155" s="1"/>
      <c r="X155" s="1"/>
      <c r="Y155" s="1"/>
      <c r="Z155" s="1"/>
      <c r="AA155" s="1"/>
      <c r="AE155" s="1"/>
      <c r="AF155" s="1"/>
      <c r="AG155" s="1"/>
      <c r="AH155" s="1"/>
      <c r="AI155" s="1"/>
      <c r="AJ155" s="1"/>
      <c r="AK155" s="1"/>
    </row>
    <row r="156" spans="1:37">
      <c r="A156" s="1"/>
      <c r="B156" s="1"/>
      <c r="C156" s="1"/>
      <c r="D156" s="1"/>
      <c r="E156" s="1"/>
      <c r="F156" s="1"/>
      <c r="G156" s="1"/>
      <c r="K156" s="1"/>
      <c r="L156" s="1"/>
      <c r="M156" s="1"/>
      <c r="N156" s="1"/>
      <c r="O156" s="1"/>
      <c r="P156" s="1"/>
      <c r="Q156" s="1"/>
      <c r="U156" s="1"/>
      <c r="V156" s="1"/>
      <c r="W156" s="1"/>
      <c r="X156" s="1"/>
      <c r="Y156" s="1"/>
      <c r="Z156" s="1"/>
      <c r="AA156" s="1"/>
      <c r="AE156" s="1"/>
      <c r="AF156" s="1"/>
      <c r="AG156" s="1"/>
      <c r="AH156" s="1"/>
      <c r="AI156" s="1"/>
      <c r="AJ156" s="1"/>
      <c r="AK156" s="1"/>
    </row>
    <row r="157" spans="1:37">
      <c r="K157" s="1"/>
      <c r="L157" s="1"/>
      <c r="M157" s="1"/>
      <c r="N157" s="1"/>
      <c r="O157" s="1"/>
      <c r="P157" s="1"/>
      <c r="Q157" s="1"/>
      <c r="U157" s="1"/>
      <c r="V157" s="1"/>
      <c r="W157" s="1"/>
      <c r="X157" s="1"/>
      <c r="Y157" s="1"/>
      <c r="Z157" s="1"/>
      <c r="AA157" s="1"/>
      <c r="AE157" s="1"/>
      <c r="AF157" s="1"/>
      <c r="AG157" s="1"/>
      <c r="AH157" s="1"/>
      <c r="AI157" s="1"/>
      <c r="AJ157" s="1"/>
      <c r="AK157" s="1"/>
    </row>
    <row r="158" spans="1:37">
      <c r="K158" s="1"/>
      <c r="L158" s="1"/>
      <c r="M158" s="1"/>
      <c r="N158" s="1"/>
      <c r="O158" s="1"/>
      <c r="P158" s="1"/>
      <c r="Q158" s="1"/>
      <c r="U158" s="1"/>
      <c r="V158" s="1"/>
      <c r="W158" s="1"/>
      <c r="X158" s="1"/>
      <c r="Y158" s="1"/>
      <c r="Z158" s="1"/>
      <c r="AA158" s="1"/>
      <c r="AE158" s="1"/>
      <c r="AF158" s="1"/>
      <c r="AG158" s="1"/>
      <c r="AH158" s="1"/>
      <c r="AI158" s="1"/>
      <c r="AJ158" s="1"/>
      <c r="AK158" s="1"/>
    </row>
    <row r="159" spans="1:37">
      <c r="K159" s="1"/>
      <c r="L159" s="1"/>
      <c r="M159" s="1"/>
      <c r="N159" s="1"/>
      <c r="O159" s="1"/>
      <c r="P159" s="1"/>
      <c r="Q159" s="1"/>
      <c r="U159" s="1"/>
      <c r="V159" s="1"/>
      <c r="W159" s="1"/>
      <c r="X159" s="1"/>
      <c r="Y159" s="1"/>
      <c r="Z159" s="1"/>
      <c r="AA159" s="1"/>
      <c r="AE159" s="1"/>
      <c r="AF159" s="1"/>
      <c r="AG159" s="1"/>
      <c r="AH159" s="1"/>
      <c r="AI159" s="1"/>
      <c r="AJ159" s="1"/>
      <c r="AK159" s="1"/>
    </row>
    <row r="160" spans="1:37">
      <c r="K160" s="1"/>
      <c r="L160" s="1"/>
      <c r="M160" s="1"/>
      <c r="N160" s="1"/>
      <c r="O160" s="1"/>
      <c r="P160" s="1"/>
      <c r="Q160" s="1"/>
      <c r="AE160" s="1"/>
      <c r="AF160" s="1"/>
      <c r="AG160" s="1"/>
      <c r="AH160" s="1"/>
      <c r="AI160" s="1"/>
      <c r="AJ160" s="1"/>
      <c r="AK160" s="1"/>
    </row>
    <row r="161" spans="11:37">
      <c r="K161" s="1"/>
      <c r="L161" s="1"/>
      <c r="M161" s="1"/>
      <c r="N161" s="1"/>
      <c r="O161" s="1"/>
      <c r="P161" s="1"/>
      <c r="Q161" s="1"/>
      <c r="AE161" s="1"/>
      <c r="AF161" s="1"/>
      <c r="AG161" s="1"/>
      <c r="AH161" s="1"/>
      <c r="AI161" s="1"/>
      <c r="AJ161" s="1"/>
      <c r="AK161" s="1"/>
    </row>
    <row r="162" spans="11:37">
      <c r="K162" s="1"/>
      <c r="L162" s="1"/>
      <c r="M162" s="1"/>
      <c r="N162" s="1"/>
      <c r="O162" s="1"/>
      <c r="P162" s="1"/>
      <c r="Q162" s="1"/>
      <c r="AE162" s="1"/>
      <c r="AF162" s="1"/>
      <c r="AG162" s="1"/>
      <c r="AH162" s="1"/>
      <c r="AI162" s="1"/>
      <c r="AJ162" s="1"/>
      <c r="AK162" s="1"/>
    </row>
    <row r="163" spans="11:37">
      <c r="K163" s="1"/>
      <c r="L163" s="1"/>
      <c r="M163" s="1"/>
      <c r="N163" s="1"/>
      <c r="O163" s="1"/>
      <c r="P163" s="1"/>
      <c r="Q163" s="1"/>
      <c r="AE163" s="1"/>
      <c r="AF163" s="1"/>
      <c r="AG163" s="1"/>
      <c r="AH163" s="1"/>
      <c r="AI163" s="1"/>
      <c r="AJ163" s="1"/>
      <c r="AK163" s="1"/>
    </row>
    <row r="164" spans="11:37">
      <c r="K164" s="1"/>
      <c r="L164" s="1"/>
      <c r="M164" s="1"/>
      <c r="N164" s="1"/>
      <c r="O164" s="1"/>
      <c r="P164" s="1"/>
      <c r="Q164" s="1"/>
      <c r="AE164" s="1"/>
      <c r="AF164" s="1"/>
      <c r="AG164" s="1"/>
      <c r="AH164" s="1"/>
      <c r="AI164" s="1"/>
      <c r="AJ164" s="1"/>
      <c r="AK164" s="1"/>
    </row>
    <row r="165" spans="11:37">
      <c r="AE165" s="1"/>
      <c r="AF165" s="1"/>
      <c r="AG165" s="1"/>
      <c r="AH165" s="1"/>
      <c r="AI165" s="1"/>
      <c r="AJ165" s="1"/>
      <c r="AK165" s="1"/>
    </row>
    <row r="166" spans="11:37">
      <c r="AE166" s="1"/>
      <c r="AF166" s="1"/>
      <c r="AG166" s="1"/>
      <c r="AH166" s="1"/>
      <c r="AI166" s="1"/>
      <c r="AJ166" s="1"/>
      <c r="AK166" s="1"/>
    </row>
    <row r="167" spans="11:37">
      <c r="AE167" s="1"/>
      <c r="AF167" s="1"/>
      <c r="AG167" s="1"/>
      <c r="AH167" s="1"/>
      <c r="AI167" s="1"/>
      <c r="AJ167" s="1"/>
      <c r="AK167" s="1"/>
    </row>
    <row r="168" spans="11:37">
      <c r="AE168" s="1"/>
      <c r="AF168" s="1"/>
      <c r="AG168" s="1"/>
      <c r="AH168" s="1"/>
      <c r="AI168" s="1"/>
      <c r="AJ168" s="1"/>
      <c r="AK168" s="1"/>
    </row>
    <row r="169" spans="11:37">
      <c r="AE169" s="1"/>
      <c r="AF169" s="1"/>
      <c r="AG169" s="1"/>
      <c r="AH169" s="1"/>
      <c r="AI169" s="1"/>
      <c r="AJ169" s="1"/>
      <c r="AK169" s="1"/>
    </row>
    <row r="170" spans="11:37">
      <c r="AE170" s="1"/>
      <c r="AF170" s="1"/>
      <c r="AG170" s="1"/>
      <c r="AH170" s="1"/>
      <c r="AI170" s="1"/>
      <c r="AJ170" s="1"/>
      <c r="AK170" s="1"/>
    </row>
  </sheetData>
  <mergeCells count="50">
    <mergeCell ref="AG64:AH64"/>
    <mergeCell ref="AI64:AK64"/>
    <mergeCell ref="AG80:AH80"/>
    <mergeCell ref="AI80:AK80"/>
    <mergeCell ref="AG2:AH2"/>
    <mergeCell ref="AI2:AK2"/>
    <mergeCell ref="AG19:AH19"/>
    <mergeCell ref="AI19:AK19"/>
    <mergeCell ref="AG34:AH34"/>
    <mergeCell ref="AI34:AK34"/>
    <mergeCell ref="AG49:AH49"/>
    <mergeCell ref="AI49:AK49"/>
    <mergeCell ref="Y49:AA49"/>
    <mergeCell ref="W64:X64"/>
    <mergeCell ref="Y64:AA64"/>
    <mergeCell ref="W80:X80"/>
    <mergeCell ref="Y80:AA80"/>
    <mergeCell ref="W49:X49"/>
    <mergeCell ref="Y2:AA2"/>
    <mergeCell ref="W19:X19"/>
    <mergeCell ref="Y19:AA19"/>
    <mergeCell ref="W34:X34"/>
    <mergeCell ref="Y34:AA34"/>
    <mergeCell ref="W2:X2"/>
    <mergeCell ref="M2:N2"/>
    <mergeCell ref="O2:Q2"/>
    <mergeCell ref="M19:N19"/>
    <mergeCell ref="O19:Q19"/>
    <mergeCell ref="M34:N34"/>
    <mergeCell ref="O34:Q34"/>
    <mergeCell ref="M49:N49"/>
    <mergeCell ref="O49:Q49"/>
    <mergeCell ref="M64:N64"/>
    <mergeCell ref="M80:N80"/>
    <mergeCell ref="O80:Q80"/>
    <mergeCell ref="M79:N79"/>
    <mergeCell ref="O79:Q79"/>
    <mergeCell ref="O64:Q64"/>
    <mergeCell ref="C80:D80"/>
    <mergeCell ref="E80:G80"/>
    <mergeCell ref="C2:D2"/>
    <mergeCell ref="E2:G2"/>
    <mergeCell ref="C19:D19"/>
    <mergeCell ref="E19:G19"/>
    <mergeCell ref="C34:D34"/>
    <mergeCell ref="E34:G34"/>
    <mergeCell ref="C49:D49"/>
    <mergeCell ref="E49:G49"/>
    <mergeCell ref="C64:D64"/>
    <mergeCell ref="E64:G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DG156"/>
  <sheetViews>
    <sheetView topLeftCell="A5" workbookViewId="0">
      <selection activeCell="N87" sqref="N87"/>
    </sheetView>
  </sheetViews>
  <sheetFormatPr defaultColWidth="9.21875" defaultRowHeight="13.8"/>
  <cols>
    <col min="1" max="1" width="2.44140625" style="35" customWidth="1"/>
    <col min="2" max="2" width="18.77734375" style="35" customWidth="1"/>
    <col min="3" max="4" width="8.77734375" style="35" customWidth="1"/>
    <col min="5" max="10" width="9.5546875" style="35" bestFit="1" customWidth="1"/>
    <col min="11" max="11" width="18.5546875" style="35" customWidth="1"/>
    <col min="12" max="19" width="9.5546875" style="35" bestFit="1" customWidth="1"/>
    <col min="20" max="20" width="10.5546875" style="35" bestFit="1" customWidth="1"/>
    <col min="21" max="21" width="19" style="35" customWidth="1"/>
    <col min="22" max="22" width="3" style="35" customWidth="1"/>
    <col min="23" max="23" width="9.21875" style="35"/>
    <col min="24" max="26" width="7" style="35" customWidth="1"/>
    <col min="27" max="40" width="8" style="35" customWidth="1"/>
    <col min="41" max="47" width="6" style="101" customWidth="1"/>
    <col min="48" max="57" width="6" style="35" customWidth="1"/>
    <col min="58" max="58" width="9.21875" style="35"/>
    <col min="59" max="59" width="11.44140625" style="35" customWidth="1"/>
    <col min="60" max="75" width="4.5546875" style="35" customWidth="1"/>
    <col min="76" max="76" width="9.21875" style="35"/>
    <col min="77" max="84" width="6.77734375" style="35" bestFit="1" customWidth="1"/>
    <col min="85" max="93" width="7.77734375" style="35" bestFit="1" customWidth="1"/>
    <col min="94" max="94" width="9.21875" style="35"/>
    <col min="95" max="95" width="7.44140625" style="35" bestFit="1" customWidth="1"/>
    <col min="96" max="111" width="5" style="35" bestFit="1" customWidth="1"/>
    <col min="112" max="16384" width="9.21875" style="35"/>
  </cols>
  <sheetData>
    <row r="1" spans="2:76">
      <c r="B1" s="100" t="s">
        <v>316</v>
      </c>
      <c r="I1" s="192" t="s">
        <v>317</v>
      </c>
      <c r="J1" s="192"/>
      <c r="K1" s="192"/>
      <c r="L1" s="192"/>
      <c r="M1" s="192"/>
      <c r="N1" s="192"/>
      <c r="O1" s="192"/>
      <c r="P1" s="192"/>
      <c r="Q1" s="192"/>
    </row>
    <row r="2" spans="2:76">
      <c r="B2" s="100" t="s">
        <v>318</v>
      </c>
      <c r="I2" s="192"/>
      <c r="J2" s="192"/>
      <c r="K2" s="192"/>
      <c r="L2" s="192"/>
      <c r="M2" s="192"/>
      <c r="N2" s="192"/>
      <c r="O2" s="192"/>
      <c r="P2" s="192"/>
      <c r="Q2" s="192"/>
      <c r="AO2" s="35"/>
      <c r="AP2" s="97"/>
      <c r="BG2" s="35" t="s">
        <v>319</v>
      </c>
      <c r="BH2" s="97">
        <v>0.1</v>
      </c>
    </row>
    <row r="3" spans="2:76">
      <c r="B3" s="100" t="s">
        <v>320</v>
      </c>
      <c r="AO3" s="35"/>
      <c r="AP3" s="97"/>
      <c r="BG3" s="35" t="s">
        <v>321</v>
      </c>
      <c r="BH3" s="97">
        <v>0.5</v>
      </c>
    </row>
    <row r="4" spans="2:76">
      <c r="B4" s="35" t="s">
        <v>322</v>
      </c>
      <c r="K4" s="97"/>
      <c r="T4" s="193"/>
      <c r="U4" s="193"/>
    </row>
    <row r="5" spans="2:76">
      <c r="T5" s="193"/>
      <c r="U5" s="193"/>
    </row>
    <row r="6" spans="2:76">
      <c r="B6" s="75" t="s">
        <v>186</v>
      </c>
      <c r="T6" s="194"/>
      <c r="U6" s="194"/>
    </row>
    <row r="7" spans="2:76" ht="14.4">
      <c r="C7" s="98" t="s">
        <v>202</v>
      </c>
      <c r="D7" s="67" t="s">
        <v>173</v>
      </c>
      <c r="E7" s="171" t="s">
        <v>174</v>
      </c>
      <c r="F7" s="172"/>
      <c r="G7" s="173" t="s">
        <v>136</v>
      </c>
      <c r="H7" s="174"/>
      <c r="I7" s="174"/>
      <c r="J7" s="176" t="s">
        <v>323</v>
      </c>
      <c r="K7" s="177"/>
      <c r="L7" s="1"/>
      <c r="M7" s="1"/>
      <c r="N7" s="1"/>
      <c r="O7" s="1"/>
      <c r="P7" s="1"/>
      <c r="Q7" s="1"/>
      <c r="R7" s="1"/>
      <c r="S7" s="1"/>
      <c r="T7" s="1"/>
      <c r="U7" s="1"/>
    </row>
    <row r="8" spans="2:76" ht="41.4">
      <c r="B8" s="102" t="s">
        <v>324</v>
      </c>
      <c r="C8" s="103">
        <v>100000</v>
      </c>
      <c r="D8" s="103">
        <v>200000</v>
      </c>
      <c r="E8" s="103" t="s">
        <v>325</v>
      </c>
      <c r="F8" s="103" t="s">
        <v>326</v>
      </c>
      <c r="G8" s="103" t="s">
        <v>327</v>
      </c>
      <c r="H8" s="103" t="s">
        <v>328</v>
      </c>
      <c r="I8" s="103" t="s">
        <v>329</v>
      </c>
      <c r="J8" s="103" t="s">
        <v>330</v>
      </c>
      <c r="K8" s="103" t="s">
        <v>331</v>
      </c>
      <c r="L8" s="1"/>
      <c r="M8" s="1"/>
      <c r="N8" s="1">
        <f>VLOOKUP('CARE SHEET'!S3,DROPDOWN!O15:S27,4,0)</f>
        <v>3</v>
      </c>
      <c r="O8" s="1">
        <f>VLOOKUP('CARE SHEET'!S3,DROPDOWN!O15:S27,5,0)</f>
        <v>2</v>
      </c>
      <c r="P8" s="1"/>
      <c r="Q8" s="1"/>
      <c r="R8" s="1"/>
      <c r="S8" s="1"/>
      <c r="T8" s="1"/>
      <c r="U8" s="1"/>
    </row>
    <row r="9" spans="2:76" ht="14.4">
      <c r="B9" s="2" t="s">
        <v>10</v>
      </c>
      <c r="C9" s="103"/>
      <c r="D9" s="103"/>
      <c r="E9" s="68">
        <v>960.1722223495384</v>
      </c>
      <c r="F9" s="68">
        <v>1062.85627368005</v>
      </c>
      <c r="G9" s="68">
        <v>1172.9867466450044</v>
      </c>
      <c r="H9" s="68">
        <v>1326.2856832287434</v>
      </c>
      <c r="I9" s="68">
        <v>1436.1535638878963</v>
      </c>
      <c r="J9" s="68">
        <v>1585.2931222076932</v>
      </c>
      <c r="K9" s="68">
        <v>1722.8711505757694</v>
      </c>
      <c r="L9" s="1"/>
      <c r="M9" s="1"/>
      <c r="N9" s="1"/>
      <c r="O9" s="1"/>
      <c r="P9" s="1" t="s">
        <v>81</v>
      </c>
      <c r="Q9"/>
      <c r="R9" s="1"/>
      <c r="S9" s="1"/>
      <c r="T9" s="1"/>
      <c r="U9" s="1"/>
    </row>
    <row r="10" spans="2:76" ht="14.4">
      <c r="B10" s="2" t="s">
        <v>11</v>
      </c>
      <c r="C10" s="104">
        <v>0</v>
      </c>
      <c r="D10" s="104">
        <v>0</v>
      </c>
      <c r="E10" s="68">
        <v>960.1722223495384</v>
      </c>
      <c r="F10" s="68">
        <v>1062.85627368005</v>
      </c>
      <c r="G10" s="68">
        <v>1172.9867466450044</v>
      </c>
      <c r="H10" s="68">
        <v>1326.2856832287434</v>
      </c>
      <c r="I10" s="68">
        <v>1436.1535638878963</v>
      </c>
      <c r="J10" s="68">
        <v>1585.2931222076932</v>
      </c>
      <c r="K10" s="68">
        <v>1722.8711505757694</v>
      </c>
      <c r="L10" s="1"/>
      <c r="M10" t="s">
        <v>103</v>
      </c>
      <c r="N10" s="35">
        <f>IF('CARE SHEET'!R4="1+0",'TRAVEL PLUS'!N8,'TRAVEL PLUS'!O8)</f>
        <v>3</v>
      </c>
      <c r="O10" s="1"/>
      <c r="P10" s="9" t="s">
        <v>82</v>
      </c>
      <c r="Q10" s="109" t="s">
        <v>351</v>
      </c>
      <c r="R10" s="1"/>
      <c r="S10" s="1"/>
      <c r="T10" s="1"/>
      <c r="U10" s="1"/>
      <c r="BG10" s="105">
        <v>0.33006259218362821</v>
      </c>
      <c r="BH10" s="105">
        <v>0.32766586133915609</v>
      </c>
      <c r="BI10" s="105">
        <v>0.32553041272634142</v>
      </c>
      <c r="BJ10" s="105">
        <v>0.31185516980174366</v>
      </c>
      <c r="BK10" s="105">
        <v>0.30041971742735984</v>
      </c>
      <c r="BL10" s="105">
        <v>0.30053384434997665</v>
      </c>
      <c r="BM10" s="105">
        <v>0.30064104994594043</v>
      </c>
      <c r="BN10" s="105">
        <v>0.30074194530989518</v>
      </c>
      <c r="BO10" s="105">
        <v>0.30083707165384416</v>
      </c>
      <c r="BP10" s="105">
        <v>0.29935042646184645</v>
      </c>
      <c r="BQ10" s="105">
        <v>0.29791776748660964</v>
      </c>
      <c r="BR10" s="105">
        <v>0.29653620647709039</v>
      </c>
      <c r="BS10" s="105">
        <v>0.29520305760022303</v>
      </c>
      <c r="BT10" s="105">
        <v>0.29391582001362593</v>
      </c>
      <c r="BU10" s="105">
        <v>0.29267216220832598</v>
      </c>
      <c r="BV10" s="105">
        <v>0.25201304585321394</v>
      </c>
      <c r="BW10" s="105">
        <v>0.25814906968758078</v>
      </c>
      <c r="BX10" s="106"/>
    </row>
    <row r="11" spans="2:76" ht="14.4">
      <c r="B11" s="2" t="s">
        <v>12</v>
      </c>
      <c r="C11" s="104">
        <v>0</v>
      </c>
      <c r="D11" s="104">
        <v>0</v>
      </c>
      <c r="E11" s="68">
        <v>1014.6800652986329</v>
      </c>
      <c r="F11" s="68">
        <v>1131.2239693949041</v>
      </c>
      <c r="G11" s="68">
        <v>1249.6853644140438</v>
      </c>
      <c r="H11" s="68">
        <v>1420.3127301203335</v>
      </c>
      <c r="I11" s="68">
        <v>1541.7442369059788</v>
      </c>
      <c r="J11" s="68">
        <v>1705.8868394037775</v>
      </c>
      <c r="K11" s="68">
        <v>1862.5094453253594</v>
      </c>
      <c r="L11" s="1"/>
      <c r="M11" t="s">
        <v>104</v>
      </c>
      <c r="N11" s="1">
        <f>VLOOKUP('CARE SHEET'!T3,DROPDOWN!B2:E19,4,0)</f>
        <v>10</v>
      </c>
      <c r="O11" s="1"/>
      <c r="P11" s="9" t="s">
        <v>83</v>
      </c>
      <c r="Q11" s="109" t="s">
        <v>352</v>
      </c>
      <c r="R11" s="1"/>
      <c r="S11" s="1"/>
      <c r="T11" s="1"/>
      <c r="U11" s="1"/>
      <c r="BG11" s="105">
        <v>0.25623109813949546</v>
      </c>
      <c r="BH11" s="105">
        <v>0.25563435360700959</v>
      </c>
      <c r="BI11" s="105">
        <v>0.2551014482765519</v>
      </c>
      <c r="BJ11" s="105">
        <v>0.24102058359233447</v>
      </c>
      <c r="BK11" s="105">
        <v>0.22955110428443035</v>
      </c>
      <c r="BL11" s="105">
        <v>0.2305229946745414</v>
      </c>
      <c r="BM11" s="105">
        <v>0.2314402633109576</v>
      </c>
      <c r="BN11" s="105">
        <v>0.23230738907507448</v>
      </c>
      <c r="BO11" s="105">
        <v>0.23312837419663218</v>
      </c>
      <c r="BP11" s="105">
        <v>0.23198563740755346</v>
      </c>
      <c r="BQ11" s="105">
        <v>0.2308852553613687</v>
      </c>
      <c r="BR11" s="105">
        <v>0.22982491612953568</v>
      </c>
      <c r="BS11" s="105">
        <v>0.22880247303849274</v>
      </c>
      <c r="BT11" s="105">
        <v>0.22781593016349791</v>
      </c>
      <c r="BU11" s="105">
        <v>0.22686342932413411</v>
      </c>
      <c r="BV11" s="105">
        <v>0.18368931573596337</v>
      </c>
      <c r="BW11" s="105">
        <v>0.19107823635278498</v>
      </c>
      <c r="BX11" s="106"/>
    </row>
    <row r="12" spans="2:76" ht="14.4">
      <c r="B12" s="2" t="s">
        <v>13</v>
      </c>
      <c r="C12" s="104">
        <v>0</v>
      </c>
      <c r="D12" s="104">
        <v>0</v>
      </c>
      <c r="E12" s="68">
        <v>1050.2901477315554</v>
      </c>
      <c r="F12" s="68">
        <v>1172.7057153715718</v>
      </c>
      <c r="G12" s="68">
        <v>1296.7265569179965</v>
      </c>
      <c r="H12" s="68">
        <v>1476.6942403758392</v>
      </c>
      <c r="I12" s="68">
        <v>1604.8162678698643</v>
      </c>
      <c r="J12" s="68">
        <v>1777.9028815022664</v>
      </c>
      <c r="K12" s="68">
        <v>1944.0973972738261</v>
      </c>
      <c r="L12" s="1"/>
      <c r="M12" t="s">
        <v>105</v>
      </c>
      <c r="N12" s="1" t="str">
        <f>VLOOKUP('CARE SHEET'!R4,'TRAVEL PLUS'!P10:Q19,2,0)</f>
        <v>B8:K20</v>
      </c>
      <c r="O12" s="1"/>
      <c r="P12" s="9" t="s">
        <v>84</v>
      </c>
      <c r="Q12" s="109" t="s">
        <v>353</v>
      </c>
      <c r="R12" s="1"/>
      <c r="S12" s="1"/>
      <c r="T12" s="1"/>
      <c r="U12" s="1"/>
      <c r="BG12" s="105">
        <v>0.24396672683585302</v>
      </c>
      <c r="BH12" s="105">
        <v>0.24329813863634286</v>
      </c>
      <c r="BI12" s="105">
        <v>0.24270244561821427</v>
      </c>
      <c r="BJ12" s="105">
        <v>0.22965738837230709</v>
      </c>
      <c r="BK12" s="105">
        <v>0.2190115587973904</v>
      </c>
      <c r="BL12" s="105">
        <v>0.21991222795176874</v>
      </c>
      <c r="BM12" s="105">
        <v>0.22076118084887833</v>
      </c>
      <c r="BN12" s="105">
        <v>0.22156274748198795</v>
      </c>
      <c r="BO12" s="105">
        <v>0.222320787591372</v>
      </c>
      <c r="BP12" s="105">
        <v>0.22118590722877546</v>
      </c>
      <c r="BQ12" s="105">
        <v>0.22009397378672615</v>
      </c>
      <c r="BR12" s="105">
        <v>0.21904259469564719</v>
      </c>
      <c r="BS12" s="105">
        <v>0.21802955186569561</v>
      </c>
      <c r="BT12" s="105">
        <v>0.21705278606647854</v>
      </c>
      <c r="BU12" s="105">
        <v>0.21611038295533716</v>
      </c>
      <c r="BV12" s="105">
        <v>0.17725648749533726</v>
      </c>
      <c r="BW12" s="105">
        <v>0.18444369163332597</v>
      </c>
      <c r="BX12" s="106"/>
    </row>
    <row r="13" spans="2:76" ht="14.4">
      <c r="B13" s="2" t="s">
        <v>14</v>
      </c>
      <c r="C13" s="104">
        <v>0</v>
      </c>
      <c r="D13" s="104">
        <v>0</v>
      </c>
      <c r="E13" s="68">
        <v>1159.7609295364146</v>
      </c>
      <c r="F13" s="68">
        <v>1296.1675707380894</v>
      </c>
      <c r="G13" s="68">
        <v>1432.1386387226921</v>
      </c>
      <c r="H13" s="68">
        <v>1636.5078785359826</v>
      </c>
      <c r="I13" s="68">
        <v>1780.939607191742</v>
      </c>
      <c r="J13" s="68">
        <v>1976.3605349193122</v>
      </c>
      <c r="K13" s="68">
        <v>2169.8833887997266</v>
      </c>
      <c r="L13" s="1"/>
      <c r="M13" s="1"/>
      <c r="N13" s="1"/>
      <c r="O13" s="1"/>
      <c r="P13" s="9" t="s">
        <v>85</v>
      </c>
      <c r="Q13" s="109" t="s">
        <v>354</v>
      </c>
      <c r="R13" s="1"/>
      <c r="S13" s="1"/>
      <c r="T13" s="1"/>
      <c r="U13" s="1"/>
      <c r="BG13" s="105">
        <v>0.21897777945548955</v>
      </c>
      <c r="BH13" s="105">
        <v>0.21792590790092078</v>
      </c>
      <c r="BI13" s="105">
        <v>0.21699326317932086</v>
      </c>
      <c r="BJ13" s="105">
        <v>0.2056010613572769</v>
      </c>
      <c r="BK13" s="105">
        <v>0.19627491335740077</v>
      </c>
      <c r="BL13" s="105">
        <v>0.19701826446131498</v>
      </c>
      <c r="BM13" s="105">
        <v>0.19771720761975714</v>
      </c>
      <c r="BN13" s="105">
        <v>0.19837560682438743</v>
      </c>
      <c r="BO13" s="105">
        <v>0.1989968904211413</v>
      </c>
      <c r="BP13" s="105">
        <v>0.19787882731005091</v>
      </c>
      <c r="BQ13" s="105">
        <v>0.19680468108625157</v>
      </c>
      <c r="BR13" s="105">
        <v>0.19577191404379202</v>
      </c>
      <c r="BS13" s="105">
        <v>0.19477818030127286</v>
      </c>
      <c r="BT13" s="105">
        <v>0.19382130801304756</v>
      </c>
      <c r="BU13" s="105">
        <v>0.19289928352394439</v>
      </c>
      <c r="BV13" s="105">
        <v>0.16318341131222294</v>
      </c>
      <c r="BW13" s="105">
        <v>0.17035416980455809</v>
      </c>
      <c r="BX13" s="106"/>
    </row>
    <row r="14" spans="2:76" ht="14.4">
      <c r="B14" s="2" t="s">
        <v>15</v>
      </c>
      <c r="C14" s="104">
        <v>0</v>
      </c>
      <c r="D14" s="104">
        <v>0</v>
      </c>
      <c r="E14" s="68">
        <v>1313.0691481980305</v>
      </c>
      <c r="F14" s="68">
        <v>1474.5482431297439</v>
      </c>
      <c r="G14" s="68">
        <v>1631.4184039304182</v>
      </c>
      <c r="H14" s="68">
        <v>1877.3863666915368</v>
      </c>
      <c r="I14" s="68">
        <v>2049.8021031880221</v>
      </c>
      <c r="J14" s="68">
        <v>2282.1103250036995</v>
      </c>
      <c r="K14" s="68">
        <v>2518.2660651351061</v>
      </c>
      <c r="L14" s="1"/>
      <c r="M14" s="1" t="s">
        <v>361</v>
      </c>
      <c r="N14" s="1">
        <f ca="1">INDEX(INDIRECT(N12),N10,N11)</f>
        <v>1722.8711505757694</v>
      </c>
      <c r="O14" s="1"/>
      <c r="P14" s="9" t="s">
        <v>86</v>
      </c>
      <c r="Q14" s="109" t="s">
        <v>355</v>
      </c>
      <c r="R14" s="1"/>
      <c r="S14" s="1"/>
      <c r="T14" s="1"/>
      <c r="U14" s="1"/>
      <c r="BG14" s="105">
        <v>0.17003304098674224</v>
      </c>
      <c r="BH14" s="105">
        <v>0.16965156737232012</v>
      </c>
      <c r="BI14" s="105">
        <v>0.16931330718404849</v>
      </c>
      <c r="BJ14" s="105">
        <v>0.16153572031103419</v>
      </c>
      <c r="BK14" s="105">
        <v>0.1550962705177657</v>
      </c>
      <c r="BL14" s="105">
        <v>0.15488021203604674</v>
      </c>
      <c r="BM14" s="105">
        <v>0.15467983874844826</v>
      </c>
      <c r="BN14" s="105">
        <v>0.15449350243615009</v>
      </c>
      <c r="BO14" s="105">
        <v>0.15431977799435717</v>
      </c>
      <c r="BP14" s="105">
        <v>0.15358195358301263</v>
      </c>
      <c r="BQ14" s="105">
        <v>0.15287275798605388</v>
      </c>
      <c r="BR14" s="105">
        <v>0.15219055664681477</v>
      </c>
      <c r="BS14" s="105">
        <v>0.15153383711763158</v>
      </c>
      <c r="BT14" s="105">
        <v>0.15090119786625669</v>
      </c>
      <c r="BU14" s="105">
        <v>0.15029133829142702</v>
      </c>
      <c r="BV14" s="105">
        <v>0.13761590340867713</v>
      </c>
      <c r="BW14" s="105">
        <v>0.14378309815666784</v>
      </c>
      <c r="BX14" s="106"/>
    </row>
    <row r="15" spans="2:76" ht="14.4">
      <c r="B15" s="2" t="s">
        <v>16</v>
      </c>
      <c r="C15" s="104">
        <v>0</v>
      </c>
      <c r="D15" s="104">
        <v>0</v>
      </c>
      <c r="E15" s="68">
        <v>1450.4981746700014</v>
      </c>
      <c r="F15" s="68">
        <v>1633.6535080081703</v>
      </c>
      <c r="G15" s="68">
        <v>1810.6942340721494</v>
      </c>
      <c r="H15" s="68">
        <v>2091.684831401451</v>
      </c>
      <c r="I15" s="68">
        <v>2288.8745133967454</v>
      </c>
      <c r="J15" s="68">
        <v>2554.4148131456986</v>
      </c>
      <c r="K15" s="68">
        <v>2824.9070593524184</v>
      </c>
      <c r="L15" s="1"/>
      <c r="M15" s="1"/>
      <c r="N15" s="1"/>
      <c r="O15" s="1"/>
      <c r="P15" s="9" t="s">
        <v>87</v>
      </c>
      <c r="Q15" s="109" t="s">
        <v>356</v>
      </c>
      <c r="R15" s="1"/>
      <c r="S15" s="1"/>
      <c r="T15" s="1"/>
      <c r="U15" s="1"/>
      <c r="BG15" s="105">
        <v>0.16054051538242745</v>
      </c>
      <c r="BH15" s="105">
        <v>0.16013794389383762</v>
      </c>
      <c r="BI15" s="105">
        <v>0.15978219465493845</v>
      </c>
      <c r="BJ15" s="105">
        <v>0.1524792099767826</v>
      </c>
      <c r="BK15" s="105">
        <v>0.14644044832730341</v>
      </c>
      <c r="BL15" s="105">
        <v>0.14641843061327162</v>
      </c>
      <c r="BM15" s="105">
        <v>0.14639800420565083</v>
      </c>
      <c r="BN15" s="105">
        <v>0.14637900260626027</v>
      </c>
      <c r="BO15" s="105">
        <v>0.1463612817616983</v>
      </c>
      <c r="BP15" s="105">
        <v>0.14563703695638569</v>
      </c>
      <c r="BQ15" s="105">
        <v>0.14494166839916237</v>
      </c>
      <c r="BR15" s="105">
        <v>0.14427348286482183</v>
      </c>
      <c r="BS15" s="105">
        <v>0.14363091697180205</v>
      </c>
      <c r="BT15" s="105">
        <v>0.14301252497010655</v>
      </c>
      <c r="BU15" s="105">
        <v>0.1424169678820652</v>
      </c>
      <c r="BV15" s="105">
        <v>0.13133171823256012</v>
      </c>
      <c r="BW15" s="105">
        <v>0.13718754184788895</v>
      </c>
      <c r="BX15" s="106"/>
    </row>
    <row r="16" spans="2:76" ht="14.4">
      <c r="B16" s="2" t="s">
        <v>17</v>
      </c>
      <c r="C16" s="104">
        <v>0</v>
      </c>
      <c r="D16" s="104">
        <v>0</v>
      </c>
      <c r="E16" s="68">
        <v>1599.3241604031459</v>
      </c>
      <c r="F16" s="68">
        <v>1806.3213999591853</v>
      </c>
      <c r="G16" s="68">
        <v>1999.8784350491478</v>
      </c>
      <c r="H16" s="68">
        <v>2321.2112715666781</v>
      </c>
      <c r="I16" s="68">
        <v>2542.8005047011638</v>
      </c>
      <c r="J16" s="68">
        <v>2839.6481012913359</v>
      </c>
      <c r="K16" s="68">
        <v>3151.7146975147652</v>
      </c>
      <c r="L16" s="1"/>
      <c r="M16" s="1"/>
      <c r="N16" s="1"/>
      <c r="O16" s="1"/>
      <c r="P16" s="9" t="s">
        <v>88</v>
      </c>
      <c r="Q16" s="109" t="s">
        <v>357</v>
      </c>
      <c r="R16" s="1"/>
      <c r="S16" s="1"/>
      <c r="T16" s="1"/>
      <c r="U16" s="1"/>
      <c r="BG16" s="105">
        <v>0.13793123302025831</v>
      </c>
      <c r="BH16" s="105">
        <v>0.1374971610679569</v>
      </c>
      <c r="BI16" s="105">
        <v>0.13711510607390859</v>
      </c>
      <c r="BJ16" s="105">
        <v>0.13073671910350854</v>
      </c>
      <c r="BK16" s="105">
        <v>0.12546514771724443</v>
      </c>
      <c r="BL16" s="105">
        <v>0.1256489283418816</v>
      </c>
      <c r="BM16" s="105">
        <v>0.12581952281833161</v>
      </c>
      <c r="BN16" s="105">
        <v>0.12597830114548481</v>
      </c>
      <c r="BO16" s="105">
        <v>0.1261264498901925</v>
      </c>
      <c r="BP16" s="105">
        <v>0.12544082681737617</v>
      </c>
      <c r="BQ16" s="105">
        <v>0.12478342360698159</v>
      </c>
      <c r="BR16" s="105">
        <v>0.12415253312079205</v>
      </c>
      <c r="BS16" s="105">
        <v>0.12354658319483591</v>
      </c>
      <c r="BT16" s="105">
        <v>0.12296412355833816</v>
      </c>
      <c r="BU16" s="105">
        <v>0.12240381424504758</v>
      </c>
      <c r="BV16" s="105">
        <v>0.11364856105336503</v>
      </c>
      <c r="BW16" s="105">
        <v>0.11880735872502669</v>
      </c>
      <c r="BX16" s="106"/>
    </row>
    <row r="17" spans="2:93" ht="14.4">
      <c r="B17" s="2" t="s">
        <v>18</v>
      </c>
      <c r="C17" s="104">
        <v>0</v>
      </c>
      <c r="D17" s="104">
        <v>0</v>
      </c>
      <c r="E17" s="68">
        <v>1940.6566779530986</v>
      </c>
      <c r="F17" s="68">
        <v>2201.9389935981735</v>
      </c>
      <c r="G17" s="68">
        <v>2434.1747931692107</v>
      </c>
      <c r="H17" s="68">
        <v>2847.247341756145</v>
      </c>
      <c r="I17" s="68">
        <v>3140.4768929963025</v>
      </c>
      <c r="J17" s="68">
        <v>3494.5703912562703</v>
      </c>
      <c r="K17" s="68">
        <v>3900.9740449519181</v>
      </c>
      <c r="L17" s="1"/>
      <c r="M17" s="1"/>
      <c r="N17" s="1"/>
      <c r="O17" s="1"/>
      <c r="P17" s="9" t="s">
        <v>89</v>
      </c>
      <c r="Q17" s="109" t="s">
        <v>358</v>
      </c>
      <c r="R17" s="1"/>
      <c r="S17" s="1"/>
      <c r="T17" s="1"/>
      <c r="U17" s="1"/>
      <c r="BG17" s="105">
        <v>0.11250264137237451</v>
      </c>
      <c r="BH17" s="105">
        <v>0.11216571038095983</v>
      </c>
      <c r="BI17" s="105">
        <v>0.11187042838309116</v>
      </c>
      <c r="BJ17" s="105">
        <v>0.10661142064354644</v>
      </c>
      <c r="BK17" s="105">
        <v>0.10226272136713724</v>
      </c>
      <c r="BL17" s="105">
        <v>0.10267139591421488</v>
      </c>
      <c r="BM17" s="105">
        <v>0.10305101092405301</v>
      </c>
      <c r="BN17" s="105">
        <v>0.10340455947826702</v>
      </c>
      <c r="BO17" s="105">
        <v>0.10373463725936724</v>
      </c>
      <c r="BP17" s="105">
        <v>0.10366545259375937</v>
      </c>
      <c r="BQ17" s="105">
        <v>0.10359865182636933</v>
      </c>
      <c r="BR17" s="105">
        <v>0.103534113830938</v>
      </c>
      <c r="BS17" s="105">
        <v>0.10347172555046623</v>
      </c>
      <c r="BT17" s="105">
        <v>0.10341138133626931</v>
      </c>
      <c r="BU17" s="105">
        <v>0.1033529823509492</v>
      </c>
      <c r="BV17" s="105">
        <v>9.4055723846033917E-2</v>
      </c>
      <c r="BW17" s="105">
        <v>9.8577893138814765E-2</v>
      </c>
      <c r="BX17" s="106"/>
    </row>
    <row r="18" spans="2:93" ht="14.4">
      <c r="B18" s="2" t="s">
        <v>19</v>
      </c>
      <c r="C18" s="104">
        <v>0</v>
      </c>
      <c r="D18" s="104">
        <v>0</v>
      </c>
      <c r="E18" s="68">
        <v>2414.9857560388941</v>
      </c>
      <c r="F18" s="68">
        <v>2751.2266829859409</v>
      </c>
      <c r="G18" s="68">
        <v>3035.2907961673609</v>
      </c>
      <c r="H18" s="68">
        <v>3574.9118878272757</v>
      </c>
      <c r="I18" s="68">
        <v>3950.5842124554679</v>
      </c>
      <c r="J18" s="68">
        <v>4395.7841490324508</v>
      </c>
      <c r="K18" s="68">
        <v>4931.4180789663333</v>
      </c>
      <c r="L18" s="1"/>
      <c r="M18" s="1"/>
      <c r="N18" s="1"/>
      <c r="O18" s="1"/>
      <c r="P18" s="9" t="s">
        <v>90</v>
      </c>
      <c r="Q18" s="109" t="s">
        <v>359</v>
      </c>
      <c r="R18" s="1"/>
      <c r="S18" s="1"/>
      <c r="T18" s="1"/>
      <c r="U18" s="1"/>
      <c r="BG18" s="105">
        <v>9.5427901895715678E-2</v>
      </c>
      <c r="BH18" s="105">
        <v>9.5186239874890041E-2</v>
      </c>
      <c r="BI18" s="105">
        <v>9.4975119050672407E-2</v>
      </c>
      <c r="BJ18" s="105">
        <v>9.0422788834273155E-2</v>
      </c>
      <c r="BK18" s="105">
        <v>8.6657850286679869E-2</v>
      </c>
      <c r="BL18" s="105">
        <v>8.7182870504787666E-2</v>
      </c>
      <c r="BM18" s="105">
        <v>8.7670666182624118E-2</v>
      </c>
      <c r="BN18" s="105">
        <v>8.8125060674463629E-2</v>
      </c>
      <c r="BO18" s="105">
        <v>8.8549371068926561E-2</v>
      </c>
      <c r="BP18" s="105">
        <v>8.8088239727480866E-2</v>
      </c>
      <c r="BQ18" s="105">
        <v>8.7647253398214151E-2</v>
      </c>
      <c r="BR18" s="105">
        <v>8.7225120215033397E-2</v>
      </c>
      <c r="BS18" s="105">
        <v>8.6820656460346868E-2</v>
      </c>
      <c r="BT18" s="105">
        <v>8.6432775480002902E-2</v>
      </c>
      <c r="BU18" s="105">
        <v>8.6060477934282828E-2</v>
      </c>
      <c r="BV18" s="105">
        <v>8.0524176687162954E-2</v>
      </c>
      <c r="BW18" s="105">
        <v>8.4601303970129535E-2</v>
      </c>
      <c r="BX18" s="106"/>
    </row>
    <row r="19" spans="2:93" ht="14.4">
      <c r="B19" s="2" t="s">
        <v>20</v>
      </c>
      <c r="C19" s="104">
        <v>0</v>
      </c>
      <c r="D19" s="104">
        <v>0</v>
      </c>
      <c r="E19" s="68">
        <v>3197.476708785508</v>
      </c>
      <c r="F19" s="68">
        <v>3663.4906978281751</v>
      </c>
      <c r="G19" s="68">
        <v>4071.2543117329997</v>
      </c>
      <c r="H19" s="68">
        <v>4815.9460321234665</v>
      </c>
      <c r="I19" s="68">
        <v>5367.9078639902</v>
      </c>
      <c r="J19" s="68">
        <v>5980.4296046327281</v>
      </c>
      <c r="K19" s="68">
        <v>6713.7748858226378</v>
      </c>
      <c r="L19" s="1"/>
      <c r="M19" s="1"/>
      <c r="N19" s="1"/>
      <c r="O19" s="1"/>
      <c r="P19" s="9" t="s">
        <v>91</v>
      </c>
      <c r="Q19" s="109" t="s">
        <v>360</v>
      </c>
      <c r="R19" s="1"/>
      <c r="S19" s="1"/>
      <c r="T19" s="1"/>
      <c r="U19" s="1"/>
      <c r="BG19" s="105">
        <v>9.7491475024694865E-2</v>
      </c>
      <c r="BH19" s="105">
        <v>9.7436613841360417E-2</v>
      </c>
      <c r="BI19" s="105">
        <v>9.738878170712012E-2</v>
      </c>
      <c r="BJ19" s="105">
        <v>9.3070452458670211E-2</v>
      </c>
      <c r="BK19" s="105">
        <v>8.94994191811639E-2</v>
      </c>
      <c r="BL19" s="105">
        <v>9.0141727163365992E-2</v>
      </c>
      <c r="BM19" s="105">
        <v>9.073836018352989E-2</v>
      </c>
      <c r="BN19" s="105">
        <v>9.1294022931695348E-2</v>
      </c>
      <c r="BO19" s="105">
        <v>9.1812795412244477E-2</v>
      </c>
      <c r="BP19" s="105">
        <v>9.144185938809167E-2</v>
      </c>
      <c r="BQ19" s="105">
        <v>9.108739591505767E-2</v>
      </c>
      <c r="BR19" s="105">
        <v>9.0748331556578535E-2</v>
      </c>
      <c r="BS19" s="105">
        <v>9.0423684160794923E-2</v>
      </c>
      <c r="BT19" s="105">
        <v>9.0112553359025835E-2</v>
      </c>
      <c r="BU19" s="105">
        <v>8.9814112226820147E-2</v>
      </c>
      <c r="BV19" s="105">
        <v>8.4261012541464703E-2</v>
      </c>
      <c r="BW19" s="105">
        <v>8.8424502722770013E-2</v>
      </c>
      <c r="BX19" s="106"/>
    </row>
    <row r="20" spans="2:93" ht="14.4">
      <c r="B20" s="2" t="s">
        <v>21</v>
      </c>
      <c r="C20" s="104">
        <v>0</v>
      </c>
      <c r="D20" s="104">
        <v>0</v>
      </c>
      <c r="E20" s="68">
        <v>3733.9991657357195</v>
      </c>
      <c r="F20" s="68">
        <v>4283.5674240178641</v>
      </c>
      <c r="G20" s="68">
        <v>4743.4183036998511</v>
      </c>
      <c r="H20" s="68">
        <v>5628.5400346289753</v>
      </c>
      <c r="I20" s="68">
        <v>6272.129034000528</v>
      </c>
      <c r="J20" s="68">
        <v>6970.2690926940013</v>
      </c>
      <c r="K20" s="68">
        <v>7843.7487675031343</v>
      </c>
      <c r="L20" s="1"/>
      <c r="M20" s="1"/>
      <c r="N20" s="1"/>
      <c r="O20" s="1"/>
      <c r="P20" s="1"/>
      <c r="Q20" s="1"/>
      <c r="R20" s="1"/>
      <c r="S20" s="1"/>
      <c r="T20" s="1"/>
      <c r="U20" s="1"/>
      <c r="BG20" s="105">
        <v>8.8228972706233616E-2</v>
      </c>
      <c r="BH20" s="105">
        <v>8.8146926179567819E-2</v>
      </c>
      <c r="BI20" s="105">
        <v>8.8075530348326145E-2</v>
      </c>
      <c r="BJ20" s="105">
        <v>8.3981711829848343E-2</v>
      </c>
      <c r="BK20" s="105">
        <v>8.0598610124911887E-2</v>
      </c>
      <c r="BL20" s="105">
        <v>8.1235572119971705E-2</v>
      </c>
      <c r="BM20" s="105">
        <v>8.1827056875346707E-2</v>
      </c>
      <c r="BN20" s="105">
        <v>8.2377766931740912E-2</v>
      </c>
      <c r="BO20" s="105">
        <v>8.2891778082274478E-2</v>
      </c>
      <c r="BP20" s="105">
        <v>8.2700744672160056E-2</v>
      </c>
      <c r="BQ20" s="105">
        <v>8.251755587076634E-2</v>
      </c>
      <c r="BR20" s="105">
        <v>8.2341738202210774E-2</v>
      </c>
      <c r="BS20" s="105">
        <v>8.2172855542481618E-2</v>
      </c>
      <c r="BT20" s="105">
        <v>8.2010505507377582E-2</v>
      </c>
      <c r="BU20" s="105">
        <v>8.185431625165332E-2</v>
      </c>
      <c r="BV20" s="105">
        <v>7.5787418405189336E-2</v>
      </c>
      <c r="BW20" s="105">
        <v>7.9582441610529714E-2</v>
      </c>
      <c r="BX20" s="106"/>
    </row>
    <row r="21" spans="2:93">
      <c r="V21" s="107"/>
    </row>
    <row r="22" spans="2:93">
      <c r="B22" s="75" t="s">
        <v>332</v>
      </c>
    </row>
    <row r="23" spans="2:93" ht="14.4">
      <c r="C23" s="98" t="s">
        <v>202</v>
      </c>
      <c r="D23" s="67" t="s">
        <v>173</v>
      </c>
      <c r="E23" s="171" t="s">
        <v>174</v>
      </c>
      <c r="F23" s="172"/>
      <c r="G23" s="173" t="s">
        <v>136</v>
      </c>
      <c r="H23" s="174"/>
      <c r="I23" s="174"/>
      <c r="J23" s="176" t="s">
        <v>323</v>
      </c>
      <c r="K23" s="177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2:93" ht="41.4">
      <c r="B24" s="102" t="s">
        <v>324</v>
      </c>
      <c r="C24" s="103">
        <v>100000</v>
      </c>
      <c r="D24" s="103">
        <v>200000</v>
      </c>
      <c r="E24" s="103" t="s">
        <v>325</v>
      </c>
      <c r="F24" s="103" t="s">
        <v>326</v>
      </c>
      <c r="G24" s="103" t="s">
        <v>327</v>
      </c>
      <c r="H24" s="103" t="s">
        <v>328</v>
      </c>
      <c r="I24" s="103" t="s">
        <v>329</v>
      </c>
      <c r="J24" s="103" t="s">
        <v>330</v>
      </c>
      <c r="K24" s="103" t="s">
        <v>331</v>
      </c>
      <c r="L24" s="1"/>
      <c r="M24" s="1"/>
    </row>
    <row r="25" spans="2:93" ht="14.4">
      <c r="B25" s="2" t="s">
        <v>11</v>
      </c>
      <c r="C25" s="104">
        <v>0</v>
      </c>
      <c r="D25" s="104">
        <v>0</v>
      </c>
      <c r="E25" s="68">
        <v>1374.36499080607</v>
      </c>
      <c r="F25" s="68">
        <v>1524.1898136066241</v>
      </c>
      <c r="G25" s="68">
        <v>1684.8824679110564</v>
      </c>
      <c r="H25" s="68">
        <v>1906.8690665579031</v>
      </c>
      <c r="I25" s="68">
        <v>2067.3243775163014</v>
      </c>
      <c r="J25" s="68">
        <v>2442.0079767944358</v>
      </c>
      <c r="K25" s="68">
        <v>2656.2820924763741</v>
      </c>
      <c r="L25" s="1"/>
      <c r="M25" s="1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G25" s="105">
        <v>0.31893838000597124</v>
      </c>
      <c r="BH25" s="105">
        <v>0.32003251561832924</v>
      </c>
      <c r="BI25" s="105">
        <v>0.32102555622111761</v>
      </c>
      <c r="BJ25" s="105">
        <v>0.30340044810175093</v>
      </c>
      <c r="BK25" s="105">
        <v>0.28904467457082411</v>
      </c>
      <c r="BL25" s="105">
        <v>0.28795558149147732</v>
      </c>
      <c r="BM25" s="105">
        <v>0.28694123504922497</v>
      </c>
      <c r="BN25" s="105">
        <v>0.28599419552846533</v>
      </c>
      <c r="BO25" s="105">
        <v>0.28510797883268085</v>
      </c>
      <c r="BP25" s="105">
        <v>0.28261609061701259</v>
      </c>
      <c r="BQ25" s="105">
        <v>0.28023362978332345</v>
      </c>
      <c r="BR25" s="105">
        <v>0.27795354319627913</v>
      </c>
      <c r="BS25" s="105">
        <v>0.27576937111731353</v>
      </c>
      <c r="BT25" s="105">
        <v>0.27367518608533403</v>
      </c>
      <c r="BU25" s="105">
        <v>0.2716655391992252</v>
      </c>
      <c r="BV25" s="105">
        <v>0.24770597801433722</v>
      </c>
      <c r="BW25" s="105">
        <v>0.25472816767406647</v>
      </c>
      <c r="BY25" s="108">
        <v>37.502407182620118</v>
      </c>
      <c r="BZ25" s="108">
        <v>37.689553599990404</v>
      </c>
      <c r="CA25" s="108">
        <v>37.876700017360918</v>
      </c>
      <c r="CB25" s="108">
        <v>38.586140649786785</v>
      </c>
      <c r="CC25" s="108">
        <v>39.295581282212652</v>
      </c>
      <c r="CD25" s="108">
        <v>40.512005031176386</v>
      </c>
      <c r="CE25" s="108">
        <v>41.728428780140121</v>
      </c>
      <c r="CF25" s="108">
        <v>42.944852529103628</v>
      </c>
      <c r="CG25" s="108">
        <v>44.161276278067135</v>
      </c>
      <c r="CH25" s="108">
        <v>44.486667894519087</v>
      </c>
      <c r="CI25" s="108">
        <v>44.812059510971039</v>
      </c>
      <c r="CJ25" s="108">
        <v>45.137451127422764</v>
      </c>
      <c r="CK25" s="108">
        <v>45.462842743874717</v>
      </c>
      <c r="CL25" s="108">
        <v>45.788234360326442</v>
      </c>
      <c r="CM25" s="108">
        <v>46.113625976778167</v>
      </c>
      <c r="CN25" s="108">
        <v>51.589227308090813</v>
      </c>
      <c r="CO25" s="108">
        <v>53.634953448915894</v>
      </c>
    </row>
    <row r="26" spans="2:93" ht="14.4">
      <c r="B26" s="2" t="s">
        <v>12</v>
      </c>
      <c r="C26" s="104">
        <v>0</v>
      </c>
      <c r="D26" s="104">
        <v>0</v>
      </c>
      <c r="E26" s="68">
        <v>1421.3437049778872</v>
      </c>
      <c r="F26" s="68">
        <v>1582.3966228800416</v>
      </c>
      <c r="G26" s="68">
        <v>1749.9808359305421</v>
      </c>
      <c r="H26" s="68">
        <v>1984.9379553680878</v>
      </c>
      <c r="I26" s="68">
        <v>2154.2265500667309</v>
      </c>
      <c r="J26" s="68">
        <v>2547.243551884746</v>
      </c>
      <c r="K26" s="68">
        <v>2777.2764884403123</v>
      </c>
      <c r="L26" s="1"/>
      <c r="M26" s="1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G26" s="105">
        <v>0.27231220675758161</v>
      </c>
      <c r="BH26" s="105">
        <v>0.27035242607094695</v>
      </c>
      <c r="BI26" s="105">
        <v>0.26861600116503725</v>
      </c>
      <c r="BJ26" s="105">
        <v>0.25837683754498464</v>
      </c>
      <c r="BK26" s="105">
        <v>0.24976786697708753</v>
      </c>
      <c r="BL26" s="105">
        <v>0.24737961837838535</v>
      </c>
      <c r="BM26" s="105">
        <v>0.2451826950215161</v>
      </c>
      <c r="BN26" s="105">
        <v>0.2431549914375685</v>
      </c>
      <c r="BO26" s="105">
        <v>0.24127768125289795</v>
      </c>
      <c r="BP26" s="105">
        <v>0.23843136902131398</v>
      </c>
      <c r="BQ26" s="105">
        <v>0.23572740316508764</v>
      </c>
      <c r="BR26" s="105">
        <v>0.23315536589920946</v>
      </c>
      <c r="BS26" s="105">
        <v>0.23070583181292903</v>
      </c>
      <c r="BT26" s="105">
        <v>0.22837025245419604</v>
      </c>
      <c r="BU26" s="105">
        <v>0.22614085665567948</v>
      </c>
      <c r="BV26" s="105">
        <v>0.20448274283928985</v>
      </c>
      <c r="BW26" s="105">
        <v>0.21142958770837489</v>
      </c>
      <c r="BY26" s="108">
        <v>40.83525753167055</v>
      </c>
      <c r="BZ26" s="108">
        <v>42.779157556507471</v>
      </c>
      <c r="CA26" s="108">
        <v>44.723057581344619</v>
      </c>
      <c r="CB26" s="108">
        <v>45.988110297861112</v>
      </c>
      <c r="CC26" s="108">
        <v>47.253163014377606</v>
      </c>
      <c r="CD26" s="108">
        <v>49.298314825891566</v>
      </c>
      <c r="CE26" s="108">
        <v>51.343466637405527</v>
      </c>
      <c r="CF26" s="108">
        <v>53.38861844891926</v>
      </c>
      <c r="CG26" s="108">
        <v>55.433770260432993</v>
      </c>
      <c r="CH26" s="108">
        <v>56.111907605396937</v>
      </c>
      <c r="CI26" s="108">
        <v>56.790044950361107</v>
      </c>
      <c r="CJ26" s="108">
        <v>57.468182295325278</v>
      </c>
      <c r="CK26" s="108">
        <v>58.146319640288993</v>
      </c>
      <c r="CL26" s="108">
        <v>58.824456985252937</v>
      </c>
      <c r="CM26" s="108">
        <v>59.50259433021688</v>
      </c>
      <c r="CN26" s="108">
        <v>68.737359438290696</v>
      </c>
      <c r="CO26" s="108">
        <v>75.65363556566308</v>
      </c>
    </row>
    <row r="27" spans="2:93" ht="14.4">
      <c r="B27" s="2" t="s">
        <v>13</v>
      </c>
      <c r="C27" s="104">
        <v>0</v>
      </c>
      <c r="D27" s="104">
        <v>0</v>
      </c>
      <c r="E27" s="68">
        <v>1491.2981488130304</v>
      </c>
      <c r="F27" s="68">
        <v>1661.6183991815669</v>
      </c>
      <c r="G27" s="68">
        <v>1838.4440250954544</v>
      </c>
      <c r="H27" s="68">
        <v>2087.4862915257854</v>
      </c>
      <c r="I27" s="68">
        <v>2266.8946960744938</v>
      </c>
      <c r="J27" s="68">
        <v>2682.1967931303748</v>
      </c>
      <c r="K27" s="68">
        <v>2926.8102400871362</v>
      </c>
      <c r="L27" s="1"/>
      <c r="M27" s="1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G27" s="105">
        <v>0.27033017616270522</v>
      </c>
      <c r="BH27" s="105">
        <v>0.26828228012538852</v>
      </c>
      <c r="BI27" s="105">
        <v>0.26647054056542524</v>
      </c>
      <c r="BJ27" s="105">
        <v>0.25645503736724401</v>
      </c>
      <c r="BK27" s="105">
        <v>0.24802930897404979</v>
      </c>
      <c r="BL27" s="105">
        <v>0.24698228278086873</v>
      </c>
      <c r="BM27" s="105">
        <v>0.2460096598063356</v>
      </c>
      <c r="BN27" s="105">
        <v>0.24510378136617897</v>
      </c>
      <c r="BO27" s="105">
        <v>0.24425800503404665</v>
      </c>
      <c r="BP27" s="105">
        <v>0.24109852629253284</v>
      </c>
      <c r="BQ27" s="105">
        <v>0.23810442007280394</v>
      </c>
      <c r="BR27" s="105">
        <v>0.2352630336855577</v>
      </c>
      <c r="BS27" s="105">
        <v>0.23256297308855389</v>
      </c>
      <c r="BT27" s="105">
        <v>0.22999395017689581</v>
      </c>
      <c r="BU27" s="105">
        <v>0.22754665178022149</v>
      </c>
      <c r="BV27" s="105">
        <v>0.20412934431788718</v>
      </c>
      <c r="BW27" s="105">
        <v>0.21106818369428099</v>
      </c>
      <c r="BY27" s="108">
        <v>27.499677496428603</v>
      </c>
      <c r="BZ27" s="108">
        <v>30.456292671269694</v>
      </c>
      <c r="CA27" s="108">
        <v>33.412907846111239</v>
      </c>
      <c r="CB27" s="108">
        <v>34.458789169750389</v>
      </c>
      <c r="CC27" s="108">
        <v>35.504670493389312</v>
      </c>
      <c r="CD27" s="108">
        <v>37.936055037131837</v>
      </c>
      <c r="CE27" s="108">
        <v>40.367439580874361</v>
      </c>
      <c r="CF27" s="108">
        <v>42.798824124616885</v>
      </c>
      <c r="CG27" s="108">
        <v>45.23020866835941</v>
      </c>
      <c r="CH27" s="108">
        <v>46.049646700306766</v>
      </c>
      <c r="CI27" s="108">
        <v>46.869084732254123</v>
      </c>
      <c r="CJ27" s="108">
        <v>47.68852276420148</v>
      </c>
      <c r="CK27" s="108">
        <v>48.507960796148382</v>
      </c>
      <c r="CL27" s="108">
        <v>49.327398828095284</v>
      </c>
      <c r="CM27" s="108">
        <v>50.146836860043095</v>
      </c>
      <c r="CN27" s="108">
        <v>59.710316121525011</v>
      </c>
      <c r="CO27" s="108">
        <v>70.017061484184069</v>
      </c>
    </row>
    <row r="28" spans="2:93" ht="14.4">
      <c r="B28" s="2" t="s">
        <v>14</v>
      </c>
      <c r="C28" s="104">
        <v>0</v>
      </c>
      <c r="D28" s="104">
        <v>0</v>
      </c>
      <c r="E28" s="68">
        <v>1571.2118195305775</v>
      </c>
      <c r="F28" s="68">
        <v>1751.7455535991246</v>
      </c>
      <c r="G28" s="68">
        <v>1937.294844812882</v>
      </c>
      <c r="H28" s="68">
        <v>2204.1502473826904</v>
      </c>
      <c r="I28" s="68">
        <v>2395.464733779464</v>
      </c>
      <c r="J28" s="68">
        <v>2836.9937627956706</v>
      </c>
      <c r="K28" s="68">
        <v>3102.923313477339</v>
      </c>
      <c r="L28" s="1"/>
      <c r="M28" s="1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G28" s="105">
        <v>0.24782134250772939</v>
      </c>
      <c r="BH28" s="105">
        <v>0.24554559402785212</v>
      </c>
      <c r="BI28" s="105">
        <v>0.24353964937457626</v>
      </c>
      <c r="BJ28" s="105">
        <v>0.23440596792415347</v>
      </c>
      <c r="BK28" s="105">
        <v>0.22671755611721214</v>
      </c>
      <c r="BL28" s="105">
        <v>0.22566623773066666</v>
      </c>
      <c r="BM28" s="105">
        <v>0.22469145131474816</v>
      </c>
      <c r="BN28" s="105">
        <v>0.22378513350693138</v>
      </c>
      <c r="BO28" s="105">
        <v>0.22294031524770749</v>
      </c>
      <c r="BP28" s="105">
        <v>0.22077709202793808</v>
      </c>
      <c r="BQ28" s="105">
        <v>0.2187145465928676</v>
      </c>
      <c r="BR28" s="105">
        <v>0.21674581036428245</v>
      </c>
      <c r="BS28" s="105">
        <v>0.21486462566810055</v>
      </c>
      <c r="BT28" s="105">
        <v>0.2130652792930372</v>
      </c>
      <c r="BU28" s="105">
        <v>0.2113425445359827</v>
      </c>
      <c r="BV28" s="105">
        <v>0.18923682843852027</v>
      </c>
      <c r="BW28" s="105">
        <v>0.19599530949167243</v>
      </c>
      <c r="BY28" s="108">
        <v>77.494279125932735</v>
      </c>
      <c r="BZ28" s="108">
        <v>83.873225819383833</v>
      </c>
      <c r="CA28" s="108">
        <v>90.252172512834932</v>
      </c>
      <c r="CB28" s="108">
        <v>94.314954546192894</v>
      </c>
      <c r="CC28" s="108">
        <v>98.377736579551083</v>
      </c>
      <c r="CD28" s="108">
        <v>103.71596821693879</v>
      </c>
      <c r="CE28" s="108">
        <v>109.05419985432627</v>
      </c>
      <c r="CF28" s="108">
        <v>114.39243149171421</v>
      </c>
      <c r="CG28" s="108">
        <v>119.73066312910169</v>
      </c>
      <c r="CH28" s="108">
        <v>121.87107359003176</v>
      </c>
      <c r="CI28" s="108">
        <v>124.01148405096183</v>
      </c>
      <c r="CJ28" s="108">
        <v>126.1518945118919</v>
      </c>
      <c r="CK28" s="108">
        <v>128.29230497282197</v>
      </c>
      <c r="CL28" s="108">
        <v>130.43271543375158</v>
      </c>
      <c r="CM28" s="108">
        <v>132.5731258946812</v>
      </c>
      <c r="CN28" s="108">
        <v>159.2989455772522</v>
      </c>
      <c r="CO28" s="108">
        <v>183.19239153862327</v>
      </c>
    </row>
    <row r="29" spans="2:93" ht="14.4">
      <c r="B29" s="2" t="s">
        <v>15</v>
      </c>
      <c r="C29" s="104">
        <v>0</v>
      </c>
      <c r="D29" s="104">
        <v>0</v>
      </c>
      <c r="E29" s="68">
        <v>1796.8912507916928</v>
      </c>
      <c r="F29" s="68">
        <v>2006.029537344268</v>
      </c>
      <c r="G29" s="68">
        <v>2217.3295407909472</v>
      </c>
      <c r="H29" s="68">
        <v>2535.0531326337014</v>
      </c>
      <c r="I29" s="68">
        <v>2759.4198183627136</v>
      </c>
      <c r="J29" s="68">
        <v>3165.2984366053706</v>
      </c>
      <c r="K29" s="68">
        <v>3471.8897374961598</v>
      </c>
      <c r="L29" s="1"/>
      <c r="M29" s="1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G29" s="105">
        <v>0.20017527151259398</v>
      </c>
      <c r="BH29" s="105">
        <v>0.1982800022631562</v>
      </c>
      <c r="BI29" s="105">
        <v>0.19661253938914161</v>
      </c>
      <c r="BJ29" s="105">
        <v>0.18823580514047838</v>
      </c>
      <c r="BK29" s="105">
        <v>0.18124950197547732</v>
      </c>
      <c r="BL29" s="105">
        <v>0.17971175328594774</v>
      </c>
      <c r="BM29" s="105">
        <v>0.1783001615241131</v>
      </c>
      <c r="BN29" s="105">
        <v>0.17699981355237587</v>
      </c>
      <c r="BO29" s="105">
        <v>0.17579805765422177</v>
      </c>
      <c r="BP29" s="105">
        <v>0.17428200078775222</v>
      </c>
      <c r="BQ29" s="105">
        <v>0.17283421606631483</v>
      </c>
      <c r="BR29" s="105">
        <v>0.17145019332313935</v>
      </c>
      <c r="BS29" s="105">
        <v>0.17012581109703065</v>
      </c>
      <c r="BT29" s="105">
        <v>0.16885729564019109</v>
      </c>
      <c r="BU29" s="105">
        <v>0.16764118500644057</v>
      </c>
      <c r="BV29" s="105">
        <v>0.15868159617433883</v>
      </c>
      <c r="BW29" s="105">
        <v>0.16432989399237349</v>
      </c>
      <c r="BY29" s="108">
        <v>246.59311439827388</v>
      </c>
      <c r="BZ29" s="108">
        <v>266.27373511072642</v>
      </c>
      <c r="CA29" s="108">
        <v>285.95435582317896</v>
      </c>
      <c r="CB29" s="108">
        <v>301.83079007810034</v>
      </c>
      <c r="CC29" s="108">
        <v>317.70722433302126</v>
      </c>
      <c r="CD29" s="108">
        <v>332.60077989458068</v>
      </c>
      <c r="CE29" s="108">
        <v>347.49433545614011</v>
      </c>
      <c r="CF29" s="108">
        <v>362.38789101769999</v>
      </c>
      <c r="CG29" s="108">
        <v>377.28144657925895</v>
      </c>
      <c r="CH29" s="108">
        <v>384.0488650091238</v>
      </c>
      <c r="CI29" s="108">
        <v>390.81628343898865</v>
      </c>
      <c r="CJ29" s="108">
        <v>397.5837018688535</v>
      </c>
      <c r="CK29" s="108">
        <v>404.35112029871834</v>
      </c>
      <c r="CL29" s="108">
        <v>411.11853872858319</v>
      </c>
      <c r="CM29" s="108">
        <v>417.88595715844804</v>
      </c>
      <c r="CN29" s="108">
        <v>454.05878184962148</v>
      </c>
      <c r="CO29" s="108">
        <v>516.78400074518277</v>
      </c>
    </row>
    <row r="30" spans="2:93" ht="14.4">
      <c r="B30" s="2" t="s">
        <v>16</v>
      </c>
      <c r="C30" s="104">
        <v>0</v>
      </c>
      <c r="D30" s="104">
        <v>0</v>
      </c>
      <c r="E30" s="68">
        <v>1910.9573427634291</v>
      </c>
      <c r="F30" s="68">
        <v>2138.0869071933621</v>
      </c>
      <c r="G30" s="68">
        <v>2366.1284798085844</v>
      </c>
      <c r="H30" s="68">
        <v>2712.9208583429308</v>
      </c>
      <c r="I30" s="68">
        <v>2957.8499188359538</v>
      </c>
      <c r="J30" s="68">
        <v>3394.0342066446501</v>
      </c>
      <c r="K30" s="68">
        <v>3729.4681726387025</v>
      </c>
      <c r="L30" s="1"/>
      <c r="M30" s="1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G30" s="105">
        <v>0.18963574912672365</v>
      </c>
      <c r="BH30" s="105">
        <v>0.18777943937086186</v>
      </c>
      <c r="BI30" s="105">
        <v>0.18615081542108597</v>
      </c>
      <c r="BJ30" s="105">
        <v>0.17837412664084204</v>
      </c>
      <c r="BK30" s="105">
        <v>0.17188545301231764</v>
      </c>
      <c r="BL30" s="105">
        <v>0.17052853142110061</v>
      </c>
      <c r="BM30" s="105">
        <v>0.16928339801560419</v>
      </c>
      <c r="BN30" s="105">
        <v>0.16813678503704607</v>
      </c>
      <c r="BO30" s="105">
        <v>0.16707744442952369</v>
      </c>
      <c r="BP30" s="105">
        <v>0.16559204485196127</v>
      </c>
      <c r="BQ30" s="105">
        <v>0.16417509062728855</v>
      </c>
      <c r="BR30" s="105">
        <v>0.16282195748162451</v>
      </c>
      <c r="BS30" s="105">
        <v>0.16152842853059196</v>
      </c>
      <c r="BT30" s="105">
        <v>0.16029065038332996</v>
      </c>
      <c r="BU30" s="105">
        <v>0.15910509480249671</v>
      </c>
      <c r="BV30" s="105">
        <v>0.1517375781827604</v>
      </c>
      <c r="BW30" s="105">
        <v>0.15710601709461694</v>
      </c>
      <c r="BY30" s="108">
        <v>415.25173960694156</v>
      </c>
      <c r="BZ30" s="108">
        <v>447.31006222914698</v>
      </c>
      <c r="CA30" s="108">
        <v>479.3683848513524</v>
      </c>
      <c r="CB30" s="108">
        <v>506.49970789725467</v>
      </c>
      <c r="CC30" s="108">
        <v>533.63103094315647</v>
      </c>
      <c r="CD30" s="108">
        <v>558.44153801761377</v>
      </c>
      <c r="CE30" s="108">
        <v>583.25204509207106</v>
      </c>
      <c r="CF30" s="108">
        <v>608.06255216652835</v>
      </c>
      <c r="CG30" s="108">
        <v>632.87305924098564</v>
      </c>
      <c r="CH30" s="108">
        <v>644.22192416147755</v>
      </c>
      <c r="CI30" s="108">
        <v>655.57078908196991</v>
      </c>
      <c r="CJ30" s="108">
        <v>666.91965400246227</v>
      </c>
      <c r="CK30" s="108">
        <v>678.26851892295463</v>
      </c>
      <c r="CL30" s="108">
        <v>689.61738384344699</v>
      </c>
      <c r="CM30" s="108">
        <v>700.96624876393935</v>
      </c>
      <c r="CN30" s="108">
        <v>739.2478693605517</v>
      </c>
      <c r="CO30" s="108">
        <v>837.97446884550118</v>
      </c>
    </row>
    <row r="31" spans="2:93" ht="14.4">
      <c r="B31" s="2" t="s">
        <v>17</v>
      </c>
      <c r="C31" s="104">
        <v>0</v>
      </c>
      <c r="D31" s="104">
        <v>0</v>
      </c>
      <c r="E31" s="68">
        <v>2066.469394130002</v>
      </c>
      <c r="F31" s="68">
        <v>2317.5276855118882</v>
      </c>
      <c r="G31" s="68">
        <v>2583.147719670967</v>
      </c>
      <c r="H31" s="68">
        <v>2973.0641418270689</v>
      </c>
      <c r="I31" s="68">
        <v>3244.8925067596551</v>
      </c>
      <c r="J31" s="68">
        <v>3718.8196117257257</v>
      </c>
      <c r="K31" s="68">
        <v>4098.5380296205167</v>
      </c>
      <c r="L31" s="1"/>
      <c r="M31" s="1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G31" s="105">
        <v>0.16364280063483061</v>
      </c>
      <c r="BH31" s="105">
        <v>0.16190892398995907</v>
      </c>
      <c r="BI31" s="105">
        <v>0.16039357623301892</v>
      </c>
      <c r="BJ31" s="105">
        <v>0.15370023044746781</v>
      </c>
      <c r="BK31" s="105">
        <v>0.14815341586492653</v>
      </c>
      <c r="BL31" s="105">
        <v>0.14710572577574071</v>
      </c>
      <c r="BM31" s="105">
        <v>0.14614476673779733</v>
      </c>
      <c r="BN31" s="105">
        <v>0.14526019701166415</v>
      </c>
      <c r="BO31" s="105">
        <v>0.14444325619291873</v>
      </c>
      <c r="BP31" s="105">
        <v>0.14306692355801484</v>
      </c>
      <c r="BQ31" s="105">
        <v>0.1417561435392172</v>
      </c>
      <c r="BR31" s="105">
        <v>0.14050634181439847</v>
      </c>
      <c r="BS31" s="105">
        <v>0.13931335998743122</v>
      </c>
      <c r="BT31" s="105">
        <v>0.13817340936565425</v>
      </c>
      <c r="BU31" s="105">
        <v>0.13708303076745418</v>
      </c>
      <c r="BV31" s="105">
        <v>0.13214150938227132</v>
      </c>
      <c r="BW31" s="105">
        <v>0.13682791975609662</v>
      </c>
      <c r="BY31" s="108">
        <v>542.50672221331138</v>
      </c>
      <c r="BZ31" s="108">
        <v>584.45926218443265</v>
      </c>
      <c r="CA31" s="108">
        <v>626.41180215555414</v>
      </c>
      <c r="CB31" s="108">
        <v>666.36407291977548</v>
      </c>
      <c r="CC31" s="108">
        <v>706.31634368399682</v>
      </c>
      <c r="CD31" s="108">
        <v>739.64654865760895</v>
      </c>
      <c r="CE31" s="108">
        <v>772.97675363122062</v>
      </c>
      <c r="CF31" s="108">
        <v>806.30695860483229</v>
      </c>
      <c r="CG31" s="108">
        <v>839.63716357844487</v>
      </c>
      <c r="CH31" s="108">
        <v>854.72009430432672</v>
      </c>
      <c r="CI31" s="108">
        <v>869.80302503020857</v>
      </c>
      <c r="CJ31" s="108">
        <v>884.88595575609042</v>
      </c>
      <c r="CK31" s="108">
        <v>899.96888648197228</v>
      </c>
      <c r="CL31" s="108">
        <v>915.05181720785413</v>
      </c>
      <c r="CM31" s="108">
        <v>930.13474793373689</v>
      </c>
      <c r="CN31" s="108">
        <v>1000.5388132031376</v>
      </c>
      <c r="CO31" s="108">
        <v>1133.7852364659357</v>
      </c>
    </row>
    <row r="32" spans="2:93" ht="14.4">
      <c r="B32" s="2" t="s">
        <v>18</v>
      </c>
      <c r="C32" s="104">
        <v>0</v>
      </c>
      <c r="D32" s="104">
        <v>0</v>
      </c>
      <c r="E32" s="68">
        <v>2414.8217343860547</v>
      </c>
      <c r="F32" s="68">
        <v>2719.8608099129738</v>
      </c>
      <c r="G32" s="68">
        <v>3005.3260835176056</v>
      </c>
      <c r="H32" s="68">
        <v>3482.4001090251336</v>
      </c>
      <c r="I32" s="68">
        <v>3821.7037385534009</v>
      </c>
      <c r="J32" s="68">
        <v>4358.4934118203437</v>
      </c>
      <c r="K32" s="68">
        <v>4828.4131427898792</v>
      </c>
      <c r="L32" s="1"/>
      <c r="M32" s="1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G32" s="105">
        <v>0.12924240167958639</v>
      </c>
      <c r="BH32" s="105">
        <v>0.12784172264759155</v>
      </c>
      <c r="BI32" s="105">
        <v>0.12662333426468758</v>
      </c>
      <c r="BJ32" s="105">
        <v>0.12156911553161465</v>
      </c>
      <c r="BK32" s="105">
        <v>0.11733066707219378</v>
      </c>
      <c r="BL32" s="105">
        <v>0.11668747258052524</v>
      </c>
      <c r="BM32" s="105">
        <v>0.11609783658602921</v>
      </c>
      <c r="BN32" s="105">
        <v>0.1155553367938148</v>
      </c>
      <c r="BO32" s="105">
        <v>0.11505453825592259</v>
      </c>
      <c r="BP32" s="105">
        <v>0.11449013379963376</v>
      </c>
      <c r="BQ32" s="105">
        <v>0.11394873733836186</v>
      </c>
      <c r="BR32" s="105">
        <v>0.11342897009090164</v>
      </c>
      <c r="BS32" s="105">
        <v>0.11292956128530444</v>
      </c>
      <c r="BT32" s="105">
        <v>0.11244933778565994</v>
      </c>
      <c r="BU32" s="105">
        <v>0.11198721489184112</v>
      </c>
      <c r="BV32" s="105">
        <v>0.10625023409322432</v>
      </c>
      <c r="BW32" s="105">
        <v>0.11019947744081889</v>
      </c>
      <c r="BY32" s="108">
        <v>780.3570671926509</v>
      </c>
      <c r="BZ32" s="108">
        <v>840.6982891183693</v>
      </c>
      <c r="CA32" s="108">
        <v>901.0395110440877</v>
      </c>
      <c r="CB32" s="108">
        <v>954.54527687305972</v>
      </c>
      <c r="CC32" s="108">
        <v>1008.0510427020308</v>
      </c>
      <c r="CD32" s="108">
        <v>1056.7561854526784</v>
      </c>
      <c r="CE32" s="108">
        <v>1105.4613282033265</v>
      </c>
      <c r="CF32" s="108">
        <v>1154.1664709539746</v>
      </c>
      <c r="CG32" s="108">
        <v>1202.8716137046222</v>
      </c>
      <c r="CH32" s="108">
        <v>1225.3794998270751</v>
      </c>
      <c r="CI32" s="108">
        <v>1247.8873859495279</v>
      </c>
      <c r="CJ32" s="108">
        <v>1270.3952720719799</v>
      </c>
      <c r="CK32" s="108">
        <v>1292.9031581944328</v>
      </c>
      <c r="CL32" s="108">
        <v>1315.4110443168861</v>
      </c>
      <c r="CM32" s="108">
        <v>1337.9189304393381</v>
      </c>
      <c r="CN32" s="108">
        <v>1455.8139993118366</v>
      </c>
      <c r="CO32" s="108">
        <v>1652.5447372554518</v>
      </c>
    </row>
    <row r="33" spans="2:93" ht="14.4">
      <c r="B33" s="2" t="s">
        <v>19</v>
      </c>
      <c r="C33" s="104">
        <v>0</v>
      </c>
      <c r="D33" s="104">
        <v>0</v>
      </c>
      <c r="E33" s="68">
        <v>3001.2803260242772</v>
      </c>
      <c r="F33" s="68">
        <v>3395.8198443832239</v>
      </c>
      <c r="G33" s="68">
        <v>3746.7785218876929</v>
      </c>
      <c r="H33" s="68">
        <v>4372.9887417156388</v>
      </c>
      <c r="I33" s="68">
        <v>4850.6449166739039</v>
      </c>
      <c r="J33" s="68">
        <v>5468.2785466734167</v>
      </c>
      <c r="K33" s="68">
        <v>6090.7075985903502</v>
      </c>
      <c r="L33" s="1"/>
      <c r="M33" s="1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G33" s="105">
        <v>0.11079114192748796</v>
      </c>
      <c r="BH33" s="105">
        <v>0.10962430391428313</v>
      </c>
      <c r="BI33" s="105">
        <v>0.10861330548496494</v>
      </c>
      <c r="BJ33" s="105">
        <v>0.10433256056844686</v>
      </c>
      <c r="BK33" s="105">
        <v>0.10073423838875339</v>
      </c>
      <c r="BL33" s="105">
        <v>0.10035237956729035</v>
      </c>
      <c r="BM33" s="105">
        <v>0.10000253015780354</v>
      </c>
      <c r="BN33" s="105">
        <v>9.9680827268681785E-2</v>
      </c>
      <c r="BO33" s="105">
        <v>9.9384005536121076E-2</v>
      </c>
      <c r="BP33" s="105">
        <v>9.8369361923523316E-2</v>
      </c>
      <c r="BQ33" s="105">
        <v>9.7409810388312257E-2</v>
      </c>
      <c r="BR33" s="105">
        <v>9.650098252644497E-2</v>
      </c>
      <c r="BS33" s="105">
        <v>9.5638959885125149E-2</v>
      </c>
      <c r="BT33" s="105">
        <v>9.4820217485172234E-2</v>
      </c>
      <c r="BU33" s="105">
        <v>9.4041575641914663E-2</v>
      </c>
      <c r="BV33" s="105">
        <v>9.2338445963703608E-2</v>
      </c>
      <c r="BW33" s="105">
        <v>9.5982847754469788E-2</v>
      </c>
      <c r="BY33" s="108">
        <v>1221.6367177063121</v>
      </c>
      <c r="BZ33" s="108">
        <v>1315.8432612363722</v>
      </c>
      <c r="CA33" s="108">
        <v>1410.0498047664328</v>
      </c>
      <c r="CB33" s="108">
        <v>1483.6977220326235</v>
      </c>
      <c r="CC33" s="108">
        <v>1557.3456392988137</v>
      </c>
      <c r="CD33" s="108">
        <v>1633.9365397191659</v>
      </c>
      <c r="CE33" s="108">
        <v>1710.5274401395186</v>
      </c>
      <c r="CF33" s="108">
        <v>1787.1183405598713</v>
      </c>
      <c r="CG33" s="108">
        <v>1863.7092409802226</v>
      </c>
      <c r="CH33" s="108">
        <v>1902.4107089588606</v>
      </c>
      <c r="CI33" s="108">
        <v>1941.1121769374986</v>
      </c>
      <c r="CJ33" s="108">
        <v>1979.8136449161375</v>
      </c>
      <c r="CK33" s="108">
        <v>2018.5151128947755</v>
      </c>
      <c r="CL33" s="108">
        <v>2057.2165808734135</v>
      </c>
      <c r="CM33" s="108">
        <v>2095.9180488520533</v>
      </c>
      <c r="CN33" s="108">
        <v>2281.6501133989495</v>
      </c>
      <c r="CO33" s="108">
        <v>2592.9529643795922</v>
      </c>
    </row>
    <row r="34" spans="2:93" ht="14.4">
      <c r="B34" s="2" t="s">
        <v>20</v>
      </c>
      <c r="C34" s="104">
        <v>0</v>
      </c>
      <c r="D34" s="104">
        <v>0</v>
      </c>
      <c r="E34" s="68">
        <v>3744.64673113356</v>
      </c>
      <c r="F34" s="68">
        <v>4262.4706584833466</v>
      </c>
      <c r="G34" s="68">
        <v>4730.9438616750494</v>
      </c>
      <c r="H34" s="68">
        <v>5551.9711787970191</v>
      </c>
      <c r="I34" s="68">
        <v>6211.2756221472473</v>
      </c>
      <c r="J34" s="68">
        <v>6989.538184049683</v>
      </c>
      <c r="K34" s="68">
        <v>7801.7701331724047</v>
      </c>
      <c r="L34" s="1"/>
      <c r="M34" s="1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G34" s="105">
        <v>0.10831512197465376</v>
      </c>
      <c r="BH34" s="105">
        <v>0.10739167913676231</v>
      </c>
      <c r="BI34" s="105">
        <v>0.10659331623448019</v>
      </c>
      <c r="BJ34" s="105">
        <v>0.10274678785262555</v>
      </c>
      <c r="BK34" s="105">
        <v>9.951140677546573E-2</v>
      </c>
      <c r="BL34" s="105">
        <v>9.9255101042707669E-2</v>
      </c>
      <c r="BM34" s="105">
        <v>9.9020423368282928E-2</v>
      </c>
      <c r="BN34" s="105">
        <v>9.8804746992734047E-2</v>
      </c>
      <c r="BO34" s="105">
        <v>9.8605853971282451E-2</v>
      </c>
      <c r="BP34" s="105">
        <v>9.7699919956519291E-2</v>
      </c>
      <c r="BQ34" s="105">
        <v>9.6844050930462736E-2</v>
      </c>
      <c r="BR34" s="105">
        <v>9.6034208343278318E-2</v>
      </c>
      <c r="BS34" s="105">
        <v>9.5266776637103548E-2</v>
      </c>
      <c r="BT34" s="105">
        <v>9.4538509279665811E-2</v>
      </c>
      <c r="BU34" s="105">
        <v>9.3846482854523669E-2</v>
      </c>
      <c r="BV34" s="105">
        <v>9.2356339944674751E-2</v>
      </c>
      <c r="BW34" s="105">
        <v>9.6011968031350564E-2</v>
      </c>
      <c r="BY34" s="108">
        <v>1849.3836660864999</v>
      </c>
      <c r="BZ34" s="108">
        <v>1993.8129989760751</v>
      </c>
      <c r="CA34" s="108">
        <v>2138.2423318656511</v>
      </c>
      <c r="CB34" s="108">
        <v>2255.0849061764302</v>
      </c>
      <c r="CC34" s="108">
        <v>2371.9274804872084</v>
      </c>
      <c r="CD34" s="108">
        <v>2489.1093665117514</v>
      </c>
      <c r="CE34" s="108">
        <v>2606.2912525362945</v>
      </c>
      <c r="CF34" s="108">
        <v>2723.4731385608384</v>
      </c>
      <c r="CG34" s="108">
        <v>2840.6550245853823</v>
      </c>
      <c r="CH34" s="108">
        <v>2904.5326792611695</v>
      </c>
      <c r="CI34" s="108">
        <v>2968.4103339369585</v>
      </c>
      <c r="CJ34" s="108">
        <v>3032.2879886127475</v>
      </c>
      <c r="CK34" s="108">
        <v>3096.1656432885356</v>
      </c>
      <c r="CL34" s="108">
        <v>3160.0432979643228</v>
      </c>
      <c r="CM34" s="108">
        <v>3223.9209526401128</v>
      </c>
      <c r="CN34" s="108">
        <v>3523.6408496673903</v>
      </c>
      <c r="CO34" s="108">
        <v>3996.532970562861</v>
      </c>
    </row>
    <row r="35" spans="2:93" ht="14.4">
      <c r="B35" s="2" t="s">
        <v>21</v>
      </c>
      <c r="C35" s="104">
        <v>0</v>
      </c>
      <c r="D35" s="104">
        <v>0</v>
      </c>
      <c r="E35" s="68">
        <v>4254.3430652362613</v>
      </c>
      <c r="F35" s="68">
        <v>4851.5435483635511</v>
      </c>
      <c r="G35" s="68">
        <v>5369.4996540435586</v>
      </c>
      <c r="H35" s="68">
        <v>6323.9354811772528</v>
      </c>
      <c r="I35" s="68">
        <v>7079.3279453571631</v>
      </c>
      <c r="J35" s="68">
        <v>7939.7840925885048</v>
      </c>
      <c r="K35" s="68">
        <v>8886.5450595856801</v>
      </c>
      <c r="L35" s="1"/>
      <c r="M35" s="1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G35" s="105">
        <v>9.5100004348585732E-2</v>
      </c>
      <c r="BH35" s="105">
        <v>9.4272927791647365E-2</v>
      </c>
      <c r="BI35" s="105">
        <v>9.3559409321821066E-2</v>
      </c>
      <c r="BJ35" s="105">
        <v>9.0048225576952384E-2</v>
      </c>
      <c r="BK35" s="105">
        <v>8.7094942096892738E-2</v>
      </c>
      <c r="BL35" s="105">
        <v>8.6929237837936796E-2</v>
      </c>
      <c r="BM35" s="105">
        <v>8.6777613073301396E-2</v>
      </c>
      <c r="BN35" s="105">
        <v>8.6638346479930697E-2</v>
      </c>
      <c r="BO35" s="105">
        <v>8.650998634042284E-2</v>
      </c>
      <c r="BP35" s="105">
        <v>8.6012480097311897E-2</v>
      </c>
      <c r="BQ35" s="105">
        <v>8.5539392335080025E-2</v>
      </c>
      <c r="BR35" s="105">
        <v>8.5088968362450335E-2</v>
      </c>
      <c r="BS35" s="105">
        <v>8.4659617676173221E-2</v>
      </c>
      <c r="BT35" s="105">
        <v>8.4249895195966942E-2</v>
      </c>
      <c r="BU35" s="105">
        <v>8.3858485015537582E-2</v>
      </c>
      <c r="BV35" s="105">
        <v>8.0863068884254E-2</v>
      </c>
      <c r="BW35" s="105">
        <v>8.4127342107288103E-2</v>
      </c>
      <c r="BY35" s="108">
        <v>2279.4588224263525</v>
      </c>
      <c r="BZ35" s="108">
        <v>2459.8671305452644</v>
      </c>
      <c r="CA35" s="108">
        <v>2640.2754386641764</v>
      </c>
      <c r="CB35" s="108">
        <v>2786.5147553774259</v>
      </c>
      <c r="CC35" s="108">
        <v>2932.7540720906754</v>
      </c>
      <c r="CD35" s="108">
        <v>3079.1411560071738</v>
      </c>
      <c r="CE35" s="108">
        <v>3225.5282399236712</v>
      </c>
      <c r="CF35" s="108">
        <v>3371.9153238401686</v>
      </c>
      <c r="CG35" s="108">
        <v>3518.302407756667</v>
      </c>
      <c r="CH35" s="108">
        <v>3580.6503119757126</v>
      </c>
      <c r="CI35" s="108">
        <v>3642.9982161947582</v>
      </c>
      <c r="CJ35" s="108">
        <v>3705.3461204138039</v>
      </c>
      <c r="CK35" s="108">
        <v>3767.6940246328504</v>
      </c>
      <c r="CL35" s="108">
        <v>3830.0419288518988</v>
      </c>
      <c r="CM35" s="108">
        <v>3892.3898330709444</v>
      </c>
      <c r="CN35" s="108">
        <v>4263.7999677564821</v>
      </c>
      <c r="CO35" s="108">
        <v>4836.5994855420831</v>
      </c>
    </row>
    <row r="36" spans="2:93" ht="14.4">
      <c r="L36" s="1"/>
      <c r="M36" s="1"/>
      <c r="V36" s="107"/>
    </row>
    <row r="37" spans="2:93" ht="14.4">
      <c r="B37" s="75" t="s">
        <v>333</v>
      </c>
      <c r="L37" s="1"/>
      <c r="M37" s="1"/>
    </row>
    <row r="38" spans="2:93" ht="14.4">
      <c r="C38" s="98" t="s">
        <v>202</v>
      </c>
      <c r="D38" s="67" t="s">
        <v>173</v>
      </c>
      <c r="E38" s="171" t="s">
        <v>174</v>
      </c>
      <c r="F38" s="172"/>
      <c r="G38" s="173" t="s">
        <v>136</v>
      </c>
      <c r="H38" s="174"/>
      <c r="I38" s="174"/>
      <c r="J38" s="176" t="s">
        <v>323</v>
      </c>
      <c r="K38" s="177"/>
      <c r="L38" s="1"/>
      <c r="M38" s="1"/>
    </row>
    <row r="39" spans="2:93" ht="41.4">
      <c r="B39" s="102" t="s">
        <v>324</v>
      </c>
      <c r="C39" s="103">
        <v>100000</v>
      </c>
      <c r="D39" s="103">
        <v>200000</v>
      </c>
      <c r="E39" s="103" t="s">
        <v>325</v>
      </c>
      <c r="F39" s="103" t="s">
        <v>326</v>
      </c>
      <c r="G39" s="103" t="s">
        <v>327</v>
      </c>
      <c r="H39" s="103" t="s">
        <v>328</v>
      </c>
      <c r="I39" s="103" t="s">
        <v>329</v>
      </c>
      <c r="J39" s="103" t="s">
        <v>330</v>
      </c>
      <c r="K39" s="103" t="s">
        <v>331</v>
      </c>
      <c r="L39" s="1"/>
      <c r="M39" s="1"/>
    </row>
    <row r="40" spans="2:93" ht="14.4">
      <c r="B40" s="2" t="s">
        <v>11</v>
      </c>
      <c r="C40" s="104">
        <v>0</v>
      </c>
      <c r="D40" s="104">
        <v>0</v>
      </c>
      <c r="E40" s="68">
        <v>2069.9678781363054</v>
      </c>
      <c r="F40" s="68">
        <v>2297.5113114885312</v>
      </c>
      <c r="G40" s="68">
        <v>2541.0427609145609</v>
      </c>
      <c r="H40" s="68">
        <v>2875.9885827672688</v>
      </c>
      <c r="I40" s="68">
        <v>3118.8880452246144</v>
      </c>
      <c r="J40" s="68">
        <v>3685.6232205306978</v>
      </c>
      <c r="K40" s="68">
        <v>4010.2797918813835</v>
      </c>
      <c r="L40" s="1"/>
      <c r="M40" s="1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G40" s="105">
        <v>0.34059024417118172</v>
      </c>
      <c r="BH40" s="105">
        <v>0.33657622572223589</v>
      </c>
      <c r="BI40" s="105">
        <v>0.33303992323946163</v>
      </c>
      <c r="BJ40" s="105">
        <v>0.32072487780284198</v>
      </c>
      <c r="BK40" s="105">
        <v>0.31034874783336858</v>
      </c>
      <c r="BL40" s="105">
        <v>0.30974786630934359</v>
      </c>
      <c r="BM40" s="105">
        <v>0.30918625008474776</v>
      </c>
      <c r="BN40" s="105">
        <v>0.30866017217685171</v>
      </c>
      <c r="BO40" s="105">
        <v>0.30816636281395143</v>
      </c>
      <c r="BP40" s="105">
        <v>0.30559181146718711</v>
      </c>
      <c r="BQ40" s="105">
        <v>0.30312869016547417</v>
      </c>
      <c r="BR40" s="105">
        <v>0.30076991788362517</v>
      </c>
      <c r="BS40" s="105">
        <v>0.29850900112022216</v>
      </c>
      <c r="BT40" s="105">
        <v>0.2963399742011818</v>
      </c>
      <c r="BU40" s="105">
        <v>0.29425734671703357</v>
      </c>
      <c r="BV40" s="105">
        <v>0.26869653020111761</v>
      </c>
      <c r="BW40" s="105">
        <v>0.27616872604979992</v>
      </c>
      <c r="BY40" s="108">
        <v>53.313499403186142</v>
      </c>
      <c r="BZ40" s="108">
        <v>54.886456774258022</v>
      </c>
      <c r="CA40" s="108">
        <v>56.459414145329447</v>
      </c>
      <c r="CB40" s="108">
        <v>58.134941450528004</v>
      </c>
      <c r="CC40" s="108">
        <v>59.81046875572747</v>
      </c>
      <c r="CD40" s="108">
        <v>61.353249688422238</v>
      </c>
      <c r="CE40" s="108">
        <v>62.896030621116552</v>
      </c>
      <c r="CF40" s="108">
        <v>64.43881155381041</v>
      </c>
      <c r="CG40" s="108">
        <v>65.981592486505178</v>
      </c>
      <c r="CH40" s="108">
        <v>66.514534463907239</v>
      </c>
      <c r="CI40" s="108">
        <v>67.0474764413093</v>
      </c>
      <c r="CJ40" s="108">
        <v>67.580418418711361</v>
      </c>
      <c r="CK40" s="108">
        <v>68.113360396112967</v>
      </c>
      <c r="CL40" s="108">
        <v>68.646302373514573</v>
      </c>
      <c r="CM40" s="108">
        <v>69.179244350916633</v>
      </c>
      <c r="CN40" s="108">
        <v>78.234734168669547</v>
      </c>
      <c r="CO40" s="108">
        <v>82.905104027753168</v>
      </c>
    </row>
    <row r="41" spans="2:93" ht="14.4">
      <c r="B41" s="2" t="s">
        <v>12</v>
      </c>
      <c r="C41" s="104">
        <v>0</v>
      </c>
      <c r="D41" s="104">
        <v>0</v>
      </c>
      <c r="E41" s="68">
        <v>2146.0913470138721</v>
      </c>
      <c r="F41" s="68">
        <v>2388.1423525473406</v>
      </c>
      <c r="G41" s="68">
        <v>2642.0188412506282</v>
      </c>
      <c r="H41" s="68">
        <v>2994.710739388875</v>
      </c>
      <c r="I41" s="68">
        <v>3249.9063153203415</v>
      </c>
      <c r="J41" s="68">
        <v>3843.0276893351161</v>
      </c>
      <c r="K41" s="68">
        <v>4188.1141896252666</v>
      </c>
      <c r="L41" s="1"/>
      <c r="M41" s="1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G41" s="105">
        <v>0.31054823608019655</v>
      </c>
      <c r="BH41" s="105">
        <v>0.30641385677956745</v>
      </c>
      <c r="BI41" s="105">
        <v>0.30279132114281609</v>
      </c>
      <c r="BJ41" s="105">
        <v>0.293185618716712</v>
      </c>
      <c r="BK41" s="105">
        <v>0.28501275417655708</v>
      </c>
      <c r="BL41" s="105">
        <v>0.28441026065525732</v>
      </c>
      <c r="BM41" s="105">
        <v>0.28384777392059246</v>
      </c>
      <c r="BN41" s="105">
        <v>0.28332143722338193</v>
      </c>
      <c r="BO41" s="105">
        <v>0.28282787411348864</v>
      </c>
      <c r="BP41" s="105">
        <v>0.27859341898007756</v>
      </c>
      <c r="BQ41" s="105">
        <v>0.27459576753925535</v>
      </c>
      <c r="BR41" s="105">
        <v>0.27081559593461513</v>
      </c>
      <c r="BS41" s="105">
        <v>0.26723562714297106</v>
      </c>
      <c r="BT41" s="105">
        <v>0.26384036695829044</v>
      </c>
      <c r="BU41" s="105">
        <v>0.26061587981365708</v>
      </c>
      <c r="BV41" s="105">
        <v>0.23819841365725242</v>
      </c>
      <c r="BW41" s="105">
        <v>0.24098406027332214</v>
      </c>
      <c r="BY41" s="108">
        <v>40.682972452323838</v>
      </c>
      <c r="BZ41" s="108">
        <v>42.607423148238013</v>
      </c>
      <c r="CA41" s="108">
        <v>44.53187384415196</v>
      </c>
      <c r="CB41" s="108">
        <v>45.796046623181155</v>
      </c>
      <c r="CC41" s="108">
        <v>47.060219402209896</v>
      </c>
      <c r="CD41" s="108">
        <v>49.089104009507992</v>
      </c>
      <c r="CE41" s="108">
        <v>51.117988616806542</v>
      </c>
      <c r="CF41" s="108">
        <v>53.146873224105093</v>
      </c>
      <c r="CG41" s="108">
        <v>55.175757831403189</v>
      </c>
      <c r="CH41" s="108">
        <v>55.84954336480223</v>
      </c>
      <c r="CI41" s="108">
        <v>56.523328898201726</v>
      </c>
      <c r="CJ41" s="108">
        <v>57.197114431601221</v>
      </c>
      <c r="CK41" s="108">
        <v>57.870899965000717</v>
      </c>
      <c r="CL41" s="108">
        <v>58.544685498400213</v>
      </c>
      <c r="CM41" s="108">
        <v>59.218471031799709</v>
      </c>
      <c r="CN41" s="108">
        <v>68.405419915918174</v>
      </c>
      <c r="CO41" s="108">
        <v>75.253872437736391</v>
      </c>
    </row>
    <row r="42" spans="2:93" ht="14.4">
      <c r="B42" s="2" t="s">
        <v>13</v>
      </c>
      <c r="C42" s="104">
        <v>0</v>
      </c>
      <c r="D42" s="104">
        <v>0</v>
      </c>
      <c r="E42" s="68">
        <v>2215.884489782025</v>
      </c>
      <c r="F42" s="68">
        <v>2467.1616261418862</v>
      </c>
      <c r="G42" s="68">
        <v>2730.2776636407721</v>
      </c>
      <c r="H42" s="68">
        <v>3096.9857875772077</v>
      </c>
      <c r="I42" s="68">
        <v>3362.2735166039865</v>
      </c>
      <c r="J42" s="68">
        <v>3977.629338688982</v>
      </c>
      <c r="K42" s="68">
        <v>4337.224510300689</v>
      </c>
      <c r="L42" s="1"/>
      <c r="M42" s="1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G42" s="105">
        <v>0.30044261847499548</v>
      </c>
      <c r="BH42" s="105">
        <v>0.29635843732295536</v>
      </c>
      <c r="BI42" s="105">
        <v>0.2927837346849122</v>
      </c>
      <c r="BJ42" s="105">
        <v>0.28353777228644089</v>
      </c>
      <c r="BK42" s="105">
        <v>0.27567116793127894</v>
      </c>
      <c r="BL42" s="105">
        <v>0.27505829370007934</v>
      </c>
      <c r="BM42" s="105">
        <v>0.27448645559290874</v>
      </c>
      <c r="BN42" s="105">
        <v>0.27395166564647788</v>
      </c>
      <c r="BO42" s="105">
        <v>0.27345043642652234</v>
      </c>
      <c r="BP42" s="105">
        <v>0.27056984043494364</v>
      </c>
      <c r="BQ42" s="105">
        <v>0.26782680786903129</v>
      </c>
      <c r="BR42" s="105">
        <v>0.26521171448022635</v>
      </c>
      <c r="BS42" s="105">
        <v>0.26271581333916871</v>
      </c>
      <c r="BT42" s="105">
        <v>0.26033113709571049</v>
      </c>
      <c r="BU42" s="105">
        <v>0.25805041302089482</v>
      </c>
      <c r="BV42" s="105">
        <v>0.2310825457840093</v>
      </c>
      <c r="BW42" s="105">
        <v>0.23846229133372038</v>
      </c>
      <c r="BY42" s="108">
        <v>27.499677496428831</v>
      </c>
      <c r="BZ42" s="108">
        <v>30.456292671270148</v>
      </c>
      <c r="CA42" s="108">
        <v>33.412907846111466</v>
      </c>
      <c r="CB42" s="108">
        <v>34.458789169750162</v>
      </c>
      <c r="CC42" s="108">
        <v>35.504670493389312</v>
      </c>
      <c r="CD42" s="108">
        <v>37.936055037131609</v>
      </c>
      <c r="CE42" s="108">
        <v>40.367439580874361</v>
      </c>
      <c r="CF42" s="108">
        <v>42.798824124616658</v>
      </c>
      <c r="CG42" s="108">
        <v>45.23020866835941</v>
      </c>
      <c r="CH42" s="108">
        <v>46.049646700306766</v>
      </c>
      <c r="CI42" s="108">
        <v>46.869084732254123</v>
      </c>
      <c r="CJ42" s="108">
        <v>47.688522764201025</v>
      </c>
      <c r="CK42" s="108">
        <v>48.507960796148382</v>
      </c>
      <c r="CL42" s="108">
        <v>49.327398828095738</v>
      </c>
      <c r="CM42" s="108">
        <v>50.14683686004264</v>
      </c>
      <c r="CN42" s="108">
        <v>59.710316121525466</v>
      </c>
      <c r="CO42" s="108">
        <v>70.017061484184524</v>
      </c>
    </row>
    <row r="43" spans="2:93" ht="14.4">
      <c r="B43" s="2" t="s">
        <v>14</v>
      </c>
      <c r="C43" s="104">
        <v>0</v>
      </c>
      <c r="D43" s="104">
        <v>0</v>
      </c>
      <c r="E43" s="68">
        <v>2295.7981604995725</v>
      </c>
      <c r="F43" s="68">
        <v>2557.2887805594441</v>
      </c>
      <c r="G43" s="68">
        <v>2829.128483358199</v>
      </c>
      <c r="H43" s="68">
        <v>3213.6497434341127</v>
      </c>
      <c r="I43" s="68">
        <v>3490.8435543089563</v>
      </c>
      <c r="J43" s="68">
        <v>4132.4263083542764</v>
      </c>
      <c r="K43" s="68">
        <v>4513.3375836908899</v>
      </c>
      <c r="L43" s="1"/>
      <c r="M43" s="1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G43" s="105">
        <v>0.28004635258540944</v>
      </c>
      <c r="BH43" s="105">
        <v>0.27590345756955931</v>
      </c>
      <c r="BI43" s="105">
        <v>0.27228723444814246</v>
      </c>
      <c r="BJ43" s="105">
        <v>0.2635307129360358</v>
      </c>
      <c r="BK43" s="105">
        <v>0.25608651103684332</v>
      </c>
      <c r="BL43" s="105">
        <v>0.25543793743891724</v>
      </c>
      <c r="BM43" s="105">
        <v>0.25483360588192522</v>
      </c>
      <c r="BN43" s="105">
        <v>0.25426913875913176</v>
      </c>
      <c r="BO43" s="105">
        <v>0.25374071755700139</v>
      </c>
      <c r="BP43" s="105">
        <v>0.25145148454717653</v>
      </c>
      <c r="BQ43" s="105">
        <v>0.24926547829397372</v>
      </c>
      <c r="BR43" s="105">
        <v>0.24717587064967475</v>
      </c>
      <c r="BS43" s="105">
        <v>0.24517642269071668</v>
      </c>
      <c r="BT43" s="105">
        <v>0.24326142250218674</v>
      </c>
      <c r="BU43" s="105">
        <v>0.24142563068240236</v>
      </c>
      <c r="BV43" s="105">
        <v>0.21650279673088796</v>
      </c>
      <c r="BW43" s="105">
        <v>0.22369439675532252</v>
      </c>
      <c r="BY43" s="108">
        <v>77.494279125932735</v>
      </c>
      <c r="BZ43" s="108">
        <v>83.873225819384061</v>
      </c>
      <c r="CA43" s="108">
        <v>90.252172512834932</v>
      </c>
      <c r="CB43" s="108">
        <v>94.314954546192894</v>
      </c>
      <c r="CC43" s="108">
        <v>98.377736579551311</v>
      </c>
      <c r="CD43" s="108">
        <v>103.71596821693856</v>
      </c>
      <c r="CE43" s="108">
        <v>109.05419985432627</v>
      </c>
      <c r="CF43" s="108">
        <v>114.39243149171352</v>
      </c>
      <c r="CG43" s="108">
        <v>119.73066312910123</v>
      </c>
      <c r="CH43" s="108">
        <v>121.87107359003085</v>
      </c>
      <c r="CI43" s="108">
        <v>124.01148405096046</v>
      </c>
      <c r="CJ43" s="108">
        <v>126.15189451189053</v>
      </c>
      <c r="CK43" s="108">
        <v>128.2923049728206</v>
      </c>
      <c r="CL43" s="108">
        <v>130.43271543375022</v>
      </c>
      <c r="CM43" s="108">
        <v>132.57312589468074</v>
      </c>
      <c r="CN43" s="108">
        <v>159.2989455772522</v>
      </c>
      <c r="CO43" s="108">
        <v>183.19239153862327</v>
      </c>
    </row>
    <row r="44" spans="2:93" ht="14.4">
      <c r="B44" s="2" t="s">
        <v>15</v>
      </c>
      <c r="C44" s="104">
        <v>0</v>
      </c>
      <c r="D44" s="104">
        <v>0</v>
      </c>
      <c r="E44" s="68">
        <v>2503.9351085790204</v>
      </c>
      <c r="F44" s="68">
        <v>2788.1840328908484</v>
      </c>
      <c r="G44" s="68">
        <v>3080.5818063196475</v>
      </c>
      <c r="H44" s="68">
        <v>3511.8755809134282</v>
      </c>
      <c r="I44" s="68">
        <v>3817.5038910793678</v>
      </c>
      <c r="J44" s="68">
        <v>4413.6242002076351</v>
      </c>
      <c r="K44" s="68">
        <v>4828.4359802788313</v>
      </c>
      <c r="L44" s="1"/>
      <c r="M44" s="1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G44" s="105">
        <v>0.22293613230079284</v>
      </c>
      <c r="BH44" s="105">
        <v>0.21933838209815956</v>
      </c>
      <c r="BI44" s="105">
        <v>0.21620496761787064</v>
      </c>
      <c r="BJ44" s="105">
        <v>0.20632400323959843</v>
      </c>
      <c r="BK44" s="105">
        <v>0.19812861452111907</v>
      </c>
      <c r="BL44" s="105">
        <v>0.19723113999817413</v>
      </c>
      <c r="BM44" s="105">
        <v>0.19639969953555583</v>
      </c>
      <c r="BN44" s="105">
        <v>0.19562726378876022</v>
      </c>
      <c r="BO44" s="105">
        <v>0.19490776692552819</v>
      </c>
      <c r="BP44" s="105">
        <v>0.19341681409961811</v>
      </c>
      <c r="BQ44" s="105">
        <v>0.19198958647166256</v>
      </c>
      <c r="BR44" s="105">
        <v>0.19062208398283503</v>
      </c>
      <c r="BS44" s="105">
        <v>0.18931063449370658</v>
      </c>
      <c r="BT44" s="105">
        <v>0.18805186085611253</v>
      </c>
      <c r="BU44" s="105">
        <v>0.18684265187468951</v>
      </c>
      <c r="BV44" s="105">
        <v>0.17286536239200306</v>
      </c>
      <c r="BW44" s="105">
        <v>0.17862238158697247</v>
      </c>
      <c r="BY44" s="108">
        <v>246.59311439827434</v>
      </c>
      <c r="BZ44" s="108">
        <v>266.27373511072665</v>
      </c>
      <c r="CA44" s="108">
        <v>285.95435582317896</v>
      </c>
      <c r="CB44" s="108">
        <v>301.83079007810011</v>
      </c>
      <c r="CC44" s="108">
        <v>317.70722433302126</v>
      </c>
      <c r="CD44" s="108">
        <v>332.60077989458068</v>
      </c>
      <c r="CE44" s="108">
        <v>347.49433545614011</v>
      </c>
      <c r="CF44" s="108">
        <v>362.38789101769953</v>
      </c>
      <c r="CG44" s="108">
        <v>377.28144657925895</v>
      </c>
      <c r="CH44" s="108">
        <v>384.0488650091238</v>
      </c>
      <c r="CI44" s="108">
        <v>390.81628343898865</v>
      </c>
      <c r="CJ44" s="108">
        <v>397.5837018688535</v>
      </c>
      <c r="CK44" s="108">
        <v>404.35112029871834</v>
      </c>
      <c r="CL44" s="108">
        <v>411.11853872858319</v>
      </c>
      <c r="CM44" s="108">
        <v>417.88595715844804</v>
      </c>
      <c r="CN44" s="108">
        <v>454.05878184962148</v>
      </c>
      <c r="CO44" s="108">
        <v>516.78400074518322</v>
      </c>
    </row>
    <row r="45" spans="2:93" ht="14.4">
      <c r="B45" s="2" t="s">
        <v>16</v>
      </c>
      <c r="C45" s="104">
        <v>0</v>
      </c>
      <c r="D45" s="104">
        <v>0</v>
      </c>
      <c r="E45" s="68">
        <v>2618.0012005507565</v>
      </c>
      <c r="F45" s="68">
        <v>2920.2414027399423</v>
      </c>
      <c r="G45" s="68">
        <v>3229.3807453372847</v>
      </c>
      <c r="H45" s="68">
        <v>3689.7433066226567</v>
      </c>
      <c r="I45" s="68">
        <v>4015.9339915526084</v>
      </c>
      <c r="J45" s="68">
        <v>4642.3599702469137</v>
      </c>
      <c r="K45" s="68">
        <v>5086.0144154213731</v>
      </c>
      <c r="L45" s="1"/>
      <c r="M45" s="1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G45" s="105">
        <v>0.21248061466333501</v>
      </c>
      <c r="BH45" s="105">
        <v>0.20899051366008656</v>
      </c>
      <c r="BI45" s="105">
        <v>0.20595768572226275</v>
      </c>
      <c r="BJ45" s="105">
        <v>0.19672880558223332</v>
      </c>
      <c r="BK45" s="105">
        <v>0.18906776105951489</v>
      </c>
      <c r="BL45" s="105">
        <v>0.18826345433254013</v>
      </c>
      <c r="BM45" s="105">
        <v>0.18751881290384817</v>
      </c>
      <c r="BN45" s="105">
        <v>0.18682743505943103</v>
      </c>
      <c r="BO45" s="105">
        <v>0.18618380328098291</v>
      </c>
      <c r="BP45" s="105">
        <v>0.18471126401924373</v>
      </c>
      <c r="BQ45" s="105">
        <v>0.18330300796883689</v>
      </c>
      <c r="BR45" s="105">
        <v>0.18195491565365085</v>
      </c>
      <c r="BS45" s="105">
        <v>0.1806632122218336</v>
      </c>
      <c r="BT45" s="105">
        <v>0.17942443214614132</v>
      </c>
      <c r="BU45" s="105">
        <v>0.17823538817605128</v>
      </c>
      <c r="BV45" s="105">
        <v>0.16608057763500678</v>
      </c>
      <c r="BW45" s="105">
        <v>0.17157838416564264</v>
      </c>
      <c r="BY45" s="108">
        <v>415.25173960694156</v>
      </c>
      <c r="BZ45" s="108">
        <v>447.31006222914721</v>
      </c>
      <c r="CA45" s="108">
        <v>479.3683848513524</v>
      </c>
      <c r="CB45" s="108">
        <v>506.49970789725467</v>
      </c>
      <c r="CC45" s="108">
        <v>533.63103094315647</v>
      </c>
      <c r="CD45" s="108">
        <v>558.44153801761331</v>
      </c>
      <c r="CE45" s="108">
        <v>583.25204509207106</v>
      </c>
      <c r="CF45" s="108">
        <v>608.06255216652835</v>
      </c>
      <c r="CG45" s="108">
        <v>632.87305924098564</v>
      </c>
      <c r="CH45" s="108">
        <v>644.221924161478</v>
      </c>
      <c r="CI45" s="108">
        <v>655.57078908197036</v>
      </c>
      <c r="CJ45" s="108">
        <v>666.91965400246318</v>
      </c>
      <c r="CK45" s="108">
        <v>678.26851892295554</v>
      </c>
      <c r="CL45" s="108">
        <v>689.61738384344699</v>
      </c>
      <c r="CM45" s="108">
        <v>700.9662487639398</v>
      </c>
      <c r="CN45" s="108">
        <v>739.2478693605517</v>
      </c>
      <c r="CO45" s="108">
        <v>837.97446884550118</v>
      </c>
    </row>
    <row r="46" spans="2:93" ht="14.4">
      <c r="B46" s="2" t="s">
        <v>17</v>
      </c>
      <c r="C46" s="104">
        <v>0</v>
      </c>
      <c r="D46" s="104">
        <v>0</v>
      </c>
      <c r="E46" s="68">
        <v>2773.5132519173299</v>
      </c>
      <c r="F46" s="68">
        <v>3099.6821810584684</v>
      </c>
      <c r="G46" s="68">
        <v>3446.3999851996673</v>
      </c>
      <c r="H46" s="68">
        <v>3949.8865901067957</v>
      </c>
      <c r="I46" s="68">
        <v>4302.9765794763098</v>
      </c>
      <c r="J46" s="68">
        <v>4967.1453753279893</v>
      </c>
      <c r="K46" s="68">
        <v>5455.0842724031882</v>
      </c>
      <c r="L46" s="1"/>
      <c r="M46" s="1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G46" s="105">
        <v>0.18916285704493993</v>
      </c>
      <c r="BH46" s="105">
        <v>0.18591605650724446</v>
      </c>
      <c r="BI46" s="105">
        <v>0.18310395783869868</v>
      </c>
      <c r="BJ46" s="105">
        <v>0.17492924674593724</v>
      </c>
      <c r="BK46" s="105">
        <v>0.16817633532872914</v>
      </c>
      <c r="BL46" s="105">
        <v>0.16751945163485671</v>
      </c>
      <c r="BM46" s="105">
        <v>0.16691188655026309</v>
      </c>
      <c r="BN46" s="105">
        <v>0.16634828679886773</v>
      </c>
      <c r="BO46" s="105">
        <v>0.16582404681138796</v>
      </c>
      <c r="BP46" s="105">
        <v>0.16441174906510825</v>
      </c>
      <c r="BQ46" s="105">
        <v>0.16306315029104471</v>
      </c>
      <c r="BR46" s="105">
        <v>0.16177403600299012</v>
      </c>
      <c r="BS46" s="105">
        <v>0.16054055548036963</v>
      </c>
      <c r="BT46" s="105">
        <v>0.15935918335003724</v>
      </c>
      <c r="BU46" s="105">
        <v>0.15822668593628744</v>
      </c>
      <c r="BV46" s="105">
        <v>0.14911216500335872</v>
      </c>
      <c r="BW46" s="105">
        <v>0.15403203214063671</v>
      </c>
      <c r="BY46" s="108">
        <v>542.5067222133116</v>
      </c>
      <c r="BZ46" s="108">
        <v>584.4592621844331</v>
      </c>
      <c r="CA46" s="108">
        <v>626.4118021555546</v>
      </c>
      <c r="CB46" s="108">
        <v>666.36407291977594</v>
      </c>
      <c r="CC46" s="108">
        <v>706.31634368399682</v>
      </c>
      <c r="CD46" s="108">
        <v>739.64654865760895</v>
      </c>
      <c r="CE46" s="108">
        <v>772.97675363122062</v>
      </c>
      <c r="CF46" s="108">
        <v>806.30695860483229</v>
      </c>
      <c r="CG46" s="108">
        <v>839.63716357844532</v>
      </c>
      <c r="CH46" s="108">
        <v>854.72009430432763</v>
      </c>
      <c r="CI46" s="108">
        <v>869.80302503020994</v>
      </c>
      <c r="CJ46" s="108">
        <v>884.88595575609224</v>
      </c>
      <c r="CK46" s="108">
        <v>899.96888648197364</v>
      </c>
      <c r="CL46" s="108">
        <v>915.05181720785504</v>
      </c>
      <c r="CM46" s="108">
        <v>930.13474793373734</v>
      </c>
      <c r="CN46" s="108">
        <v>1000.5388132031376</v>
      </c>
      <c r="CO46" s="108">
        <v>1133.7852364659357</v>
      </c>
    </row>
    <row r="47" spans="2:93" ht="14.4">
      <c r="B47" s="2" t="s">
        <v>18</v>
      </c>
      <c r="C47" s="104">
        <v>0</v>
      </c>
      <c r="D47" s="104">
        <v>0</v>
      </c>
      <c r="E47" s="68">
        <v>3121.8655921733825</v>
      </c>
      <c r="F47" s="68">
        <v>3502.0153054595539</v>
      </c>
      <c r="G47" s="68">
        <v>3868.5783490463059</v>
      </c>
      <c r="H47" s="68">
        <v>4459.2225573048609</v>
      </c>
      <c r="I47" s="68">
        <v>4879.7878112700555</v>
      </c>
      <c r="J47" s="68">
        <v>5606.8191754226082</v>
      </c>
      <c r="K47" s="68">
        <v>6184.9593855725498</v>
      </c>
      <c r="L47" s="1"/>
      <c r="M47" s="1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G47" s="105">
        <v>0.15638704286078856</v>
      </c>
      <c r="BH47" s="105">
        <v>0.15364150606475516</v>
      </c>
      <c r="BI47" s="105">
        <v>0.15127402225958694</v>
      </c>
      <c r="BJ47" s="105">
        <v>0.14492098116431781</v>
      </c>
      <c r="BK47" s="105">
        <v>0.13961323031285575</v>
      </c>
      <c r="BL47" s="105">
        <v>0.13919676178479068</v>
      </c>
      <c r="BM47" s="105">
        <v>0.13881205145868777</v>
      </c>
      <c r="BN47" s="105">
        <v>0.138455600124684</v>
      </c>
      <c r="BO47" s="105">
        <v>0.13812440443184712</v>
      </c>
      <c r="BP47" s="105">
        <v>0.13692046724070622</v>
      </c>
      <c r="BQ47" s="105">
        <v>0.13577309572622401</v>
      </c>
      <c r="BR47" s="105">
        <v>0.13467839487488911</v>
      </c>
      <c r="BS47" s="105">
        <v>0.13363281925442552</v>
      </c>
      <c r="BT47" s="105">
        <v>0.1326331346554003</v>
      </c>
      <c r="BU47" s="105">
        <v>0.1316763846750986</v>
      </c>
      <c r="BV47" s="105">
        <v>0.12556616704028442</v>
      </c>
      <c r="BW47" s="105">
        <v>0.12984681455299649</v>
      </c>
      <c r="BY47" s="108">
        <v>780.3570671926509</v>
      </c>
      <c r="BZ47" s="108">
        <v>840.6982891183693</v>
      </c>
      <c r="CA47" s="108">
        <v>901.0395110440877</v>
      </c>
      <c r="CB47" s="108">
        <v>954.54527687305881</v>
      </c>
      <c r="CC47" s="108">
        <v>1008.0510427020308</v>
      </c>
      <c r="CD47" s="108">
        <v>1056.7561854526784</v>
      </c>
      <c r="CE47" s="108">
        <v>1105.4613282033265</v>
      </c>
      <c r="CF47" s="108">
        <v>1154.1664709539746</v>
      </c>
      <c r="CG47" s="108">
        <v>1202.8716137046222</v>
      </c>
      <c r="CH47" s="108">
        <v>1225.3794998270741</v>
      </c>
      <c r="CI47" s="108">
        <v>1247.887385949527</v>
      </c>
      <c r="CJ47" s="108">
        <v>1270.3952720719808</v>
      </c>
      <c r="CK47" s="108">
        <v>1292.9031581944328</v>
      </c>
      <c r="CL47" s="108">
        <v>1315.4110443168847</v>
      </c>
      <c r="CM47" s="108">
        <v>1337.9189304393385</v>
      </c>
      <c r="CN47" s="108">
        <v>1455.8139993118366</v>
      </c>
      <c r="CO47" s="108">
        <v>1652.5447372554518</v>
      </c>
    </row>
    <row r="48" spans="2:93" ht="14.4">
      <c r="B48" s="2" t="s">
        <v>19</v>
      </c>
      <c r="C48" s="104">
        <v>0</v>
      </c>
      <c r="D48" s="104">
        <v>0</v>
      </c>
      <c r="E48" s="68">
        <v>3708.3241838116051</v>
      </c>
      <c r="F48" s="68">
        <v>4177.974339929804</v>
      </c>
      <c r="G48" s="68">
        <v>4610.0307874163937</v>
      </c>
      <c r="H48" s="68">
        <v>5349.8111899953647</v>
      </c>
      <c r="I48" s="68">
        <v>5908.728989390559</v>
      </c>
      <c r="J48" s="68">
        <v>6716.6043102756803</v>
      </c>
      <c r="K48" s="68">
        <v>7447.2538413730208</v>
      </c>
      <c r="L48" s="1"/>
      <c r="M48" s="1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G48" s="105">
        <v>0.1227625101411859</v>
      </c>
      <c r="BH48" s="105">
        <v>0.1213717296462388</v>
      </c>
      <c r="BI48" s="105">
        <v>0.12016342332130224</v>
      </c>
      <c r="BJ48" s="105">
        <v>0.11759842934990214</v>
      </c>
      <c r="BK48" s="105">
        <v>0.11536662466284761</v>
      </c>
      <c r="BL48" s="105">
        <v>0.11516199093773302</v>
      </c>
      <c r="BM48" s="105">
        <v>0.11497320265924893</v>
      </c>
      <c r="BN48" s="105">
        <v>0.11479848798151082</v>
      </c>
      <c r="BO48" s="105">
        <v>0.11463632973747008</v>
      </c>
      <c r="BP48" s="105">
        <v>0.11353748197575959</v>
      </c>
      <c r="BQ48" s="105">
        <v>0.11249544440960944</v>
      </c>
      <c r="BR48" s="105">
        <v>0.11150592244137134</v>
      </c>
      <c r="BS48" s="105">
        <v>0.11056504370374763</v>
      </c>
      <c r="BT48" s="105">
        <v>0.10966930741428577</v>
      </c>
      <c r="BU48" s="105">
        <v>0.10881554084885829</v>
      </c>
      <c r="BV48" s="105">
        <v>0.10506275988794953</v>
      </c>
      <c r="BW48" s="105">
        <v>0.10884233562539797</v>
      </c>
      <c r="BY48" s="108">
        <v>1221.6367177063125</v>
      </c>
      <c r="BZ48" s="108">
        <v>1315.8432612363731</v>
      </c>
      <c r="CA48" s="108">
        <v>1410.0498047664332</v>
      </c>
      <c r="CB48" s="108">
        <v>1483.6977220326244</v>
      </c>
      <c r="CC48" s="108">
        <v>1557.3456392988137</v>
      </c>
      <c r="CD48" s="108">
        <v>1633.936539719165</v>
      </c>
      <c r="CE48" s="108">
        <v>1710.5274401395181</v>
      </c>
      <c r="CF48" s="108">
        <v>1787.1183405598713</v>
      </c>
      <c r="CG48" s="108">
        <v>1863.7092409802226</v>
      </c>
      <c r="CH48" s="108">
        <v>1902.4107089588615</v>
      </c>
      <c r="CI48" s="108">
        <v>1941.1121769375004</v>
      </c>
      <c r="CJ48" s="108">
        <v>1979.8136449161393</v>
      </c>
      <c r="CK48" s="108">
        <v>2018.5151128947782</v>
      </c>
      <c r="CL48" s="108">
        <v>2057.2165808734153</v>
      </c>
      <c r="CM48" s="108">
        <v>2095.9180488520542</v>
      </c>
      <c r="CN48" s="108">
        <v>2281.6501133989495</v>
      </c>
      <c r="CO48" s="108">
        <v>2592.9529643795913</v>
      </c>
    </row>
    <row r="49" spans="2:93" ht="14.4">
      <c r="B49" s="2" t="s">
        <v>20</v>
      </c>
      <c r="C49" s="104">
        <v>0</v>
      </c>
      <c r="D49" s="104">
        <v>0</v>
      </c>
      <c r="E49" s="68">
        <v>4451.6905889208874</v>
      </c>
      <c r="F49" s="68">
        <v>5044.6251540299272</v>
      </c>
      <c r="G49" s="68">
        <v>5594.1961272037506</v>
      </c>
      <c r="H49" s="68">
        <v>6528.7936270767459</v>
      </c>
      <c r="I49" s="68">
        <v>7269.3596948639015</v>
      </c>
      <c r="J49" s="68">
        <v>8237.8639476519456</v>
      </c>
      <c r="K49" s="68">
        <v>9158.3163759550753</v>
      </c>
      <c r="L49" s="1"/>
      <c r="M49" s="1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G49" s="105">
        <v>0.11196846224549929</v>
      </c>
      <c r="BH49" s="105">
        <v>0.11105010897864069</v>
      </c>
      <c r="BI49" s="105">
        <v>0.11025211965737222</v>
      </c>
      <c r="BJ49" s="105">
        <v>0.10829416380274029</v>
      </c>
      <c r="BK49" s="105">
        <v>0.10658724679767341</v>
      </c>
      <c r="BL49" s="105">
        <v>0.1073950109557391</v>
      </c>
      <c r="BM49" s="105">
        <v>0.1081514424393596</v>
      </c>
      <c r="BN49" s="105">
        <v>0.10886128377382152</v>
      </c>
      <c r="BO49" s="105">
        <v>0.1095287107345473</v>
      </c>
      <c r="BP49" s="105">
        <v>0.10857332872061909</v>
      </c>
      <c r="BQ49" s="105">
        <v>0.10766838963838755</v>
      </c>
      <c r="BR49" s="105">
        <v>0.1068100012581024</v>
      </c>
      <c r="BS49" s="105">
        <v>0.10599466174693138</v>
      </c>
      <c r="BT49" s="105">
        <v>0.10521921191949714</v>
      </c>
      <c r="BU49" s="105">
        <v>0.10448079432935733</v>
      </c>
      <c r="BV49" s="105">
        <v>0.10116209516898017</v>
      </c>
      <c r="BW49" s="105">
        <v>0.10485893894359238</v>
      </c>
      <c r="BY49" s="108">
        <v>1849.3836660864999</v>
      </c>
      <c r="BZ49" s="108">
        <v>1993.8129989760764</v>
      </c>
      <c r="CA49" s="108">
        <v>2138.2423318656511</v>
      </c>
      <c r="CB49" s="108">
        <v>2255.0849061764293</v>
      </c>
      <c r="CC49" s="108">
        <v>2371.9274804872084</v>
      </c>
      <c r="CD49" s="108">
        <v>2489.1093665117523</v>
      </c>
      <c r="CE49" s="108">
        <v>2606.2912525362954</v>
      </c>
      <c r="CF49" s="108">
        <v>2723.4731385608384</v>
      </c>
      <c r="CG49" s="108">
        <v>2840.6550245853823</v>
      </c>
      <c r="CH49" s="108">
        <v>2904.5326792611713</v>
      </c>
      <c r="CI49" s="108">
        <v>2968.4103339369603</v>
      </c>
      <c r="CJ49" s="108">
        <v>3032.2879886127494</v>
      </c>
      <c r="CK49" s="108">
        <v>3096.1656432885384</v>
      </c>
      <c r="CL49" s="108">
        <v>3160.0432979643265</v>
      </c>
      <c r="CM49" s="108">
        <v>3223.9209526401137</v>
      </c>
      <c r="CN49" s="108">
        <v>3523.6408496673903</v>
      </c>
      <c r="CO49" s="108">
        <v>3996.532970562861</v>
      </c>
    </row>
    <row r="50" spans="2:93" ht="14.4">
      <c r="B50" s="2" t="s">
        <v>21</v>
      </c>
      <c r="C50" s="104">
        <v>0</v>
      </c>
      <c r="D50" s="104">
        <v>0</v>
      </c>
      <c r="E50" s="68">
        <v>4961.3869230235878</v>
      </c>
      <c r="F50" s="68">
        <v>5633.6980439101317</v>
      </c>
      <c r="G50" s="68">
        <v>6232.7519195722598</v>
      </c>
      <c r="H50" s="68">
        <v>7300.7579294569805</v>
      </c>
      <c r="I50" s="68">
        <v>8137.4120180738182</v>
      </c>
      <c r="J50" s="68">
        <v>9188.1098561907693</v>
      </c>
      <c r="K50" s="68">
        <v>10243.091302368352</v>
      </c>
      <c r="L50" s="1"/>
      <c r="M50" s="1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G50" s="105">
        <v>9.5686728725628625E-2</v>
      </c>
      <c r="BH50" s="105">
        <v>9.5115997633393498E-2</v>
      </c>
      <c r="BI50" s="105">
        <v>9.4618984756557833E-2</v>
      </c>
      <c r="BJ50" s="105">
        <v>9.2783237842950284E-2</v>
      </c>
      <c r="BK50" s="105">
        <v>9.1184167079278608E-2</v>
      </c>
      <c r="BL50" s="105">
        <v>9.217151562300209E-2</v>
      </c>
      <c r="BM50" s="105">
        <v>9.310005512907156E-2</v>
      </c>
      <c r="BN50" s="105">
        <v>9.3974887873109023E-2</v>
      </c>
      <c r="BO50" s="105">
        <v>9.480054248882154E-2</v>
      </c>
      <c r="BP50" s="105">
        <v>9.3938793327161679E-2</v>
      </c>
      <c r="BQ50" s="105">
        <v>9.3123435478994973E-2</v>
      </c>
      <c r="BR50" s="105">
        <v>9.2350820998275199E-2</v>
      </c>
      <c r="BS50" s="105">
        <v>9.1617674641226887E-2</v>
      </c>
      <c r="BT50" s="105">
        <v>9.0921047454133694E-2</v>
      </c>
      <c r="BU50" s="105">
        <v>9.0258277128183032E-2</v>
      </c>
      <c r="BV50" s="105">
        <v>8.6642691309047323E-2</v>
      </c>
      <c r="BW50" s="105">
        <v>9.0769785201094841E-2</v>
      </c>
      <c r="BY50" s="108">
        <v>2440.8948142399258</v>
      </c>
      <c r="BZ50" s="108">
        <v>2633.1574344042428</v>
      </c>
      <c r="CA50" s="108">
        <v>2825.4200545685599</v>
      </c>
      <c r="CB50" s="108">
        <v>2981.6783889157832</v>
      </c>
      <c r="CC50" s="108">
        <v>3137.9367232630093</v>
      </c>
      <c r="CD50" s="108">
        <v>3293.8535225036449</v>
      </c>
      <c r="CE50" s="108">
        <v>3449.7703217442795</v>
      </c>
      <c r="CF50" s="108">
        <v>3605.6871209849141</v>
      </c>
      <c r="CG50" s="108">
        <v>3761.6039202255497</v>
      </c>
      <c r="CH50" s="108">
        <v>3847.3325839237968</v>
      </c>
      <c r="CI50" s="108">
        <v>3933.061247622044</v>
      </c>
      <c r="CJ50" s="108">
        <v>4018.7899113202911</v>
      </c>
      <c r="CK50" s="108">
        <v>4104.5185750185383</v>
      </c>
      <c r="CL50" s="108">
        <v>4190.2472387167854</v>
      </c>
      <c r="CM50" s="108">
        <v>4275.9759024150335</v>
      </c>
      <c r="CN50" s="108">
        <v>4690.320727205808</v>
      </c>
      <c r="CO50" s="108">
        <v>5316.3144745949048</v>
      </c>
    </row>
    <row r="51" spans="2:93" ht="14.4">
      <c r="L51" s="1"/>
      <c r="M51" s="1"/>
      <c r="V51" s="107"/>
    </row>
    <row r="52" spans="2:93" ht="14.4">
      <c r="B52" s="75" t="s">
        <v>334</v>
      </c>
      <c r="L52" s="1"/>
      <c r="M52" s="1"/>
    </row>
    <row r="53" spans="2:93" ht="14.4">
      <c r="C53" s="98" t="s">
        <v>202</v>
      </c>
      <c r="D53" s="67" t="s">
        <v>173</v>
      </c>
      <c r="E53" s="171" t="s">
        <v>174</v>
      </c>
      <c r="F53" s="172"/>
      <c r="G53" s="173" t="s">
        <v>136</v>
      </c>
      <c r="H53" s="174"/>
      <c r="I53" s="174"/>
      <c r="J53" s="176" t="s">
        <v>323</v>
      </c>
      <c r="K53" s="177"/>
      <c r="L53" s="1"/>
      <c r="M53" s="1"/>
    </row>
    <row r="54" spans="2:93" ht="41.4">
      <c r="B54" s="102" t="s">
        <v>324</v>
      </c>
      <c r="C54" s="103">
        <v>100000</v>
      </c>
      <c r="D54" s="103">
        <v>200000</v>
      </c>
      <c r="E54" s="103" t="s">
        <v>325</v>
      </c>
      <c r="F54" s="103" t="s">
        <v>326</v>
      </c>
      <c r="G54" s="103" t="s">
        <v>327</v>
      </c>
      <c r="H54" s="103" t="s">
        <v>328</v>
      </c>
      <c r="I54" s="103" t="s">
        <v>329</v>
      </c>
      <c r="J54" s="103" t="s">
        <v>330</v>
      </c>
      <c r="K54" s="103" t="s">
        <v>331</v>
      </c>
      <c r="L54" s="1"/>
      <c r="M54" s="1"/>
    </row>
    <row r="55" spans="2:93" ht="14.4">
      <c r="B55" s="2" t="s">
        <v>11</v>
      </c>
      <c r="C55" s="104">
        <v>0</v>
      </c>
      <c r="D55" s="104">
        <v>0</v>
      </c>
      <c r="E55" s="68">
        <v>2794.3787942734834</v>
      </c>
      <c r="F55" s="68">
        <v>3102.820651134713</v>
      </c>
      <c r="G55" s="68">
        <v>3432.5905857297116</v>
      </c>
      <c r="H55" s="68">
        <v>3885.1613083409752</v>
      </c>
      <c r="I55" s="68">
        <v>4213.8939182759786</v>
      </c>
      <c r="J55" s="68">
        <v>4980.5846982697421</v>
      </c>
      <c r="K55" s="68">
        <v>5420.1553818206276</v>
      </c>
      <c r="L55" s="1"/>
      <c r="M55" s="1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G55" s="105">
        <v>0.35128973023994337</v>
      </c>
      <c r="BH55" s="105">
        <v>0.35285220809999285</v>
      </c>
      <c r="BI55" s="105">
        <v>0.35427130811007462</v>
      </c>
      <c r="BJ55" s="105">
        <v>0.33535461818774542</v>
      </c>
      <c r="BK55" s="105">
        <v>0.31991357968956996</v>
      </c>
      <c r="BL55" s="105">
        <v>0.32255480649069362</v>
      </c>
      <c r="BM55" s="105">
        <v>0.32507264438872246</v>
      </c>
      <c r="BN55" s="105">
        <v>0.32747554247631439</v>
      </c>
      <c r="BO55" s="105">
        <v>0.32977119565503016</v>
      </c>
      <c r="BP55" s="105">
        <v>0.32633526550152758</v>
      </c>
      <c r="BQ55" s="105">
        <v>0.32306157531373308</v>
      </c>
      <c r="BR55" s="105">
        <v>0.3199388990049607</v>
      </c>
      <c r="BS55" s="105">
        <v>0.31695702284750621</v>
      </c>
      <c r="BT55" s="105">
        <v>0.314106633871576</v>
      </c>
      <c r="BU55" s="105">
        <v>0.31137922270904028</v>
      </c>
      <c r="BV55" s="105">
        <v>0.28680347603912931</v>
      </c>
      <c r="BW55" s="105">
        <v>0.29468744313221901</v>
      </c>
      <c r="BY55" s="108">
        <v>53.479118793876751</v>
      </c>
      <c r="BZ55" s="108">
        <v>55.079673514194383</v>
      </c>
      <c r="CA55" s="108">
        <v>56.680228234512469</v>
      </c>
      <c r="CB55" s="108">
        <v>58.380267523831208</v>
      </c>
      <c r="CC55" s="108">
        <v>60.080306813149491</v>
      </c>
      <c r="CD55" s="108">
        <v>61.632754609285712</v>
      </c>
      <c r="CE55" s="108">
        <v>63.185202405422388</v>
      </c>
      <c r="CF55" s="108">
        <v>64.737650201558608</v>
      </c>
      <c r="CG55" s="108">
        <v>66.290097997694829</v>
      </c>
      <c r="CH55" s="108">
        <v>66.830305961514568</v>
      </c>
      <c r="CI55" s="108">
        <v>67.370513925334308</v>
      </c>
      <c r="CJ55" s="108">
        <v>67.910721889154047</v>
      </c>
      <c r="CK55" s="108">
        <v>68.450929852973786</v>
      </c>
      <c r="CL55" s="108">
        <v>68.991137816793525</v>
      </c>
      <c r="CM55" s="108">
        <v>69.531345780613265</v>
      </c>
      <c r="CN55" s="108">
        <v>78.679471464079143</v>
      </c>
      <c r="CO55" s="108">
        <v>83.413674552712109</v>
      </c>
    </row>
    <row r="56" spans="2:93" ht="14.4">
      <c r="B56" s="2" t="s">
        <v>12</v>
      </c>
      <c r="C56" s="104">
        <v>0</v>
      </c>
      <c r="D56" s="104">
        <v>0</v>
      </c>
      <c r="E56" s="68">
        <v>2856.1859611634873</v>
      </c>
      <c r="F56" s="68">
        <v>3177.5747149684539</v>
      </c>
      <c r="G56" s="68">
        <v>3516.0158070250391</v>
      </c>
      <c r="H56" s="68">
        <v>3984.0202455192684</v>
      </c>
      <c r="I56" s="68">
        <v>4323.3775594392446</v>
      </c>
      <c r="J56" s="68">
        <v>5112.5515839825512</v>
      </c>
      <c r="K56" s="68">
        <v>5570.320174434547</v>
      </c>
      <c r="L56" s="1"/>
      <c r="M56" s="1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G56" s="105">
        <v>0.32472586525439334</v>
      </c>
      <c r="BH56" s="105">
        <v>0.32362832365546057</v>
      </c>
      <c r="BI56" s="105">
        <v>0.32264810281437867</v>
      </c>
      <c r="BJ56" s="105">
        <v>0.31025495305158551</v>
      </c>
      <c r="BK56" s="105">
        <v>0.29984626072006348</v>
      </c>
      <c r="BL56" s="105">
        <v>0.29990048215411269</v>
      </c>
      <c r="BM56" s="105">
        <v>0.2999513379703741</v>
      </c>
      <c r="BN56" s="105">
        <v>0.29999913210060225</v>
      </c>
      <c r="BO56" s="105">
        <v>0.3000441329505753</v>
      </c>
      <c r="BP56" s="105">
        <v>0.29686840016314248</v>
      </c>
      <c r="BQ56" s="105">
        <v>0.29384415722653551</v>
      </c>
      <c r="BR56" s="105">
        <v>0.29096081702763382</v>
      </c>
      <c r="BS56" s="105">
        <v>0.28820875652477329</v>
      </c>
      <c r="BT56" s="105">
        <v>0.28557920945386334</v>
      </c>
      <c r="BU56" s="105">
        <v>0.28306417305170267</v>
      </c>
      <c r="BV56" s="105">
        <v>0.25368318029070008</v>
      </c>
      <c r="BW56" s="105">
        <v>0.26148393282449478</v>
      </c>
      <c r="BY56" s="108">
        <v>54.364678405926497</v>
      </c>
      <c r="BZ56" s="108">
        <v>57.053446786584118</v>
      </c>
      <c r="CA56" s="108">
        <v>59.742215167242193</v>
      </c>
      <c r="CB56" s="108">
        <v>61.821059691492337</v>
      </c>
      <c r="CC56" s="108">
        <v>63.899904215742481</v>
      </c>
      <c r="CD56" s="108">
        <v>66.48423320977372</v>
      </c>
      <c r="CE56" s="108">
        <v>69.068562203804959</v>
      </c>
      <c r="CF56" s="108">
        <v>71.652891197835743</v>
      </c>
      <c r="CG56" s="108">
        <v>74.237220191866527</v>
      </c>
      <c r="CH56" s="108">
        <v>75.181269276244166</v>
      </c>
      <c r="CI56" s="108">
        <v>76.125318360621804</v>
      </c>
      <c r="CJ56" s="108">
        <v>77.069367444999443</v>
      </c>
      <c r="CK56" s="108">
        <v>78.013416529376627</v>
      </c>
      <c r="CL56" s="108">
        <v>78.957465613753811</v>
      </c>
      <c r="CM56" s="108">
        <v>79.901514698130995</v>
      </c>
      <c r="CN56" s="108">
        <v>92.865896423601953</v>
      </c>
      <c r="CO56" s="108">
        <v>101.88544444890795</v>
      </c>
    </row>
    <row r="57" spans="2:93" ht="14.4">
      <c r="B57" s="2" t="s">
        <v>13</v>
      </c>
      <c r="C57" s="104">
        <v>0</v>
      </c>
      <c r="D57" s="104">
        <v>0</v>
      </c>
      <c r="E57" s="68">
        <v>2940.4708307510209</v>
      </c>
      <c r="F57" s="68">
        <v>3272.7048531022065</v>
      </c>
      <c r="G57" s="68">
        <v>3622.1113021860888</v>
      </c>
      <c r="H57" s="68">
        <v>4106.4852836286309</v>
      </c>
      <c r="I57" s="68">
        <v>4457.6523371334779</v>
      </c>
      <c r="J57" s="68">
        <v>5273.0618842475878</v>
      </c>
      <c r="K57" s="68">
        <v>5747.6387805142394</v>
      </c>
      <c r="L57" s="1"/>
      <c r="M57" s="1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G57" s="105">
        <v>0.31863513118911163</v>
      </c>
      <c r="BH57" s="105">
        <v>0.31748819177092685</v>
      </c>
      <c r="BI57" s="105">
        <v>0.31646470522621151</v>
      </c>
      <c r="BJ57" s="105">
        <v>0.30430909757404939</v>
      </c>
      <c r="BK57" s="105">
        <v>0.29410217822713985</v>
      </c>
      <c r="BL57" s="105">
        <v>0.29413077069149035</v>
      </c>
      <c r="BM57" s="105">
        <v>0.29415757622985012</v>
      </c>
      <c r="BN57" s="105">
        <v>0.29418275728095433</v>
      </c>
      <c r="BO57" s="105">
        <v>0.29420645717413574</v>
      </c>
      <c r="BP57" s="105">
        <v>0.29106536752361289</v>
      </c>
      <c r="BQ57" s="105">
        <v>0.28807498163890993</v>
      </c>
      <c r="BR57" s="105">
        <v>0.28522470786549353</v>
      </c>
      <c r="BS57" s="105">
        <v>0.28250492435587643</v>
      </c>
      <c r="BT57" s="105">
        <v>0.27990687055516289</v>
      </c>
      <c r="BU57" s="105">
        <v>0.27742255293805435</v>
      </c>
      <c r="BV57" s="105">
        <v>0.24931127010318591</v>
      </c>
      <c r="BW57" s="105">
        <v>0.25697908872796055</v>
      </c>
      <c r="BY57" s="108">
        <v>27.499677496428376</v>
      </c>
      <c r="BZ57" s="108">
        <v>30.456292671270148</v>
      </c>
      <c r="CA57" s="108">
        <v>33.412907846111466</v>
      </c>
      <c r="CB57" s="108">
        <v>34.458789169750162</v>
      </c>
      <c r="CC57" s="108">
        <v>35.504670493389312</v>
      </c>
      <c r="CD57" s="108">
        <v>37.936055037131609</v>
      </c>
      <c r="CE57" s="108">
        <v>40.367439580873906</v>
      </c>
      <c r="CF57" s="108">
        <v>42.798824124617113</v>
      </c>
      <c r="CG57" s="108">
        <v>45.23020866835941</v>
      </c>
      <c r="CH57" s="108">
        <v>46.049646700306766</v>
      </c>
      <c r="CI57" s="108">
        <v>46.869084732253668</v>
      </c>
      <c r="CJ57" s="108">
        <v>47.688522764201025</v>
      </c>
      <c r="CK57" s="108">
        <v>48.507960796148836</v>
      </c>
      <c r="CL57" s="108">
        <v>49.327398828096193</v>
      </c>
      <c r="CM57" s="108">
        <v>50.14683686004264</v>
      </c>
      <c r="CN57" s="108">
        <v>59.710316121525466</v>
      </c>
      <c r="CO57" s="108">
        <v>70.017061484183614</v>
      </c>
    </row>
    <row r="58" spans="2:93" ht="14.4">
      <c r="B58" s="2" t="s">
        <v>14</v>
      </c>
      <c r="C58" s="104">
        <v>0</v>
      </c>
      <c r="D58" s="104">
        <v>0</v>
      </c>
      <c r="E58" s="68">
        <v>3020.3845014685676</v>
      </c>
      <c r="F58" s="68">
        <v>3362.8320075197639</v>
      </c>
      <c r="G58" s="68">
        <v>3720.9621219035162</v>
      </c>
      <c r="H58" s="68">
        <v>4223.1492394855359</v>
      </c>
      <c r="I58" s="68">
        <v>4586.2223748384476</v>
      </c>
      <c r="J58" s="68">
        <v>5427.8588539128832</v>
      </c>
      <c r="K58" s="68">
        <v>5923.7518539044422</v>
      </c>
      <c r="L58" s="1"/>
      <c r="M58" s="1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G58" s="105">
        <v>0.2985006679144056</v>
      </c>
      <c r="BH58" s="105">
        <v>0.29714051076881115</v>
      </c>
      <c r="BI58" s="105">
        <v>0.29592938586680978</v>
      </c>
      <c r="BJ58" s="105">
        <v>0.28433261155030665</v>
      </c>
      <c r="BK58" s="105">
        <v>0.27460713582094814</v>
      </c>
      <c r="BL58" s="105">
        <v>0.27456684794036329</v>
      </c>
      <c r="BM58" s="105">
        <v>0.27452911758131204</v>
      </c>
      <c r="BN58" s="105">
        <v>0.27449370870416556</v>
      </c>
      <c r="BO58" s="105">
        <v>0.2744604134485818</v>
      </c>
      <c r="BP58" s="105">
        <v>0.27145938756016069</v>
      </c>
      <c r="BQ58" s="105">
        <v>0.26860421665149292</v>
      </c>
      <c r="BR58" s="105">
        <v>0.26588451978677663</v>
      </c>
      <c r="BS58" s="105">
        <v>0.26329087832350567</v>
      </c>
      <c r="BT58" s="105">
        <v>0.26081472693450169</v>
      </c>
      <c r="BU58" s="105">
        <v>0.25844825911180519</v>
      </c>
      <c r="BV58" s="105">
        <v>0.23413521319253361</v>
      </c>
      <c r="BW58" s="105">
        <v>0.24157783636753868</v>
      </c>
      <c r="BY58" s="108">
        <v>77.494279125932735</v>
      </c>
      <c r="BZ58" s="108">
        <v>83.873225819384061</v>
      </c>
      <c r="CA58" s="108">
        <v>90.252172512835386</v>
      </c>
      <c r="CB58" s="108">
        <v>94.314954546193349</v>
      </c>
      <c r="CC58" s="108">
        <v>98.377736579550856</v>
      </c>
      <c r="CD58" s="108">
        <v>103.71596821693856</v>
      </c>
      <c r="CE58" s="108">
        <v>109.05419985432582</v>
      </c>
      <c r="CF58" s="108">
        <v>114.39243149171398</v>
      </c>
      <c r="CG58" s="108">
        <v>119.73066312910123</v>
      </c>
      <c r="CH58" s="108">
        <v>121.87107359003176</v>
      </c>
      <c r="CI58" s="108">
        <v>124.01148405096228</v>
      </c>
      <c r="CJ58" s="108">
        <v>126.15189451189144</v>
      </c>
      <c r="CK58" s="108">
        <v>128.29230497282151</v>
      </c>
      <c r="CL58" s="108">
        <v>130.43271543375158</v>
      </c>
      <c r="CM58" s="108">
        <v>132.57312589468165</v>
      </c>
      <c r="CN58" s="108">
        <v>159.29894557725311</v>
      </c>
      <c r="CO58" s="108">
        <v>183.19239153862327</v>
      </c>
    </row>
    <row r="59" spans="2:93" ht="14.4">
      <c r="B59" s="2" t="s">
        <v>15</v>
      </c>
      <c r="C59" s="104">
        <v>0</v>
      </c>
      <c r="D59" s="104">
        <v>0</v>
      </c>
      <c r="E59" s="68">
        <v>3210.9789663663487</v>
      </c>
      <c r="F59" s="68">
        <v>3570.3385284374294</v>
      </c>
      <c r="G59" s="68">
        <v>3943.8340718483487</v>
      </c>
      <c r="H59" s="68">
        <v>4488.6980291931532</v>
      </c>
      <c r="I59" s="68">
        <v>4875.5879637960243</v>
      </c>
      <c r="J59" s="68">
        <v>5661.9499638098978</v>
      </c>
      <c r="K59" s="68">
        <v>6184.9822230615027</v>
      </c>
      <c r="L59" s="1"/>
      <c r="M59" s="1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G59" s="105">
        <v>0.24259161649512392</v>
      </c>
      <c r="BH59" s="105">
        <v>0.24100655270287061</v>
      </c>
      <c r="BI59" s="105">
        <v>0.23959861536880567</v>
      </c>
      <c r="BJ59" s="105">
        <v>0.22569851499156188</v>
      </c>
      <c r="BK59" s="105">
        <v>0.21443632745161423</v>
      </c>
      <c r="BL59" s="105">
        <v>0.21423472512465577</v>
      </c>
      <c r="BM59" s="105">
        <v>0.21404649205623699</v>
      </c>
      <c r="BN59" s="105">
        <v>0.21387034105288347</v>
      </c>
      <c r="BO59" s="105">
        <v>0.21370514502434848</v>
      </c>
      <c r="BP59" s="105">
        <v>0.2117069419969492</v>
      </c>
      <c r="BQ59" s="105">
        <v>0.20980003939563571</v>
      </c>
      <c r="BR59" s="105">
        <v>0.20797831953472601</v>
      </c>
      <c r="BS59" s="105">
        <v>0.2062361993505876</v>
      </c>
      <c r="BT59" s="105">
        <v>0.20456857324975466</v>
      </c>
      <c r="BU59" s="105">
        <v>0.20297076313512033</v>
      </c>
      <c r="BV59" s="105">
        <v>0.18662347475138449</v>
      </c>
      <c r="BW59" s="105">
        <v>0.19260591695419382</v>
      </c>
      <c r="BY59" s="108">
        <v>246.59311439827388</v>
      </c>
      <c r="BZ59" s="108">
        <v>266.27373511072665</v>
      </c>
      <c r="CA59" s="108">
        <v>285.95435582317896</v>
      </c>
      <c r="CB59" s="108">
        <v>301.83079007810011</v>
      </c>
      <c r="CC59" s="108">
        <v>317.70722433302126</v>
      </c>
      <c r="CD59" s="108">
        <v>332.60077989458114</v>
      </c>
      <c r="CE59" s="108">
        <v>347.49433545614056</v>
      </c>
      <c r="CF59" s="108">
        <v>362.38789101769999</v>
      </c>
      <c r="CG59" s="108">
        <v>377.28144657925895</v>
      </c>
      <c r="CH59" s="108">
        <v>384.0488650091238</v>
      </c>
      <c r="CI59" s="108">
        <v>390.81628343898865</v>
      </c>
      <c r="CJ59" s="108">
        <v>397.5837018688535</v>
      </c>
      <c r="CK59" s="108">
        <v>404.35112029871834</v>
      </c>
      <c r="CL59" s="108">
        <v>411.1185387285841</v>
      </c>
      <c r="CM59" s="108">
        <v>417.88595715844804</v>
      </c>
      <c r="CN59" s="108">
        <v>454.05878184962148</v>
      </c>
      <c r="CO59" s="108">
        <v>516.78400074518322</v>
      </c>
    </row>
    <row r="60" spans="2:93" ht="14.4">
      <c r="B60" s="2" t="s">
        <v>16</v>
      </c>
      <c r="C60" s="104">
        <v>0</v>
      </c>
      <c r="D60" s="104">
        <v>0</v>
      </c>
      <c r="E60" s="68">
        <v>3325.0450583380839</v>
      </c>
      <c r="F60" s="68">
        <v>3702.3958982865224</v>
      </c>
      <c r="G60" s="68">
        <v>4092.6330108659854</v>
      </c>
      <c r="H60" s="68">
        <v>4666.5657549023836</v>
      </c>
      <c r="I60" s="68">
        <v>5074.0180642692649</v>
      </c>
      <c r="J60" s="68">
        <v>5890.6857338491764</v>
      </c>
      <c r="K60" s="68">
        <v>6442.5606582040436</v>
      </c>
      <c r="L60" s="1"/>
      <c r="M60" s="1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G60" s="105">
        <v>0.22673272507071865</v>
      </c>
      <c r="BH60" s="105">
        <v>0.2251942743659722</v>
      </c>
      <c r="BI60" s="105">
        <v>0.22383031022516886</v>
      </c>
      <c r="BJ60" s="105">
        <v>0.21103893719039823</v>
      </c>
      <c r="BK60" s="105">
        <v>0.20066485608567136</v>
      </c>
      <c r="BL60" s="105">
        <v>0.20050060753704038</v>
      </c>
      <c r="BM60" s="105">
        <v>0.20034736396298691</v>
      </c>
      <c r="BN60" s="105">
        <v>0.20020405518330736</v>
      </c>
      <c r="BO60" s="105">
        <v>0.20006974542087</v>
      </c>
      <c r="BP60" s="105">
        <v>0.19814972689404875</v>
      </c>
      <c r="BQ60" s="105">
        <v>0.19631898600500633</v>
      </c>
      <c r="BR60" s="105">
        <v>0.19457143734402116</v>
      </c>
      <c r="BS60" s="105">
        <v>0.19290153627879855</v>
      </c>
      <c r="BT60" s="105">
        <v>0.19130422019003615</v>
      </c>
      <c r="BU60" s="105">
        <v>0.18977485720686818</v>
      </c>
      <c r="BV60" s="105">
        <v>0.17564672929947361</v>
      </c>
      <c r="BW60" s="105">
        <v>0.18124327706198956</v>
      </c>
      <c r="BY60" s="108">
        <v>415.25173960694156</v>
      </c>
      <c r="BZ60" s="108">
        <v>447.31006222914675</v>
      </c>
      <c r="CA60" s="108">
        <v>479.36838485135286</v>
      </c>
      <c r="CB60" s="108">
        <v>506.49970789725421</v>
      </c>
      <c r="CC60" s="108">
        <v>533.63103094315647</v>
      </c>
      <c r="CD60" s="108">
        <v>558.44153801761377</v>
      </c>
      <c r="CE60" s="108">
        <v>583.25204509207106</v>
      </c>
      <c r="CF60" s="108">
        <v>608.06255216652789</v>
      </c>
      <c r="CG60" s="108">
        <v>632.87305924098564</v>
      </c>
      <c r="CH60" s="108">
        <v>644.22192416147755</v>
      </c>
      <c r="CI60" s="108">
        <v>655.57078908196945</v>
      </c>
      <c r="CJ60" s="108">
        <v>666.91965400246136</v>
      </c>
      <c r="CK60" s="108">
        <v>678.26851892295417</v>
      </c>
      <c r="CL60" s="108">
        <v>689.61738384344699</v>
      </c>
      <c r="CM60" s="108">
        <v>700.96624876393889</v>
      </c>
      <c r="CN60" s="108">
        <v>739.2478693605517</v>
      </c>
      <c r="CO60" s="108">
        <v>837.97446884550118</v>
      </c>
    </row>
    <row r="61" spans="2:93" ht="14.4">
      <c r="B61" s="2" t="s">
        <v>17</v>
      </c>
      <c r="C61" s="104">
        <v>0</v>
      </c>
      <c r="D61" s="104">
        <v>0</v>
      </c>
      <c r="E61" s="68">
        <v>3480.5571097046573</v>
      </c>
      <c r="F61" s="68">
        <v>3881.8366766050485</v>
      </c>
      <c r="G61" s="68">
        <v>4309.6522507283689</v>
      </c>
      <c r="H61" s="68">
        <v>4926.7090383865216</v>
      </c>
      <c r="I61" s="68">
        <v>5361.0606521929667</v>
      </c>
      <c r="J61" s="68">
        <v>6215.4711389302529</v>
      </c>
      <c r="K61" s="68">
        <v>6811.6305151858587</v>
      </c>
      <c r="L61" s="1"/>
      <c r="M61" s="1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G61" s="105">
        <v>0.20466699315544795</v>
      </c>
      <c r="BH61" s="105">
        <v>0.20314077628501553</v>
      </c>
      <c r="BI61" s="105">
        <v>0.20179155577514785</v>
      </c>
      <c r="BJ61" s="105">
        <v>0.19030298589478983</v>
      </c>
      <c r="BK61" s="105">
        <v>0.18102006338360851</v>
      </c>
      <c r="BL61" s="105">
        <v>0.18088969659054904</v>
      </c>
      <c r="BM61" s="105">
        <v>0.18076820851994282</v>
      </c>
      <c r="BN61" s="105">
        <v>0.18065472200435467</v>
      </c>
      <c r="BO61" s="105">
        <v>0.18054847173813784</v>
      </c>
      <c r="BP61" s="105">
        <v>0.17871195105510237</v>
      </c>
      <c r="BQ61" s="105">
        <v>0.17696328742870196</v>
      </c>
      <c r="BR61" s="105">
        <v>0.17529632366334161</v>
      </c>
      <c r="BS61" s="105">
        <v>0.17370546477433829</v>
      </c>
      <c r="BT61" s="105">
        <v>0.17218561525099255</v>
      </c>
      <c r="BU61" s="105">
        <v>0.17073212453721243</v>
      </c>
      <c r="BV61" s="105">
        <v>0.15979662252081928</v>
      </c>
      <c r="BW61" s="105">
        <v>0.16485377461592285</v>
      </c>
      <c r="BY61" s="108">
        <v>542.5067222133116</v>
      </c>
      <c r="BZ61" s="108">
        <v>584.4592621844331</v>
      </c>
      <c r="CA61" s="108">
        <v>626.41180215555414</v>
      </c>
      <c r="CB61" s="108">
        <v>666.36407291977548</v>
      </c>
      <c r="CC61" s="108">
        <v>706.31634368399682</v>
      </c>
      <c r="CD61" s="108">
        <v>739.64654865760895</v>
      </c>
      <c r="CE61" s="108">
        <v>772.97675363122107</v>
      </c>
      <c r="CF61" s="108">
        <v>806.3069586048332</v>
      </c>
      <c r="CG61" s="108">
        <v>839.63716357844532</v>
      </c>
      <c r="CH61" s="108">
        <v>854.72009430432718</v>
      </c>
      <c r="CI61" s="108">
        <v>869.80302503020903</v>
      </c>
      <c r="CJ61" s="108">
        <v>884.88595575609088</v>
      </c>
      <c r="CK61" s="108">
        <v>899.96888648197273</v>
      </c>
      <c r="CL61" s="108">
        <v>915.05181720785367</v>
      </c>
      <c r="CM61" s="108">
        <v>930.13474793373643</v>
      </c>
      <c r="CN61" s="108">
        <v>1000.5388132031376</v>
      </c>
      <c r="CO61" s="108">
        <v>1133.7852364659357</v>
      </c>
    </row>
    <row r="62" spans="2:93" ht="14.4">
      <c r="B62" s="2" t="s">
        <v>18</v>
      </c>
      <c r="C62" s="104">
        <v>0</v>
      </c>
      <c r="D62" s="104">
        <v>0</v>
      </c>
      <c r="E62" s="68">
        <v>3828.9094499607099</v>
      </c>
      <c r="F62" s="68">
        <v>4284.1698010061355</v>
      </c>
      <c r="G62" s="68">
        <v>4731.8306145750066</v>
      </c>
      <c r="H62" s="68">
        <v>5436.0450055845868</v>
      </c>
      <c r="I62" s="68">
        <v>5937.8718839867106</v>
      </c>
      <c r="J62" s="68">
        <v>6855.1449390248708</v>
      </c>
      <c r="K62" s="68">
        <v>7541.5056283552203</v>
      </c>
      <c r="L62" s="1"/>
      <c r="M62" s="1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G62" s="105">
        <v>0.17165114213905719</v>
      </c>
      <c r="BH62" s="105">
        <v>0.17028964597775925</v>
      </c>
      <c r="BI62" s="105">
        <v>0.16909097888619304</v>
      </c>
      <c r="BJ62" s="105">
        <v>0.15997005980709322</v>
      </c>
      <c r="BK62" s="105">
        <v>0.15252126438068569</v>
      </c>
      <c r="BL62" s="105">
        <v>0.15248855901405028</v>
      </c>
      <c r="BM62" s="105">
        <v>0.15245813138044081</v>
      </c>
      <c r="BN62" s="105">
        <v>0.15242975154107952</v>
      </c>
      <c r="BO62" s="105">
        <v>0.15240321949959809</v>
      </c>
      <c r="BP62" s="105">
        <v>0.15080515529281488</v>
      </c>
      <c r="BQ62" s="105">
        <v>0.14928650352976108</v>
      </c>
      <c r="BR62" s="105">
        <v>0.14784148836776478</v>
      </c>
      <c r="BS62" s="105">
        <v>0.14646488082575246</v>
      </c>
      <c r="BT62" s="105">
        <v>0.14515193555916001</v>
      </c>
      <c r="BU62" s="105">
        <v>0.14389833620828008</v>
      </c>
      <c r="BV62" s="105">
        <v>0.13645616701780436</v>
      </c>
      <c r="BW62" s="105">
        <v>0.1408660725860513</v>
      </c>
      <c r="BY62" s="108">
        <v>780.35706719265136</v>
      </c>
      <c r="BZ62" s="108">
        <v>840.69828911836976</v>
      </c>
      <c r="CA62" s="108">
        <v>901.0395110440877</v>
      </c>
      <c r="CB62" s="108">
        <v>954.54527687305927</v>
      </c>
      <c r="CC62" s="108">
        <v>1008.0510427020308</v>
      </c>
      <c r="CD62" s="108">
        <v>1056.7561854526784</v>
      </c>
      <c r="CE62" s="108">
        <v>1105.461328203327</v>
      </c>
      <c r="CF62" s="108">
        <v>1154.1664709539746</v>
      </c>
      <c r="CG62" s="108">
        <v>1202.8716137046222</v>
      </c>
      <c r="CH62" s="108">
        <v>1225.3794998270751</v>
      </c>
      <c r="CI62" s="108">
        <v>1247.8873859495279</v>
      </c>
      <c r="CJ62" s="108">
        <v>1270.3952720719808</v>
      </c>
      <c r="CK62" s="108">
        <v>1292.9031581944337</v>
      </c>
      <c r="CL62" s="108">
        <v>1315.4110443168856</v>
      </c>
      <c r="CM62" s="108">
        <v>1337.9189304393376</v>
      </c>
      <c r="CN62" s="108">
        <v>1455.8139993118366</v>
      </c>
      <c r="CO62" s="108">
        <v>1652.5447372554509</v>
      </c>
    </row>
    <row r="63" spans="2:93" ht="14.4">
      <c r="B63" s="2" t="s">
        <v>19</v>
      </c>
      <c r="C63" s="104">
        <v>0</v>
      </c>
      <c r="D63" s="104">
        <v>0</v>
      </c>
      <c r="E63" s="68">
        <v>4415.3680415989329</v>
      </c>
      <c r="F63" s="68">
        <v>4960.1288354763856</v>
      </c>
      <c r="G63" s="68">
        <v>5473.283052945093</v>
      </c>
      <c r="H63" s="68">
        <v>6326.6336382750906</v>
      </c>
      <c r="I63" s="68">
        <v>6966.8130621072141</v>
      </c>
      <c r="J63" s="68">
        <v>7964.9300738779439</v>
      </c>
      <c r="K63" s="68">
        <v>8803.800084155695</v>
      </c>
      <c r="L63" s="1"/>
      <c r="M63" s="1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G63" s="105">
        <v>0.1405098707362028</v>
      </c>
      <c r="BH63" s="105">
        <v>0.1386636894176525</v>
      </c>
      <c r="BI63" s="105">
        <v>0.13706061330990363</v>
      </c>
      <c r="BJ63" s="105">
        <v>0.13129741080837598</v>
      </c>
      <c r="BK63" s="105">
        <v>0.12647781506737346</v>
      </c>
      <c r="BL63" s="105">
        <v>0.12655542886087773</v>
      </c>
      <c r="BM63" s="105">
        <v>0.12662751497306174</v>
      </c>
      <c r="BN63" s="105">
        <v>0.12669464362338573</v>
      </c>
      <c r="BO63" s="105">
        <v>0.12675730920894895</v>
      </c>
      <c r="BP63" s="105">
        <v>0.12529907462505654</v>
      </c>
      <c r="BQ63" s="105">
        <v>0.12391999629699416</v>
      </c>
      <c r="BR63" s="105">
        <v>0.12261379936196924</v>
      </c>
      <c r="BS63" s="105">
        <v>0.1213748551099198</v>
      </c>
      <c r="BT63" s="105">
        <v>0.12019809989911784</v>
      </c>
      <c r="BU63" s="105">
        <v>0.11907896598297026</v>
      </c>
      <c r="BV63" s="105">
        <v>0.11458004041650365</v>
      </c>
      <c r="BW63" s="105">
        <v>0.11844787101553025</v>
      </c>
      <c r="BY63" s="108">
        <v>1221.636717706313</v>
      </c>
      <c r="BZ63" s="108">
        <v>1315.8432612363731</v>
      </c>
      <c r="CA63" s="108">
        <v>1410.0498047664332</v>
      </c>
      <c r="CB63" s="108">
        <v>1483.6977220326226</v>
      </c>
      <c r="CC63" s="108">
        <v>1557.3456392988137</v>
      </c>
      <c r="CD63" s="108">
        <v>1633.936539719165</v>
      </c>
      <c r="CE63" s="108">
        <v>1710.5274401395181</v>
      </c>
      <c r="CF63" s="108">
        <v>1787.1183405598713</v>
      </c>
      <c r="CG63" s="108">
        <v>1863.7092409802226</v>
      </c>
      <c r="CH63" s="108">
        <v>1902.4107089588615</v>
      </c>
      <c r="CI63" s="108">
        <v>1941.1121769374995</v>
      </c>
      <c r="CJ63" s="108">
        <v>1979.8136449161375</v>
      </c>
      <c r="CK63" s="108">
        <v>2018.5151128947755</v>
      </c>
      <c r="CL63" s="108">
        <v>2057.2165808734135</v>
      </c>
      <c r="CM63" s="108">
        <v>2095.9180488520542</v>
      </c>
      <c r="CN63" s="108">
        <v>2281.6501133989495</v>
      </c>
      <c r="CO63" s="108">
        <v>2592.9529643795904</v>
      </c>
    </row>
    <row r="64" spans="2:93" ht="14.4">
      <c r="B64" s="2" t="s">
        <v>20</v>
      </c>
      <c r="C64" s="104">
        <v>0</v>
      </c>
      <c r="D64" s="104">
        <v>0</v>
      </c>
      <c r="E64" s="68">
        <v>5158.7344467082157</v>
      </c>
      <c r="F64" s="68">
        <v>5826.7796495765078</v>
      </c>
      <c r="G64" s="68">
        <v>6457.4483927324491</v>
      </c>
      <c r="H64" s="68">
        <v>7505.6160753564718</v>
      </c>
      <c r="I64" s="68">
        <v>8327.4437675805584</v>
      </c>
      <c r="J64" s="68">
        <v>9486.1897112542083</v>
      </c>
      <c r="K64" s="68">
        <v>10514.862618737747</v>
      </c>
      <c r="L64" s="1"/>
      <c r="M64" s="1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G64" s="105">
        <v>0.12464849342525819</v>
      </c>
      <c r="BH64" s="105">
        <v>0.12321914631000212</v>
      </c>
      <c r="BI64" s="105">
        <v>0.12198075874085221</v>
      </c>
      <c r="BJ64" s="105">
        <v>0.11783461710635171</v>
      </c>
      <c r="BK64" s="105">
        <v>0.11432811975495856</v>
      </c>
      <c r="BL64" s="105">
        <v>0.11451009717771915</v>
      </c>
      <c r="BM64" s="105">
        <v>0.11467893054397829</v>
      </c>
      <c r="BN64" s="105">
        <v>0.11483599429068382</v>
      </c>
      <c r="BO64" s="105">
        <v>0.1149824776811475</v>
      </c>
      <c r="BP64" s="105">
        <v>0.1137406369843779</v>
      </c>
      <c r="BQ64" s="105">
        <v>0.11256768737120258</v>
      </c>
      <c r="BR64" s="105">
        <v>0.11145805096114059</v>
      </c>
      <c r="BS64" s="105">
        <v>0.11040673621217664</v>
      </c>
      <c r="BT64" s="105">
        <v>0.1094092628498177</v>
      </c>
      <c r="BU64" s="105">
        <v>0.10846159804208955</v>
      </c>
      <c r="BV64" s="105">
        <v>0.10473837928666678</v>
      </c>
      <c r="BW64" s="105">
        <v>0.10834651368227567</v>
      </c>
      <c r="BY64" s="108">
        <v>1849.3836660864999</v>
      </c>
      <c r="BZ64" s="108">
        <v>1993.8129989760746</v>
      </c>
      <c r="CA64" s="108">
        <v>2138.2423318656511</v>
      </c>
      <c r="CB64" s="108">
        <v>2255.0849061764302</v>
      </c>
      <c r="CC64" s="108">
        <v>2371.9274804872084</v>
      </c>
      <c r="CD64" s="108">
        <v>2489.1093665117533</v>
      </c>
      <c r="CE64" s="108">
        <v>2606.2912525362954</v>
      </c>
      <c r="CF64" s="108">
        <v>2723.4731385608375</v>
      </c>
      <c r="CG64" s="108">
        <v>2840.6550245853823</v>
      </c>
      <c r="CH64" s="108">
        <v>2904.5326792611704</v>
      </c>
      <c r="CI64" s="108">
        <v>2968.4103339369585</v>
      </c>
      <c r="CJ64" s="108">
        <v>3032.2879886127466</v>
      </c>
      <c r="CK64" s="108">
        <v>3096.1656432885347</v>
      </c>
      <c r="CL64" s="108">
        <v>3160.0432979643247</v>
      </c>
      <c r="CM64" s="108">
        <v>3223.9209526401137</v>
      </c>
      <c r="CN64" s="108">
        <v>3523.6408496673903</v>
      </c>
      <c r="CO64" s="108">
        <v>3996.532970562861</v>
      </c>
    </row>
    <row r="65" spans="2:93" ht="14.4">
      <c r="B65" s="2" t="s">
        <v>21</v>
      </c>
      <c r="C65" s="104">
        <v>0</v>
      </c>
      <c r="D65" s="104">
        <v>0</v>
      </c>
      <c r="E65" s="68">
        <v>5668.4307808109161</v>
      </c>
      <c r="F65" s="68">
        <v>6415.8525394567132</v>
      </c>
      <c r="G65" s="68">
        <v>7096.004185100961</v>
      </c>
      <c r="H65" s="68">
        <v>8277.5803777367055</v>
      </c>
      <c r="I65" s="68">
        <v>9195.4960907904733</v>
      </c>
      <c r="J65" s="68">
        <v>10436.435619793034</v>
      </c>
      <c r="K65" s="68">
        <v>11599.637545151021</v>
      </c>
      <c r="L65" s="1"/>
      <c r="M65" s="1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G65" s="105">
        <v>0.10526207232257849</v>
      </c>
      <c r="BH65" s="105">
        <v>0.10431790212445283</v>
      </c>
      <c r="BI65" s="105">
        <v>0.10349770626717705</v>
      </c>
      <c r="BJ65" s="105">
        <v>0.10096156058988777</v>
      </c>
      <c r="BK65" s="105">
        <v>9.8773179193058391E-2</v>
      </c>
      <c r="BL65" s="105">
        <v>9.8974150888993445E-2</v>
      </c>
      <c r="BM65" s="105">
        <v>9.9160403714007278E-2</v>
      </c>
      <c r="BN65" s="105">
        <v>9.933349752974717E-2</v>
      </c>
      <c r="BO65" s="105">
        <v>9.9494779305821721E-2</v>
      </c>
      <c r="BP65" s="105">
        <v>9.8381411957319503E-2</v>
      </c>
      <c r="BQ65" s="105">
        <v>9.7331081195415239E-2</v>
      </c>
      <c r="BR65" s="105">
        <v>9.6338580895883708E-2</v>
      </c>
      <c r="BS65" s="105">
        <v>9.5399262865820345E-2</v>
      </c>
      <c r="BT65" s="105">
        <v>9.4508964053180905E-2</v>
      </c>
      <c r="BU65" s="105">
        <v>9.3663944862450318E-2</v>
      </c>
      <c r="BV65" s="105">
        <v>9.0686033828595483E-2</v>
      </c>
      <c r="BW65" s="105">
        <v>9.3862490256889419E-2</v>
      </c>
      <c r="BY65" s="108">
        <v>2440.8948142399258</v>
      </c>
      <c r="BZ65" s="108">
        <v>2633.1574344042419</v>
      </c>
      <c r="CA65" s="108">
        <v>2825.4200545685599</v>
      </c>
      <c r="CB65" s="108">
        <v>2981.6783889157859</v>
      </c>
      <c r="CC65" s="108">
        <v>3137.9367232630102</v>
      </c>
      <c r="CD65" s="108">
        <v>3293.8535225036458</v>
      </c>
      <c r="CE65" s="108">
        <v>3449.7703217442813</v>
      </c>
      <c r="CF65" s="108">
        <v>3605.6871209849141</v>
      </c>
      <c r="CG65" s="108">
        <v>3761.6039202255497</v>
      </c>
      <c r="CH65" s="108">
        <v>3847.3325839237959</v>
      </c>
      <c r="CI65" s="108">
        <v>3933.061247622044</v>
      </c>
      <c r="CJ65" s="108">
        <v>4018.7899113202911</v>
      </c>
      <c r="CK65" s="108">
        <v>4104.5185750185392</v>
      </c>
      <c r="CL65" s="108">
        <v>4190.2472387167873</v>
      </c>
      <c r="CM65" s="108">
        <v>4275.9759024150335</v>
      </c>
      <c r="CN65" s="108">
        <v>4690.320727205808</v>
      </c>
      <c r="CO65" s="108">
        <v>5316.3144745949066</v>
      </c>
    </row>
    <row r="66" spans="2:93" ht="14.4">
      <c r="L66" s="1"/>
      <c r="M66" s="1"/>
      <c r="V66" s="107"/>
    </row>
    <row r="67" spans="2:93" ht="14.4">
      <c r="B67" s="75" t="s">
        <v>335</v>
      </c>
      <c r="L67" s="1"/>
      <c r="M67" s="1"/>
    </row>
    <row r="68" spans="2:93" ht="14.4">
      <c r="C68" s="98" t="s">
        <v>202</v>
      </c>
      <c r="D68" s="67" t="s">
        <v>173</v>
      </c>
      <c r="E68" s="171" t="s">
        <v>174</v>
      </c>
      <c r="F68" s="172"/>
      <c r="G68" s="173" t="s">
        <v>136</v>
      </c>
      <c r="H68" s="174"/>
      <c r="I68" s="174"/>
      <c r="J68" s="176" t="s">
        <v>323</v>
      </c>
      <c r="K68" s="177"/>
      <c r="L68" s="1"/>
      <c r="M68" s="1"/>
    </row>
    <row r="69" spans="2:93" ht="41.4">
      <c r="B69" s="102" t="s">
        <v>324</v>
      </c>
      <c r="C69" s="103">
        <v>100000</v>
      </c>
      <c r="D69" s="103">
        <v>200000</v>
      </c>
      <c r="E69" s="103" t="s">
        <v>325</v>
      </c>
      <c r="F69" s="103" t="s">
        <v>326</v>
      </c>
      <c r="G69" s="103" t="s">
        <v>327</v>
      </c>
      <c r="H69" s="103" t="s">
        <v>328</v>
      </c>
      <c r="I69" s="103" t="s">
        <v>329</v>
      </c>
      <c r="J69" s="103" t="s">
        <v>330</v>
      </c>
      <c r="K69" s="103" t="s">
        <v>331</v>
      </c>
      <c r="L69" s="1"/>
      <c r="M69" s="1"/>
    </row>
    <row r="70" spans="2:93" ht="14.4">
      <c r="B70" s="2" t="s">
        <v>11</v>
      </c>
      <c r="C70" s="104">
        <v>0</v>
      </c>
      <c r="D70" s="104">
        <v>0</v>
      </c>
      <c r="E70" s="68">
        <v>3497.227545013408</v>
      </c>
      <c r="F70" s="68">
        <v>3884.1975812862238</v>
      </c>
      <c r="G70" s="68">
        <v>4297.6692151186689</v>
      </c>
      <c r="H70" s="68">
        <v>4864.3758195108549</v>
      </c>
      <c r="I70" s="68">
        <v>5276.4113741895853</v>
      </c>
      <c r="J70" s="68">
        <v>6237.1542674615894</v>
      </c>
      <c r="K70" s="68">
        <v>6788.2572239277715</v>
      </c>
      <c r="L70" s="1"/>
      <c r="M70" s="1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  <c r="AL70" s="107"/>
      <c r="AM70" s="107"/>
      <c r="AN70" s="107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G70" s="105">
        <v>0.37691194210635937</v>
      </c>
      <c r="BH70" s="105">
        <v>0.36888724053963823</v>
      </c>
      <c r="BI70" s="105">
        <v>0.36194884954378104</v>
      </c>
      <c r="BJ70" s="105">
        <v>0.35481503928646302</v>
      </c>
      <c r="BK70" s="105">
        <v>0.34860525363921241</v>
      </c>
      <c r="BL70" s="105">
        <v>0.34663995811541387</v>
      </c>
      <c r="BM70" s="105">
        <v>0.34481626299140139</v>
      </c>
      <c r="BN70" s="105">
        <v>0.34311939685467252</v>
      </c>
      <c r="BO70" s="105">
        <v>0.3415365738088505</v>
      </c>
      <c r="BP70" s="105">
        <v>0.33852025344583381</v>
      </c>
      <c r="BQ70" s="105">
        <v>0.33563742836826965</v>
      </c>
      <c r="BR70" s="105">
        <v>0.33287942815863641</v>
      </c>
      <c r="BS70" s="105">
        <v>0.33023831733757503</v>
      </c>
      <c r="BT70" s="105">
        <v>0.32770681910953631</v>
      </c>
      <c r="BU70" s="105">
        <v>0.32527824840964692</v>
      </c>
      <c r="BV70" s="105">
        <v>0.29545598873355788</v>
      </c>
      <c r="BW70" s="105">
        <v>0.29756443574145619</v>
      </c>
      <c r="BY70" s="108">
        <v>74.001677724280398</v>
      </c>
      <c r="BZ70" s="108">
        <v>76.748708971713313</v>
      </c>
      <c r="CA70" s="108">
        <v>79.495740219146683</v>
      </c>
      <c r="CB70" s="108">
        <v>82.417787126297753</v>
      </c>
      <c r="CC70" s="108">
        <v>85.339834033448369</v>
      </c>
      <c r="CD70" s="108">
        <v>87.72544840968294</v>
      </c>
      <c r="CE70" s="108">
        <v>90.111062785917966</v>
      </c>
      <c r="CF70" s="108">
        <v>92.496677162153901</v>
      </c>
      <c r="CG70" s="108">
        <v>94.882291538388927</v>
      </c>
      <c r="CH70" s="108">
        <v>95.827894828675198</v>
      </c>
      <c r="CI70" s="108">
        <v>96.77349811896147</v>
      </c>
      <c r="CJ70" s="108">
        <v>97.719101409249561</v>
      </c>
      <c r="CK70" s="108">
        <v>98.664704699535832</v>
      </c>
      <c r="CL70" s="108">
        <v>99.610307989822104</v>
      </c>
      <c r="CM70" s="108">
        <v>100.55591128011019</v>
      </c>
      <c r="CN70" s="108">
        <v>115.3701862256039</v>
      </c>
      <c r="CO70" s="108">
        <v>123.3610325694699</v>
      </c>
    </row>
    <row r="71" spans="2:93" ht="14.4">
      <c r="B71" s="2" t="s">
        <v>12</v>
      </c>
      <c r="C71" s="104">
        <v>0</v>
      </c>
      <c r="D71" s="104">
        <v>0</v>
      </c>
      <c r="E71" s="68">
        <v>3584.4758843708228</v>
      </c>
      <c r="F71" s="68">
        <v>3987.2469094170651</v>
      </c>
      <c r="G71" s="68">
        <v>4412.4107971504673</v>
      </c>
      <c r="H71" s="68">
        <v>4998.7038830356305</v>
      </c>
      <c r="I71" s="68">
        <v>5424.3837464334438</v>
      </c>
      <c r="J71" s="68">
        <v>6414.6370882148321</v>
      </c>
      <c r="K71" s="68">
        <v>6987.9982314848685</v>
      </c>
      <c r="L71" s="1"/>
      <c r="M71" s="1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  <c r="AL71" s="107"/>
      <c r="AM71" s="107"/>
      <c r="AN71" s="107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G71" s="105">
        <v>0.34876355533742454</v>
      </c>
      <c r="BH71" s="105">
        <v>0.34747681980158224</v>
      </c>
      <c r="BI71" s="105">
        <v>0.3463281412454281</v>
      </c>
      <c r="BJ71" s="105">
        <v>0.33937162349474242</v>
      </c>
      <c r="BK71" s="105">
        <v>0.33332149459416438</v>
      </c>
      <c r="BL71" s="105">
        <v>0.33141127636166234</v>
      </c>
      <c r="BM71" s="105">
        <v>0.32963984538053359</v>
      </c>
      <c r="BN71" s="105">
        <v>0.32799260644030998</v>
      </c>
      <c r="BO71" s="105">
        <v>0.32645694151326893</v>
      </c>
      <c r="BP71" s="105">
        <v>0.32174003065993317</v>
      </c>
      <c r="BQ71" s="105">
        <v>0.31728222287798885</v>
      </c>
      <c r="BR71" s="105">
        <v>0.3130627397946098</v>
      </c>
      <c r="BS71" s="105">
        <v>0.30906296691363894</v>
      </c>
      <c r="BT71" s="105">
        <v>0.30526617907837178</v>
      </c>
      <c r="BU71" s="105">
        <v>0.30165730669757662</v>
      </c>
      <c r="BV71" s="105">
        <v>0.2757717095937402</v>
      </c>
      <c r="BW71" s="105">
        <v>0.27847006445379041</v>
      </c>
      <c r="BY71" s="108">
        <v>50.868109377852306</v>
      </c>
      <c r="BZ71" s="108">
        <v>53.356073672862749</v>
      </c>
      <c r="CA71" s="108">
        <v>55.844037967872737</v>
      </c>
      <c r="CB71" s="108">
        <v>57.718774587074222</v>
      </c>
      <c r="CC71" s="108">
        <v>59.593511206276162</v>
      </c>
      <c r="CD71" s="108">
        <v>62.030845501515614</v>
      </c>
      <c r="CE71" s="108">
        <v>64.468179796755976</v>
      </c>
      <c r="CF71" s="108">
        <v>66.905514091996338</v>
      </c>
      <c r="CG71" s="108">
        <v>69.34284838723579</v>
      </c>
      <c r="CH71" s="108">
        <v>70.217155678086783</v>
      </c>
      <c r="CI71" s="108">
        <v>71.091462968937776</v>
      </c>
      <c r="CJ71" s="108">
        <v>71.965770259788769</v>
      </c>
      <c r="CK71" s="108">
        <v>72.840077550639762</v>
      </c>
      <c r="CL71" s="108">
        <v>73.714384841490755</v>
      </c>
      <c r="CM71" s="108">
        <v>74.588692132339929</v>
      </c>
      <c r="CN71" s="108">
        <v>86.584807535493383</v>
      </c>
      <c r="CO71" s="108">
        <v>95.027669882151713</v>
      </c>
    </row>
    <row r="72" spans="2:93" ht="14.4">
      <c r="B72" s="2" t="s">
        <v>13</v>
      </c>
      <c r="C72" s="104">
        <v>0</v>
      </c>
      <c r="D72" s="104">
        <v>0</v>
      </c>
      <c r="E72" s="68">
        <v>3665.057171720015</v>
      </c>
      <c r="F72" s="68">
        <v>4078.2480800625262</v>
      </c>
      <c r="G72" s="68">
        <v>4513.944940731405</v>
      </c>
      <c r="H72" s="68">
        <v>5115.9847796800532</v>
      </c>
      <c r="I72" s="68">
        <v>5553.0311576629711</v>
      </c>
      <c r="J72" s="68">
        <v>6568.4944298061946</v>
      </c>
      <c r="K72" s="68">
        <v>7158.0530507277927</v>
      </c>
      <c r="L72" s="1"/>
      <c r="M72" s="1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  <c r="AI72" s="107"/>
      <c r="AJ72" s="107"/>
      <c r="AK72" s="107"/>
      <c r="AL72" s="107"/>
      <c r="AM72" s="107"/>
      <c r="AN72" s="107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G72" s="105">
        <v>0.34137997136955622</v>
      </c>
      <c r="BH72" s="105">
        <v>0.34005866402888141</v>
      </c>
      <c r="BI72" s="105">
        <v>0.33887992201904865</v>
      </c>
      <c r="BJ72" s="105">
        <v>0.33205283663675755</v>
      </c>
      <c r="BK72" s="105">
        <v>0.32611702178119845</v>
      </c>
      <c r="BL72" s="105">
        <v>0.32422507101342873</v>
      </c>
      <c r="BM72" s="105">
        <v>0.32247122899073516</v>
      </c>
      <c r="BN72" s="105">
        <v>0.32084090572678264</v>
      </c>
      <c r="BO72" s="105">
        <v>0.31932149640334684</v>
      </c>
      <c r="BP72" s="105">
        <v>0.31526565185730154</v>
      </c>
      <c r="BQ72" s="105">
        <v>0.31141968883782034</v>
      </c>
      <c r="BR72" s="105">
        <v>0.30776772683728826</v>
      </c>
      <c r="BS72" s="105">
        <v>0.30429544804814362</v>
      </c>
      <c r="BT72" s="105">
        <v>0.30098990975885537</v>
      </c>
      <c r="BU72" s="105">
        <v>0.29783938314270841</v>
      </c>
      <c r="BV72" s="105">
        <v>0.27018732104435372</v>
      </c>
      <c r="BW72" s="105">
        <v>0.27283275393086076</v>
      </c>
      <c r="BY72" s="108">
        <v>27.499677496428831</v>
      </c>
      <c r="BZ72" s="108">
        <v>30.456292671270148</v>
      </c>
      <c r="CA72" s="108">
        <v>33.412907846110556</v>
      </c>
      <c r="CB72" s="108">
        <v>34.458789169750617</v>
      </c>
      <c r="CC72" s="108">
        <v>35.504670493390222</v>
      </c>
      <c r="CD72" s="108">
        <v>37.936055037132064</v>
      </c>
      <c r="CE72" s="108">
        <v>40.367439580873906</v>
      </c>
      <c r="CF72" s="108">
        <v>42.798824124616658</v>
      </c>
      <c r="CG72" s="108">
        <v>45.23020866835941</v>
      </c>
      <c r="CH72" s="108">
        <v>46.049646700306766</v>
      </c>
      <c r="CI72" s="108">
        <v>46.869084732254123</v>
      </c>
      <c r="CJ72" s="108">
        <v>47.68852276420148</v>
      </c>
      <c r="CK72" s="108">
        <v>48.507960796148836</v>
      </c>
      <c r="CL72" s="108">
        <v>49.327398828096193</v>
      </c>
      <c r="CM72" s="108">
        <v>50.14683686004355</v>
      </c>
      <c r="CN72" s="108">
        <v>59.710316121524556</v>
      </c>
      <c r="CO72" s="108">
        <v>70.017061484184524</v>
      </c>
    </row>
    <row r="73" spans="2:93" ht="14.4">
      <c r="B73" s="2" t="s">
        <v>14</v>
      </c>
      <c r="C73" s="104">
        <v>0</v>
      </c>
      <c r="D73" s="104">
        <v>0</v>
      </c>
      <c r="E73" s="68">
        <v>3744.9708424375622</v>
      </c>
      <c r="F73" s="68">
        <v>4168.3752344800841</v>
      </c>
      <c r="G73" s="68">
        <v>4612.7957604488329</v>
      </c>
      <c r="H73" s="68">
        <v>5232.6487355369582</v>
      </c>
      <c r="I73" s="68">
        <v>5681.6011953679408</v>
      </c>
      <c r="J73" s="68">
        <v>6723.2913994714909</v>
      </c>
      <c r="K73" s="68">
        <v>7334.1661241179954</v>
      </c>
      <c r="L73" s="1"/>
      <c r="M73" s="1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  <c r="AL73" s="107"/>
      <c r="AM73" s="107"/>
      <c r="AN73" s="107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G73" s="105">
        <v>0.319954587869409</v>
      </c>
      <c r="BH73" s="105">
        <v>0.31846133114219438</v>
      </c>
      <c r="BI73" s="105">
        <v>0.31713158947956538</v>
      </c>
      <c r="BJ73" s="105">
        <v>0.31047975283410134</v>
      </c>
      <c r="BK73" s="105">
        <v>0.30470433662477286</v>
      </c>
      <c r="BL73" s="105">
        <v>0.30287319257003631</v>
      </c>
      <c r="BM73" s="105">
        <v>0.3011771964449233</v>
      </c>
      <c r="BN73" s="105">
        <v>0.29960191880596732</v>
      </c>
      <c r="BO73" s="105">
        <v>0.29813491374971035</v>
      </c>
      <c r="BP73" s="105">
        <v>0.29373979148875995</v>
      </c>
      <c r="BQ73" s="105">
        <v>0.28958934877867726</v>
      </c>
      <c r="BR73" s="105">
        <v>0.28566370673100761</v>
      </c>
      <c r="BS73" s="105">
        <v>0.28194508308025412</v>
      </c>
      <c r="BT73" s="105">
        <v>0.27841752287187033</v>
      </c>
      <c r="BU73" s="105">
        <v>0.27506666962239512</v>
      </c>
      <c r="BV73" s="105">
        <v>0.25351519635273706</v>
      </c>
      <c r="BW73" s="105">
        <v>0.25621293788894867</v>
      </c>
      <c r="BY73" s="108">
        <v>77.494279125932735</v>
      </c>
      <c r="BZ73" s="108">
        <v>83.873225819383151</v>
      </c>
      <c r="CA73" s="108">
        <v>90.252172512834477</v>
      </c>
      <c r="CB73" s="108">
        <v>94.314954546192894</v>
      </c>
      <c r="CC73" s="108">
        <v>98.377736579551311</v>
      </c>
      <c r="CD73" s="108">
        <v>103.71596821693947</v>
      </c>
      <c r="CE73" s="108">
        <v>109.05419985432673</v>
      </c>
      <c r="CF73" s="108">
        <v>114.39243149171307</v>
      </c>
      <c r="CG73" s="108">
        <v>119.73066312910123</v>
      </c>
      <c r="CH73" s="108">
        <v>121.8710735900313</v>
      </c>
      <c r="CI73" s="108">
        <v>124.01148405096137</v>
      </c>
      <c r="CJ73" s="108">
        <v>126.15189451189053</v>
      </c>
      <c r="CK73" s="108">
        <v>128.2923049728206</v>
      </c>
      <c r="CL73" s="108">
        <v>130.43271543375158</v>
      </c>
      <c r="CM73" s="108">
        <v>132.57312589468074</v>
      </c>
      <c r="CN73" s="108">
        <v>159.29894557725129</v>
      </c>
      <c r="CO73" s="108">
        <v>183.19239153862327</v>
      </c>
    </row>
    <row r="74" spans="2:93" ht="14.4">
      <c r="B74" s="2" t="s">
        <v>15</v>
      </c>
      <c r="C74" s="104">
        <v>0</v>
      </c>
      <c r="D74" s="104">
        <v>0</v>
      </c>
      <c r="E74" s="68">
        <v>3918.022824153677</v>
      </c>
      <c r="F74" s="68">
        <v>4352.4930239840096</v>
      </c>
      <c r="G74" s="68">
        <v>4807.0863373770471</v>
      </c>
      <c r="H74" s="68">
        <v>5465.5204774728809</v>
      </c>
      <c r="I74" s="68">
        <v>5933.6720365126794</v>
      </c>
      <c r="J74" s="68">
        <v>6910.2757274121623</v>
      </c>
      <c r="K74" s="68">
        <v>7541.5284658441733</v>
      </c>
      <c r="L74" s="1"/>
      <c r="M74" s="1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  <c r="AK74" s="107"/>
      <c r="AL74" s="107"/>
      <c r="AM74" s="107"/>
      <c r="AN74" s="107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G74" s="105">
        <v>0.25906889148124473</v>
      </c>
      <c r="BH74" s="105">
        <v>0.25724000328996638</v>
      </c>
      <c r="BI74" s="105">
        <v>0.25561562132874593</v>
      </c>
      <c r="BJ74" s="105">
        <v>0.24448658567176876</v>
      </c>
      <c r="BK74" s="105">
        <v>0.23521423381607234</v>
      </c>
      <c r="BL74" s="105">
        <v>0.23380945403920597</v>
      </c>
      <c r="BM74" s="105">
        <v>0.23250983154076596</v>
      </c>
      <c r="BN74" s="105">
        <v>0.23130398471439795</v>
      </c>
      <c r="BO74" s="105">
        <v>0.23018211726320695</v>
      </c>
      <c r="BP74" s="105">
        <v>0.22845054745315516</v>
      </c>
      <c r="BQ74" s="105">
        <v>0.22679184045838188</v>
      </c>
      <c r="BR74" s="105">
        <v>0.22520149204851919</v>
      </c>
      <c r="BS74" s="105">
        <v>0.22367536175397418</v>
      </c>
      <c r="BT74" s="105">
        <v>0.22220963687110049</v>
      </c>
      <c r="BU74" s="105">
        <v>0.220800800658534</v>
      </c>
      <c r="BV74" s="105">
        <v>0.19819293939282956</v>
      </c>
      <c r="BW74" s="105">
        <v>0.20038368652172775</v>
      </c>
      <c r="BY74" s="108">
        <v>246.59311439827343</v>
      </c>
      <c r="BZ74" s="108">
        <v>266.27373511072665</v>
      </c>
      <c r="CA74" s="108">
        <v>285.95435582317896</v>
      </c>
      <c r="CB74" s="108">
        <v>301.83079007810102</v>
      </c>
      <c r="CC74" s="108">
        <v>317.70722433302217</v>
      </c>
      <c r="CD74" s="108">
        <v>332.60077989458114</v>
      </c>
      <c r="CE74" s="108">
        <v>347.49433545614102</v>
      </c>
      <c r="CF74" s="108">
        <v>362.38789101770089</v>
      </c>
      <c r="CG74" s="108">
        <v>377.28144657925895</v>
      </c>
      <c r="CH74" s="108">
        <v>384.04886500912289</v>
      </c>
      <c r="CI74" s="108">
        <v>390.81628343898774</v>
      </c>
      <c r="CJ74" s="108">
        <v>397.58370186885259</v>
      </c>
      <c r="CK74" s="108">
        <v>404.35112029871743</v>
      </c>
      <c r="CL74" s="108">
        <v>411.11853872858228</v>
      </c>
      <c r="CM74" s="108">
        <v>417.88595715844713</v>
      </c>
      <c r="CN74" s="108">
        <v>454.05878184962148</v>
      </c>
      <c r="CO74" s="108">
        <v>516.78400074518322</v>
      </c>
    </row>
    <row r="75" spans="2:93" ht="14.4">
      <c r="B75" s="2" t="s">
        <v>16</v>
      </c>
      <c r="C75" s="104">
        <v>0</v>
      </c>
      <c r="D75" s="104">
        <v>0</v>
      </c>
      <c r="E75" s="68">
        <v>4032.0889161254122</v>
      </c>
      <c r="F75" s="68">
        <v>4484.550393833103</v>
      </c>
      <c r="G75" s="68">
        <v>4955.8852763946861</v>
      </c>
      <c r="H75" s="68">
        <v>5643.3882031821104</v>
      </c>
      <c r="I75" s="68">
        <v>6132.1021369859182</v>
      </c>
      <c r="J75" s="68">
        <v>7139.0114974514408</v>
      </c>
      <c r="K75" s="68">
        <v>7799.1069009867169</v>
      </c>
      <c r="L75" s="1"/>
      <c r="M75" s="1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  <c r="AK75" s="107"/>
      <c r="AL75" s="107"/>
      <c r="AM75" s="107"/>
      <c r="AN75" s="107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G75" s="105">
        <v>0.24693418930760203</v>
      </c>
      <c r="BH75" s="105">
        <v>0.24513474140970776</v>
      </c>
      <c r="BI75" s="105">
        <v>0.2435390903551152</v>
      </c>
      <c r="BJ75" s="105">
        <v>0.23313740640067832</v>
      </c>
      <c r="BK75" s="105">
        <v>0.22446227620492579</v>
      </c>
      <c r="BL75" s="105">
        <v>0.22312854740093016</v>
      </c>
      <c r="BM75" s="105">
        <v>0.22189559025612027</v>
      </c>
      <c r="BN75" s="105">
        <v>0.22075239961920809</v>
      </c>
      <c r="BO75" s="105">
        <v>0.21968951653199978</v>
      </c>
      <c r="BP75" s="105">
        <v>0.2179873028339307</v>
      </c>
      <c r="BQ75" s="105">
        <v>0.21635793713386656</v>
      </c>
      <c r="BR75" s="105">
        <v>0.21479684099304844</v>
      </c>
      <c r="BS75" s="105">
        <v>0.21329981176821614</v>
      </c>
      <c r="BT75" s="105">
        <v>0.21186298483053426</v>
      </c>
      <c r="BU75" s="105">
        <v>0.21048280025271723</v>
      </c>
      <c r="BV75" s="105">
        <v>0.19008513495495583</v>
      </c>
      <c r="BW75" s="105">
        <v>0.19215169965164902</v>
      </c>
      <c r="BY75" s="108">
        <v>415.25173960694156</v>
      </c>
      <c r="BZ75" s="108">
        <v>447.31006222914721</v>
      </c>
      <c r="CA75" s="108">
        <v>479.36838485135195</v>
      </c>
      <c r="CB75" s="108">
        <v>506.49970789725376</v>
      </c>
      <c r="CC75" s="108">
        <v>533.63103094315557</v>
      </c>
      <c r="CD75" s="108">
        <v>558.44153801761331</v>
      </c>
      <c r="CE75" s="108">
        <v>583.25204509207106</v>
      </c>
      <c r="CF75" s="108">
        <v>608.06255216652789</v>
      </c>
      <c r="CG75" s="108">
        <v>632.87305924098564</v>
      </c>
      <c r="CH75" s="108">
        <v>644.22192416147755</v>
      </c>
      <c r="CI75" s="108">
        <v>655.57078908197036</v>
      </c>
      <c r="CJ75" s="108">
        <v>666.91965400246318</v>
      </c>
      <c r="CK75" s="108">
        <v>678.26851892295508</v>
      </c>
      <c r="CL75" s="108">
        <v>689.61738384344699</v>
      </c>
      <c r="CM75" s="108">
        <v>700.9662487639398</v>
      </c>
      <c r="CN75" s="108">
        <v>739.2478693605517</v>
      </c>
      <c r="CO75" s="108">
        <v>837.97446884550118</v>
      </c>
    </row>
    <row r="76" spans="2:93" ht="14.4">
      <c r="B76" s="2" t="s">
        <v>17</v>
      </c>
      <c r="C76" s="104">
        <v>0</v>
      </c>
      <c r="D76" s="104">
        <v>0</v>
      </c>
      <c r="E76" s="68">
        <v>4187.6009674919842</v>
      </c>
      <c r="F76" s="68">
        <v>4663.9911721516291</v>
      </c>
      <c r="G76" s="68">
        <v>5172.9045162570674</v>
      </c>
      <c r="H76" s="68">
        <v>5903.5314866662484</v>
      </c>
      <c r="I76" s="68">
        <v>6419.14472490962</v>
      </c>
      <c r="J76" s="68">
        <v>7463.7969025325174</v>
      </c>
      <c r="K76" s="68">
        <v>8168.1767579685311</v>
      </c>
      <c r="L76" s="1"/>
      <c r="M76" s="1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G76" s="105">
        <v>0.21641499512302384</v>
      </c>
      <c r="BH76" s="105">
        <v>0.21470383032841331</v>
      </c>
      <c r="BI76" s="105">
        <v>0.21319034023802252</v>
      </c>
      <c r="BJ76" s="105">
        <v>0.20414484916816716</v>
      </c>
      <c r="BK76" s="105">
        <v>0.19662304033931305</v>
      </c>
      <c r="BL76" s="105">
        <v>0.19544399241544425</v>
      </c>
      <c r="BM76" s="105">
        <v>0.19435541801312942</v>
      </c>
      <c r="BN76" s="105">
        <v>0.19334728826628253</v>
      </c>
      <c r="BO76" s="105">
        <v>0.19241100374009693</v>
      </c>
      <c r="BP76" s="105">
        <v>0.19081774168931859</v>
      </c>
      <c r="BQ76" s="105">
        <v>0.1892946276581132</v>
      </c>
      <c r="BR76" s="105">
        <v>0.18783712872655486</v>
      </c>
      <c r="BS76" s="105">
        <v>0.18644109429217665</v>
      </c>
      <c r="BT76" s="105">
        <v>0.18510271659534014</v>
      </c>
      <c r="BU76" s="105">
        <v>0.18381849603659978</v>
      </c>
      <c r="BV76" s="105">
        <v>0.16779816403691453</v>
      </c>
      <c r="BW76" s="105">
        <v>0.16803188346227879</v>
      </c>
      <c r="BY76" s="108">
        <v>542.50672221331115</v>
      </c>
      <c r="BZ76" s="108">
        <v>584.45926218443219</v>
      </c>
      <c r="CA76" s="108">
        <v>626.41180215555414</v>
      </c>
      <c r="CB76" s="108">
        <v>666.36407291977594</v>
      </c>
      <c r="CC76" s="108">
        <v>706.31634368399682</v>
      </c>
      <c r="CD76" s="108">
        <v>739.64654865760895</v>
      </c>
      <c r="CE76" s="108">
        <v>772.97675363122107</v>
      </c>
      <c r="CF76" s="108">
        <v>806.3069586048332</v>
      </c>
      <c r="CG76" s="108">
        <v>839.63716357844532</v>
      </c>
      <c r="CH76" s="108">
        <v>854.72009430432718</v>
      </c>
      <c r="CI76" s="108">
        <v>869.80302503020903</v>
      </c>
      <c r="CJ76" s="108">
        <v>884.88595575609088</v>
      </c>
      <c r="CK76" s="108">
        <v>899.96888648197364</v>
      </c>
      <c r="CL76" s="108">
        <v>915.05181720785549</v>
      </c>
      <c r="CM76" s="108">
        <v>930.13474793373734</v>
      </c>
      <c r="CN76" s="108">
        <v>1000.5388132031376</v>
      </c>
      <c r="CO76" s="108">
        <v>1133.7852364659357</v>
      </c>
    </row>
    <row r="77" spans="2:93" ht="14.4">
      <c r="B77" s="2" t="s">
        <v>18</v>
      </c>
      <c r="C77" s="104">
        <v>0</v>
      </c>
      <c r="D77" s="104">
        <v>0</v>
      </c>
      <c r="E77" s="68">
        <v>4535.9533077480382</v>
      </c>
      <c r="F77" s="68">
        <v>5066.3242965527161</v>
      </c>
      <c r="G77" s="68">
        <v>5595.0828801037078</v>
      </c>
      <c r="H77" s="68">
        <v>6412.8674538643136</v>
      </c>
      <c r="I77" s="68">
        <v>6995.9559567033666</v>
      </c>
      <c r="J77" s="68">
        <v>8103.4707026271353</v>
      </c>
      <c r="K77" s="68">
        <v>8898.05187113789</v>
      </c>
      <c r="L77" s="1"/>
      <c r="M77" s="1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  <c r="AL77" s="107"/>
      <c r="AM77" s="107"/>
      <c r="AN77" s="107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G77" s="105">
        <v>0.18401241415275996</v>
      </c>
      <c r="BH77" s="105">
        <v>0.18245917178340709</v>
      </c>
      <c r="BI77" s="105">
        <v>0.18109061244362487</v>
      </c>
      <c r="BJ77" s="105">
        <v>0.17396307846785999</v>
      </c>
      <c r="BK77" s="105">
        <v>0.16797650440779616</v>
      </c>
      <c r="BL77" s="105">
        <v>0.16700533127525985</v>
      </c>
      <c r="BM77" s="105">
        <v>0.16611035307289818</v>
      </c>
      <c r="BN77" s="105">
        <v>0.1652829412910756</v>
      </c>
      <c r="BO77" s="105">
        <v>0.16451572285024382</v>
      </c>
      <c r="BP77" s="105">
        <v>0.16309324195966593</v>
      </c>
      <c r="BQ77" s="105">
        <v>0.16173593407598508</v>
      </c>
      <c r="BR77" s="105">
        <v>0.16043942051456567</v>
      </c>
      <c r="BS77" s="105">
        <v>0.15919970624458354</v>
      </c>
      <c r="BT77" s="105">
        <v>0.15801313877073897</v>
      </c>
      <c r="BU77" s="105">
        <v>0.15687637219224143</v>
      </c>
      <c r="BV77" s="105">
        <v>0.14516719076445006</v>
      </c>
      <c r="BW77" s="105">
        <v>0.14676112396699492</v>
      </c>
      <c r="BY77" s="108">
        <v>780.3570671926509</v>
      </c>
      <c r="BZ77" s="108">
        <v>840.69828911836976</v>
      </c>
      <c r="CA77" s="108">
        <v>901.03951104408679</v>
      </c>
      <c r="CB77" s="108">
        <v>954.54527687305836</v>
      </c>
      <c r="CC77" s="108">
        <v>1008.0510427020308</v>
      </c>
      <c r="CD77" s="108">
        <v>1056.7561854526793</v>
      </c>
      <c r="CE77" s="108">
        <v>1105.461328203327</v>
      </c>
      <c r="CF77" s="108">
        <v>1154.1664709539746</v>
      </c>
      <c r="CG77" s="108">
        <v>1202.8716137046222</v>
      </c>
      <c r="CH77" s="108">
        <v>1225.3794998270741</v>
      </c>
      <c r="CI77" s="108">
        <v>1247.887385949527</v>
      </c>
      <c r="CJ77" s="108">
        <v>1270.3952720719799</v>
      </c>
      <c r="CK77" s="108">
        <v>1292.9031581944319</v>
      </c>
      <c r="CL77" s="108">
        <v>1315.4110443168847</v>
      </c>
      <c r="CM77" s="108">
        <v>1337.9189304393376</v>
      </c>
      <c r="CN77" s="108">
        <v>1455.8139993118366</v>
      </c>
      <c r="CO77" s="108">
        <v>1652.5447372554536</v>
      </c>
    </row>
    <row r="78" spans="2:93" ht="14.4">
      <c r="B78" s="2" t="s">
        <v>19</v>
      </c>
      <c r="C78" s="104">
        <v>0</v>
      </c>
      <c r="D78" s="104">
        <v>0</v>
      </c>
      <c r="E78" s="68">
        <v>5122.4118993862603</v>
      </c>
      <c r="F78" s="68">
        <v>5742.2833310229662</v>
      </c>
      <c r="G78" s="68">
        <v>6336.5353184737951</v>
      </c>
      <c r="H78" s="68">
        <v>7303.4560865548174</v>
      </c>
      <c r="I78" s="68">
        <v>8024.8971348238692</v>
      </c>
      <c r="J78" s="68">
        <v>9213.2558374802084</v>
      </c>
      <c r="K78" s="68">
        <v>10160.346326938363</v>
      </c>
      <c r="L78" s="1"/>
      <c r="M78" s="1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G78" s="105">
        <v>0.14937149595573918</v>
      </c>
      <c r="BH78" s="105">
        <v>0.14808881877855898</v>
      </c>
      <c r="BI78" s="105">
        <v>0.14696305392612075</v>
      </c>
      <c r="BJ78" s="105">
        <v>0.14144718402040252</v>
      </c>
      <c r="BK78" s="105">
        <v>0.13679446186046382</v>
      </c>
      <c r="BL78" s="105">
        <v>0.13607370945277469</v>
      </c>
      <c r="BM78" s="105">
        <v>0.13541082363865012</v>
      </c>
      <c r="BN78" s="105">
        <v>0.13479910452512675</v>
      </c>
      <c r="BO78" s="105">
        <v>0.1342328480849532</v>
      </c>
      <c r="BP78" s="105">
        <v>0.13292713357525215</v>
      </c>
      <c r="BQ78" s="105">
        <v>0.13168701622217238</v>
      </c>
      <c r="BR78" s="105">
        <v>0.13050767389846465</v>
      </c>
      <c r="BS78" s="105">
        <v>0.12938474581305026</v>
      </c>
      <c r="BT78" s="105">
        <v>0.12831427862931716</v>
      </c>
      <c r="BU78" s="105">
        <v>0.12729267996277047</v>
      </c>
      <c r="BV78" s="105">
        <v>0.11968958993773042</v>
      </c>
      <c r="BW78" s="105">
        <v>0.1211283666789702</v>
      </c>
      <c r="BY78" s="108">
        <v>1221.6367177063121</v>
      </c>
      <c r="BZ78" s="108">
        <v>1315.8432612363722</v>
      </c>
      <c r="CA78" s="108">
        <v>1410.0498047664332</v>
      </c>
      <c r="CB78" s="108">
        <v>1483.6977220326235</v>
      </c>
      <c r="CC78" s="108">
        <v>1557.3456392988137</v>
      </c>
      <c r="CD78" s="108">
        <v>1633.9365397191659</v>
      </c>
      <c r="CE78" s="108">
        <v>1710.5274401395181</v>
      </c>
      <c r="CF78" s="108">
        <v>1787.1183405598695</v>
      </c>
      <c r="CG78" s="108">
        <v>1863.7092409802217</v>
      </c>
      <c r="CH78" s="108">
        <v>1902.4107089588615</v>
      </c>
      <c r="CI78" s="108">
        <v>1941.1121769375004</v>
      </c>
      <c r="CJ78" s="108">
        <v>1979.8136449161375</v>
      </c>
      <c r="CK78" s="108">
        <v>2018.5151128947773</v>
      </c>
      <c r="CL78" s="108">
        <v>2057.2165808734171</v>
      </c>
      <c r="CM78" s="108">
        <v>2095.9180488520542</v>
      </c>
      <c r="CN78" s="108">
        <v>2281.6501133989495</v>
      </c>
      <c r="CO78" s="108">
        <v>2592.9529643795922</v>
      </c>
    </row>
    <row r="79" spans="2:93" ht="14.4">
      <c r="B79" s="2" t="s">
        <v>20</v>
      </c>
      <c r="C79" s="104">
        <v>0</v>
      </c>
      <c r="D79" s="104">
        <v>0</v>
      </c>
      <c r="E79" s="68">
        <v>5865.778304495544</v>
      </c>
      <c r="F79" s="68">
        <v>6608.9341451230885</v>
      </c>
      <c r="G79" s="68">
        <v>7320.7006582611502</v>
      </c>
      <c r="H79" s="68">
        <v>8482.4385236361977</v>
      </c>
      <c r="I79" s="68">
        <v>9385.5278402972126</v>
      </c>
      <c r="J79" s="68">
        <v>10734.515474856473</v>
      </c>
      <c r="K79" s="68">
        <v>11871.408861520416</v>
      </c>
      <c r="L79" s="1"/>
      <c r="M79" s="1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  <c r="AN79" s="107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G79" s="105">
        <v>0.13607514071605373</v>
      </c>
      <c r="BH79" s="105">
        <v>0.13439143954798244</v>
      </c>
      <c r="BI79" s="105">
        <v>0.13293158820014972</v>
      </c>
      <c r="BJ79" s="105">
        <v>0.1283198571195136</v>
      </c>
      <c r="BK79" s="105">
        <v>0.12442299353823701</v>
      </c>
      <c r="BL79" s="105">
        <v>0.12455732018066455</v>
      </c>
      <c r="BM79" s="105">
        <v>0.12468203115196176</v>
      </c>
      <c r="BN79" s="105">
        <v>0.12479812326973226</v>
      </c>
      <c r="BO79" s="105">
        <v>0.12490646017225218</v>
      </c>
      <c r="BP79" s="105">
        <v>0.12341437021271909</v>
      </c>
      <c r="BQ79" s="105">
        <v>0.12200686805652415</v>
      </c>
      <c r="BR79" s="105">
        <v>0.12067695894506639</v>
      </c>
      <c r="BS79" s="105">
        <v>0.11941839864883685</v>
      </c>
      <c r="BT79" s="105">
        <v>0.11822559543357321</v>
      </c>
      <c r="BU79" s="105">
        <v>0.11709352700138463</v>
      </c>
      <c r="BV79" s="105">
        <v>0.1122345101464685</v>
      </c>
      <c r="BW79" s="105">
        <v>0.11365891766875399</v>
      </c>
      <c r="BY79" s="108">
        <v>1849.383666086499</v>
      </c>
      <c r="BZ79" s="108">
        <v>1993.8129989760746</v>
      </c>
      <c r="CA79" s="108">
        <v>2138.2423318656511</v>
      </c>
      <c r="CB79" s="108">
        <v>2255.0849061764293</v>
      </c>
      <c r="CC79" s="108">
        <v>2371.9274804872093</v>
      </c>
      <c r="CD79" s="108">
        <v>2489.1093665117523</v>
      </c>
      <c r="CE79" s="108">
        <v>2606.2912525362954</v>
      </c>
      <c r="CF79" s="108">
        <v>2723.4731385608375</v>
      </c>
      <c r="CG79" s="108">
        <v>2840.6550245853823</v>
      </c>
      <c r="CH79" s="108">
        <v>2904.5326792611704</v>
      </c>
      <c r="CI79" s="108">
        <v>2968.4103339369594</v>
      </c>
      <c r="CJ79" s="108">
        <v>3032.2879886127484</v>
      </c>
      <c r="CK79" s="108">
        <v>3096.1656432885356</v>
      </c>
      <c r="CL79" s="108">
        <v>3160.0432979643228</v>
      </c>
      <c r="CM79" s="108">
        <v>3223.9209526401137</v>
      </c>
      <c r="CN79" s="108">
        <v>3523.6408496673903</v>
      </c>
      <c r="CO79" s="108">
        <v>3996.5329705628628</v>
      </c>
    </row>
    <row r="80" spans="2:93" ht="14.4">
      <c r="B80" s="2" t="s">
        <v>21</v>
      </c>
      <c r="C80" s="104">
        <v>0</v>
      </c>
      <c r="D80" s="104">
        <v>0</v>
      </c>
      <c r="E80" s="68">
        <v>6375.4746385982444</v>
      </c>
      <c r="F80" s="68">
        <v>7198.0070350032938</v>
      </c>
      <c r="G80" s="68">
        <v>7959.2564506296585</v>
      </c>
      <c r="H80" s="68">
        <v>9254.4028260164323</v>
      </c>
      <c r="I80" s="68">
        <v>10253.580163507129</v>
      </c>
      <c r="J80" s="68">
        <v>11684.761383395295</v>
      </c>
      <c r="K80" s="68">
        <v>12956.183787933691</v>
      </c>
      <c r="L80" s="1"/>
      <c r="M80" s="1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G80" s="105">
        <v>0.11388921727500034</v>
      </c>
      <c r="BH80" s="105">
        <v>0.11276229870485764</v>
      </c>
      <c r="BI80" s="105">
        <v>0.11178261821180872</v>
      </c>
      <c r="BJ80" s="105">
        <v>0.10900769922536799</v>
      </c>
      <c r="BK80" s="105">
        <v>0.10661421314816798</v>
      </c>
      <c r="BL80" s="105">
        <v>0.10676396656797267</v>
      </c>
      <c r="BM80" s="105">
        <v>0.1069028275161394</v>
      </c>
      <c r="BN80" s="105">
        <v>0.10703194270209131</v>
      </c>
      <c r="BO80" s="105">
        <v>0.10715230333174315</v>
      </c>
      <c r="BP80" s="105">
        <v>0.10582761330047362</v>
      </c>
      <c r="BQ80" s="105">
        <v>0.10457964183924352</v>
      </c>
      <c r="BR80" s="105">
        <v>0.10340191184676398</v>
      </c>
      <c r="BS80" s="105">
        <v>0.10228865538529541</v>
      </c>
      <c r="BT80" s="105">
        <v>0.10123471921053555</v>
      </c>
      <c r="BU80" s="105">
        <v>0.10023548501122662</v>
      </c>
      <c r="BV80" s="105">
        <v>9.6432434377963505E-2</v>
      </c>
      <c r="BW80" s="105">
        <v>9.7696370861943577E-2</v>
      </c>
      <c r="BY80" s="108">
        <v>2440.8948142399258</v>
      </c>
      <c r="BZ80" s="108">
        <v>2633.1574344042428</v>
      </c>
      <c r="CA80" s="108">
        <v>2825.4200545685599</v>
      </c>
      <c r="CB80" s="108">
        <v>2981.678388915785</v>
      </c>
      <c r="CC80" s="108">
        <v>3137.9367232630102</v>
      </c>
      <c r="CD80" s="108">
        <v>3293.8535225036458</v>
      </c>
      <c r="CE80" s="108">
        <v>3449.7703217442813</v>
      </c>
      <c r="CF80" s="108">
        <v>3605.687120984916</v>
      </c>
      <c r="CG80" s="108">
        <v>3761.6039202255506</v>
      </c>
      <c r="CH80" s="108">
        <v>3847.3325839237987</v>
      </c>
      <c r="CI80" s="108">
        <v>3933.0612476220467</v>
      </c>
      <c r="CJ80" s="108">
        <v>4018.789911320293</v>
      </c>
      <c r="CK80" s="108">
        <v>4104.518575018541</v>
      </c>
      <c r="CL80" s="108">
        <v>4190.2472387167891</v>
      </c>
      <c r="CM80" s="108">
        <v>4275.9759024150335</v>
      </c>
      <c r="CN80" s="108">
        <v>4690.320727205808</v>
      </c>
      <c r="CO80" s="108">
        <v>5316.3144745949048</v>
      </c>
    </row>
    <row r="81" spans="2:75" ht="14.4">
      <c r="L81" s="1"/>
      <c r="M81" s="1"/>
      <c r="V81" s="107"/>
    </row>
    <row r="82" spans="2:75" ht="14.4">
      <c r="B82" s="75" t="s">
        <v>65</v>
      </c>
      <c r="L82" s="1"/>
      <c r="M82" s="1"/>
    </row>
    <row r="83" spans="2:75" ht="14.4">
      <c r="C83" s="98" t="s">
        <v>202</v>
      </c>
      <c r="D83" s="67" t="s">
        <v>173</v>
      </c>
      <c r="E83" s="171" t="s">
        <v>174</v>
      </c>
      <c r="F83" s="172"/>
      <c r="G83" s="173" t="s">
        <v>136</v>
      </c>
      <c r="H83" s="174"/>
      <c r="I83" s="174"/>
      <c r="J83" s="176" t="s">
        <v>323</v>
      </c>
      <c r="K83" s="177"/>
      <c r="L83" s="1"/>
      <c r="M83" s="1"/>
    </row>
    <row r="84" spans="2:75" ht="41.4">
      <c r="B84" s="102" t="s">
        <v>324</v>
      </c>
      <c r="C84" s="103">
        <v>100000</v>
      </c>
      <c r="D84" s="103">
        <v>200000</v>
      </c>
      <c r="E84" s="103" t="s">
        <v>325</v>
      </c>
      <c r="F84" s="103" t="s">
        <v>326</v>
      </c>
      <c r="G84" s="103" t="s">
        <v>327</v>
      </c>
      <c r="H84" s="103" t="s">
        <v>328</v>
      </c>
      <c r="I84" s="103" t="s">
        <v>329</v>
      </c>
      <c r="J84" s="103" t="s">
        <v>330</v>
      </c>
      <c r="K84" s="103" t="s">
        <v>331</v>
      </c>
      <c r="L84" s="1"/>
      <c r="M84" s="1"/>
    </row>
    <row r="85" spans="2:75" ht="14.4">
      <c r="B85" s="2" t="s">
        <v>11</v>
      </c>
      <c r="C85" s="104">
        <v>0</v>
      </c>
      <c r="D85" s="104">
        <v>0</v>
      </c>
      <c r="E85" s="68">
        <v>1414.0877155746555</v>
      </c>
      <c r="F85" s="68">
        <v>1564.308991093161</v>
      </c>
      <c r="G85" s="68">
        <v>1726.5045310574008</v>
      </c>
      <c r="H85" s="68">
        <v>1953.6448965594525</v>
      </c>
      <c r="I85" s="68">
        <v>2116.1681454333102</v>
      </c>
      <c r="J85" s="68">
        <v>2496.6515272045272</v>
      </c>
      <c r="K85" s="68">
        <v>2713.092485565342</v>
      </c>
      <c r="L85" s="1"/>
      <c r="M85" s="1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G85" s="105">
        <v>0.3115628278231542</v>
      </c>
      <c r="BH85" s="105">
        <v>0.31550272445382221</v>
      </c>
      <c r="BI85" s="105">
        <v>0.31915101339221502</v>
      </c>
      <c r="BJ85" s="105">
        <v>0.29837908132929353</v>
      </c>
      <c r="BK85" s="105">
        <v>0.28176333100584161</v>
      </c>
      <c r="BL85" s="105">
        <v>0.27742865382222326</v>
      </c>
      <c r="BM85" s="105">
        <v>0.27348106586059984</v>
      </c>
      <c r="BN85" s="105">
        <v>0.26987093238378956</v>
      </c>
      <c r="BO85" s="105">
        <v>0.26655675674114393</v>
      </c>
      <c r="BP85" s="105">
        <v>0.26567232986445044</v>
      </c>
      <c r="BQ85" s="105">
        <v>0.26481738181937875</v>
      </c>
      <c r="BR85" s="105">
        <v>0.26399046292717482</v>
      </c>
      <c r="BS85" s="105">
        <v>0.26319021703040829</v>
      </c>
      <c r="BT85" s="105">
        <v>0.26241537407114068</v>
      </c>
      <c r="BU85" s="105">
        <v>0.26166474336484385</v>
      </c>
      <c r="BV85" s="105">
        <v>0.22060023691172947</v>
      </c>
      <c r="BW85" s="105">
        <v>0.22753632901254636</v>
      </c>
    </row>
    <row r="86" spans="2:75" ht="14.4">
      <c r="B86" s="2" t="s">
        <v>12</v>
      </c>
      <c r="C86" s="104">
        <v>0</v>
      </c>
      <c r="D86" s="104">
        <v>0</v>
      </c>
      <c r="E86" s="68">
        <v>1464.5966003956669</v>
      </c>
      <c r="F86" s="68">
        <v>1629.7674942607102</v>
      </c>
      <c r="G86" s="68">
        <v>1800.031606797728</v>
      </c>
      <c r="H86" s="68">
        <v>2043.6536636216276</v>
      </c>
      <c r="I86" s="68">
        <v>2217.2519757703744</v>
      </c>
      <c r="J86" s="68">
        <v>2620.0504839035511</v>
      </c>
      <c r="K86" s="68">
        <v>2857.4091724220057</v>
      </c>
      <c r="L86" s="1"/>
      <c r="M86" s="1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G86" s="105">
        <v>0.25075096592807128</v>
      </c>
      <c r="BH86" s="105">
        <v>0.25024326986619888</v>
      </c>
      <c r="BI86" s="105">
        <v>0.24978877762575097</v>
      </c>
      <c r="BJ86" s="105">
        <v>0.23394030547758166</v>
      </c>
      <c r="BK86" s="105">
        <v>0.22123143827731723</v>
      </c>
      <c r="BL86" s="105">
        <v>0.2225240060906305</v>
      </c>
      <c r="BM86" s="105">
        <v>0.22374842148618979</v>
      </c>
      <c r="BN86" s="105">
        <v>0.22490993615770646</v>
      </c>
      <c r="BO86" s="105">
        <v>0.22601327573098237</v>
      </c>
      <c r="BP86" s="105">
        <v>0.22432145563132103</v>
      </c>
      <c r="BQ86" s="105">
        <v>0.22270033653207852</v>
      </c>
      <c r="BR86" s="105">
        <v>0.22114557725978254</v>
      </c>
      <c r="BS86" s="105">
        <v>0.21965318492082811</v>
      </c>
      <c r="BT86" s="105">
        <v>0.21821948066135857</v>
      </c>
      <c r="BU86" s="105">
        <v>0.21684106938871359</v>
      </c>
      <c r="BV86" s="105">
        <v>0.17315225551911945</v>
      </c>
      <c r="BW86" s="105">
        <v>0.18056394109157431</v>
      </c>
    </row>
    <row r="87" spans="2:75" ht="14.4">
      <c r="B87" s="2" t="s">
        <v>13</v>
      </c>
      <c r="C87" s="104">
        <v>0</v>
      </c>
      <c r="D87" s="104">
        <v>0</v>
      </c>
      <c r="E87" s="68">
        <v>1520.4259356000541</v>
      </c>
      <c r="F87" s="68">
        <v>1697.0095071610112</v>
      </c>
      <c r="G87" s="68">
        <v>1876.0507378363325</v>
      </c>
      <c r="H87" s="68">
        <v>2135.394339705465</v>
      </c>
      <c r="I87" s="68">
        <v>2320.0104597881837</v>
      </c>
      <c r="J87" s="68">
        <v>2745.4422387251257</v>
      </c>
      <c r="K87" s="68">
        <v>3000.9726384872665</v>
      </c>
      <c r="L87" s="1"/>
      <c r="M87" s="1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G87" s="105">
        <v>0.23675357891092721</v>
      </c>
      <c r="BH87" s="105">
        <v>0.23668119042566846</v>
      </c>
      <c r="BI87" s="105">
        <v>0.23661637196378793</v>
      </c>
      <c r="BJ87" s="105">
        <v>0.2222064904847541</v>
      </c>
      <c r="BK87" s="105">
        <v>0.21060474167476489</v>
      </c>
      <c r="BL87" s="105">
        <v>0.2117817685610022</v>
      </c>
      <c r="BM87" s="105">
        <v>0.21289467012365704</v>
      </c>
      <c r="BN87" s="105">
        <v>0.21394854779272438</v>
      </c>
      <c r="BO87" s="105">
        <v>0.21494797585761694</v>
      </c>
      <c r="BP87" s="105">
        <v>0.21404148510574714</v>
      </c>
      <c r="BQ87" s="105">
        <v>0.21316768387901722</v>
      </c>
      <c r="BR87" s="105">
        <v>0.21232483523996032</v>
      </c>
      <c r="BS87" s="105">
        <v>0.21151132316434071</v>
      </c>
      <c r="BT87" s="105">
        <v>0.21072564219972914</v>
      </c>
      <c r="BU87" s="105">
        <v>0.20996638816760163</v>
      </c>
      <c r="BV87" s="105">
        <v>0.16771134872763466</v>
      </c>
      <c r="BW87" s="105">
        <v>0.175070340498021</v>
      </c>
    </row>
    <row r="88" spans="2:75" ht="14.4">
      <c r="B88" s="2" t="s">
        <v>14</v>
      </c>
      <c r="C88" s="104">
        <v>0</v>
      </c>
      <c r="D88" s="104">
        <v>0</v>
      </c>
      <c r="E88" s="68">
        <v>1653.2941217643915</v>
      </c>
      <c r="F88" s="68">
        <v>1847.3410760688314</v>
      </c>
      <c r="G88" s="68">
        <v>2041.4970026764163</v>
      </c>
      <c r="H88" s="68">
        <v>2330.9695247340824</v>
      </c>
      <c r="I88" s="68">
        <v>2535.8868076474578</v>
      </c>
      <c r="J88" s="68">
        <v>3005.7239496414795</v>
      </c>
      <c r="K88" s="68">
        <v>3296.9615498324724</v>
      </c>
      <c r="L88" s="1"/>
      <c r="M88" s="1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G88" s="105">
        <v>0.21381237753286184</v>
      </c>
      <c r="BH88" s="105">
        <v>0.21330167453428323</v>
      </c>
      <c r="BI88" s="105">
        <v>0.21284668073132856</v>
      </c>
      <c r="BJ88" s="105">
        <v>0.20041869992871339</v>
      </c>
      <c r="BK88" s="105">
        <v>0.19036075065682187</v>
      </c>
      <c r="BL88" s="105">
        <v>0.19132625827562036</v>
      </c>
      <c r="BM88" s="105">
        <v>0.19223673095363461</v>
      </c>
      <c r="BN88" s="105">
        <v>0.19309674386938744</v>
      </c>
      <c r="BO88" s="105">
        <v>0.19391037874882255</v>
      </c>
      <c r="BP88" s="105">
        <v>0.19297864994159905</v>
      </c>
      <c r="BQ88" s="105">
        <v>0.19208198206323263</v>
      </c>
      <c r="BR88" s="105">
        <v>0.19121843264852584</v>
      </c>
      <c r="BS88" s="105">
        <v>0.19038620012048399</v>
      </c>
      <c r="BT88" s="105">
        <v>0.18958361124441953</v>
      </c>
      <c r="BU88" s="105">
        <v>0.18880910989923164</v>
      </c>
      <c r="BV88" s="105">
        <v>0.16111094412172733</v>
      </c>
      <c r="BW88" s="105">
        <v>0.16263352988338187</v>
      </c>
    </row>
    <row r="89" spans="2:75" ht="14.4">
      <c r="B89" s="2" t="s">
        <v>15</v>
      </c>
      <c r="C89" s="104">
        <v>0</v>
      </c>
      <c r="D89" s="104">
        <v>0</v>
      </c>
      <c r="E89" s="68">
        <v>2058.0838287873389</v>
      </c>
      <c r="F89" s="68">
        <v>2308.9137260159332</v>
      </c>
      <c r="G89" s="68">
        <v>2553.8465160271535</v>
      </c>
      <c r="H89" s="68">
        <v>2934.6714021965972</v>
      </c>
      <c r="I89" s="68">
        <v>3202.046575094073</v>
      </c>
      <c r="J89" s="68">
        <v>3646.2396181231925</v>
      </c>
      <c r="K89" s="68">
        <v>4019.2697637021279</v>
      </c>
      <c r="L89" s="1"/>
      <c r="M89" s="1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107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G89" s="105">
        <v>0.16747706665759157</v>
      </c>
      <c r="BH89" s="105">
        <v>0.16736707734585593</v>
      </c>
      <c r="BI89" s="105">
        <v>0.16726915848206114</v>
      </c>
      <c r="BJ89" s="105">
        <v>0.16141816038535911</v>
      </c>
      <c r="BK89" s="105">
        <v>0.15646984193249389</v>
      </c>
      <c r="BL89" s="105">
        <v>0.15494968332245901</v>
      </c>
      <c r="BM89" s="105">
        <v>0.15356129887860748</v>
      </c>
      <c r="BN89" s="105">
        <v>0.15228826622015754</v>
      </c>
      <c r="BO89" s="105">
        <v>0.15111678298278963</v>
      </c>
      <c r="BP89" s="105">
        <v>0.15049087483138898</v>
      </c>
      <c r="BQ89" s="105">
        <v>0.14988835309163903</v>
      </c>
      <c r="BR89" s="105">
        <v>0.14930793108752266</v>
      </c>
      <c r="BS89" s="105">
        <v>0.14874841483049214</v>
      </c>
      <c r="BT89" s="105">
        <v>0.14820869482102972</v>
      </c>
      <c r="BU89" s="105">
        <v>0.14768773870528823</v>
      </c>
      <c r="BV89" s="105">
        <v>0.13582001632535937</v>
      </c>
      <c r="BW89" s="105">
        <v>0.14068810788232108</v>
      </c>
    </row>
    <row r="90" spans="2:75" ht="14.4">
      <c r="B90" s="2" t="s">
        <v>16</v>
      </c>
      <c r="C90" s="104">
        <v>0</v>
      </c>
      <c r="D90" s="104">
        <v>0</v>
      </c>
      <c r="E90" s="68">
        <v>2350.7939239663342</v>
      </c>
      <c r="F90" s="68">
        <v>2645.8361383690162</v>
      </c>
      <c r="G90" s="68">
        <v>2931.3529590509497</v>
      </c>
      <c r="H90" s="68">
        <v>3383.2629572717942</v>
      </c>
      <c r="I90" s="68">
        <v>3700.316642001977</v>
      </c>
      <c r="J90" s="68">
        <v>4177.0490010651338</v>
      </c>
      <c r="K90" s="68">
        <v>4617.0546421407917</v>
      </c>
      <c r="L90" s="1"/>
      <c r="M90" s="1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/>
      <c r="AL90" s="107"/>
      <c r="AM90" s="107"/>
      <c r="AN90" s="107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G90" s="105">
        <v>0.15968054537781634</v>
      </c>
      <c r="BH90" s="105">
        <v>0.1594653652557689</v>
      </c>
      <c r="BI90" s="105">
        <v>0.15927466623566103</v>
      </c>
      <c r="BJ90" s="105">
        <v>0.15177046168622793</v>
      </c>
      <c r="BK90" s="105">
        <v>0.14557956978006786</v>
      </c>
      <c r="BL90" s="105">
        <v>0.14544423954098443</v>
      </c>
      <c r="BM90" s="105">
        <v>0.14531881935276625</v>
      </c>
      <c r="BN90" s="105">
        <v>0.14520225911465803</v>
      </c>
      <c r="BO90" s="105">
        <v>0.14509365202707672</v>
      </c>
      <c r="BP90" s="105">
        <v>0.14444017992969749</v>
      </c>
      <c r="BQ90" s="105">
        <v>0.14381209932962569</v>
      </c>
      <c r="BR90" s="105">
        <v>0.14320795850233117</v>
      </c>
      <c r="BS90" s="105">
        <v>0.14262641432082768</v>
      </c>
      <c r="BT90" s="105">
        <v>0.14206622228742397</v>
      </c>
      <c r="BU90" s="105">
        <v>0.14152622764367281</v>
      </c>
      <c r="BV90" s="105">
        <v>0.12974493331995574</v>
      </c>
      <c r="BW90" s="105">
        <v>0.13571579637527764</v>
      </c>
    </row>
    <row r="91" spans="2:75" ht="14.4">
      <c r="B91" s="2" t="s">
        <v>17</v>
      </c>
      <c r="C91" s="104">
        <v>0</v>
      </c>
      <c r="D91" s="104">
        <v>0</v>
      </c>
      <c r="E91" s="68">
        <v>2641.0950470020612</v>
      </c>
      <c r="F91" s="68">
        <v>2981.0259907713516</v>
      </c>
      <c r="G91" s="68">
        <v>3331.2812883533429</v>
      </c>
      <c r="H91" s="68">
        <v>3862.411745352616</v>
      </c>
      <c r="I91" s="68">
        <v>4230.0955741241505</v>
      </c>
      <c r="J91" s="68">
        <v>4778.594993706387</v>
      </c>
      <c r="K91" s="68">
        <v>5299.4486451847843</v>
      </c>
      <c r="L91" s="1"/>
      <c r="M91" s="1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7"/>
      <c r="AL91" s="107"/>
      <c r="AM91" s="107"/>
      <c r="AN91" s="107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G91" s="105">
        <v>0.1427904318628524</v>
      </c>
      <c r="BH91" s="105">
        <v>0.14247167668781058</v>
      </c>
      <c r="BI91" s="105">
        <v>0.14219045626733465</v>
      </c>
      <c r="BJ91" s="105">
        <v>0.13547211221671424</v>
      </c>
      <c r="BK91" s="105">
        <v>0.12997656060964494</v>
      </c>
      <c r="BL91" s="105">
        <v>0.13007692628221543</v>
      </c>
      <c r="BM91" s="105">
        <v>0.13017002003320419</v>
      </c>
      <c r="BN91" s="105">
        <v>0.13025660455510626</v>
      </c>
      <c r="BO91" s="105">
        <v>0.13033733948645945</v>
      </c>
      <c r="BP91" s="105">
        <v>0.12967809885376871</v>
      </c>
      <c r="BQ91" s="105">
        <v>0.12904546700351016</v>
      </c>
      <c r="BR91" s="105">
        <v>0.12843786479835315</v>
      </c>
      <c r="BS91" s="105">
        <v>0.12785383563200878</v>
      </c>
      <c r="BT91" s="105">
        <v>0.12729203377084444</v>
      </c>
      <c r="BU91" s="105">
        <v>0.12675121400174535</v>
      </c>
      <c r="BV91" s="105">
        <v>0.11719195721100614</v>
      </c>
      <c r="BW91" s="105">
        <v>0.12259661025008214</v>
      </c>
    </row>
    <row r="92" spans="2:75" ht="14.4">
      <c r="B92" s="2" t="s">
        <v>18</v>
      </c>
      <c r="C92" s="104">
        <v>0</v>
      </c>
      <c r="D92" s="104">
        <v>0</v>
      </c>
      <c r="E92" s="68">
        <v>3241.3795830694271</v>
      </c>
      <c r="F92" s="68">
        <v>3674.2460665322433</v>
      </c>
      <c r="G92" s="68">
        <v>4073.0584540544919</v>
      </c>
      <c r="H92" s="68">
        <v>4756.4873378917819</v>
      </c>
      <c r="I92" s="68">
        <v>5238.8337157766182</v>
      </c>
      <c r="J92" s="68">
        <v>5900.4983963888517</v>
      </c>
      <c r="K92" s="68">
        <v>6578.7962434297333</v>
      </c>
      <c r="L92" s="1"/>
      <c r="M92" s="1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107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G92" s="105">
        <v>0.119161622114345</v>
      </c>
      <c r="BH92" s="105">
        <v>0.11884847002470576</v>
      </c>
      <c r="BI92" s="105">
        <v>0.11857357399194354</v>
      </c>
      <c r="BJ92" s="105">
        <v>0.11681870149666684</v>
      </c>
      <c r="BK92" s="105">
        <v>0.11527963339026892</v>
      </c>
      <c r="BL92" s="105">
        <v>0.11364218076632418</v>
      </c>
      <c r="BM92" s="105">
        <v>0.11217219325988874</v>
      </c>
      <c r="BN92" s="105">
        <v>0.11084523024203054</v>
      </c>
      <c r="BO92" s="105">
        <v>0.10964138641825656</v>
      </c>
      <c r="BP92" s="105">
        <v>0.10910143626966617</v>
      </c>
      <c r="BQ92" s="105">
        <v>0.10858417730216346</v>
      </c>
      <c r="BR92" s="105">
        <v>0.1080882085715838</v>
      </c>
      <c r="BS92" s="105">
        <v>0.10761224213320308</v>
      </c>
      <c r="BT92" s="105">
        <v>0.10715509187384049</v>
      </c>
      <c r="BU92" s="105">
        <v>0.10671566364277581</v>
      </c>
      <c r="BV92" s="105">
        <v>9.9227529128445874E-2</v>
      </c>
      <c r="BW92" s="105">
        <v>0.10399068950182652</v>
      </c>
    </row>
    <row r="93" spans="2:75" ht="14.4">
      <c r="B93" s="2" t="s">
        <v>19</v>
      </c>
      <c r="C93" s="104">
        <v>0</v>
      </c>
      <c r="D93" s="104">
        <v>0</v>
      </c>
      <c r="E93" s="68">
        <v>4295.2436406547868</v>
      </c>
      <c r="F93" s="68">
        <v>4889.3511804381615</v>
      </c>
      <c r="G93" s="68">
        <v>5396.3262935329412</v>
      </c>
      <c r="H93" s="68">
        <v>6347.038270526572</v>
      </c>
      <c r="I93" s="68">
        <v>7070.6510988542468</v>
      </c>
      <c r="J93" s="68">
        <v>7885.0129987157707</v>
      </c>
      <c r="K93" s="68">
        <v>8837.175483715122</v>
      </c>
      <c r="L93" s="1"/>
      <c r="M93" s="1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107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G93" s="105">
        <v>0.10016034359533495</v>
      </c>
      <c r="BH93" s="105">
        <v>9.9909647176914709E-2</v>
      </c>
      <c r="BI93" s="105">
        <v>9.9690446225218027E-2</v>
      </c>
      <c r="BJ93" s="105">
        <v>9.4912826618632151E-2</v>
      </c>
      <c r="BK93" s="105">
        <v>9.0963019164709197E-2</v>
      </c>
      <c r="BL93" s="105">
        <v>9.1470994731302893E-2</v>
      </c>
      <c r="BM93" s="105">
        <v>9.1942874860747939E-2</v>
      </c>
      <c r="BN93" s="105">
        <v>9.2382374827499905E-2</v>
      </c>
      <c r="BO93" s="105">
        <v>9.2792716939270409E-2</v>
      </c>
      <c r="BP93" s="105">
        <v>9.2315353572424555E-2</v>
      </c>
      <c r="BQ93" s="105">
        <v>9.1860089270597703E-2</v>
      </c>
      <c r="BR93" s="105">
        <v>9.1425424169611344E-2</v>
      </c>
      <c r="BS93" s="105">
        <v>9.1009991130368506E-2</v>
      </c>
      <c r="BT93" s="105">
        <v>9.0612541375330424E-2</v>
      </c>
      <c r="BU93" s="105">
        <v>9.0231931950782357E-2</v>
      </c>
      <c r="BV93" s="105">
        <v>8.4336913131695584E-2</v>
      </c>
      <c r="BW93" s="105">
        <v>8.8575797234266257E-2</v>
      </c>
    </row>
    <row r="94" spans="2:75" ht="14.4">
      <c r="B94" s="2" t="s">
        <v>20</v>
      </c>
      <c r="C94" s="104">
        <v>0</v>
      </c>
      <c r="D94" s="104">
        <v>0</v>
      </c>
      <c r="E94" s="68">
        <v>5703.5225441378234</v>
      </c>
      <c r="F94" s="68">
        <v>6527.3069188234722</v>
      </c>
      <c r="G94" s="68">
        <v>7243.3005223990203</v>
      </c>
      <c r="H94" s="68">
        <v>8560.8062424938944</v>
      </c>
      <c r="I94" s="68">
        <v>9626.0677461245104</v>
      </c>
      <c r="J94" s="68">
        <v>10721.795022206703</v>
      </c>
      <c r="K94" s="68">
        <v>12034.916513488442</v>
      </c>
      <c r="L94" s="1"/>
      <c r="M94" s="1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07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G94" s="105">
        <v>0.10177868481890665</v>
      </c>
      <c r="BH94" s="105">
        <v>0.10169106058085019</v>
      </c>
      <c r="BI94" s="105">
        <v>0.1016146184579992</v>
      </c>
      <c r="BJ94" s="105">
        <v>9.7025879521952824E-2</v>
      </c>
      <c r="BK94" s="105">
        <v>9.323186439309343E-2</v>
      </c>
      <c r="BL94" s="105">
        <v>9.3876794903433897E-2</v>
      </c>
      <c r="BM94" s="105">
        <v>9.4475848805660428E-2</v>
      </c>
      <c r="BN94" s="105">
        <v>9.5033753068138688E-2</v>
      </c>
      <c r="BO94" s="105">
        <v>9.5554606821826482E-2</v>
      </c>
      <c r="BP94" s="105">
        <v>9.5445775186556864E-2</v>
      </c>
      <c r="BQ94" s="105">
        <v>9.5341510952998351E-2</v>
      </c>
      <c r="BR94" s="105">
        <v>9.5241532506221083E-2</v>
      </c>
      <c r="BS94" s="105">
        <v>9.5145580916646821E-2</v>
      </c>
      <c r="BT94" s="105">
        <v>9.5053417700883519E-2</v>
      </c>
      <c r="BU94" s="105">
        <v>9.4964822842646721E-2</v>
      </c>
      <c r="BV94" s="105">
        <v>8.7544366051609701E-2</v>
      </c>
      <c r="BW94" s="105">
        <v>9.1901647309639692E-2</v>
      </c>
    </row>
    <row r="95" spans="2:75" ht="14.4">
      <c r="B95" s="2" t="s">
        <v>21</v>
      </c>
      <c r="C95" s="104">
        <v>0</v>
      </c>
      <c r="D95" s="104">
        <v>0</v>
      </c>
      <c r="E95" s="68">
        <v>6668.7564916503543</v>
      </c>
      <c r="F95" s="68">
        <v>7648.1356191764935</v>
      </c>
      <c r="G95" s="68">
        <v>8475.8864588243287</v>
      </c>
      <c r="H95" s="68">
        <v>10050.537816739812</v>
      </c>
      <c r="I95" s="68">
        <v>11202.165428247396</v>
      </c>
      <c r="J95" s="68">
        <v>12456.020924073462</v>
      </c>
      <c r="K95" s="68">
        <v>14009.493814435402</v>
      </c>
      <c r="L95" s="1"/>
      <c r="M95" s="1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G95" s="105">
        <v>9.2109429300237314E-2</v>
      </c>
      <c r="BH95" s="105">
        <v>9.2036158279110214E-2</v>
      </c>
      <c r="BI95" s="105">
        <v>9.197236502062181E-2</v>
      </c>
      <c r="BJ95" s="105">
        <v>8.7733531262963099E-2</v>
      </c>
      <c r="BK95" s="105">
        <v>8.4230617353331483E-2</v>
      </c>
      <c r="BL95" s="105">
        <v>8.5188119024863937E-2</v>
      </c>
      <c r="BM95" s="105">
        <v>8.6083510690512358E-2</v>
      </c>
      <c r="BN95" s="105">
        <v>8.6922645812597912E-2</v>
      </c>
      <c r="BO95" s="105">
        <v>8.7710664721987394E-2</v>
      </c>
      <c r="BP95" s="105">
        <v>8.8194769165700251E-2</v>
      </c>
      <c r="BQ95" s="105">
        <v>8.8666143287420549E-2</v>
      </c>
      <c r="BR95" s="105">
        <v>8.9125282717549673E-2</v>
      </c>
      <c r="BS95" s="105">
        <v>8.9572657687563548E-2</v>
      </c>
      <c r="BT95" s="105">
        <v>9.0008714636414314E-2</v>
      </c>
      <c r="BU95" s="105">
        <v>9.0433877696535284E-2</v>
      </c>
      <c r="BV95" s="105">
        <v>7.9198690294272137E-2</v>
      </c>
      <c r="BW95" s="105">
        <v>8.5641204061858864E-2</v>
      </c>
    </row>
    <row r="96" spans="2:75" ht="14.4">
      <c r="L96" s="1"/>
      <c r="M96" s="1"/>
      <c r="V96" s="107"/>
    </row>
    <row r="97" spans="2:111" ht="14.4">
      <c r="B97" s="75" t="s">
        <v>336</v>
      </c>
      <c r="L97" s="1"/>
      <c r="M97" s="1"/>
    </row>
    <row r="98" spans="2:111" ht="14.4">
      <c r="C98" s="98" t="s">
        <v>202</v>
      </c>
      <c r="D98" s="67" t="s">
        <v>173</v>
      </c>
      <c r="E98" s="171" t="s">
        <v>174</v>
      </c>
      <c r="F98" s="172"/>
      <c r="G98" s="173" t="s">
        <v>136</v>
      </c>
      <c r="H98" s="174"/>
      <c r="I98" s="174"/>
      <c r="J98" s="176" t="s">
        <v>323</v>
      </c>
      <c r="K98" s="177"/>
      <c r="L98" s="1"/>
      <c r="M98" s="1"/>
    </row>
    <row r="99" spans="2:111" ht="41.4">
      <c r="B99" s="102" t="s">
        <v>324</v>
      </c>
      <c r="C99" s="103">
        <v>100000</v>
      </c>
      <c r="D99" s="103">
        <v>200000</v>
      </c>
      <c r="E99" s="103" t="s">
        <v>325</v>
      </c>
      <c r="F99" s="103" t="s">
        <v>326</v>
      </c>
      <c r="G99" s="103" t="s">
        <v>327</v>
      </c>
      <c r="H99" s="103" t="s">
        <v>328</v>
      </c>
      <c r="I99" s="103" t="s">
        <v>329</v>
      </c>
      <c r="J99" s="103" t="s">
        <v>330</v>
      </c>
      <c r="K99" s="103" t="s">
        <v>331</v>
      </c>
      <c r="L99" s="1"/>
      <c r="M99" s="1"/>
      <c r="BY99" s="103" t="s">
        <v>325</v>
      </c>
      <c r="BZ99" s="103" t="s">
        <v>337</v>
      </c>
      <c r="CA99" s="103" t="s">
        <v>326</v>
      </c>
      <c r="CB99" s="103" t="s">
        <v>338</v>
      </c>
      <c r="CC99" s="103" t="s">
        <v>327</v>
      </c>
      <c r="CD99" s="103" t="s">
        <v>339</v>
      </c>
      <c r="CE99" s="103" t="s">
        <v>340</v>
      </c>
      <c r="CF99" s="103" t="s">
        <v>341</v>
      </c>
      <c r="CG99" s="103" t="s">
        <v>328</v>
      </c>
      <c r="CH99" s="103" t="s">
        <v>342</v>
      </c>
      <c r="CI99" s="103" t="s">
        <v>343</v>
      </c>
      <c r="CJ99" s="103" t="s">
        <v>344</v>
      </c>
      <c r="CK99" s="103" t="s">
        <v>345</v>
      </c>
      <c r="CL99" s="103" t="s">
        <v>346</v>
      </c>
      <c r="CM99" s="103" t="s">
        <v>329</v>
      </c>
      <c r="CN99" s="103" t="s">
        <v>330</v>
      </c>
      <c r="CO99" s="103" t="s">
        <v>347</v>
      </c>
    </row>
    <row r="100" spans="2:111" ht="14.4">
      <c r="B100" s="2" t="s">
        <v>11</v>
      </c>
      <c r="C100" s="104">
        <v>0</v>
      </c>
      <c r="D100" s="104">
        <v>0</v>
      </c>
      <c r="E100" s="68">
        <v>2126.4377855993216</v>
      </c>
      <c r="F100" s="68">
        <v>2357.313386533192</v>
      </c>
      <c r="G100" s="68">
        <v>2604.3942886470227</v>
      </c>
      <c r="H100" s="68">
        <v>2945.8765935653882</v>
      </c>
      <c r="I100" s="68">
        <v>3192.1630238058215</v>
      </c>
      <c r="J100" s="68">
        <v>3768.4898162026079</v>
      </c>
      <c r="K100" s="68">
        <v>4098.0932651117519</v>
      </c>
      <c r="L100" s="1"/>
      <c r="M100" s="1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G100" s="105">
        <v>0.34278765093853297</v>
      </c>
      <c r="BH100" s="105">
        <v>0.34015782446386655</v>
      </c>
      <c r="BI100" s="105">
        <v>0.33781994257065717</v>
      </c>
      <c r="BJ100" s="105">
        <v>0.3211875370821991</v>
      </c>
      <c r="BK100" s="105">
        <v>0.30748489980411248</v>
      </c>
      <c r="BL100" s="105">
        <v>0.30542160695324244</v>
      </c>
      <c r="BM100" s="105">
        <v>0.30351028851928186</v>
      </c>
      <c r="BN100" s="105">
        <v>0.30173475011246803</v>
      </c>
      <c r="BO100" s="105">
        <v>0.30008101931686254</v>
      </c>
      <c r="BP100" s="105">
        <v>0.29820160248435063</v>
      </c>
      <c r="BQ100" s="105">
        <v>0.29639559719158914</v>
      </c>
      <c r="BR100" s="105">
        <v>0.29465878456383471</v>
      </c>
      <c r="BS100" s="105">
        <v>0.29298726292174621</v>
      </c>
      <c r="BT100" s="105">
        <v>0.2913774185210144</v>
      </c>
      <c r="BU100" s="105">
        <v>0.28982589947233783</v>
      </c>
      <c r="BV100" s="105">
        <v>0.2617449730820669</v>
      </c>
      <c r="BW100" s="105">
        <v>0.26914877307154561</v>
      </c>
      <c r="BY100" s="104">
        <v>3270.4947503161538</v>
      </c>
      <c r="BZ100" s="104">
        <v>3477.4145824011407</v>
      </c>
      <c r="CA100" s="104">
        <v>3684.3344144861276</v>
      </c>
      <c r="CB100" s="104">
        <v>3914.7202915591179</v>
      </c>
      <c r="CC100" s="104">
        <v>4145.1061686321082</v>
      </c>
      <c r="CD100" s="104">
        <v>4304.5409405693072</v>
      </c>
      <c r="CE100" s="104">
        <v>4463.9757125065062</v>
      </c>
      <c r="CF100" s="104">
        <v>4623.4104844437061</v>
      </c>
      <c r="CG100" s="104">
        <v>4782.8452563809051</v>
      </c>
      <c r="CH100" s="104">
        <v>4864.1846885015802</v>
      </c>
      <c r="CI100" s="104">
        <v>4945.5241206222554</v>
      </c>
      <c r="CJ100" s="104">
        <v>5026.8635527429306</v>
      </c>
      <c r="CK100" s="104">
        <v>5108.2029848636048</v>
      </c>
      <c r="CL100" s="104">
        <v>5189.542416984279</v>
      </c>
      <c r="CM100" s="104">
        <v>5270.8818491049542</v>
      </c>
      <c r="CN100" s="104">
        <v>6346.5352693676487</v>
      </c>
      <c r="CO100" s="104">
        <v>6975.9726110160809</v>
      </c>
      <c r="CQ100" s="106">
        <v>-0.3861541300374679</v>
      </c>
      <c r="CR100" s="106">
        <v>-0.39133945536032066</v>
      </c>
      <c r="CS100" s="106">
        <v>-0.39594234351846214</v>
      </c>
      <c r="CT100" s="106">
        <v>-0.40169786196461688</v>
      </c>
      <c r="CU100" s="106">
        <v>-0.40681359454701671</v>
      </c>
      <c r="CV100" s="106">
        <v>-0.410060348551882</v>
      </c>
      <c r="CW100" s="106">
        <v>-0.41307518127507392</v>
      </c>
      <c r="CX100" s="106">
        <v>-0.41588208560027129</v>
      </c>
      <c r="CY100" s="106">
        <v>-0.41850185522762717</v>
      </c>
      <c r="CZ100" s="106">
        <v>-0.42025864918182931</v>
      </c>
      <c r="DA100" s="106">
        <v>-0.42195765487371484</v>
      </c>
      <c r="DB100" s="106">
        <v>-0.42360167751038191</v>
      </c>
      <c r="DC100" s="106">
        <v>-0.42519334362634842</v>
      </c>
      <c r="DD100" s="106">
        <v>-0.42673511508587103</v>
      </c>
      <c r="DE100" s="106">
        <v>-0.42822930178877494</v>
      </c>
      <c r="DF100" s="106">
        <v>-0.4394030096881304</v>
      </c>
      <c r="DG100" s="106">
        <v>-0.44537788219945329</v>
      </c>
    </row>
    <row r="101" spans="2:111" ht="14.4">
      <c r="B101" s="2" t="s">
        <v>12</v>
      </c>
      <c r="C101" s="104">
        <v>0</v>
      </c>
      <c r="D101" s="104">
        <v>0</v>
      </c>
      <c r="E101" s="68">
        <v>2189.1829413646619</v>
      </c>
      <c r="F101" s="68">
        <v>2435.3107212210298</v>
      </c>
      <c r="G101" s="68">
        <v>2691.8652453430445</v>
      </c>
      <c r="H101" s="68">
        <v>3053.1531596730511</v>
      </c>
      <c r="I101" s="68">
        <v>3312.6307962998671</v>
      </c>
      <c r="J101" s="68">
        <v>3915.4830294621574</v>
      </c>
      <c r="K101" s="68">
        <v>4267.8234426355575</v>
      </c>
      <c r="L101" s="1"/>
      <c r="M101" s="1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  <c r="AN101" s="107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G101" s="105">
        <v>0.29605463099083118</v>
      </c>
      <c r="BH101" s="105">
        <v>0.29522374035779853</v>
      </c>
      <c r="BI101" s="105">
        <v>0.29448079537149663</v>
      </c>
      <c r="BJ101" s="105">
        <v>0.27849152025174845</v>
      </c>
      <c r="BK101" s="105">
        <v>0.26545207864917753</v>
      </c>
      <c r="BL101" s="105">
        <v>0.2638528940151546</v>
      </c>
      <c r="BM101" s="105">
        <v>0.2623716681033213</v>
      </c>
      <c r="BN101" s="105">
        <v>0.26099581386542892</v>
      </c>
      <c r="BO101" s="105">
        <v>0.2597144735813271</v>
      </c>
      <c r="BP101" s="105">
        <v>0.25695628463477621</v>
      </c>
      <c r="BQ101" s="105">
        <v>0.25432969108902997</v>
      </c>
      <c r="BR101" s="105">
        <v>0.25182549459171755</v>
      </c>
      <c r="BS101" s="105">
        <v>0.2494353345421626</v>
      </c>
      <c r="BT101" s="105">
        <v>0.24715159484048707</v>
      </c>
      <c r="BU101" s="105">
        <v>0.24496732282126976</v>
      </c>
      <c r="BV101" s="105">
        <v>0.21808057056245425</v>
      </c>
      <c r="BW101" s="105">
        <v>0.22007180937202489</v>
      </c>
      <c r="BY101" s="104">
        <v>3445.2330146338791</v>
      </c>
      <c r="BZ101" s="104">
        <v>3670.4908588765115</v>
      </c>
      <c r="CA101" s="104">
        <v>3895.748703119144</v>
      </c>
      <c r="CB101" s="104">
        <v>4140.0124398238468</v>
      </c>
      <c r="CC101" s="104">
        <v>4384.2761765285495</v>
      </c>
      <c r="CD101" s="104">
        <v>4556.1286903507926</v>
      </c>
      <c r="CE101" s="104">
        <v>4727.9812041730356</v>
      </c>
      <c r="CF101" s="104">
        <v>4899.8337179952796</v>
      </c>
      <c r="CG101" s="104">
        <v>5071.6862318175226</v>
      </c>
      <c r="CH101" s="104">
        <v>5158.9254154848868</v>
      </c>
      <c r="CI101" s="104">
        <v>5246.164599152251</v>
      </c>
      <c r="CJ101" s="104">
        <v>5333.4037828196151</v>
      </c>
      <c r="CK101" s="104">
        <v>5420.6429664869802</v>
      </c>
      <c r="CL101" s="104">
        <v>5507.8821501543443</v>
      </c>
      <c r="CM101" s="104">
        <v>5595.1213338217094</v>
      </c>
      <c r="CN101" s="104">
        <v>6743.3960775993764</v>
      </c>
      <c r="CO101" s="104">
        <v>7427.7517429827549</v>
      </c>
      <c r="CQ101" s="106">
        <v>-0.40009349828329488</v>
      </c>
      <c r="CR101" s="106">
        <v>-0.4052558761408328</v>
      </c>
      <c r="CS101" s="106">
        <v>-0.40982126163773747</v>
      </c>
      <c r="CT101" s="106">
        <v>-0.41538938760131205</v>
      </c>
      <c r="CU101" s="106">
        <v>-0.42033707306363066</v>
      </c>
      <c r="CV101" s="106">
        <v>-0.42348517020229759</v>
      </c>
      <c r="CW101" s="106">
        <v>-0.42640441346711266</v>
      </c>
      <c r="CX101" s="106">
        <v>-0.42911888272432253</v>
      </c>
      <c r="CY101" s="106">
        <v>-0.43164939408499747</v>
      </c>
      <c r="CZ101" s="106">
        <v>-0.43334615012068145</v>
      </c>
      <c r="DA101" s="106">
        <v>-0.43498647498321474</v>
      </c>
      <c r="DB101" s="106">
        <v>-0.43657313782885088</v>
      </c>
      <c r="DC101" s="106">
        <v>-0.43810872954795665</v>
      </c>
      <c r="DD101" s="106">
        <v>-0.43959567688275303</v>
      </c>
      <c r="DE101" s="106">
        <v>-0.44103625522431267</v>
      </c>
      <c r="DF101" s="106">
        <v>-0.45181545067218087</v>
      </c>
      <c r="DG101" s="106">
        <v>-0.45753817789840046</v>
      </c>
    </row>
    <row r="102" spans="2:111" ht="14.4">
      <c r="B102" s="2" t="s">
        <v>13</v>
      </c>
      <c r="C102" s="104">
        <v>0</v>
      </c>
      <c r="D102" s="104">
        <v>0</v>
      </c>
      <c r="E102" s="68">
        <v>2245.0122765690489</v>
      </c>
      <c r="F102" s="68">
        <v>2502.5527341213306</v>
      </c>
      <c r="G102" s="68">
        <v>2767.8843763816494</v>
      </c>
      <c r="H102" s="68">
        <v>3144.8938357568877</v>
      </c>
      <c r="I102" s="68">
        <v>3415.3892803176764</v>
      </c>
      <c r="J102" s="68">
        <v>4040.8747842837324</v>
      </c>
      <c r="K102" s="68">
        <v>4411.3869087008188</v>
      </c>
      <c r="L102" s="1"/>
      <c r="M102" s="1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  <c r="AL102" s="107"/>
      <c r="AM102" s="107"/>
      <c r="AN102" s="107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G102" s="105">
        <v>0.26480119705351723</v>
      </c>
      <c r="BH102" s="105">
        <v>0.26438444225116331</v>
      </c>
      <c r="BI102" s="105">
        <v>0.26401169082828202</v>
      </c>
      <c r="BJ102" s="105">
        <v>0.24999784560067884</v>
      </c>
      <c r="BK102" s="105">
        <v>0.23854936842092422</v>
      </c>
      <c r="BL102" s="105">
        <v>0.23705949754484976</v>
      </c>
      <c r="BM102" s="105">
        <v>0.23568139349843648</v>
      </c>
      <c r="BN102" s="105">
        <v>0.23440293421517674</v>
      </c>
      <c r="BO102" s="105">
        <v>0.23321368945304696</v>
      </c>
      <c r="BP102" s="105">
        <v>0.2317351681693027</v>
      </c>
      <c r="BQ102" s="105">
        <v>0.23031571555200261</v>
      </c>
      <c r="BR102" s="105">
        <v>0.22895186113163996</v>
      </c>
      <c r="BS102" s="105">
        <v>0.22764040108457875</v>
      </c>
      <c r="BT102" s="105">
        <v>0.22637837310675085</v>
      </c>
      <c r="BU102" s="105">
        <v>0.22516303407600846</v>
      </c>
      <c r="BV102" s="105">
        <v>0.20018481452168072</v>
      </c>
      <c r="BW102" s="105">
        <v>0.20008127636272399</v>
      </c>
      <c r="BY102" s="104">
        <v>3591.1892137514451</v>
      </c>
      <c r="BZ102" s="104">
        <v>3830.0595309383079</v>
      </c>
      <c r="CA102" s="104">
        <v>4068.9298481251708</v>
      </c>
      <c r="CB102" s="104">
        <v>4325.0350376404567</v>
      </c>
      <c r="CC102" s="104">
        <v>4581.1402271557417</v>
      </c>
      <c r="CD102" s="104">
        <v>4762.6250527025622</v>
      </c>
      <c r="CE102" s="104">
        <v>4944.1098782493837</v>
      </c>
      <c r="CF102" s="104">
        <v>5125.5947037962051</v>
      </c>
      <c r="CG102" s="104">
        <v>5307.0795293430256</v>
      </c>
      <c r="CH102" s="104">
        <v>5399.0458532028133</v>
      </c>
      <c r="CI102" s="104">
        <v>5491.012177062601</v>
      </c>
      <c r="CJ102" s="104">
        <v>5582.9785009223888</v>
      </c>
      <c r="CK102" s="104">
        <v>5674.9448247821765</v>
      </c>
      <c r="CL102" s="104">
        <v>5766.9111486419642</v>
      </c>
      <c r="CM102" s="104">
        <v>5858.877472501752</v>
      </c>
      <c r="CN102" s="104">
        <v>7066.1262733444819</v>
      </c>
      <c r="CO102" s="104">
        <v>7793.4303475573815</v>
      </c>
      <c r="CQ102" s="106">
        <v>-0.40979817786294948</v>
      </c>
      <c r="CR102" s="106">
        <v>-0.41486575735031161</v>
      </c>
      <c r="CS102" s="106">
        <v>-0.41933834288855287</v>
      </c>
      <c r="CT102" s="106">
        <v>-0.42476258836385672</v>
      </c>
      <c r="CU102" s="106">
        <v>-0.42958035713399634</v>
      </c>
      <c r="CV102" s="106">
        <v>-0.43263296320597833</v>
      </c>
      <c r="CW102" s="106">
        <v>-0.43546146354646198</v>
      </c>
      <c r="CX102" s="106">
        <v>-0.4380896632699377</v>
      </c>
      <c r="CY102" s="106">
        <v>-0.4405381112615312</v>
      </c>
      <c r="CZ102" s="106">
        <v>-0.44218451099632206</v>
      </c>
      <c r="DA102" s="106">
        <v>-0.44377576121538431</v>
      </c>
      <c r="DB102" s="106">
        <v>-0.44531458729096685</v>
      </c>
      <c r="DC102" s="106">
        <v>-0.44680353792930716</v>
      </c>
      <c r="DD102" s="106">
        <v>-0.44824499925730865</v>
      </c>
      <c r="DE102" s="106">
        <v>-0.44964120758251425</v>
      </c>
      <c r="DF102" s="106">
        <v>-0.46009902389218704</v>
      </c>
      <c r="DG102" s="106">
        <v>-0.46559980809465507</v>
      </c>
    </row>
    <row r="103" spans="2:111" ht="14.4">
      <c r="B103" s="2" t="s">
        <v>14</v>
      </c>
      <c r="C103" s="104">
        <v>0</v>
      </c>
      <c r="D103" s="104">
        <v>0</v>
      </c>
      <c r="E103" s="68">
        <v>2377.8804627333866</v>
      </c>
      <c r="F103" s="68">
        <v>2652.8843030291509</v>
      </c>
      <c r="G103" s="68">
        <v>2933.3306412217335</v>
      </c>
      <c r="H103" s="68">
        <v>3340.4690207855056</v>
      </c>
      <c r="I103" s="68">
        <v>3631.26562817695</v>
      </c>
      <c r="J103" s="68">
        <v>4301.1564952000863</v>
      </c>
      <c r="K103" s="68">
        <v>4707.3758200460243</v>
      </c>
      <c r="L103" s="1"/>
      <c r="M103" s="1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07"/>
      <c r="AM103" s="107"/>
      <c r="AN103" s="107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G103" s="105">
        <v>0.24470712602744368</v>
      </c>
      <c r="BH103" s="105">
        <v>0.24392271323874315</v>
      </c>
      <c r="BI103" s="105">
        <v>0.24322387612238006</v>
      </c>
      <c r="BJ103" s="105">
        <v>0.23054369957502877</v>
      </c>
      <c r="BK103" s="105">
        <v>0.2201631347150256</v>
      </c>
      <c r="BL103" s="105">
        <v>0.2186894816457518</v>
      </c>
      <c r="BM103" s="105">
        <v>0.21732919917817028</v>
      </c>
      <c r="BN103" s="105">
        <v>0.21606968922262423</v>
      </c>
      <c r="BO103" s="105">
        <v>0.21490015360338452</v>
      </c>
      <c r="BP103" s="105">
        <v>0.21343786450968499</v>
      </c>
      <c r="BQ103" s="105">
        <v>0.21203575210583972</v>
      </c>
      <c r="BR103" s="105">
        <v>0.21069017666180315</v>
      </c>
      <c r="BS103" s="105">
        <v>0.20939778617406962</v>
      </c>
      <c r="BT103" s="105">
        <v>0.20815548848511475</v>
      </c>
      <c r="BU103" s="105">
        <v>0.20696042658313704</v>
      </c>
      <c r="BV103" s="105">
        <v>0.20282527841718956</v>
      </c>
      <c r="BW103" s="105">
        <v>0.18809802670675424</v>
      </c>
      <c r="BY103" s="104">
        <v>3920.5186338183162</v>
      </c>
      <c r="BZ103" s="104">
        <v>4181.533831937214</v>
      </c>
      <c r="CA103" s="104">
        <v>4442.5490300561114</v>
      </c>
      <c r="CB103" s="104">
        <v>4720.0005771752658</v>
      </c>
      <c r="CC103" s="104">
        <v>4997.4521242944211</v>
      </c>
      <c r="CD103" s="104">
        <v>5197.5376141189427</v>
      </c>
      <c r="CE103" s="104">
        <v>5397.6231039434642</v>
      </c>
      <c r="CF103" s="104">
        <v>5597.7085937679858</v>
      </c>
      <c r="CG103" s="104">
        <v>5797.7940835925074</v>
      </c>
      <c r="CH103" s="104">
        <v>5898.6502689673171</v>
      </c>
      <c r="CI103" s="104">
        <v>5999.5064543421267</v>
      </c>
      <c r="CJ103" s="104">
        <v>6100.3626397169373</v>
      </c>
      <c r="CK103" s="104">
        <v>6201.218825091747</v>
      </c>
      <c r="CL103" s="104">
        <v>6302.0750104665567</v>
      </c>
      <c r="CM103" s="104">
        <v>6402.9311958413673</v>
      </c>
      <c r="CN103" s="104">
        <v>7726.0464881242806</v>
      </c>
      <c r="CO103" s="104">
        <v>8537.8960598513149</v>
      </c>
      <c r="CQ103" s="106">
        <v>-0.42737987163356939</v>
      </c>
      <c r="CR103" s="106">
        <v>-0.43207823393494837</v>
      </c>
      <c r="CS103" s="106">
        <v>-0.43622450600226048</v>
      </c>
      <c r="CT103" s="106">
        <v>-0.44131667572974564</v>
      </c>
      <c r="CU103" s="106">
        <v>-0.44584342518548237</v>
      </c>
      <c r="CV103" s="106">
        <v>-0.44868773080724311</v>
      </c>
      <c r="CW103" s="106">
        <v>-0.45132116424597768</v>
      </c>
      <c r="CX103" s="106">
        <v>-0.45376633785993459</v>
      </c>
      <c r="CY103" s="106">
        <v>-0.45604274254101784</v>
      </c>
      <c r="CZ103" s="106">
        <v>-0.45758621171736236</v>
      </c>
      <c r="DA103" s="106">
        <v>-0.45907778715392877</v>
      </c>
      <c r="DB103" s="106">
        <v>-0.46052004269998514</v>
      </c>
      <c r="DC103" s="106">
        <v>-0.46191538476118843</v>
      </c>
      <c r="DD103" s="106">
        <v>-0.46326606569812645</v>
      </c>
      <c r="DE103" s="106">
        <v>-0.46457419595857219</v>
      </c>
      <c r="DF103" s="106">
        <v>-0.47440885333525329</v>
      </c>
      <c r="DG103" s="106">
        <v>-0.47946717376724701</v>
      </c>
    </row>
    <row r="104" spans="2:111" ht="14.4">
      <c r="B104" s="2" t="s">
        <v>15</v>
      </c>
      <c r="C104" s="104">
        <v>0</v>
      </c>
      <c r="D104" s="104">
        <v>0</v>
      </c>
      <c r="E104" s="68">
        <v>2765.1276865746672</v>
      </c>
      <c r="F104" s="68">
        <v>3091.0682215625138</v>
      </c>
      <c r="G104" s="68">
        <v>3417.0987815558542</v>
      </c>
      <c r="H104" s="68">
        <v>3911.4938504763231</v>
      </c>
      <c r="I104" s="68">
        <v>4260.1306478107272</v>
      </c>
      <c r="J104" s="68">
        <v>4894.5653817254561</v>
      </c>
      <c r="K104" s="68">
        <v>5375.816006484798</v>
      </c>
      <c r="L104" s="1"/>
      <c r="M104" s="1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107"/>
      <c r="AN104" s="107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G104" s="105">
        <v>0.1929212137527089</v>
      </c>
      <c r="BH104" s="105">
        <v>0.1923842130345905</v>
      </c>
      <c r="BI104" s="105">
        <v>0.19190636384038323</v>
      </c>
      <c r="BJ104" s="105">
        <v>0.1893087764740998</v>
      </c>
      <c r="BK104" s="105">
        <v>0.18701887246367399</v>
      </c>
      <c r="BL104" s="105">
        <v>0.18081043176619144</v>
      </c>
      <c r="BM104" s="105">
        <v>0.1753810944277395</v>
      </c>
      <c r="BN104" s="105">
        <v>0.1705928634616509</v>
      </c>
      <c r="BO104" s="105">
        <v>0.16633851490107168</v>
      </c>
      <c r="BP104" s="105">
        <v>0.16729902388678794</v>
      </c>
      <c r="BQ104" s="105">
        <v>0.16824249627202609</v>
      </c>
      <c r="BR104" s="105">
        <v>0.16916938134097048</v>
      </c>
      <c r="BS104" s="105">
        <v>0.17008011271761478</v>
      </c>
      <c r="BT104" s="105">
        <v>0.17097510904217963</v>
      </c>
      <c r="BU104" s="105">
        <v>0.17185477461277024</v>
      </c>
      <c r="BV104" s="105">
        <v>0.16446523008608935</v>
      </c>
      <c r="BW104" s="105">
        <v>0.15784594552791165</v>
      </c>
      <c r="BY104" s="104">
        <v>4787.0078138080471</v>
      </c>
      <c r="BZ104" s="104">
        <v>5108.5367015223419</v>
      </c>
      <c r="CA104" s="104">
        <v>5430.0655892366376</v>
      </c>
      <c r="CB104" s="104">
        <v>5766.858992500077</v>
      </c>
      <c r="CC104" s="104">
        <v>6103.6523957635163</v>
      </c>
      <c r="CD104" s="104">
        <v>6355.0513351603313</v>
      </c>
      <c r="CE104" s="104">
        <v>6606.4502745571453</v>
      </c>
      <c r="CF104" s="104">
        <v>6857.8492139539594</v>
      </c>
      <c r="CG104" s="104">
        <v>7109.2481533507744</v>
      </c>
      <c r="CH104" s="104">
        <v>7234.4120130497968</v>
      </c>
      <c r="CI104" s="104">
        <v>7359.5758727488192</v>
      </c>
      <c r="CJ104" s="104">
        <v>7484.7397324478416</v>
      </c>
      <c r="CK104" s="104">
        <v>7609.903592146863</v>
      </c>
      <c r="CL104" s="104">
        <v>7735.0674518458854</v>
      </c>
      <c r="CM104" s="104">
        <v>7860.2313115449069</v>
      </c>
      <c r="CN104" s="104">
        <v>9178.9897161380395</v>
      </c>
      <c r="CO104" s="104">
        <v>10169.311813261196</v>
      </c>
      <c r="CQ104" s="106">
        <v>-0.45465521045625057</v>
      </c>
      <c r="CR104" s="106">
        <v>-0.45886054862588077</v>
      </c>
      <c r="CS104" s="106">
        <v>-0.46256786787403659</v>
      </c>
      <c r="CT104" s="106">
        <v>-0.46726715410684549</v>
      </c>
      <c r="CU104" s="106">
        <v>-0.47144783655928335</v>
      </c>
      <c r="CV104" s="106">
        <v>-0.47399498964149367</v>
      </c>
      <c r="CW104" s="106">
        <v>-0.47634828624806669</v>
      </c>
      <c r="CX104" s="106">
        <v>-0.47852904588203471</v>
      </c>
      <c r="CY104" s="106">
        <v>-0.48055557242489866</v>
      </c>
      <c r="CZ104" s="106">
        <v>-0.481959612183956</v>
      </c>
      <c r="DA104" s="106">
        <v>-0.48331589510526796</v>
      </c>
      <c r="DB104" s="106">
        <v>-0.48462681703572563</v>
      </c>
      <c r="DC104" s="106">
        <v>-0.48589461619949026</v>
      </c>
      <c r="DD104" s="106">
        <v>-0.48712138595073895</v>
      </c>
      <c r="DE104" s="106">
        <v>-0.48830908630798586</v>
      </c>
      <c r="DF104" s="106">
        <v>-0.49656968410540858</v>
      </c>
      <c r="DG104" s="106">
        <v>-0.50091680595263588</v>
      </c>
    </row>
    <row r="105" spans="2:111" ht="14.4">
      <c r="B105" s="2" t="s">
        <v>16</v>
      </c>
      <c r="C105" s="104">
        <v>0</v>
      </c>
      <c r="D105" s="104">
        <v>0</v>
      </c>
      <c r="E105" s="68">
        <v>3057.8377817536625</v>
      </c>
      <c r="F105" s="68">
        <v>3427.9906339155964</v>
      </c>
      <c r="G105" s="68">
        <v>3794.6052245796504</v>
      </c>
      <c r="H105" s="68">
        <v>4360.085405551521</v>
      </c>
      <c r="I105" s="68">
        <v>4758.4007147186321</v>
      </c>
      <c r="J105" s="68">
        <v>5425.3747646673964</v>
      </c>
      <c r="K105" s="68">
        <v>5973.6008849234622</v>
      </c>
      <c r="L105" s="1"/>
      <c r="M105" s="1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107"/>
      <c r="AN105" s="107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G105" s="105">
        <v>0.17917961274175731</v>
      </c>
      <c r="BH105" s="105">
        <v>0.17858534053922795</v>
      </c>
      <c r="BI105" s="105">
        <v>0.1780585542279377</v>
      </c>
      <c r="BJ105" s="105">
        <v>0.17187433968504301</v>
      </c>
      <c r="BK105" s="105">
        <v>0.16664569850123659</v>
      </c>
      <c r="BL105" s="105">
        <v>0.16336395059019912</v>
      </c>
      <c r="BM105" s="105">
        <v>0.16042380372072959</v>
      </c>
      <c r="BN105" s="105">
        <v>0.15777456000665582</v>
      </c>
      <c r="BO105" s="105">
        <v>0.15537508092301991</v>
      </c>
      <c r="BP105" s="105">
        <v>0.15483322275633762</v>
      </c>
      <c r="BQ105" s="105">
        <v>0.1543109787495823</v>
      </c>
      <c r="BR105" s="105">
        <v>0.15380730284645802</v>
      </c>
      <c r="BS105" s="105">
        <v>0.153321222075359</v>
      </c>
      <c r="BT105" s="105">
        <v>0.15285183027619217</v>
      </c>
      <c r="BU105" s="105">
        <v>0.15239828246243989</v>
      </c>
      <c r="BV105" s="105">
        <v>0.14473273754528326</v>
      </c>
      <c r="BW105" s="105">
        <v>0.14834747114604602</v>
      </c>
      <c r="BY105" s="104">
        <v>5485.2991007951377</v>
      </c>
      <c r="BZ105" s="104">
        <v>5859.7746423168037</v>
      </c>
      <c r="CA105" s="104">
        <v>6234.2501838384696</v>
      </c>
      <c r="CB105" s="104">
        <v>6623.6420912511867</v>
      </c>
      <c r="CC105" s="104">
        <v>7013.0339986639037</v>
      </c>
      <c r="CD105" s="104">
        <v>7306.8620470295928</v>
      </c>
      <c r="CE105" s="104">
        <v>7600.6900953952818</v>
      </c>
      <c r="CF105" s="104">
        <v>7894.5181437609717</v>
      </c>
      <c r="CG105" s="104">
        <v>8188.3461921266608</v>
      </c>
      <c r="CH105" s="104">
        <v>8334.313370705584</v>
      </c>
      <c r="CI105" s="104">
        <v>8480.2805492845073</v>
      </c>
      <c r="CJ105" s="104">
        <v>8626.2477278634306</v>
      </c>
      <c r="CK105" s="104">
        <v>8772.2149064423538</v>
      </c>
      <c r="CL105" s="104">
        <v>8918.1820850212789</v>
      </c>
      <c r="CM105" s="104">
        <v>9064.1492636002022</v>
      </c>
      <c r="CN105" s="104">
        <v>10493.375683238675</v>
      </c>
      <c r="CO105" s="104">
        <v>11642.681736366569</v>
      </c>
      <c r="CQ105" s="106">
        <v>-0.47369894274282509</v>
      </c>
      <c r="CR105" s="106">
        <v>-0.47751399870501632</v>
      </c>
      <c r="CS105" s="106">
        <v>-0.48087073326359087</v>
      </c>
      <c r="CT105" s="106">
        <v>-0.48526159167838789</v>
      </c>
      <c r="CU105" s="106">
        <v>-0.48916485378789321</v>
      </c>
      <c r="CV105" s="106">
        <v>-0.49144073964840518</v>
      </c>
      <c r="CW105" s="106">
        <v>-0.49354066277597985</v>
      </c>
      <c r="CX105" s="106">
        <v>-0.4954842707737247</v>
      </c>
      <c r="CY105" s="106">
        <v>-0.49728839113101908</v>
      </c>
      <c r="CZ105" s="106">
        <v>-0.49857274119443196</v>
      </c>
      <c r="DA105" s="106">
        <v>-0.49981287740100955</v>
      </c>
      <c r="DB105" s="106">
        <v>-0.50101104421629716</v>
      </c>
      <c r="DC105" s="106">
        <v>-0.50216933671674879</v>
      </c>
      <c r="DD105" s="106">
        <v>-0.50328971281525947</v>
      </c>
      <c r="DE105" s="106">
        <v>-0.50437400430543189</v>
      </c>
      <c r="DF105" s="106">
        <v>-0.51187097200920495</v>
      </c>
      <c r="DG105" s="106">
        <v>-0.51560094123198374</v>
      </c>
    </row>
    <row r="106" spans="2:111" ht="14.4">
      <c r="B106" s="2" t="s">
        <v>17</v>
      </c>
      <c r="C106" s="104">
        <v>0</v>
      </c>
      <c r="D106" s="104">
        <v>0</v>
      </c>
      <c r="E106" s="68">
        <v>3348.1389047893895</v>
      </c>
      <c r="F106" s="68">
        <v>3763.1804863179332</v>
      </c>
      <c r="G106" s="68">
        <v>4194.5335538820436</v>
      </c>
      <c r="H106" s="68">
        <v>4839.2341936323428</v>
      </c>
      <c r="I106" s="68">
        <v>5288.1796468408056</v>
      </c>
      <c r="J106" s="68">
        <v>6026.9207573086514</v>
      </c>
      <c r="K106" s="68">
        <v>6655.9948879674539</v>
      </c>
      <c r="L106" s="1"/>
      <c r="M106" s="1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7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  <c r="BE106" s="105"/>
      <c r="BG106" s="105">
        <v>0.16011631845600721</v>
      </c>
      <c r="BH106" s="105">
        <v>0.15946104833052138</v>
      </c>
      <c r="BI106" s="105">
        <v>0.1588825403333928</v>
      </c>
      <c r="BJ106" s="105">
        <v>0.15388978896029812</v>
      </c>
      <c r="BK106" s="105">
        <v>0.14967019686710425</v>
      </c>
      <c r="BL106" s="105">
        <v>0.14662679679363855</v>
      </c>
      <c r="BM106" s="105">
        <v>0.14390937194549869</v>
      </c>
      <c r="BN106" s="105">
        <v>0.14146821224801751</v>
      </c>
      <c r="BO106" s="105">
        <v>0.13926322617676559</v>
      </c>
      <c r="BP106" s="105">
        <v>0.13844356555653531</v>
      </c>
      <c r="BQ106" s="105">
        <v>0.13765765821629286</v>
      </c>
      <c r="BR106" s="105">
        <v>0.13690346129919717</v>
      </c>
      <c r="BS106" s="105">
        <v>0.13617909354202284</v>
      </c>
      <c r="BT106" s="105">
        <v>0.13548281960707498</v>
      </c>
      <c r="BU106" s="105">
        <v>0.13481303620243404</v>
      </c>
      <c r="BV106" s="105">
        <v>0.12900766570242186</v>
      </c>
      <c r="BW106" s="105">
        <v>0.13384286984791588</v>
      </c>
      <c r="BY106" s="104">
        <v>6231.4863932129538</v>
      </c>
      <c r="BZ106" s="104">
        <v>6662.8614469158256</v>
      </c>
      <c r="CA106" s="104">
        <v>7094.2365006186974</v>
      </c>
      <c r="CB106" s="104">
        <v>7565.0073983851253</v>
      </c>
      <c r="CC106" s="104">
        <v>8035.7782961515531</v>
      </c>
      <c r="CD106" s="104">
        <v>8378.7610276389278</v>
      </c>
      <c r="CE106" s="104">
        <v>8721.7437591263024</v>
      </c>
      <c r="CF106" s="104">
        <v>9064.726490613677</v>
      </c>
      <c r="CG106" s="104">
        <v>9407.7092221010535</v>
      </c>
      <c r="CH106" s="104">
        <v>9576.4130822063707</v>
      </c>
      <c r="CI106" s="104">
        <v>9745.116942311688</v>
      </c>
      <c r="CJ106" s="104">
        <v>9913.8208024170053</v>
      </c>
      <c r="CK106" s="104">
        <v>10082.524662522323</v>
      </c>
      <c r="CL106" s="104">
        <v>10251.22852262764</v>
      </c>
      <c r="CM106" s="104">
        <v>10419.932382732957</v>
      </c>
      <c r="CN106" s="104">
        <v>12047.298697280828</v>
      </c>
      <c r="CO106" s="104">
        <v>13392.99912285555</v>
      </c>
      <c r="CQ106" s="106">
        <v>-0.49273846682293665</v>
      </c>
      <c r="CR106" s="106">
        <v>-0.49617522415620474</v>
      </c>
      <c r="CS106" s="106">
        <v>-0.49919402773812172</v>
      </c>
      <c r="CT106" s="106">
        <v>-0.50344302153257758</v>
      </c>
      <c r="CU106" s="106">
        <v>-0.50719416619543711</v>
      </c>
      <c r="CV106" s="106">
        <v>-0.50920612011037769</v>
      </c>
      <c r="CW106" s="106">
        <v>-0.51105983377693898</v>
      </c>
      <c r="CX106" s="106">
        <v>-0.5127732692393181</v>
      </c>
      <c r="CY106" s="106">
        <v>-0.51436176912785236</v>
      </c>
      <c r="CZ106" s="106">
        <v>-0.51554040801951606</v>
      </c>
      <c r="DA106" s="106">
        <v>-0.51667823859007489</v>
      </c>
      <c r="DB106" s="106">
        <v>-0.5177773441497171</v>
      </c>
      <c r="DC106" s="106">
        <v>-0.51883966857432018</v>
      </c>
      <c r="DD106" s="106">
        <v>-0.5198670277787607</v>
      </c>
      <c r="DE106" s="106">
        <v>-0.52086112007567476</v>
      </c>
      <c r="DF106" s="106">
        <v>-0.52769133111047095</v>
      </c>
      <c r="DG106" s="106">
        <v>-0.53080297143722988</v>
      </c>
    </row>
    <row r="107" spans="2:111" ht="14.4">
      <c r="B107" s="2" t="s">
        <v>18</v>
      </c>
      <c r="C107" s="104">
        <v>0</v>
      </c>
      <c r="D107" s="104">
        <v>0</v>
      </c>
      <c r="E107" s="68">
        <v>3948.4234408567559</v>
      </c>
      <c r="F107" s="68">
        <v>4456.4005620788248</v>
      </c>
      <c r="G107" s="68">
        <v>4936.3107195831917</v>
      </c>
      <c r="H107" s="68">
        <v>5733.3097861715087</v>
      </c>
      <c r="I107" s="68">
        <v>6296.9177884932733</v>
      </c>
      <c r="J107" s="68">
        <v>7148.8241599911153</v>
      </c>
      <c r="K107" s="68">
        <v>7935.3424862124048</v>
      </c>
      <c r="L107" s="1"/>
      <c r="M107" s="1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07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G107" s="105">
        <v>0.13322134445037745</v>
      </c>
      <c r="BH107" s="105">
        <v>0.13262784789219814</v>
      </c>
      <c r="BI107" s="105">
        <v>0.13210640378478752</v>
      </c>
      <c r="BJ107" s="105">
        <v>0.13178222586548541</v>
      </c>
      <c r="BK107" s="105">
        <v>0.13149092814740126</v>
      </c>
      <c r="BL107" s="105">
        <v>0.12703367059029527</v>
      </c>
      <c r="BM107" s="105">
        <v>0.12317034243115961</v>
      </c>
      <c r="BN107" s="105">
        <v>0.11978964719158872</v>
      </c>
      <c r="BO107" s="105">
        <v>0.11680646135054475</v>
      </c>
      <c r="BP107" s="105">
        <v>0.1169848087425101</v>
      </c>
      <c r="BQ107" s="105">
        <v>0.1171580172096206</v>
      </c>
      <c r="BR107" s="105">
        <v>0.11732630570783328</v>
      </c>
      <c r="BS107" s="105">
        <v>0.11748988092844993</v>
      </c>
      <c r="BT107" s="105">
        <v>0.11764893814500206</v>
      </c>
      <c r="BU107" s="105">
        <v>0.1178036619909182</v>
      </c>
      <c r="BV107" s="105">
        <v>0.11186812747714771</v>
      </c>
      <c r="BW107" s="105">
        <v>0.11333623321804487</v>
      </c>
      <c r="BY107" s="104">
        <v>7780.6780780220561</v>
      </c>
      <c r="BZ107" s="104">
        <v>8331.799033972673</v>
      </c>
      <c r="CA107" s="104">
        <v>8882.9199899232899</v>
      </c>
      <c r="CB107" s="104">
        <v>9438.4950832717259</v>
      </c>
      <c r="CC107" s="104">
        <v>9994.0701766201601</v>
      </c>
      <c r="CD107" s="104">
        <v>10433.472946605872</v>
      </c>
      <c r="CE107" s="104">
        <v>10872.875716591585</v>
      </c>
      <c r="CF107" s="104">
        <v>11312.278486577296</v>
      </c>
      <c r="CG107" s="104">
        <v>11751.681256563008</v>
      </c>
      <c r="CH107" s="104">
        <v>11971.734018176521</v>
      </c>
      <c r="CI107" s="104">
        <v>12191.786779790034</v>
      </c>
      <c r="CJ107" s="104">
        <v>12411.839541403548</v>
      </c>
      <c r="CK107" s="104">
        <v>12631.892303017063</v>
      </c>
      <c r="CL107" s="104">
        <v>12851.945064630578</v>
      </c>
      <c r="CM107" s="104">
        <v>13071.997826244091</v>
      </c>
      <c r="CN107" s="104">
        <v>15035.572905484354</v>
      </c>
      <c r="CO107" s="104">
        <v>16769.693671006731</v>
      </c>
      <c r="CQ107" s="106">
        <v>-0.52089976011289585</v>
      </c>
      <c r="CR107" s="106">
        <v>-0.52381034564881968</v>
      </c>
      <c r="CS107" s="106">
        <v>-0.52635976961067699</v>
      </c>
      <c r="CT107" s="106">
        <v>-0.5302375087228306</v>
      </c>
      <c r="CU107" s="106">
        <v>-0.53368411712824626</v>
      </c>
      <c r="CV107" s="106">
        <v>-0.53529315655809606</v>
      </c>
      <c r="CW107" s="106">
        <v>-0.53677214458279399</v>
      </c>
      <c r="CX107" s="106">
        <v>-0.53813623596034887</v>
      </c>
      <c r="CY107" s="106">
        <v>-0.53939831886494993</v>
      </c>
      <c r="CZ107" s="106">
        <v>-0.54045685563530788</v>
      </c>
      <c r="DA107" s="106">
        <v>-0.54147718078930573</v>
      </c>
      <c r="DB107" s="106">
        <v>-0.54246132671827696</v>
      </c>
      <c r="DC107" s="106">
        <v>-0.54341118419318213</v>
      </c>
      <c r="DD107" s="106">
        <v>-0.54432851448882513</v>
      </c>
      <c r="DE107" s="106">
        <v>-0.54521496028348337</v>
      </c>
      <c r="DF107" s="106">
        <v>-0.55111535708038206</v>
      </c>
      <c r="DG107" s="106">
        <v>-0.55325401336500546</v>
      </c>
    </row>
    <row r="108" spans="2:111" ht="14.4">
      <c r="B108" s="2" t="s">
        <v>19</v>
      </c>
      <c r="C108" s="104">
        <v>0</v>
      </c>
      <c r="D108" s="104">
        <v>0</v>
      </c>
      <c r="E108" s="68">
        <v>5002.2874984421151</v>
      </c>
      <c r="F108" s="68">
        <v>5671.5056759847421</v>
      </c>
      <c r="G108" s="68">
        <v>6259.5785590616424</v>
      </c>
      <c r="H108" s="68">
        <v>7323.860718806297</v>
      </c>
      <c r="I108" s="68">
        <v>8128.735171570901</v>
      </c>
      <c r="J108" s="68">
        <v>9133.3387623180333</v>
      </c>
      <c r="K108" s="68">
        <v>10193.721726497792</v>
      </c>
      <c r="L108" s="1"/>
      <c r="M108" s="1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G108" s="105">
        <v>0.10850298210136541</v>
      </c>
      <c r="BH108" s="105">
        <v>0.10804606447795329</v>
      </c>
      <c r="BI108" s="105">
        <v>0.10764624367060358</v>
      </c>
      <c r="BJ108" s="105">
        <v>0.10238072103663332</v>
      </c>
      <c r="BK108" s="105">
        <v>9.803581254899095E-2</v>
      </c>
      <c r="BL108" s="105">
        <v>9.7416331590920779E-2</v>
      </c>
      <c r="BM108" s="105">
        <v>9.6852280550987421E-2</v>
      </c>
      <c r="BN108" s="105">
        <v>9.6336538380347808E-2</v>
      </c>
      <c r="BO108" s="105">
        <v>9.5863153722834799E-2</v>
      </c>
      <c r="BP108" s="105">
        <v>9.5375516659397641E-2</v>
      </c>
      <c r="BQ108" s="105">
        <v>9.4909789915578635E-2</v>
      </c>
      <c r="BR108" s="105">
        <v>9.4464529238689782E-2</v>
      </c>
      <c r="BS108" s="105">
        <v>9.403841458053927E-2</v>
      </c>
      <c r="BT108" s="105">
        <v>9.3630237026600921E-2</v>
      </c>
      <c r="BU108" s="105">
        <v>9.3238887341790797E-2</v>
      </c>
      <c r="BV108" s="105">
        <v>9.0013493941915074E-2</v>
      </c>
      <c r="BW108" s="105">
        <v>9.3745660390366387E-2</v>
      </c>
      <c r="BY108" s="104">
        <v>10494.636721185501</v>
      </c>
      <c r="BZ108" s="104">
        <v>11252.716833979293</v>
      </c>
      <c r="CA108" s="104">
        <v>12010.796946773085</v>
      </c>
      <c r="CB108" s="104">
        <v>12736.891899998942</v>
      </c>
      <c r="CC108" s="104">
        <v>13462.986853224798</v>
      </c>
      <c r="CD108" s="104">
        <v>14071.134164187522</v>
      </c>
      <c r="CE108" s="104">
        <v>14679.281475150248</v>
      </c>
      <c r="CF108" s="104">
        <v>15287.428786112974</v>
      </c>
      <c r="CG108" s="104">
        <v>15895.576097075698</v>
      </c>
      <c r="CH108" s="104">
        <v>16221.157163746033</v>
      </c>
      <c r="CI108" s="104">
        <v>16546.738230416366</v>
      </c>
      <c r="CJ108" s="104">
        <v>16872.319297086702</v>
      </c>
      <c r="CK108" s="104">
        <v>17197.900363757035</v>
      </c>
      <c r="CL108" s="104">
        <v>17523.481430427368</v>
      </c>
      <c r="CM108" s="104">
        <v>17849.062497097704</v>
      </c>
      <c r="CN108" s="104">
        <v>20294.176026720394</v>
      </c>
      <c r="CO108" s="104">
        <v>22703.432021559533</v>
      </c>
      <c r="CQ108" s="106">
        <v>-0.54999084162867051</v>
      </c>
      <c r="CR108" s="106">
        <v>-0.55223359011009743</v>
      </c>
      <c r="CS108" s="106">
        <v>-0.55419322948072958</v>
      </c>
      <c r="CT108" s="106">
        <v>-0.55781239257763826</v>
      </c>
      <c r="CU108" s="106">
        <v>-0.56104117334880965</v>
      </c>
      <c r="CV108" s="106">
        <v>-0.56216071418766589</v>
      </c>
      <c r="CW108" s="106">
        <v>-0.56318749220951159</v>
      </c>
      <c r="CX108" s="106">
        <v>-0.56413257797274685</v>
      </c>
      <c r="CY108" s="106">
        <v>-0.56500534784607293</v>
      </c>
      <c r="CZ108" s="106">
        <v>-0.56592873515231223</v>
      </c>
      <c r="DA108" s="106">
        <v>-0.56681578449031522</v>
      </c>
      <c r="DB108" s="106">
        <v>-0.56766859947504766</v>
      </c>
      <c r="DC108" s="106">
        <v>-0.56848912442360944</v>
      </c>
      <c r="DD108" s="106">
        <v>-0.56927915915377003</v>
      </c>
      <c r="DE108" s="106">
        <v>-0.57004037216288017</v>
      </c>
      <c r="DF108" s="106">
        <v>-0.57510829075080327</v>
      </c>
      <c r="DG108" s="106">
        <v>-0.57610199352192648</v>
      </c>
    </row>
    <row r="109" spans="2:111" ht="14.4">
      <c r="B109" s="2" t="s">
        <v>20</v>
      </c>
      <c r="C109" s="104">
        <v>0</v>
      </c>
      <c r="D109" s="104">
        <v>0</v>
      </c>
      <c r="E109" s="68">
        <v>6410.5664019251508</v>
      </c>
      <c r="F109" s="68">
        <v>7309.4614143700519</v>
      </c>
      <c r="G109" s="68">
        <v>8106.5527879277206</v>
      </c>
      <c r="H109" s="68">
        <v>9537.6286907736212</v>
      </c>
      <c r="I109" s="68">
        <v>10684.151818841166</v>
      </c>
      <c r="J109" s="68">
        <v>11970.120785808967</v>
      </c>
      <c r="K109" s="68">
        <v>13391.46275627111</v>
      </c>
      <c r="L109" s="1"/>
      <c r="M109" s="1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G109" s="105">
        <v>0.10351030474047888</v>
      </c>
      <c r="BH109" s="105">
        <v>0.1032548484163926</v>
      </c>
      <c r="BI109" s="105">
        <v>0.10303184292129956</v>
      </c>
      <c r="BJ109" s="105">
        <v>9.8271427201842718E-2</v>
      </c>
      <c r="BK109" s="105">
        <v>9.4341145142990968E-2</v>
      </c>
      <c r="BL109" s="105">
        <v>9.3873475307688803E-2</v>
      </c>
      <c r="BM109" s="105">
        <v>9.3447806310088893E-2</v>
      </c>
      <c r="BN109" s="105">
        <v>9.3058723239975064E-2</v>
      </c>
      <c r="BO109" s="105">
        <v>9.2701703648782274E-2</v>
      </c>
      <c r="BP109" s="105">
        <v>9.3101592010417789E-2</v>
      </c>
      <c r="BQ109" s="105">
        <v>9.3489340850497774E-2</v>
      </c>
      <c r="BR109" s="105">
        <v>9.3865494688181256E-2</v>
      </c>
      <c r="BS109" s="105">
        <v>9.4230565956439138E-2</v>
      </c>
      <c r="BT109" s="105">
        <v>9.4585037331121363E-2</v>
      </c>
      <c r="BU109" s="105">
        <v>9.4929363860052532E-2</v>
      </c>
      <c r="BV109" s="105">
        <v>8.7707643031456978E-2</v>
      </c>
      <c r="BW109" s="105">
        <v>9.018996185505887E-2</v>
      </c>
      <c r="BY109" s="104">
        <v>14020.405471716009</v>
      </c>
      <c r="BZ109" s="104">
        <v>15061.726351694662</v>
      </c>
      <c r="CA109" s="104">
        <v>16103.047231673316</v>
      </c>
      <c r="CB109" s="104">
        <v>17109.499440001659</v>
      </c>
      <c r="CC109" s="104">
        <v>18115.951648330003</v>
      </c>
      <c r="CD109" s="104">
        <v>18948.181326173064</v>
      </c>
      <c r="CE109" s="104">
        <v>19780.411004016125</v>
      </c>
      <c r="CF109" s="104">
        <v>20612.640681859186</v>
      </c>
      <c r="CG109" s="104">
        <v>21444.870359702247</v>
      </c>
      <c r="CH109" s="104">
        <v>21913.434080811043</v>
      </c>
      <c r="CI109" s="104">
        <v>22381.997801919839</v>
      </c>
      <c r="CJ109" s="104">
        <v>22850.561523028635</v>
      </c>
      <c r="CK109" s="104">
        <v>23319.125244137427</v>
      </c>
      <c r="CL109" s="104">
        <v>23787.68896524622</v>
      </c>
      <c r="CM109" s="104">
        <v>24256.252686355016</v>
      </c>
      <c r="CN109" s="104">
        <v>27461.267098734057</v>
      </c>
      <c r="CO109" s="104">
        <v>30741.007486387851</v>
      </c>
      <c r="CQ109" s="106">
        <v>-0.5683259488087995</v>
      </c>
      <c r="CR109" s="106">
        <v>-0.56999811733272199</v>
      </c>
      <c r="CS109" s="106">
        <v>-0.57145402070213658</v>
      </c>
      <c r="CT109" s="106">
        <v>-0.57467107747160839</v>
      </c>
      <c r="CU109" s="106">
        <v>-0.57753067977743333</v>
      </c>
      <c r="CV109" s="106">
        <v>-0.57826004637396333</v>
      </c>
      <c r="CW109" s="106">
        <v>-0.5789280390660243</v>
      </c>
      <c r="CX109" s="106">
        <v>-0.57954209171697213</v>
      </c>
      <c r="CY109" s="106">
        <v>-0.58010848422063943</v>
      </c>
      <c r="CZ109" s="106">
        <v>-0.58085412900699684</v>
      </c>
      <c r="DA109" s="106">
        <v>-0.58156855387287942</v>
      </c>
      <c r="DB109" s="106">
        <v>-0.58225367936480388</v>
      </c>
      <c r="DC109" s="106">
        <v>-0.5829112716669913</v>
      </c>
      <c r="DD109" s="106">
        <v>-0.58354295780431031</v>
      </c>
      <c r="DE109" s="106">
        <v>-0.58415023908314589</v>
      </c>
      <c r="DF109" s="106">
        <v>-0.58847324644449372</v>
      </c>
      <c r="DG109" s="106">
        <v>-0.58872715554645438</v>
      </c>
    </row>
    <row r="110" spans="2:111" ht="14.4">
      <c r="B110" s="2" t="s">
        <v>21</v>
      </c>
      <c r="C110" s="104">
        <v>0</v>
      </c>
      <c r="D110" s="104">
        <v>0</v>
      </c>
      <c r="E110" s="68">
        <v>7546.794105633845</v>
      </c>
      <c r="F110" s="68">
        <v>8626.396156240422</v>
      </c>
      <c r="G110" s="68">
        <v>9556.4691463741638</v>
      </c>
      <c r="H110" s="68">
        <v>11285.066362884663</v>
      </c>
      <c r="I110" s="68">
        <v>12666.545656392715</v>
      </c>
      <c r="J110" s="68">
        <v>14156.119467305336</v>
      </c>
      <c r="K110" s="68">
        <v>15874.156413182051</v>
      </c>
      <c r="L110" s="1"/>
      <c r="M110" s="1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107"/>
      <c r="AM110" s="107"/>
      <c r="AN110" s="107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G110" s="105">
        <v>9.4667526601483046E-2</v>
      </c>
      <c r="BH110" s="105">
        <v>9.4453693047294951E-2</v>
      </c>
      <c r="BI110" s="105">
        <v>9.426741164026059E-2</v>
      </c>
      <c r="BJ110" s="105">
        <v>8.9850909192175976E-2</v>
      </c>
      <c r="BK110" s="105">
        <v>8.6205197824185995E-2</v>
      </c>
      <c r="BL110" s="105">
        <v>8.6911718133332372E-2</v>
      </c>
      <c r="BM110" s="105">
        <v>8.7569896767713262E-2</v>
      </c>
      <c r="BN110" s="105">
        <v>8.8184531070632122E-2</v>
      </c>
      <c r="BO110" s="105">
        <v>8.8759803937679724E-2</v>
      </c>
      <c r="BP110" s="105">
        <v>8.9326129381102737E-2</v>
      </c>
      <c r="BQ110" s="105">
        <v>8.9877100969701224E-2</v>
      </c>
      <c r="BR110" s="105">
        <v>9.0413334748468938E-2</v>
      </c>
      <c r="BS110" s="105">
        <v>9.0935414240474161E-2</v>
      </c>
      <c r="BT110" s="105">
        <v>9.1443892565005264E-2</v>
      </c>
      <c r="BU110" s="105">
        <v>9.193929439229985E-2</v>
      </c>
      <c r="BV110" s="105">
        <v>8.0889445425860351E-2</v>
      </c>
      <c r="BW110" s="105">
        <v>8.7123433302642564E-2</v>
      </c>
      <c r="BY110" s="104">
        <v>17047.977259289182</v>
      </c>
      <c r="BZ110" s="104">
        <v>18325.294013539213</v>
      </c>
      <c r="CA110" s="104">
        <v>19602.610767789243</v>
      </c>
      <c r="CB110" s="104">
        <v>20816.285979000251</v>
      </c>
      <c r="CC110" s="104">
        <v>22029.961190211259</v>
      </c>
      <c r="CD110" s="104">
        <v>23052.932309743086</v>
      </c>
      <c r="CE110" s="104">
        <v>24075.903429274913</v>
      </c>
      <c r="CF110" s="104">
        <v>25098.87454880674</v>
      </c>
      <c r="CG110" s="104">
        <v>26121.845668338567</v>
      </c>
      <c r="CH110" s="104">
        <v>26697.810041554458</v>
      </c>
      <c r="CI110" s="104">
        <v>27273.774414770349</v>
      </c>
      <c r="CJ110" s="104">
        <v>27849.73878798624</v>
      </c>
      <c r="CK110" s="104">
        <v>28425.703161202131</v>
      </c>
      <c r="CL110" s="104">
        <v>29001.667534418026</v>
      </c>
      <c r="CM110" s="104">
        <v>29577.631907633917</v>
      </c>
      <c r="CN110" s="104">
        <v>33401.563450452006</v>
      </c>
      <c r="CO110" s="104">
        <v>37427.756185750193</v>
      </c>
      <c r="CQ110" s="106">
        <v>-0.58206402303406901</v>
      </c>
      <c r="CR110" s="106">
        <v>-0.58338503837143652</v>
      </c>
      <c r="CS110" s="106">
        <v>-0.58453389755643959</v>
      </c>
      <c r="CT110" s="106">
        <v>-0.58766595557542922</v>
      </c>
      <c r="CU110" s="106">
        <v>-0.59045291074608408</v>
      </c>
      <c r="CV110" s="106">
        <v>-0.59092836863100318</v>
      </c>
      <c r="CW110" s="106">
        <v>-0.59136342265849229</v>
      </c>
      <c r="CX110" s="106">
        <v>-0.59176301312727153</v>
      </c>
      <c r="CY110" s="106">
        <v>-0.5921313064576792</v>
      </c>
      <c r="CZ110" s="106">
        <v>-0.59278832703022832</v>
      </c>
      <c r="DA110" s="106">
        <v>-0.59341759783580328</v>
      </c>
      <c r="DB110" s="106">
        <v>-0.59402084056493021</v>
      </c>
      <c r="DC110" s="106">
        <v>-0.59459963736788901</v>
      </c>
      <c r="DD110" s="106">
        <v>-0.59515544471084936</v>
      </c>
      <c r="DE110" s="106">
        <v>-0.59568960561308604</v>
      </c>
      <c r="DF110" s="106">
        <v>-0.59987329549688684</v>
      </c>
      <c r="DG110" s="106">
        <v>-0.59957887889269545</v>
      </c>
    </row>
    <row r="111" spans="2:111" ht="14.4">
      <c r="C111" s="107"/>
      <c r="D111" s="107"/>
      <c r="E111" s="107"/>
      <c r="F111" s="107"/>
      <c r="G111" s="107"/>
      <c r="H111" s="107"/>
      <c r="I111" s="107"/>
      <c r="J111" s="107"/>
      <c r="K111" s="107"/>
      <c r="L111" s="1"/>
      <c r="M111" s="1"/>
      <c r="V111" s="107"/>
    </row>
    <row r="112" spans="2:111" ht="14.4">
      <c r="B112" s="75" t="s">
        <v>348</v>
      </c>
      <c r="L112" s="1"/>
      <c r="M112" s="1"/>
    </row>
    <row r="113" spans="2:75" ht="14.4">
      <c r="C113" s="98" t="s">
        <v>202</v>
      </c>
      <c r="D113" s="67" t="s">
        <v>173</v>
      </c>
      <c r="E113" s="171" t="s">
        <v>174</v>
      </c>
      <c r="F113" s="172"/>
      <c r="G113" s="173" t="s">
        <v>136</v>
      </c>
      <c r="H113" s="174"/>
      <c r="I113" s="174"/>
      <c r="J113" s="176" t="s">
        <v>323</v>
      </c>
      <c r="K113" s="177"/>
      <c r="L113" s="1"/>
      <c r="M113" s="1"/>
    </row>
    <row r="114" spans="2:75" ht="41.4">
      <c r="B114" s="102" t="s">
        <v>324</v>
      </c>
      <c r="C114" s="103">
        <v>100000</v>
      </c>
      <c r="D114" s="103">
        <v>200000</v>
      </c>
      <c r="E114" s="103" t="s">
        <v>325</v>
      </c>
      <c r="F114" s="103" t="s">
        <v>326</v>
      </c>
      <c r="G114" s="103" t="s">
        <v>327</v>
      </c>
      <c r="H114" s="103" t="s">
        <v>328</v>
      </c>
      <c r="I114" s="103" t="s">
        <v>329</v>
      </c>
      <c r="J114" s="103" t="s">
        <v>330</v>
      </c>
      <c r="K114" s="103" t="s">
        <v>331</v>
      </c>
      <c r="L114" s="1"/>
      <c r="M114" s="1"/>
    </row>
    <row r="115" spans="2:75" ht="14.4">
      <c r="B115" s="2" t="s">
        <v>11</v>
      </c>
      <c r="C115" s="104">
        <v>0</v>
      </c>
      <c r="D115" s="104">
        <v>0</v>
      </c>
      <c r="E115" s="68">
        <v>2851.0241265683162</v>
      </c>
      <c r="F115" s="68">
        <v>3162.8566134935122</v>
      </c>
      <c r="G115" s="68">
        <v>3496.2279271923408</v>
      </c>
      <c r="H115" s="68">
        <v>3955.3760896168105</v>
      </c>
      <c r="I115" s="68">
        <v>4287.5418443353128</v>
      </c>
      <c r="J115" s="68">
        <v>5063.9223617612142</v>
      </c>
      <c r="K115" s="68">
        <v>5508.5075353253042</v>
      </c>
      <c r="L115" s="1"/>
      <c r="M115" s="1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  <c r="AI115" s="107"/>
      <c r="AJ115" s="107"/>
      <c r="AK115" s="107"/>
      <c r="AL115" s="107"/>
      <c r="AM115" s="107"/>
      <c r="AN115" s="107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G115" s="105">
        <v>0.35045682597386946</v>
      </c>
      <c r="BH115" s="105">
        <v>0.34798772444065346</v>
      </c>
      <c r="BI115" s="105">
        <v>0.34579168387110226</v>
      </c>
      <c r="BJ115" s="105">
        <v>0.33064687923749203</v>
      </c>
      <c r="BK115" s="105">
        <v>0.31804549803235022</v>
      </c>
      <c r="BL115" s="105">
        <v>0.31657741653426114</v>
      </c>
      <c r="BM115" s="105">
        <v>0.31521206741842017</v>
      </c>
      <c r="BN115" s="105">
        <v>0.31393903182430577</v>
      </c>
      <c r="BO115" s="105">
        <v>0.31274925369366757</v>
      </c>
      <c r="BP115" s="105">
        <v>0.31014482171362134</v>
      </c>
      <c r="BQ115" s="105">
        <v>0.30765259662448174</v>
      </c>
      <c r="BR115" s="105">
        <v>0.30526548001313641</v>
      </c>
      <c r="BS115" s="105">
        <v>0.30297695984611583</v>
      </c>
      <c r="BT115" s="105">
        <v>0.30078105114580056</v>
      </c>
      <c r="BU115" s="105">
        <v>0.29867224372590845</v>
      </c>
      <c r="BV115" s="105">
        <v>0.27322251488173821</v>
      </c>
      <c r="BW115" s="105">
        <v>0.28084935946709433</v>
      </c>
    </row>
    <row r="116" spans="2:75" ht="14.4">
      <c r="B116" s="2" t="s">
        <v>12</v>
      </c>
      <c r="C116" s="104">
        <v>0</v>
      </c>
      <c r="D116" s="104">
        <v>0</v>
      </c>
      <c r="E116" s="68">
        <v>2913.769282333657</v>
      </c>
      <c r="F116" s="68">
        <v>3240.85394818135</v>
      </c>
      <c r="G116" s="68">
        <v>3583.6988838883626</v>
      </c>
      <c r="H116" s="68">
        <v>4062.6526557244733</v>
      </c>
      <c r="I116" s="68">
        <v>4408.0096168293585</v>
      </c>
      <c r="J116" s="68">
        <v>5210.9155750207656</v>
      </c>
      <c r="K116" s="68">
        <v>5678.2377128491098</v>
      </c>
      <c r="L116" s="1"/>
      <c r="M116" s="1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  <c r="AK116" s="107"/>
      <c r="AL116" s="107"/>
      <c r="AM116" s="107"/>
      <c r="AN116" s="107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5"/>
      <c r="BG116" s="105">
        <v>0.31142288932735884</v>
      </c>
      <c r="BH116" s="105">
        <v>0.31040552362096407</v>
      </c>
      <c r="BI116" s="105">
        <v>0.309496494074955</v>
      </c>
      <c r="BJ116" s="105">
        <v>0.29443565494538482</v>
      </c>
      <c r="BK116" s="105">
        <v>0.28202460882122204</v>
      </c>
      <c r="BL116" s="105">
        <v>0.28089308022728798</v>
      </c>
      <c r="BM116" s="105">
        <v>0.27984064212544374</v>
      </c>
      <c r="BN116" s="105">
        <v>0.27885928224644685</v>
      </c>
      <c r="BO116" s="105">
        <v>0.27794203521404487</v>
      </c>
      <c r="BP116" s="105">
        <v>0.27567774213599922</v>
      </c>
      <c r="BQ116" s="105">
        <v>0.27351094570221818</v>
      </c>
      <c r="BR116" s="105">
        <v>0.27143548156412456</v>
      </c>
      <c r="BS116" s="105">
        <v>0.26944569431201454</v>
      </c>
      <c r="BT116" s="105">
        <v>0.26753638601369184</v>
      </c>
      <c r="BU116" s="105">
        <v>0.26570277087354838</v>
      </c>
      <c r="BV116" s="105">
        <v>0.24089418285766476</v>
      </c>
      <c r="BW116" s="105">
        <v>0.23774147442219187</v>
      </c>
    </row>
    <row r="117" spans="2:75" ht="14.4">
      <c r="B117" s="2" t="s">
        <v>13</v>
      </c>
      <c r="C117" s="104">
        <v>0</v>
      </c>
      <c r="D117" s="104">
        <v>0</v>
      </c>
      <c r="E117" s="68">
        <v>2969.598617538044</v>
      </c>
      <c r="F117" s="68">
        <v>3308.0959610816503</v>
      </c>
      <c r="G117" s="68">
        <v>3659.7180149269666</v>
      </c>
      <c r="H117" s="68">
        <v>4154.39333180831</v>
      </c>
      <c r="I117" s="68">
        <v>4510.7681008471682</v>
      </c>
      <c r="J117" s="68">
        <v>5336.3073298423387</v>
      </c>
      <c r="K117" s="68">
        <v>5821.8011789143702</v>
      </c>
      <c r="L117" s="1"/>
      <c r="M117" s="1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  <c r="AN117" s="107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G117" s="105">
        <v>0.29989950667153237</v>
      </c>
      <c r="BH117" s="105">
        <v>0.29921033616590442</v>
      </c>
      <c r="BI117" s="105">
        <v>0.29859437659312871</v>
      </c>
      <c r="BJ117" s="105">
        <v>0.28424513516662642</v>
      </c>
      <c r="BK117" s="105">
        <v>0.2724118902532352</v>
      </c>
      <c r="BL117" s="105">
        <v>0.27127145408537612</v>
      </c>
      <c r="BM117" s="105">
        <v>0.27021184097571244</v>
      </c>
      <c r="BN117" s="105">
        <v>0.26922475302932558</v>
      </c>
      <c r="BO117" s="105">
        <v>0.26830299066233476</v>
      </c>
      <c r="BP117" s="105">
        <v>0.26606293408138404</v>
      </c>
      <c r="BQ117" s="105">
        <v>0.26392071991462479</v>
      </c>
      <c r="BR117" s="105">
        <v>0.26187007474730528</v>
      </c>
      <c r="BS117" s="105">
        <v>0.25990525025668637</v>
      </c>
      <c r="BT117" s="105">
        <v>0.25802096939957808</v>
      </c>
      <c r="BU117" s="105">
        <v>0.25621237908472844</v>
      </c>
      <c r="BV117" s="105">
        <v>0.22847962753084264</v>
      </c>
      <c r="BW117" s="105">
        <v>0.23151924694389991</v>
      </c>
    </row>
    <row r="118" spans="2:75" ht="14.4">
      <c r="B118" s="2" t="s">
        <v>14</v>
      </c>
      <c r="C118" s="104">
        <v>0</v>
      </c>
      <c r="D118" s="104">
        <v>0</v>
      </c>
      <c r="E118" s="68">
        <v>3102.4668037023816</v>
      </c>
      <c r="F118" s="68">
        <v>3458.4275299894707</v>
      </c>
      <c r="G118" s="68">
        <v>3825.1642797670502</v>
      </c>
      <c r="H118" s="68">
        <v>4349.9685168369269</v>
      </c>
      <c r="I118" s="68">
        <v>4726.6444487064427</v>
      </c>
      <c r="J118" s="68">
        <v>5596.589040758693</v>
      </c>
      <c r="K118" s="68">
        <v>6117.7900902595757</v>
      </c>
      <c r="L118" s="1"/>
      <c r="M118" s="1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07"/>
      <c r="AL118" s="107"/>
      <c r="AM118" s="107"/>
      <c r="AN118" s="107"/>
      <c r="AO118" s="105"/>
      <c r="AP118" s="105"/>
      <c r="AQ118" s="105"/>
      <c r="AR118" s="105"/>
      <c r="AS118" s="105"/>
      <c r="AT118" s="105"/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G118" s="105">
        <v>0.27669582196378711</v>
      </c>
      <c r="BH118" s="105">
        <v>0.27568811852134084</v>
      </c>
      <c r="BI118" s="105">
        <v>0.27479035884341824</v>
      </c>
      <c r="BJ118" s="105">
        <v>0.26163945566000602</v>
      </c>
      <c r="BK118" s="105">
        <v>0.25078796577080548</v>
      </c>
      <c r="BL118" s="105">
        <v>0.24964561313638606</v>
      </c>
      <c r="BM118" s="105">
        <v>0.24858598032473952</v>
      </c>
      <c r="BN118" s="105">
        <v>0.24760039643543846</v>
      </c>
      <c r="BO118" s="105">
        <v>0.24668136152793202</v>
      </c>
      <c r="BP118" s="105">
        <v>0.24452723148444652</v>
      </c>
      <c r="BQ118" s="105">
        <v>0.24246928428362777</v>
      </c>
      <c r="BR118" s="105">
        <v>0.24050121869326227</v>
      </c>
      <c r="BS118" s="105">
        <v>0.2386172721354993</v>
      </c>
      <c r="BT118" s="105">
        <v>0.23681216433328847</v>
      </c>
      <c r="BU118" s="105">
        <v>0.23508104788661438</v>
      </c>
      <c r="BV118" s="105">
        <v>0.22929514729652542</v>
      </c>
      <c r="BW118" s="105">
        <v>0.21602237519335771</v>
      </c>
    </row>
    <row r="119" spans="2:75" ht="14.4">
      <c r="B119" s="2" t="s">
        <v>15</v>
      </c>
      <c r="C119" s="104">
        <v>0</v>
      </c>
      <c r="D119" s="104">
        <v>0</v>
      </c>
      <c r="E119" s="68">
        <v>3472.1715443619946</v>
      </c>
      <c r="F119" s="68">
        <v>3873.2227171090949</v>
      </c>
      <c r="G119" s="68">
        <v>4280.351047084554</v>
      </c>
      <c r="H119" s="68">
        <v>4888.316298756049</v>
      </c>
      <c r="I119" s="68">
        <v>5318.2147205273832</v>
      </c>
      <c r="J119" s="68">
        <v>6142.8911453277187</v>
      </c>
      <c r="K119" s="68">
        <v>6732.3622492674695</v>
      </c>
      <c r="L119" s="1"/>
      <c r="M119" s="1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07"/>
      <c r="AJ119" s="107"/>
      <c r="AK119" s="107"/>
      <c r="AL119" s="107"/>
      <c r="AM119" s="107"/>
      <c r="AN119" s="107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G119" s="105">
        <v>0.21094536623809418</v>
      </c>
      <c r="BH119" s="105">
        <v>0.20863164613057766</v>
      </c>
      <c r="BI119" s="105">
        <v>0.20660022333831915</v>
      </c>
      <c r="BJ119" s="105">
        <v>0.20567815745603935</v>
      </c>
      <c r="BK119" s="105">
        <v>0.20485085933464142</v>
      </c>
      <c r="BL119" s="105">
        <v>0.19995673685253093</v>
      </c>
      <c r="BM119" s="105">
        <v>0.19559363914198469</v>
      </c>
      <c r="BN119" s="105">
        <v>0.19167958734735652</v>
      </c>
      <c r="BO119" s="105">
        <v>0.1881486511370519</v>
      </c>
      <c r="BP119" s="105">
        <v>0.18879606081203371</v>
      </c>
      <c r="BQ119" s="105">
        <v>0.18942931357156964</v>
      </c>
      <c r="BR119" s="105">
        <v>0.19004886874771998</v>
      </c>
      <c r="BS119" s="105">
        <v>0.19065516601397922</v>
      </c>
      <c r="BT119" s="105">
        <v>0.19124862642583085</v>
      </c>
      <c r="BU119" s="105">
        <v>0.19182965339590036</v>
      </c>
      <c r="BV119" s="105">
        <v>0.1844562371855627</v>
      </c>
      <c r="BW119" s="105">
        <v>0.16847193924864182</v>
      </c>
    </row>
    <row r="120" spans="2:75" ht="14.4">
      <c r="B120" s="2" t="s">
        <v>16</v>
      </c>
      <c r="C120" s="104">
        <v>0</v>
      </c>
      <c r="D120" s="104">
        <v>0</v>
      </c>
      <c r="E120" s="68">
        <v>3764.8816395409895</v>
      </c>
      <c r="F120" s="68">
        <v>4210.1451294621775</v>
      </c>
      <c r="G120" s="68">
        <v>4657.8574901083512</v>
      </c>
      <c r="H120" s="68">
        <v>5336.9078538312478</v>
      </c>
      <c r="I120" s="68">
        <v>5816.4847874352872</v>
      </c>
      <c r="J120" s="68">
        <v>6673.7005282696618</v>
      </c>
      <c r="K120" s="68">
        <v>7330.1471277061328</v>
      </c>
      <c r="L120" s="1"/>
      <c r="M120" s="1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  <c r="AI120" s="107"/>
      <c r="AJ120" s="107"/>
      <c r="AK120" s="107"/>
      <c r="AL120" s="107"/>
      <c r="AM120" s="107"/>
      <c r="AN120" s="107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G120" s="105">
        <v>0.1939692658083354</v>
      </c>
      <c r="BH120" s="105">
        <v>0.19309065894014577</v>
      </c>
      <c r="BI120" s="105">
        <v>0.19231168736414839</v>
      </c>
      <c r="BJ120" s="105">
        <v>0.18708981661310894</v>
      </c>
      <c r="BK120" s="105">
        <v>0.18260802994068664</v>
      </c>
      <c r="BL120" s="105">
        <v>0.17865416543126461</v>
      </c>
      <c r="BM120" s="105">
        <v>0.17512004486066851</v>
      </c>
      <c r="BN120" s="105">
        <v>0.17194219700236535</v>
      </c>
      <c r="BO120" s="105">
        <v>0.16906933355060366</v>
      </c>
      <c r="BP120" s="105">
        <v>0.1690410648206577</v>
      </c>
      <c r="BQ120" s="105">
        <v>0.16901362725555125</v>
      </c>
      <c r="BR120" s="105">
        <v>0.16898698472917917</v>
      </c>
      <c r="BS120" s="105">
        <v>0.16896110317913776</v>
      </c>
      <c r="BT120" s="105">
        <v>0.16893595046143869</v>
      </c>
      <c r="BU120" s="105">
        <v>0.16891149621732635</v>
      </c>
      <c r="BV120" s="105">
        <v>0.16156879071105276</v>
      </c>
      <c r="BW120" s="105">
        <v>0.15875879612912658</v>
      </c>
    </row>
    <row r="121" spans="2:75" ht="14.4">
      <c r="B121" s="2" t="s">
        <v>17</v>
      </c>
      <c r="C121" s="104">
        <v>0</v>
      </c>
      <c r="D121" s="104">
        <v>0</v>
      </c>
      <c r="E121" s="68">
        <v>4055.1827625767164</v>
      </c>
      <c r="F121" s="68">
        <v>4545.334981864512</v>
      </c>
      <c r="G121" s="68">
        <v>5057.7858194107439</v>
      </c>
      <c r="H121" s="68">
        <v>5816.0566419120696</v>
      </c>
      <c r="I121" s="68">
        <v>6346.2637195574598</v>
      </c>
      <c r="J121" s="68">
        <v>7275.2465209109132</v>
      </c>
      <c r="K121" s="68">
        <v>8012.5411307501272</v>
      </c>
      <c r="L121" s="1"/>
      <c r="M121" s="1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  <c r="AI121" s="107"/>
      <c r="AJ121" s="107"/>
      <c r="AK121" s="107"/>
      <c r="AL121" s="107"/>
      <c r="AM121" s="107"/>
      <c r="AN121" s="107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  <c r="BG121" s="105">
        <v>0.17281248028941046</v>
      </c>
      <c r="BH121" s="105">
        <v>0.17190514487739686</v>
      </c>
      <c r="BI121" s="105">
        <v>0.17110365768277003</v>
      </c>
      <c r="BJ121" s="105">
        <v>0.1672467890165136</v>
      </c>
      <c r="BK121" s="105">
        <v>0.16392609311405923</v>
      </c>
      <c r="BL121" s="105">
        <v>0.16010348205281219</v>
      </c>
      <c r="BM121" s="105">
        <v>0.15670410153630332</v>
      </c>
      <c r="BN121" s="105">
        <v>0.15366134991187863</v>
      </c>
      <c r="BO121" s="105">
        <v>0.15092190339089748</v>
      </c>
      <c r="BP121" s="105">
        <v>0.15075843196499558</v>
      </c>
      <c r="BQ121" s="105">
        <v>0.15060011979812962</v>
      </c>
      <c r="BR121" s="105">
        <v>0.15044672644057402</v>
      </c>
      <c r="BS121" s="105">
        <v>0.15029802615573126</v>
      </c>
      <c r="BT121" s="105">
        <v>0.15015380681171647</v>
      </c>
      <c r="BU121" s="105">
        <v>0.15001386887165838</v>
      </c>
      <c r="BV121" s="105">
        <v>0.14285635437358246</v>
      </c>
      <c r="BW121" s="105">
        <v>0.1427339216041312</v>
      </c>
    </row>
    <row r="122" spans="2:75" ht="14.4">
      <c r="B122" s="2" t="s">
        <v>18</v>
      </c>
      <c r="C122" s="104">
        <v>0</v>
      </c>
      <c r="D122" s="104">
        <v>0</v>
      </c>
      <c r="E122" s="68">
        <v>4655.4672986440828</v>
      </c>
      <c r="F122" s="68">
        <v>5238.5550576254054</v>
      </c>
      <c r="G122" s="68">
        <v>5799.5629851118929</v>
      </c>
      <c r="H122" s="68">
        <v>6710.1322344512337</v>
      </c>
      <c r="I122" s="68">
        <v>7355.0018612099284</v>
      </c>
      <c r="J122" s="68">
        <v>8397.1499235933807</v>
      </c>
      <c r="K122" s="68">
        <v>9291.8887289950726</v>
      </c>
      <c r="L122" s="1"/>
      <c r="M122" s="1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7"/>
      <c r="AM122" s="107"/>
      <c r="AN122" s="107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  <c r="BG122" s="105">
        <v>0.14637644800114455</v>
      </c>
      <c r="BH122" s="105">
        <v>0.14366882491230157</v>
      </c>
      <c r="BI122" s="105">
        <v>0.14134528520458409</v>
      </c>
      <c r="BJ122" s="105">
        <v>0.14259583635044831</v>
      </c>
      <c r="BK122" s="105">
        <v>0.14374459261231656</v>
      </c>
      <c r="BL122" s="105">
        <v>0.13822485987498917</v>
      </c>
      <c r="BM122" s="105">
        <v>0.13347263161029274</v>
      </c>
      <c r="BN122" s="105">
        <v>0.12933823441731107</v>
      </c>
      <c r="BO122" s="105">
        <v>0.1257085371793781</v>
      </c>
      <c r="BP122" s="105">
        <v>0.12643652560091756</v>
      </c>
      <c r="BQ122" s="105">
        <v>0.12715000562212644</v>
      </c>
      <c r="BR122" s="105">
        <v>0.12784940668018768</v>
      </c>
      <c r="BS122" s="105">
        <v>0.12853514142986469</v>
      </c>
      <c r="BT122" s="105">
        <v>0.12920760655539115</v>
      </c>
      <c r="BU122" s="105">
        <v>0.12986718353567983</v>
      </c>
      <c r="BV122" s="105">
        <v>0.12367013360604635</v>
      </c>
      <c r="BW122" s="105">
        <v>0.1201297059064086</v>
      </c>
    </row>
    <row r="123" spans="2:75" ht="14.4">
      <c r="B123" s="2" t="s">
        <v>19</v>
      </c>
      <c r="C123" s="104">
        <v>0</v>
      </c>
      <c r="D123" s="104">
        <v>0</v>
      </c>
      <c r="E123" s="68">
        <v>5709.3313562294416</v>
      </c>
      <c r="F123" s="68">
        <v>6453.6601715313236</v>
      </c>
      <c r="G123" s="68">
        <v>7122.8308245903418</v>
      </c>
      <c r="H123" s="68">
        <v>8300.6831670860247</v>
      </c>
      <c r="I123" s="68">
        <v>9186.819244287557</v>
      </c>
      <c r="J123" s="68">
        <v>10381.664525920298</v>
      </c>
      <c r="K123" s="68">
        <v>11550.267969280463</v>
      </c>
      <c r="L123" s="1"/>
      <c r="M123" s="1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G123" s="105">
        <v>0.11784773673900149</v>
      </c>
      <c r="BH123" s="105">
        <v>0.1172071572441756</v>
      </c>
      <c r="BI123" s="105">
        <v>0.11664623627896828</v>
      </c>
      <c r="BJ123" s="105">
        <v>0.11083617787301175</v>
      </c>
      <c r="BK123" s="105">
        <v>0.10605015743280942</v>
      </c>
      <c r="BL123" s="105">
        <v>0.10560934005193226</v>
      </c>
      <c r="BM123" s="105">
        <v>0.10520542983320597</v>
      </c>
      <c r="BN123" s="105">
        <v>0.10483397796950723</v>
      </c>
      <c r="BO123" s="105">
        <v>0.10449122304919319</v>
      </c>
      <c r="BP123" s="105">
        <v>0.10352446533535023</v>
      </c>
      <c r="BQ123" s="105">
        <v>0.10260775458878961</v>
      </c>
      <c r="BR123" s="105">
        <v>0.10173730262678436</v>
      </c>
      <c r="BS123" s="105">
        <v>0.10090969417412952</v>
      </c>
      <c r="BT123" s="105">
        <v>0.10012184207914802</v>
      </c>
      <c r="BU123" s="105">
        <v>9.9370948832268532E-2</v>
      </c>
      <c r="BV123" s="105">
        <v>9.6978683357445569E-2</v>
      </c>
      <c r="BW123" s="105">
        <v>0.10075072500427223</v>
      </c>
    </row>
    <row r="124" spans="2:75" ht="14.4">
      <c r="B124" s="2" t="s">
        <v>20</v>
      </c>
      <c r="C124" s="104">
        <v>0</v>
      </c>
      <c r="D124" s="104">
        <v>0</v>
      </c>
      <c r="E124" s="68">
        <v>7117.6102597124791</v>
      </c>
      <c r="F124" s="68">
        <v>8091.6159099166325</v>
      </c>
      <c r="G124" s="68">
        <v>8969.8050534564209</v>
      </c>
      <c r="H124" s="68">
        <v>10514.451139053348</v>
      </c>
      <c r="I124" s="68">
        <v>11742.235891557822</v>
      </c>
      <c r="J124" s="68">
        <v>13218.446549411234</v>
      </c>
      <c r="K124" s="68">
        <v>14748.008999053782</v>
      </c>
      <c r="L124" s="1"/>
      <c r="M124" s="1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7"/>
      <c r="AM124" s="107"/>
      <c r="AN124" s="107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G124" s="105">
        <v>0.10905142582318303</v>
      </c>
      <c r="BH124" s="105">
        <v>0.10864660116426118</v>
      </c>
      <c r="BI124" s="105">
        <v>0.10829298275177413</v>
      </c>
      <c r="BJ124" s="105">
        <v>0.10318852724161895</v>
      </c>
      <c r="BK124" s="105">
        <v>9.8979826461499165E-2</v>
      </c>
      <c r="BL124" s="105">
        <v>9.842126716735336E-2</v>
      </c>
      <c r="BM124" s="105">
        <v>9.791253399903127E-2</v>
      </c>
      <c r="BN124" s="105">
        <v>9.7447244538965305E-2</v>
      </c>
      <c r="BO124" s="105">
        <v>9.7020061796155785E-2</v>
      </c>
      <c r="BP124" s="105">
        <v>9.698087580453954E-2</v>
      </c>
      <c r="BQ124" s="105">
        <v>9.6943187818719273E-2</v>
      </c>
      <c r="BR124" s="105">
        <v>9.6906913550914589E-2</v>
      </c>
      <c r="BS124" s="105">
        <v>9.6871974920384338E-2</v>
      </c>
      <c r="BT124" s="105">
        <v>9.6838299492389424E-2</v>
      </c>
      <c r="BU124" s="105">
        <v>9.6805819976927818E-2</v>
      </c>
      <c r="BV124" s="105">
        <v>9.1626364634636581E-2</v>
      </c>
      <c r="BW124" s="105">
        <v>9.5251416074160239E-2</v>
      </c>
    </row>
    <row r="125" spans="2:75" ht="14.4">
      <c r="B125" s="2" t="s">
        <v>21</v>
      </c>
      <c r="C125" s="104">
        <v>0</v>
      </c>
      <c r="D125" s="104">
        <v>0</v>
      </c>
      <c r="E125" s="68">
        <v>8253.8379634211724</v>
      </c>
      <c r="F125" s="68">
        <v>9408.5506517869999</v>
      </c>
      <c r="G125" s="68">
        <v>10419.721411902867</v>
      </c>
      <c r="H125" s="68">
        <v>12261.88881116439</v>
      </c>
      <c r="I125" s="68">
        <v>13724.629729109369</v>
      </c>
      <c r="J125" s="68">
        <v>15404.445230907599</v>
      </c>
      <c r="K125" s="68">
        <v>17230.70265596472</v>
      </c>
      <c r="L125" s="1"/>
      <c r="M125" s="1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  <c r="AI125" s="107"/>
      <c r="AJ125" s="107"/>
      <c r="AK125" s="107"/>
      <c r="AL125" s="107"/>
      <c r="AM125" s="107"/>
      <c r="AN125" s="107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  <c r="BG125" s="105">
        <v>9.8588936974826083E-2</v>
      </c>
      <c r="BH125" s="105">
        <v>9.8250064052662664E-2</v>
      </c>
      <c r="BI125" s="105">
        <v>9.7954693534170315E-2</v>
      </c>
      <c r="BJ125" s="105">
        <v>9.3297076308488783E-2</v>
      </c>
      <c r="BK125" s="105">
        <v>8.945632475073878E-2</v>
      </c>
      <c r="BL125" s="105">
        <v>8.9271839459008032E-2</v>
      </c>
      <c r="BM125" s="105">
        <v>8.9103007259670547E-2</v>
      </c>
      <c r="BN125" s="105">
        <v>8.894791704337307E-2</v>
      </c>
      <c r="BO125" s="105">
        <v>8.8804956641631766E-2</v>
      </c>
      <c r="BP125" s="105">
        <v>8.9461295784830974E-2</v>
      </c>
      <c r="BQ125" s="105">
        <v>9.0101752241899397E-2</v>
      </c>
      <c r="BR125" s="105">
        <v>9.072689563603975E-2</v>
      </c>
      <c r="BS125" s="105">
        <v>9.133726867330888E-2</v>
      </c>
      <c r="BT125" s="105">
        <v>9.1933388713992648E-2</v>
      </c>
      <c r="BU125" s="105">
        <v>9.2515749235170683E-2</v>
      </c>
      <c r="BV125" s="105">
        <v>8.3047552164424471E-2</v>
      </c>
      <c r="BW125" s="105">
        <v>8.6381684875751305E-2</v>
      </c>
    </row>
    <row r="126" spans="2:75" ht="14.4">
      <c r="L126" s="1"/>
      <c r="M126" s="1"/>
      <c r="V126" s="107"/>
    </row>
    <row r="127" spans="2:75" ht="14.4">
      <c r="B127" s="75" t="s">
        <v>349</v>
      </c>
      <c r="L127" s="1"/>
      <c r="M127" s="1"/>
    </row>
    <row r="128" spans="2:75" ht="14.4">
      <c r="C128" s="98" t="s">
        <v>202</v>
      </c>
      <c r="D128" s="67" t="s">
        <v>173</v>
      </c>
      <c r="E128" s="171" t="s">
        <v>174</v>
      </c>
      <c r="F128" s="172"/>
      <c r="G128" s="173" t="s">
        <v>136</v>
      </c>
      <c r="H128" s="174"/>
      <c r="I128" s="174"/>
      <c r="J128" s="176" t="s">
        <v>323</v>
      </c>
      <c r="K128" s="177"/>
      <c r="L128" s="1"/>
      <c r="M128" s="1"/>
    </row>
    <row r="129" spans="2:75" ht="41.4">
      <c r="B129" s="102" t="s">
        <v>324</v>
      </c>
      <c r="C129" s="103">
        <v>100000</v>
      </c>
      <c r="D129" s="103">
        <v>200000</v>
      </c>
      <c r="E129" s="103" t="s">
        <v>325</v>
      </c>
      <c r="F129" s="103" t="s">
        <v>326</v>
      </c>
      <c r="G129" s="103" t="s">
        <v>327</v>
      </c>
      <c r="H129" s="103" t="s">
        <v>328</v>
      </c>
      <c r="I129" s="103" t="s">
        <v>329</v>
      </c>
      <c r="J129" s="103" t="s">
        <v>330</v>
      </c>
      <c r="K129" s="103" t="s">
        <v>331</v>
      </c>
      <c r="L129" s="1"/>
      <c r="M129" s="1"/>
    </row>
    <row r="130" spans="2:75" ht="14.4">
      <c r="B130" s="2" t="s">
        <v>11</v>
      </c>
      <c r="C130" s="104">
        <v>0</v>
      </c>
      <c r="D130" s="104">
        <v>0</v>
      </c>
      <c r="E130" s="68">
        <v>3575.6104675373113</v>
      </c>
      <c r="F130" s="68">
        <v>3968.3998404538315</v>
      </c>
      <c r="G130" s="68">
        <v>4388.0615657376566</v>
      </c>
      <c r="H130" s="68">
        <v>4964.8755856682328</v>
      </c>
      <c r="I130" s="68">
        <v>5382.9206648648051</v>
      </c>
      <c r="J130" s="68">
        <v>6359.3549073198228</v>
      </c>
      <c r="K130" s="68">
        <v>6918.9218055388574</v>
      </c>
      <c r="L130" s="1"/>
      <c r="M130" s="1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07"/>
      <c r="AM130" s="107"/>
      <c r="AN130" s="107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  <c r="BG130" s="105">
        <v>0.37497920472935165</v>
      </c>
      <c r="BH130" s="105">
        <v>0.36915243718788571</v>
      </c>
      <c r="BI130" s="105">
        <v>0.36405534258887712</v>
      </c>
      <c r="BJ130" s="105">
        <v>0.35065844048910694</v>
      </c>
      <c r="BK130" s="105">
        <v>0.33936448486957926</v>
      </c>
      <c r="BL130" s="105">
        <v>0.33806917382568219</v>
      </c>
      <c r="BM130" s="105">
        <v>0.33686270722344563</v>
      </c>
      <c r="BN130" s="105">
        <v>0.33573624748114134</v>
      </c>
      <c r="BO130" s="105">
        <v>0.33468209152833328</v>
      </c>
      <c r="BP130" s="105">
        <v>0.33179489961669933</v>
      </c>
      <c r="BQ130" s="105">
        <v>0.3290339244220592</v>
      </c>
      <c r="BR130" s="105">
        <v>0.32639106643341909</v>
      </c>
      <c r="BS130" s="105">
        <v>0.32385890463634021</v>
      </c>
      <c r="BT130" s="105">
        <v>0.3214306269231984</v>
      </c>
      <c r="BU130" s="105">
        <v>0.31909996889621745</v>
      </c>
      <c r="BV130" s="105">
        <v>0.28591864620740476</v>
      </c>
      <c r="BW130" s="105">
        <v>0.29382561644468286</v>
      </c>
    </row>
    <row r="131" spans="2:75" ht="14.4">
      <c r="B131" s="2" t="s">
        <v>12</v>
      </c>
      <c r="C131" s="104">
        <v>0</v>
      </c>
      <c r="D131" s="104">
        <v>0</v>
      </c>
      <c r="E131" s="68">
        <v>3638.3556233026516</v>
      </c>
      <c r="F131" s="68">
        <v>4046.3971751416689</v>
      </c>
      <c r="G131" s="68">
        <v>4475.5325224336793</v>
      </c>
      <c r="H131" s="68">
        <v>5072.1521517758956</v>
      </c>
      <c r="I131" s="68">
        <v>5503.3884373588526</v>
      </c>
      <c r="J131" s="68">
        <v>6506.3481205793714</v>
      </c>
      <c r="K131" s="68">
        <v>7088.6519830626612</v>
      </c>
      <c r="L131" s="1"/>
      <c r="M131" s="1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07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G131" s="105">
        <v>0.33223401078018922</v>
      </c>
      <c r="BH131" s="105">
        <v>0.33104747504386345</v>
      </c>
      <c r="BI131" s="105">
        <v>0.32998780353067392</v>
      </c>
      <c r="BJ131" s="105">
        <v>0.31955669647494961</v>
      </c>
      <c r="BK131" s="105">
        <v>0.31067765024161298</v>
      </c>
      <c r="BL131" s="105">
        <v>0.30965796411662139</v>
      </c>
      <c r="BM131" s="105">
        <v>0.30870805707272142</v>
      </c>
      <c r="BN131" s="105">
        <v>0.30782100340465002</v>
      </c>
      <c r="BO131" s="105">
        <v>0.30699076457517216</v>
      </c>
      <c r="BP131" s="105">
        <v>0.30327197201688666</v>
      </c>
      <c r="BQ131" s="105">
        <v>0.29974106640101666</v>
      </c>
      <c r="BR131" s="105">
        <v>0.29638415947138974</v>
      </c>
      <c r="BS131" s="105">
        <v>0.29318869884900861</v>
      </c>
      <c r="BT131" s="105">
        <v>0.29014331118530523</v>
      </c>
      <c r="BU131" s="105">
        <v>0.28723766690702535</v>
      </c>
      <c r="BV131" s="105">
        <v>0.25025615412455199</v>
      </c>
      <c r="BW131" s="105">
        <v>0.25834529395696187</v>
      </c>
    </row>
    <row r="132" spans="2:75" ht="14.4">
      <c r="B132" s="2" t="s">
        <v>13</v>
      </c>
      <c r="C132" s="104">
        <v>0</v>
      </c>
      <c r="D132" s="104">
        <v>0</v>
      </c>
      <c r="E132" s="68">
        <v>3694.184958507039</v>
      </c>
      <c r="F132" s="68">
        <v>4113.6391880419696</v>
      </c>
      <c r="G132" s="68">
        <v>4551.5516534722838</v>
      </c>
      <c r="H132" s="68">
        <v>5163.8928278597332</v>
      </c>
      <c r="I132" s="68">
        <v>5606.1469213766604</v>
      </c>
      <c r="J132" s="68">
        <v>6631.7398754009455</v>
      </c>
      <c r="K132" s="68">
        <v>7232.2154491279243</v>
      </c>
      <c r="L132" s="1"/>
      <c r="M132" s="1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  <c r="AN132" s="107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  <c r="BG132" s="105">
        <v>0.31761418075119691</v>
      </c>
      <c r="BH132" s="105">
        <v>0.31673418439692097</v>
      </c>
      <c r="BI132" s="105">
        <v>0.31594806388922408</v>
      </c>
      <c r="BJ132" s="105">
        <v>0.30605281740643725</v>
      </c>
      <c r="BK132" s="105">
        <v>0.29762817113965362</v>
      </c>
      <c r="BL132" s="105">
        <v>0.29660886499450989</v>
      </c>
      <c r="BM132" s="105">
        <v>0.29566011857369345</v>
      </c>
      <c r="BN132" s="105">
        <v>0.29477485041396279</v>
      </c>
      <c r="BO132" s="105">
        <v>0.29394689598343149</v>
      </c>
      <c r="BP132" s="105">
        <v>0.29141318988412895</v>
      </c>
      <c r="BQ132" s="105">
        <v>0.28899133741935934</v>
      </c>
      <c r="BR132" s="105">
        <v>0.28667409167269003</v>
      </c>
      <c r="BS132" s="105">
        <v>0.28445481852348509</v>
      </c>
      <c r="BT132" s="105">
        <v>0.28232743321568315</v>
      </c>
      <c r="BU132" s="105">
        <v>0.28028634464578028</v>
      </c>
      <c r="BV132" s="105">
        <v>0.24110289571909024</v>
      </c>
      <c r="BW132" s="105">
        <v>0.24900999307589025</v>
      </c>
    </row>
    <row r="133" spans="2:75" ht="14.4">
      <c r="B133" s="2" t="s">
        <v>14</v>
      </c>
      <c r="C133" s="104">
        <v>0</v>
      </c>
      <c r="D133" s="104">
        <v>0</v>
      </c>
      <c r="E133" s="68">
        <v>3827.0531446713767</v>
      </c>
      <c r="F133" s="68">
        <v>4263.9707569497896</v>
      </c>
      <c r="G133" s="68">
        <v>4716.9979183123678</v>
      </c>
      <c r="H133" s="68">
        <v>5359.468012888351</v>
      </c>
      <c r="I133" s="68">
        <v>5822.0232692359332</v>
      </c>
      <c r="J133" s="68">
        <v>6892.0215863172989</v>
      </c>
      <c r="K133" s="68">
        <v>7528.204360473128</v>
      </c>
      <c r="L133" s="1"/>
      <c r="M133" s="1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  <c r="BG133" s="105">
        <v>0.29459528649332489</v>
      </c>
      <c r="BH133" s="105">
        <v>0.29344236765005488</v>
      </c>
      <c r="BI133" s="105">
        <v>0.29241524282380921</v>
      </c>
      <c r="BJ133" s="105">
        <v>0.28320013784922626</v>
      </c>
      <c r="BK133" s="105">
        <v>0.27535603267472741</v>
      </c>
      <c r="BL133" s="105">
        <v>0.27432685873107493</v>
      </c>
      <c r="BM133" s="105">
        <v>0.27337025321452341</v>
      </c>
      <c r="BN133" s="105">
        <v>0.27247880216436077</v>
      </c>
      <c r="BO133" s="105">
        <v>0.27164606829006893</v>
      </c>
      <c r="BP133" s="105">
        <v>0.26921664424116687</v>
      </c>
      <c r="BQ133" s="105">
        <v>0.26689644681966351</v>
      </c>
      <c r="BR133" s="105">
        <v>0.26467827175219766</v>
      </c>
      <c r="BS133" s="105">
        <v>0.26255553469984</v>
      </c>
      <c r="BT133" s="105">
        <v>0.26052220597998432</v>
      </c>
      <c r="BU133" s="105">
        <v>0.2585727533665298</v>
      </c>
      <c r="BV133" s="105">
        <v>0.22512794289815352</v>
      </c>
      <c r="BW133" s="105">
        <v>0.23276096148864808</v>
      </c>
    </row>
    <row r="134" spans="2:75" ht="14.4">
      <c r="B134" s="2" t="s">
        <v>15</v>
      </c>
      <c r="C134" s="104">
        <v>0</v>
      </c>
      <c r="D134" s="104">
        <v>0</v>
      </c>
      <c r="E134" s="68">
        <v>4179.2154021493216</v>
      </c>
      <c r="F134" s="68">
        <v>4655.3772126556751</v>
      </c>
      <c r="G134" s="68">
        <v>5143.6033126132561</v>
      </c>
      <c r="H134" s="68">
        <v>5865.1387470357759</v>
      </c>
      <c r="I134" s="68">
        <v>6376.2987932440392</v>
      </c>
      <c r="J134" s="68">
        <v>7391.2169089299823</v>
      </c>
      <c r="K134" s="68">
        <v>8088.9084920501409</v>
      </c>
      <c r="L134" s="1"/>
      <c r="M134" s="1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07"/>
      <c r="AM134" s="107"/>
      <c r="AN134" s="107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  <c r="BG134" s="105">
        <v>0.21971859663541071</v>
      </c>
      <c r="BH134" s="105">
        <v>0.2186323096244554</v>
      </c>
      <c r="BI134" s="105">
        <v>0.21766623934078055</v>
      </c>
      <c r="BJ134" s="105">
        <v>0.20845748377316958</v>
      </c>
      <c r="BK134" s="105">
        <v>0.20076979733527617</v>
      </c>
      <c r="BL134" s="105">
        <v>0.19940355096604739</v>
      </c>
      <c r="BM134" s="105">
        <v>0.1981435515316361</v>
      </c>
      <c r="BN134" s="105">
        <v>0.19697786935994402</v>
      </c>
      <c r="BO134" s="105">
        <v>0.19589629633657418</v>
      </c>
      <c r="BP134" s="105">
        <v>0.1944032714525446</v>
      </c>
      <c r="BQ134" s="105">
        <v>0.19297403885234651</v>
      </c>
      <c r="BR134" s="105">
        <v>0.19160459558559048</v>
      </c>
      <c r="BS134" s="105">
        <v>0.1902912667524157</v>
      </c>
      <c r="BT134" s="105">
        <v>0.1890306725726075</v>
      </c>
      <c r="BU134" s="105">
        <v>0.18781969934350437</v>
      </c>
      <c r="BV134" s="105">
        <v>0.17052916439849247</v>
      </c>
      <c r="BW134" s="105">
        <v>0.17636229033453871</v>
      </c>
    </row>
    <row r="135" spans="2:75" ht="14.4">
      <c r="B135" s="2" t="s">
        <v>16</v>
      </c>
      <c r="C135" s="104">
        <v>0</v>
      </c>
      <c r="D135" s="104">
        <v>0</v>
      </c>
      <c r="E135" s="68">
        <v>4471.9254973283178</v>
      </c>
      <c r="F135" s="68">
        <v>4992.2996250087572</v>
      </c>
      <c r="G135" s="68">
        <v>5521.1097556370505</v>
      </c>
      <c r="H135" s="68">
        <v>6313.7303021109719</v>
      </c>
      <c r="I135" s="68">
        <v>6874.5688601519423</v>
      </c>
      <c r="J135" s="68">
        <v>7922.0262918719236</v>
      </c>
      <c r="K135" s="68">
        <v>8686.6933704888052</v>
      </c>
      <c r="L135" s="1"/>
      <c r="M135" s="1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107"/>
      <c r="AM135" s="107"/>
      <c r="AN135" s="107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  <c r="BG135" s="105">
        <v>0.20557179879345802</v>
      </c>
      <c r="BH135" s="105">
        <v>0.20447206272015894</v>
      </c>
      <c r="BI135" s="105">
        <v>0.20349690098480513</v>
      </c>
      <c r="BJ135" s="105">
        <v>0.19519611006718057</v>
      </c>
      <c r="BK135" s="105">
        <v>0.18825263314191157</v>
      </c>
      <c r="BL135" s="105">
        <v>0.18706278908818696</v>
      </c>
      <c r="BM135" s="105">
        <v>0.18596611699704693</v>
      </c>
      <c r="BN135" s="105">
        <v>0.18495208532077015</v>
      </c>
      <c r="BO135" s="105">
        <v>0.18401169210278276</v>
      </c>
      <c r="BP135" s="105">
        <v>0.18254124837582927</v>
      </c>
      <c r="BQ135" s="105">
        <v>0.18113541505193201</v>
      </c>
      <c r="BR135" s="105">
        <v>0.1797900252631891</v>
      </c>
      <c r="BS135" s="105">
        <v>0.17850126290850143</v>
      </c>
      <c r="BT135" s="105">
        <v>0.17726562650489891</v>
      </c>
      <c r="BU135" s="105">
        <v>0.17607989741899796</v>
      </c>
      <c r="BV135" s="105">
        <v>0.16131157566669249</v>
      </c>
      <c r="BW135" s="105">
        <v>0.16680939277333934</v>
      </c>
    </row>
    <row r="136" spans="2:75" ht="14.4">
      <c r="B136" s="2" t="s">
        <v>17</v>
      </c>
      <c r="C136" s="104">
        <v>0</v>
      </c>
      <c r="D136" s="104">
        <v>0</v>
      </c>
      <c r="E136" s="68">
        <v>4762.2266203640438</v>
      </c>
      <c r="F136" s="68">
        <v>5327.4894774110926</v>
      </c>
      <c r="G136" s="68">
        <v>5921.0380849394442</v>
      </c>
      <c r="H136" s="68">
        <v>6792.8790901917964</v>
      </c>
      <c r="I136" s="68">
        <v>7404.3477922741149</v>
      </c>
      <c r="J136" s="68">
        <v>8523.5722845131768</v>
      </c>
      <c r="K136" s="68">
        <v>9369.0873735327987</v>
      </c>
      <c r="L136" s="1"/>
      <c r="M136" s="1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G136" s="105">
        <v>0.18268611657299483</v>
      </c>
      <c r="BH136" s="105">
        <v>0.1815842805684677</v>
      </c>
      <c r="BI136" s="105">
        <v>0.18061054289821302</v>
      </c>
      <c r="BJ136" s="105">
        <v>0.17328548325259968</v>
      </c>
      <c r="BK136" s="105">
        <v>0.16718464920548587</v>
      </c>
      <c r="BL136" s="105">
        <v>0.16621278886366703</v>
      </c>
      <c r="BM136" s="105">
        <v>0.16531768127351165</v>
      </c>
      <c r="BN136" s="105">
        <v>0.16449057949761639</v>
      </c>
      <c r="BO136" s="105">
        <v>0.1637240170546746</v>
      </c>
      <c r="BP136" s="105">
        <v>0.16232516741039518</v>
      </c>
      <c r="BQ136" s="105">
        <v>0.16098974894818235</v>
      </c>
      <c r="BR136" s="105">
        <v>0.15971354286546871</v>
      </c>
      <c r="BS136" s="105">
        <v>0.15849269636822499</v>
      </c>
      <c r="BT136" s="105">
        <v>0.15732368382154574</v>
      </c>
      <c r="BU136" s="105">
        <v>0.15620327274570617</v>
      </c>
      <c r="BV136" s="105">
        <v>0.14460861682702342</v>
      </c>
      <c r="BW136" s="105">
        <v>0.1495212407444865</v>
      </c>
    </row>
    <row r="137" spans="2:75" ht="14.4">
      <c r="B137" s="2" t="s">
        <v>18</v>
      </c>
      <c r="C137" s="104">
        <v>0</v>
      </c>
      <c r="D137" s="104">
        <v>0</v>
      </c>
      <c r="E137" s="68">
        <v>5362.5111564314093</v>
      </c>
      <c r="F137" s="68">
        <v>6020.7095531719842</v>
      </c>
      <c r="G137" s="68">
        <v>6662.815250640595</v>
      </c>
      <c r="H137" s="68">
        <v>7686.9546827309605</v>
      </c>
      <c r="I137" s="68">
        <v>8413.0859339265826</v>
      </c>
      <c r="J137" s="68">
        <v>9645.4756871956415</v>
      </c>
      <c r="K137" s="68">
        <v>10648.434971777748</v>
      </c>
      <c r="L137" s="1"/>
      <c r="M137" s="1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7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G137" s="105">
        <v>0.15199835189610489</v>
      </c>
      <c r="BH137" s="105">
        <v>0.15101223993651919</v>
      </c>
      <c r="BI137" s="105">
        <v>0.15014464357453255</v>
      </c>
      <c r="BJ137" s="105">
        <v>0.14436836737170639</v>
      </c>
      <c r="BK137" s="105">
        <v>0.13951817676511308</v>
      </c>
      <c r="BL137" s="105">
        <v>0.13885540107911185</v>
      </c>
      <c r="BM137" s="105">
        <v>0.13824554165584066</v>
      </c>
      <c r="BN137" s="105">
        <v>0.13768250448745181</v>
      </c>
      <c r="BO137" s="105">
        <v>0.13716109671391932</v>
      </c>
      <c r="BP137" s="105">
        <v>0.13595463939602739</v>
      </c>
      <c r="BQ137" s="105">
        <v>0.13480510140400367</v>
      </c>
      <c r="BR137" s="105">
        <v>0.13370854748182578</v>
      </c>
      <c r="BS137" s="105">
        <v>0.13266139696625412</v>
      </c>
      <c r="BT137" s="105">
        <v>0.13166038472773817</v>
      </c>
      <c r="BU137" s="105">
        <v>0.13070252716295663</v>
      </c>
      <c r="BV137" s="105">
        <v>0.12235789013597005</v>
      </c>
      <c r="BW137" s="105">
        <v>0.1266384892440971</v>
      </c>
    </row>
    <row r="138" spans="2:75" ht="14.4">
      <c r="B138" s="2" t="s">
        <v>19</v>
      </c>
      <c r="C138" s="104">
        <v>0</v>
      </c>
      <c r="D138" s="104">
        <v>0</v>
      </c>
      <c r="E138" s="68">
        <v>6416.3752140167699</v>
      </c>
      <c r="F138" s="68">
        <v>7235.8146670779042</v>
      </c>
      <c r="G138" s="68">
        <v>7986.083090119042</v>
      </c>
      <c r="H138" s="68">
        <v>9277.5056153657479</v>
      </c>
      <c r="I138" s="68">
        <v>10244.903317004211</v>
      </c>
      <c r="J138" s="68">
        <v>11629.99028952256</v>
      </c>
      <c r="K138" s="68">
        <v>12906.814212063135</v>
      </c>
      <c r="L138" s="1"/>
      <c r="M138" s="1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7"/>
      <c r="AM138" s="107"/>
      <c r="AN138" s="107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  <c r="BG138" s="105">
        <v>0.12031428318105278</v>
      </c>
      <c r="BH138" s="105">
        <v>0.11955102508127526</v>
      </c>
      <c r="BI138" s="105">
        <v>0.1188822599763386</v>
      </c>
      <c r="BJ138" s="105">
        <v>0.11443415767426489</v>
      </c>
      <c r="BK138" s="105">
        <v>0.11068193947666287</v>
      </c>
      <c r="BL138" s="105">
        <v>0.11031161699555221</v>
      </c>
      <c r="BM138" s="105">
        <v>0.10997119704156809</v>
      </c>
      <c r="BN138" s="105">
        <v>0.10965719834532381</v>
      </c>
      <c r="BO138" s="105">
        <v>0.1093666598385702</v>
      </c>
      <c r="BP138" s="105">
        <v>0.10884753408101625</v>
      </c>
      <c r="BQ138" s="105">
        <v>0.10835050722071632</v>
      </c>
      <c r="BR138" s="105">
        <v>0.10787419755991989</v>
      </c>
      <c r="BS138" s="105">
        <v>0.10741733623386124</v>
      </c>
      <c r="BT138" s="105">
        <v>0.10697875592340901</v>
      </c>
      <c r="BU138" s="105">
        <v>0.10655738089610682</v>
      </c>
      <c r="BV138" s="105">
        <v>9.8336362941221139E-2</v>
      </c>
      <c r="BW138" s="105">
        <v>0.10197106387917478</v>
      </c>
    </row>
    <row r="139" spans="2:75" ht="14.4">
      <c r="B139" s="2" t="s">
        <v>20</v>
      </c>
      <c r="C139" s="104">
        <v>0</v>
      </c>
      <c r="D139" s="104">
        <v>0</v>
      </c>
      <c r="E139" s="68">
        <v>7824.6541174998047</v>
      </c>
      <c r="F139" s="68">
        <v>8873.7704054632122</v>
      </c>
      <c r="G139" s="68">
        <v>9833.0573189851239</v>
      </c>
      <c r="H139" s="68">
        <v>11491.273587333073</v>
      </c>
      <c r="I139" s="68">
        <v>12800.319964274477</v>
      </c>
      <c r="J139" s="68">
        <v>14466.772313013493</v>
      </c>
      <c r="K139" s="68">
        <v>16104.555241836453</v>
      </c>
      <c r="L139" s="1"/>
      <c r="M139" s="1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7"/>
      <c r="AM139" s="107"/>
      <c r="AN139" s="107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G139" s="105">
        <v>0.11128707304114037</v>
      </c>
      <c r="BH139" s="105">
        <v>0.11076442699510923</v>
      </c>
      <c r="BI139" s="105">
        <v>0.11030762766886741</v>
      </c>
      <c r="BJ139" s="105">
        <v>0.10647526751666983</v>
      </c>
      <c r="BK139" s="105">
        <v>0.10323842363615017</v>
      </c>
      <c r="BL139" s="105">
        <v>0.10273269461611409</v>
      </c>
      <c r="BM139" s="105">
        <v>0.1022706640160467</v>
      </c>
      <c r="BN139" s="105">
        <v>0.10184690263569172</v>
      </c>
      <c r="BO139" s="105">
        <v>0.10145684489191727</v>
      </c>
      <c r="BP139" s="105">
        <v>0.10142552486182267</v>
      </c>
      <c r="BQ139" s="105">
        <v>0.10139536889747529</v>
      </c>
      <c r="BR139" s="105">
        <v>0.10136631328595479</v>
      </c>
      <c r="BS139" s="105">
        <v>0.10133829888063869</v>
      </c>
      <c r="BT139" s="105">
        <v>0.10131127069932049</v>
      </c>
      <c r="BU139" s="105">
        <v>0.10128517756403738</v>
      </c>
      <c r="BV139" s="105">
        <v>9.2828772342182606E-2</v>
      </c>
      <c r="BW139" s="105">
        <v>9.6179301708238532E-2</v>
      </c>
    </row>
    <row r="140" spans="2:75" ht="14.4">
      <c r="B140" s="2" t="s">
        <v>21</v>
      </c>
      <c r="C140" s="104">
        <v>0</v>
      </c>
      <c r="D140" s="104">
        <v>0</v>
      </c>
      <c r="E140" s="68">
        <v>8960.8818212085007</v>
      </c>
      <c r="F140" s="68">
        <v>10190.705147333583</v>
      </c>
      <c r="G140" s="68">
        <v>11282.973677431564</v>
      </c>
      <c r="H140" s="68">
        <v>13238.711259444117</v>
      </c>
      <c r="I140" s="68">
        <v>14782.713801826025</v>
      </c>
      <c r="J140" s="68">
        <v>16652.770994509861</v>
      </c>
      <c r="K140" s="68">
        <v>18587.248898747395</v>
      </c>
      <c r="L140" s="1"/>
      <c r="M140" s="1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  <c r="AN140" s="107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  <c r="BG140" s="105">
        <v>9.8332908434281621E-2</v>
      </c>
      <c r="BH140" s="105">
        <v>9.7900156014351314E-2</v>
      </c>
      <c r="BI140" s="105">
        <v>9.7522763628239709E-2</v>
      </c>
      <c r="BJ140" s="105">
        <v>9.4113020200050024E-2</v>
      </c>
      <c r="BK140" s="105">
        <v>9.1232017655229217E-2</v>
      </c>
      <c r="BL140" s="105">
        <v>9.1841859751902163E-2</v>
      </c>
      <c r="BM140" s="105">
        <v>9.2410311777229595E-2</v>
      </c>
      <c r="BN140" s="105">
        <v>9.2941449156554695E-2</v>
      </c>
      <c r="BO140" s="105">
        <v>9.3438829275252738E-2</v>
      </c>
      <c r="BP140" s="105">
        <v>9.3860197050543243E-2</v>
      </c>
      <c r="BQ140" s="105">
        <v>9.426940210538659E-2</v>
      </c>
      <c r="BR140" s="105">
        <v>9.4666963560385828E-2</v>
      </c>
      <c r="BS140" s="105">
        <v>9.5053371408233417E-2</v>
      </c>
      <c r="BT140" s="105">
        <v>9.5429088528412406E-2</v>
      </c>
      <c r="BU140" s="105">
        <v>9.5794552536957636E-2</v>
      </c>
      <c r="BV140" s="105">
        <v>8.5062295234736338E-2</v>
      </c>
      <c r="BW140" s="105">
        <v>9.0759868830567705E-2</v>
      </c>
    </row>
    <row r="141" spans="2:75" ht="14.4">
      <c r="L141" s="1"/>
      <c r="M141" s="1"/>
      <c r="V141" s="107"/>
    </row>
    <row r="142" spans="2:75" ht="14.4">
      <c r="B142" s="75" t="s">
        <v>350</v>
      </c>
      <c r="L142" s="1"/>
      <c r="M142" s="1"/>
    </row>
    <row r="143" spans="2:75" ht="14.4">
      <c r="C143" s="98" t="s">
        <v>202</v>
      </c>
      <c r="D143" s="67" t="s">
        <v>173</v>
      </c>
      <c r="E143" s="171" t="s">
        <v>174</v>
      </c>
      <c r="F143" s="172"/>
      <c r="G143" s="173" t="s">
        <v>136</v>
      </c>
      <c r="H143" s="174"/>
      <c r="I143" s="174"/>
      <c r="J143" s="176" t="s">
        <v>323</v>
      </c>
      <c r="K143" s="177"/>
      <c r="L143" s="1"/>
      <c r="M143" s="1"/>
    </row>
    <row r="144" spans="2:75" ht="41.4">
      <c r="B144" s="102" t="s">
        <v>324</v>
      </c>
      <c r="C144" s="103">
        <v>100000</v>
      </c>
      <c r="D144" s="103">
        <v>200000</v>
      </c>
      <c r="E144" s="103" t="s">
        <v>325</v>
      </c>
      <c r="F144" s="103" t="s">
        <v>326</v>
      </c>
      <c r="G144" s="103" t="s">
        <v>327</v>
      </c>
      <c r="H144" s="103" t="s">
        <v>328</v>
      </c>
      <c r="I144" s="103" t="s">
        <v>329</v>
      </c>
      <c r="J144" s="103" t="s">
        <v>330</v>
      </c>
      <c r="K144" s="103" t="s">
        <v>331</v>
      </c>
      <c r="L144" s="1"/>
      <c r="M144" s="1"/>
    </row>
    <row r="145" spans="2:75" ht="14.4">
      <c r="B145" s="2" t="s">
        <v>11</v>
      </c>
      <c r="C145" s="104">
        <v>0</v>
      </c>
      <c r="D145" s="104">
        <v>0</v>
      </c>
      <c r="E145" s="68">
        <v>4300.1968085063054</v>
      </c>
      <c r="F145" s="68">
        <v>4773.9430674141522</v>
      </c>
      <c r="G145" s="68">
        <v>5279.8952042829733</v>
      </c>
      <c r="H145" s="68">
        <v>5974.375081719656</v>
      </c>
      <c r="I145" s="68">
        <v>6478.2994853942973</v>
      </c>
      <c r="J145" s="68">
        <v>7654.7874528784278</v>
      </c>
      <c r="K145" s="68">
        <v>8329.3360757524079</v>
      </c>
      <c r="L145" s="1"/>
      <c r="M145" s="1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07"/>
      <c r="AM145" s="107"/>
      <c r="AN145" s="107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  <c r="BG145" s="105">
        <v>0.39598493911300914</v>
      </c>
      <c r="BH145" s="105">
        <v>0.38753462024669105</v>
      </c>
      <c r="BI145" s="105">
        <v>0.3802258028532986</v>
      </c>
      <c r="BJ145" s="105">
        <v>0.36653136142275322</v>
      </c>
      <c r="BK145" s="105">
        <v>0.35497161528044741</v>
      </c>
      <c r="BL145" s="105">
        <v>0.35352500283632282</v>
      </c>
      <c r="BM145" s="105">
        <v>0.35217833909146262</v>
      </c>
      <c r="BN145" s="105">
        <v>0.35092161152017204</v>
      </c>
      <c r="BO145" s="105">
        <v>0.34974610174399867</v>
      </c>
      <c r="BP145" s="105">
        <v>0.34794639575633352</v>
      </c>
      <c r="BQ145" s="105">
        <v>0.34621358665733232</v>
      </c>
      <c r="BR145" s="105">
        <v>0.34454401256753081</v>
      </c>
      <c r="BS145" s="105">
        <v>0.34293427408251592</v>
      </c>
      <c r="BT145" s="105">
        <v>0.34138121116991271</v>
      </c>
      <c r="BU145" s="105">
        <v>0.339881882464385</v>
      </c>
      <c r="BV145" s="105">
        <v>0.30798879011058611</v>
      </c>
      <c r="BW145" s="105">
        <v>0.31644759511476034</v>
      </c>
    </row>
    <row r="146" spans="2:75" ht="14.4">
      <c r="B146" s="2" t="s">
        <v>12</v>
      </c>
      <c r="C146" s="104">
        <v>0</v>
      </c>
      <c r="D146" s="104">
        <v>0</v>
      </c>
      <c r="E146" s="68">
        <v>4362.9419642716466</v>
      </c>
      <c r="F146" s="68">
        <v>4851.9404021019891</v>
      </c>
      <c r="G146" s="68">
        <v>5367.366160978996</v>
      </c>
      <c r="H146" s="68">
        <v>6081.6516478273188</v>
      </c>
      <c r="I146" s="68">
        <v>6598.767257888343</v>
      </c>
      <c r="J146" s="68">
        <v>7801.78066613798</v>
      </c>
      <c r="K146" s="68">
        <v>8499.0662532762144</v>
      </c>
      <c r="L146" s="1"/>
      <c r="M146" s="1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  <c r="AK146" s="107"/>
      <c r="AL146" s="107"/>
      <c r="AM146" s="107"/>
      <c r="AN146" s="107"/>
      <c r="AO146" s="105"/>
      <c r="AP146" s="105"/>
      <c r="AQ146" s="105"/>
      <c r="AR146" s="105"/>
      <c r="AS146" s="105"/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  <c r="BG146" s="105">
        <v>0.3427422393888217</v>
      </c>
      <c r="BH146" s="105">
        <v>0.34144388306766515</v>
      </c>
      <c r="BI146" s="105">
        <v>0.34028475150012494</v>
      </c>
      <c r="BJ146" s="105">
        <v>0.33047104117314485</v>
      </c>
      <c r="BK146" s="105">
        <v>0.32207448305116942</v>
      </c>
      <c r="BL146" s="105">
        <v>0.32091588271536731</v>
      </c>
      <c r="BM146" s="105">
        <v>0.31983711193306913</v>
      </c>
      <c r="BN146" s="105">
        <v>0.31883019488793457</v>
      </c>
      <c r="BO146" s="105">
        <v>0.31788818401053925</v>
      </c>
      <c r="BP146" s="105">
        <v>0.3145824847477624</v>
      </c>
      <c r="BQ146" s="105">
        <v>0.3114331715403944</v>
      </c>
      <c r="BR146" s="105">
        <v>0.30842940335262781</v>
      </c>
      <c r="BS146" s="105">
        <v>0.30556131855076157</v>
      </c>
      <c r="BT146" s="105">
        <v>0.30281992674445102</v>
      </c>
      <c r="BU146" s="105">
        <v>0.30019701465143811</v>
      </c>
      <c r="BV146" s="105">
        <v>0.26860058991950103</v>
      </c>
      <c r="BW146" s="105">
        <v>0.27706784920522742</v>
      </c>
    </row>
    <row r="147" spans="2:75" ht="14.4">
      <c r="B147" s="2" t="s">
        <v>13</v>
      </c>
      <c r="C147" s="104">
        <v>0</v>
      </c>
      <c r="D147" s="104">
        <v>0</v>
      </c>
      <c r="E147" s="68">
        <v>4418.7712994760341</v>
      </c>
      <c r="F147" s="68">
        <v>4919.1824150022903</v>
      </c>
      <c r="G147" s="68">
        <v>5443.3852920176005</v>
      </c>
      <c r="H147" s="68">
        <v>6173.3923239111564</v>
      </c>
      <c r="I147" s="68">
        <v>6701.5257419061536</v>
      </c>
      <c r="J147" s="68">
        <v>7927.1724209595513</v>
      </c>
      <c r="K147" s="68">
        <v>8642.6297193414721</v>
      </c>
      <c r="L147" s="1"/>
      <c r="M147" s="1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07"/>
      <c r="AM147" s="107"/>
      <c r="AN147" s="107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  <c r="BG147" s="105">
        <v>0.32646247173122855</v>
      </c>
      <c r="BH147" s="105">
        <v>0.32365204762487038</v>
      </c>
      <c r="BI147" s="105">
        <v>0.32116845661443671</v>
      </c>
      <c r="BJ147" s="105">
        <v>0.31194160125640247</v>
      </c>
      <c r="BK147" s="105">
        <v>0.30404779366914214</v>
      </c>
      <c r="BL147" s="105">
        <v>0.30291737171061783</v>
      </c>
      <c r="BM147" s="105">
        <v>0.30186558971057698</v>
      </c>
      <c r="BN147" s="105">
        <v>0.30088451740311561</v>
      </c>
      <c r="BO147" s="105">
        <v>0.29996725612505054</v>
      </c>
      <c r="BP147" s="105">
        <v>0.29843113331561133</v>
      </c>
      <c r="BQ147" s="105">
        <v>0.29695261091558811</v>
      </c>
      <c r="BR147" s="105">
        <v>0.29552850876167414</v>
      </c>
      <c r="BS147" s="105">
        <v>0.29415587656574604</v>
      </c>
      <c r="BT147" s="105">
        <v>0.29283197351314788</v>
      </c>
      <c r="BU147" s="105">
        <v>0.29155424999589408</v>
      </c>
      <c r="BV147" s="105">
        <v>0.25468208046652502</v>
      </c>
      <c r="BW147" s="105">
        <v>0.26281444205242743</v>
      </c>
    </row>
    <row r="148" spans="2:75" ht="14.4">
      <c r="B148" s="2" t="s">
        <v>14</v>
      </c>
      <c r="C148" s="104">
        <v>0</v>
      </c>
      <c r="D148" s="104">
        <v>0</v>
      </c>
      <c r="E148" s="68">
        <v>4551.6394856403722</v>
      </c>
      <c r="F148" s="68">
        <v>5069.5139839101093</v>
      </c>
      <c r="G148" s="68">
        <v>5608.8315568576845</v>
      </c>
      <c r="H148" s="68">
        <v>6368.9675089397733</v>
      </c>
      <c r="I148" s="68">
        <v>6917.4020897654264</v>
      </c>
      <c r="J148" s="68">
        <v>8187.4541318759066</v>
      </c>
      <c r="K148" s="68">
        <v>8938.6186306866839</v>
      </c>
      <c r="L148" s="1"/>
      <c r="M148" s="1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7"/>
      <c r="AM148" s="107"/>
      <c r="AN148" s="107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  <c r="BG148" s="105">
        <v>0.30214144827575284</v>
      </c>
      <c r="BH148" s="105">
        <v>0.30090297103743269</v>
      </c>
      <c r="BI148" s="105">
        <v>0.29979962854581538</v>
      </c>
      <c r="BJ148" s="105">
        <v>0.29106393826347765</v>
      </c>
      <c r="BK148" s="105">
        <v>0.28359500393175857</v>
      </c>
      <c r="BL148" s="105">
        <v>0.28246343238658028</v>
      </c>
      <c r="BM148" s="105">
        <v>0.28141183096579736</v>
      </c>
      <c r="BN148" s="105">
        <v>0.28043201156212311</v>
      </c>
      <c r="BO148" s="105">
        <v>0.27951686701162537</v>
      </c>
      <c r="BP148" s="105">
        <v>0.2780086867029527</v>
      </c>
      <c r="BQ148" s="105">
        <v>0.27655810754776083</v>
      </c>
      <c r="BR148" s="105">
        <v>0.27516189148409947</v>
      </c>
      <c r="BS148" s="105">
        <v>0.27381703869029367</v>
      </c>
      <c r="BT148" s="105">
        <v>0.27252076607003534</v>
      </c>
      <c r="BU148" s="105">
        <v>0.27127048802766224</v>
      </c>
      <c r="BV148" s="105">
        <v>0.2392830121831695</v>
      </c>
      <c r="BW148" s="105">
        <v>0.24715556780811773</v>
      </c>
    </row>
    <row r="149" spans="2:75" ht="14.4">
      <c r="B149" s="2" t="s">
        <v>15</v>
      </c>
      <c r="C149" s="104">
        <v>0</v>
      </c>
      <c r="D149" s="104">
        <v>0</v>
      </c>
      <c r="E149" s="68">
        <v>4886.2592599366508</v>
      </c>
      <c r="F149" s="68">
        <v>5437.5317082022566</v>
      </c>
      <c r="G149" s="68">
        <v>6006.8555781419545</v>
      </c>
      <c r="H149" s="68">
        <v>6841.9611953155027</v>
      </c>
      <c r="I149" s="68">
        <v>7434.3828659606943</v>
      </c>
      <c r="J149" s="68">
        <v>8639.5426725322468</v>
      </c>
      <c r="K149" s="68">
        <v>9445.4547348328124</v>
      </c>
      <c r="L149" s="1"/>
      <c r="M149" s="1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107"/>
      <c r="AN149" s="107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  <c r="BG149" s="105">
        <v>0.22870738752998354</v>
      </c>
      <c r="BH149" s="105">
        <v>0.22743324286765965</v>
      </c>
      <c r="BI149" s="105">
        <v>0.22630032499609917</v>
      </c>
      <c r="BJ149" s="105">
        <v>0.21642471050829812</v>
      </c>
      <c r="BK149" s="105">
        <v>0.20820011537516378</v>
      </c>
      <c r="BL149" s="105">
        <v>0.20691412306919543</v>
      </c>
      <c r="BM149" s="105">
        <v>0.20572600215425155</v>
      </c>
      <c r="BN149" s="105">
        <v>0.20462498934290721</v>
      </c>
      <c r="BO149" s="105">
        <v>0.20360184377789367</v>
      </c>
      <c r="BP149" s="105">
        <v>0.20279604556557229</v>
      </c>
      <c r="BQ149" s="105">
        <v>0.20201894096261347</v>
      </c>
      <c r="BR149" s="105">
        <v>0.20126902415626235</v>
      </c>
      <c r="BS149" s="105">
        <v>0.2005448928870929</v>
      </c>
      <c r="BT149" s="105">
        <v>0.19984523969787804</v>
      </c>
      <c r="BU149" s="105">
        <v>0.19916884405516311</v>
      </c>
      <c r="BV149" s="105">
        <v>0.18110612167158857</v>
      </c>
      <c r="BW149" s="105">
        <v>0.18713122950260042</v>
      </c>
    </row>
    <row r="150" spans="2:75" ht="14.4">
      <c r="B150" s="2" t="s">
        <v>16</v>
      </c>
      <c r="C150" s="104">
        <v>0</v>
      </c>
      <c r="D150" s="104">
        <v>0</v>
      </c>
      <c r="E150" s="68">
        <v>5178.9693551156452</v>
      </c>
      <c r="F150" s="68">
        <v>5774.4541205553378</v>
      </c>
      <c r="G150" s="68">
        <v>6384.3620211657508</v>
      </c>
      <c r="H150" s="68">
        <v>7290.5527503906987</v>
      </c>
      <c r="I150" s="68">
        <v>7932.6529328685983</v>
      </c>
      <c r="J150" s="68">
        <v>9170.3520554741881</v>
      </c>
      <c r="K150" s="68">
        <v>10043.239613271475</v>
      </c>
      <c r="L150" s="1"/>
      <c r="M150" s="1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7"/>
      <c r="AO150" s="105"/>
      <c r="AP150" s="105"/>
      <c r="AQ150" s="105"/>
      <c r="AR150" s="105"/>
      <c r="AS150" s="105"/>
      <c r="AT150" s="10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  <c r="BE150" s="105"/>
      <c r="BG150" s="105">
        <v>0.21761285304939681</v>
      </c>
      <c r="BH150" s="105">
        <v>0.21489173915960638</v>
      </c>
      <c r="BI150" s="105">
        <v>0.21250848229817873</v>
      </c>
      <c r="BJ150" s="105">
        <v>0.20355288510146269</v>
      </c>
      <c r="BK150" s="105">
        <v>0.19607906004112016</v>
      </c>
      <c r="BL150" s="105">
        <v>0.19493073272346254</v>
      </c>
      <c r="BM150" s="105">
        <v>0.19387057798708329</v>
      </c>
      <c r="BN150" s="105">
        <v>0.1928888159988332</v>
      </c>
      <c r="BO150" s="105">
        <v>0.19197706169014664</v>
      </c>
      <c r="BP150" s="105">
        <v>0.19115060865982647</v>
      </c>
      <c r="BQ150" s="105">
        <v>0.1903545121474722</v>
      </c>
      <c r="BR150" s="105">
        <v>0.18958712977441744</v>
      </c>
      <c r="BS150" s="105">
        <v>0.18884693554001136</v>
      </c>
      <c r="BT150" s="105">
        <v>0.18813250969294704</v>
      </c>
      <c r="BU150" s="105">
        <v>0.18744252964232011</v>
      </c>
      <c r="BV150" s="105">
        <v>0.17196326753729282</v>
      </c>
      <c r="BW150" s="105">
        <v>0.17766197873266493</v>
      </c>
    </row>
    <row r="151" spans="2:75" ht="14.4">
      <c r="B151" s="2" t="s">
        <v>17</v>
      </c>
      <c r="C151" s="104">
        <v>0</v>
      </c>
      <c r="D151" s="104">
        <v>0</v>
      </c>
      <c r="E151" s="68">
        <v>5469.270478151373</v>
      </c>
      <c r="F151" s="68">
        <v>6109.6439729576732</v>
      </c>
      <c r="G151" s="68">
        <v>6784.2903504681435</v>
      </c>
      <c r="H151" s="68">
        <v>7769.7015384715214</v>
      </c>
      <c r="I151" s="68">
        <v>8462.4318649907691</v>
      </c>
      <c r="J151" s="68">
        <v>9771.8980481154413</v>
      </c>
      <c r="K151" s="68">
        <v>10725.633616315468</v>
      </c>
      <c r="L151" s="1"/>
      <c r="M151" s="1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07"/>
      <c r="AM151" s="107"/>
      <c r="AN151" s="107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  <c r="BG151" s="105">
        <v>0.19426523953671945</v>
      </c>
      <c r="BH151" s="105">
        <v>0.19298530345605464</v>
      </c>
      <c r="BI151" s="105">
        <v>0.19185374508110367</v>
      </c>
      <c r="BJ151" s="105">
        <v>0.18382413412601692</v>
      </c>
      <c r="BK151" s="105">
        <v>0.17714730518983191</v>
      </c>
      <c r="BL151" s="105">
        <v>0.17616688734382951</v>
      </c>
      <c r="BM151" s="105">
        <v>0.17526257566207784</v>
      </c>
      <c r="BN151" s="105">
        <v>0.17442583949130494</v>
      </c>
      <c r="BO151" s="105">
        <v>0.17364937718068976</v>
      </c>
      <c r="BP151" s="105">
        <v>0.17281008365546066</v>
      </c>
      <c r="BQ151" s="105">
        <v>0.17200274237290228</v>
      </c>
      <c r="BR151" s="105">
        <v>0.17122556276471415</v>
      </c>
      <c r="BS151" s="105">
        <v>0.17047688559792029</v>
      </c>
      <c r="BT151" s="105">
        <v>0.16975517115015498</v>
      </c>
      <c r="BU151" s="105">
        <v>0.16905898863990954</v>
      </c>
      <c r="BV151" s="105">
        <v>0.156739467293674</v>
      </c>
      <c r="BW151" s="105">
        <v>0.16190725423291213</v>
      </c>
    </row>
    <row r="152" spans="2:75" ht="14.4">
      <c r="B152" s="2" t="s">
        <v>18</v>
      </c>
      <c r="C152" s="104">
        <v>0</v>
      </c>
      <c r="D152" s="104">
        <v>0</v>
      </c>
      <c r="E152" s="68">
        <v>6069.5550142187385</v>
      </c>
      <c r="F152" s="68">
        <v>6802.8640487185648</v>
      </c>
      <c r="G152" s="68">
        <v>7526.0675161692943</v>
      </c>
      <c r="H152" s="68">
        <v>8663.7771310106873</v>
      </c>
      <c r="I152" s="68">
        <v>9471.1700066432386</v>
      </c>
      <c r="J152" s="68">
        <v>10893.801450797904</v>
      </c>
      <c r="K152" s="68">
        <v>12004.981214560419</v>
      </c>
      <c r="L152" s="1"/>
      <c r="M152" s="1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  <c r="AK152" s="107"/>
      <c r="AL152" s="107"/>
      <c r="AM152" s="107"/>
      <c r="AN152" s="107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  <c r="BG152" s="105">
        <v>0.15507928359019341</v>
      </c>
      <c r="BH152" s="105">
        <v>0.15397968892809993</v>
      </c>
      <c r="BI152" s="105">
        <v>0.15301170410282972</v>
      </c>
      <c r="BJ152" s="105">
        <v>0.1477406739300407</v>
      </c>
      <c r="BK152" s="105">
        <v>0.14327920676926037</v>
      </c>
      <c r="BL152" s="105">
        <v>0.14282506452512447</v>
      </c>
      <c r="BM152" s="105">
        <v>0.14240541121822883</v>
      </c>
      <c r="BN152" s="105">
        <v>0.14201646178179142</v>
      </c>
      <c r="BO152" s="105">
        <v>0.14165496546994821</v>
      </c>
      <c r="BP152" s="105">
        <v>0.14114143540509802</v>
      </c>
      <c r="BQ152" s="105">
        <v>0.14064692127173037</v>
      </c>
      <c r="BR152" s="105">
        <v>0.14017038603535928</v>
      </c>
      <c r="BS152" s="105">
        <v>0.13971086672149299</v>
      </c>
      <c r="BT152" s="105">
        <v>0.13926746792034092</v>
      </c>
      <c r="BU152" s="105">
        <v>0.13883935596332539</v>
      </c>
      <c r="BV152" s="105">
        <v>0.12846274648846537</v>
      </c>
      <c r="BW152" s="105">
        <v>0.13355869715339388</v>
      </c>
    </row>
    <row r="153" spans="2:75" ht="14.4">
      <c r="B153" s="2" t="s">
        <v>19</v>
      </c>
      <c r="C153" s="104">
        <v>0</v>
      </c>
      <c r="D153" s="104">
        <v>0</v>
      </c>
      <c r="E153" s="68">
        <v>7123.4190718040982</v>
      </c>
      <c r="F153" s="68">
        <v>8017.9691626244839</v>
      </c>
      <c r="G153" s="68">
        <v>8849.3353556477432</v>
      </c>
      <c r="H153" s="68">
        <v>10254.328063645478</v>
      </c>
      <c r="I153" s="68">
        <v>11302.987389720867</v>
      </c>
      <c r="J153" s="68">
        <v>12878.316053124825</v>
      </c>
      <c r="K153" s="68">
        <v>14263.360454845806</v>
      </c>
      <c r="L153" s="1"/>
      <c r="M153" s="1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7"/>
      <c r="AM153" s="107"/>
      <c r="AN153" s="107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  <c r="BG153" s="105">
        <v>0.12471060934111999</v>
      </c>
      <c r="BH153" s="105">
        <v>0.12383321431146969</v>
      </c>
      <c r="BI153" s="105">
        <v>0.12306400078690473</v>
      </c>
      <c r="BJ153" s="105">
        <v>0.11836823967999653</v>
      </c>
      <c r="BK153" s="105">
        <v>0.1144127248105882</v>
      </c>
      <c r="BL153" s="105">
        <v>0.11342800913977558</v>
      </c>
      <c r="BM153" s="105">
        <v>0.11253072164344992</v>
      </c>
      <c r="BN153" s="105">
        <v>0.11170971374442219</v>
      </c>
      <c r="BO153" s="105">
        <v>0.11095565509121261</v>
      </c>
      <c r="BP153" s="105">
        <v>0.11096563396901546</v>
      </c>
      <c r="BQ153" s="105">
        <v>0.11097528560400564</v>
      </c>
      <c r="BR153" s="105">
        <v>0.11098462583367887</v>
      </c>
      <c r="BS153" s="105">
        <v>0.11099366948977768</v>
      </c>
      <c r="BT153" s="105">
        <v>0.11100243047688116</v>
      </c>
      <c r="BU153" s="105">
        <v>0.11101092184373881</v>
      </c>
      <c r="BV153" s="105">
        <v>0.10393309087242968</v>
      </c>
      <c r="BW153" s="105">
        <v>0.10580009796087303</v>
      </c>
    </row>
    <row r="154" spans="2:75" ht="14.4">
      <c r="B154" s="2" t="s">
        <v>20</v>
      </c>
      <c r="C154" s="104">
        <v>0</v>
      </c>
      <c r="D154" s="104">
        <v>0</v>
      </c>
      <c r="E154" s="68">
        <v>8531.6979752871339</v>
      </c>
      <c r="F154" s="68">
        <v>9655.9249010097938</v>
      </c>
      <c r="G154" s="68">
        <v>10696.309584513821</v>
      </c>
      <c r="H154" s="68">
        <v>12468.096035612802</v>
      </c>
      <c r="I154" s="68">
        <v>13858.404036991133</v>
      </c>
      <c r="J154" s="68">
        <v>15715.098076615757</v>
      </c>
      <c r="K154" s="68">
        <v>17461.101484619125</v>
      </c>
      <c r="L154" s="1"/>
      <c r="M154" s="1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7"/>
      <c r="AM154" s="107"/>
      <c r="AN154" s="107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  <c r="BG154" s="105">
        <v>0.11448259824222094</v>
      </c>
      <c r="BH154" s="105">
        <v>0.11385427568665817</v>
      </c>
      <c r="BI154" s="105">
        <v>0.11330481939677436</v>
      </c>
      <c r="BJ154" s="105">
        <v>0.10928134199214572</v>
      </c>
      <c r="BK154" s="105">
        <v>0.1058869988940286</v>
      </c>
      <c r="BL154" s="105">
        <v>0.10573760359301748</v>
      </c>
      <c r="BM154" s="105">
        <v>0.10560000909988994</v>
      </c>
      <c r="BN154" s="105">
        <v>0.10547287031240943</v>
      </c>
      <c r="BO154" s="105">
        <v>0.10535503907221341</v>
      </c>
      <c r="BP154" s="105">
        <v>0.10562536121306336</v>
      </c>
      <c r="BQ154" s="105">
        <v>0.10588731241156425</v>
      </c>
      <c r="BR154" s="105">
        <v>0.10614127556789486</v>
      </c>
      <c r="BS154" s="105">
        <v>0.10638761058033318</v>
      </c>
      <c r="BT154" s="105">
        <v>0.10662665604693711</v>
      </c>
      <c r="BU154" s="105">
        <v>0.1068587308183593</v>
      </c>
      <c r="BV154" s="105">
        <v>9.5924073705954307E-2</v>
      </c>
      <c r="BW154" s="105">
        <v>0.10147256601741916</v>
      </c>
    </row>
    <row r="155" spans="2:75" ht="14.4">
      <c r="B155" s="2" t="s">
        <v>21</v>
      </c>
      <c r="C155" s="104">
        <v>0</v>
      </c>
      <c r="D155" s="104">
        <v>0</v>
      </c>
      <c r="E155" s="68">
        <v>9667.9256789958254</v>
      </c>
      <c r="F155" s="68">
        <v>10972.859642880163</v>
      </c>
      <c r="G155" s="68">
        <v>12146.225942960265</v>
      </c>
      <c r="H155" s="68">
        <v>14215.53370772384</v>
      </c>
      <c r="I155" s="68">
        <v>15840.797874542677</v>
      </c>
      <c r="J155" s="68">
        <v>17901.096758112126</v>
      </c>
      <c r="K155" s="68">
        <v>19943.795141530063</v>
      </c>
      <c r="L155" s="1"/>
      <c r="M155" s="1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  <c r="AI155" s="107"/>
      <c r="AJ155" s="107"/>
      <c r="AK155" s="107"/>
      <c r="AL155" s="107"/>
      <c r="AM155" s="107"/>
      <c r="AN155" s="107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G155" s="105">
        <v>0.10317262211138591</v>
      </c>
      <c r="BH155" s="105">
        <v>0.10058236928036778</v>
      </c>
      <c r="BI155" s="105">
        <v>9.8405606954442865E-2</v>
      </c>
      <c r="BJ155" s="105">
        <v>9.6472199123762314E-2</v>
      </c>
      <c r="BK155" s="105">
        <v>9.4789744157476735E-2</v>
      </c>
      <c r="BL155" s="105">
        <v>9.580046600512733E-2</v>
      </c>
      <c r="BM155" s="105">
        <v>9.675112172680235E-2</v>
      </c>
      <c r="BN155" s="105">
        <v>9.7646911306839348E-2</v>
      </c>
      <c r="BO155" s="105">
        <v>9.8492451340666101E-2</v>
      </c>
      <c r="BP155" s="105">
        <v>9.8851540983701774E-2</v>
      </c>
      <c r="BQ155" s="105">
        <v>9.919993277553113E-2</v>
      </c>
      <c r="BR155" s="105">
        <v>9.9538097758588864E-2</v>
      </c>
      <c r="BS155" s="105">
        <v>9.9866479721051588E-2</v>
      </c>
      <c r="BT155" s="105">
        <v>0.10018549713987787</v>
      </c>
      <c r="BU155" s="105">
        <v>0.10049554495995446</v>
      </c>
      <c r="BV155" s="105">
        <v>8.9620425398993342E-2</v>
      </c>
      <c r="BW155" s="105">
        <v>9.522896837945298E-2</v>
      </c>
    </row>
    <row r="156" spans="2:75">
      <c r="V156" s="107"/>
    </row>
  </sheetData>
  <mergeCells count="32">
    <mergeCell ref="E23:F23"/>
    <mergeCell ref="G23:I23"/>
    <mergeCell ref="J23:K23"/>
    <mergeCell ref="I1:Q2"/>
    <mergeCell ref="T4:U6"/>
    <mergeCell ref="E7:F7"/>
    <mergeCell ref="G7:I7"/>
    <mergeCell ref="J7:K7"/>
    <mergeCell ref="E38:F38"/>
    <mergeCell ref="G38:I38"/>
    <mergeCell ref="J38:K38"/>
    <mergeCell ref="E53:F53"/>
    <mergeCell ref="G53:I53"/>
    <mergeCell ref="J53:K53"/>
    <mergeCell ref="E68:F68"/>
    <mergeCell ref="G68:I68"/>
    <mergeCell ref="J68:K68"/>
    <mergeCell ref="E83:F83"/>
    <mergeCell ref="G83:I83"/>
    <mergeCell ref="J83:K83"/>
    <mergeCell ref="E98:F98"/>
    <mergeCell ref="G98:I98"/>
    <mergeCell ref="J98:K98"/>
    <mergeCell ref="E113:F113"/>
    <mergeCell ref="G113:I113"/>
    <mergeCell ref="J113:K113"/>
    <mergeCell ref="E128:F128"/>
    <mergeCell ref="G128:I128"/>
    <mergeCell ref="J128:K128"/>
    <mergeCell ref="E143:F143"/>
    <mergeCell ref="G143:I143"/>
    <mergeCell ref="J143:K143"/>
  </mergeCells>
  <conditionalFormatting sqref="W1:W1048576">
    <cfRule type="containsText" dxfId="42" priority="1" operator="containsText" text="False">
      <formula>NOT(ISERROR(SEARCH("False",W1)))</formula>
    </cfRule>
  </conditionalFormatting>
  <conditionalFormatting sqref="AO25:BE35">
    <cfRule type="cellIs" dxfId="41" priority="43" operator="lessThan">
      <formula>$AP$2</formula>
    </cfRule>
    <cfRule type="cellIs" dxfId="40" priority="44" operator="greaterThan">
      <formula>$AP$3</formula>
    </cfRule>
  </conditionalFormatting>
  <conditionalFormatting sqref="AO40:BE50">
    <cfRule type="cellIs" dxfId="39" priority="42" operator="greaterThan">
      <formula>$AP$3</formula>
    </cfRule>
    <cfRule type="cellIs" dxfId="38" priority="41" operator="lessThan">
      <formula>$AP$2</formula>
    </cfRule>
  </conditionalFormatting>
  <conditionalFormatting sqref="AO55:BE65">
    <cfRule type="cellIs" dxfId="37" priority="39" operator="lessThan">
      <formula>$AP$2</formula>
    </cfRule>
    <cfRule type="cellIs" dxfId="36" priority="40" operator="greaterThan">
      <formula>$AP$3</formula>
    </cfRule>
  </conditionalFormatting>
  <conditionalFormatting sqref="AO70:BE80">
    <cfRule type="cellIs" dxfId="35" priority="38" operator="greaterThan">
      <formula>$AP$3</formula>
    </cfRule>
    <cfRule type="cellIs" dxfId="34" priority="37" operator="lessThan">
      <formula>$AP$2</formula>
    </cfRule>
  </conditionalFormatting>
  <conditionalFormatting sqref="AO85:BE95">
    <cfRule type="cellIs" dxfId="33" priority="36" operator="greaterThan">
      <formula>$AP$3</formula>
    </cfRule>
    <cfRule type="cellIs" dxfId="32" priority="35" operator="lessThan">
      <formula>$AP$2</formula>
    </cfRule>
  </conditionalFormatting>
  <conditionalFormatting sqref="AO100:BE110">
    <cfRule type="cellIs" dxfId="31" priority="34" operator="greaterThan">
      <formula>$AP$3</formula>
    </cfRule>
    <cfRule type="cellIs" dxfId="30" priority="33" operator="lessThan">
      <formula>$AP$2</formula>
    </cfRule>
  </conditionalFormatting>
  <conditionalFormatting sqref="AO115:BE125">
    <cfRule type="cellIs" dxfId="29" priority="32" operator="greaterThan">
      <formula>$AP$3</formula>
    </cfRule>
    <cfRule type="cellIs" dxfId="28" priority="31" operator="lessThan">
      <formula>$AP$2</formula>
    </cfRule>
  </conditionalFormatting>
  <conditionalFormatting sqref="AO130:BE140">
    <cfRule type="cellIs" dxfId="27" priority="30" operator="greaterThan">
      <formula>$AP$3</formula>
    </cfRule>
    <cfRule type="cellIs" dxfId="26" priority="29" operator="lessThan">
      <formula>$AP$2</formula>
    </cfRule>
  </conditionalFormatting>
  <conditionalFormatting sqref="AO145:BE155">
    <cfRule type="cellIs" dxfId="25" priority="28" operator="greaterThan">
      <formula>$AP$3</formula>
    </cfRule>
    <cfRule type="cellIs" dxfId="24" priority="27" operator="lessThan">
      <formula>$AP$2</formula>
    </cfRule>
  </conditionalFormatting>
  <conditionalFormatting sqref="BG10:BW20">
    <cfRule type="cellIs" dxfId="23" priority="26" operator="greaterThan">
      <formula>$BH$3</formula>
    </cfRule>
    <cfRule type="cellIs" dxfId="22" priority="25" operator="lessThan">
      <formula>$BH$2</formula>
    </cfRule>
  </conditionalFormatting>
  <conditionalFormatting sqref="BG25:BW35">
    <cfRule type="cellIs" dxfId="21" priority="23" operator="lessThan">
      <formula>$BH$2</formula>
    </cfRule>
    <cfRule type="cellIs" dxfId="20" priority="24" operator="greaterThan">
      <formula>$BH$3</formula>
    </cfRule>
  </conditionalFormatting>
  <conditionalFormatting sqref="BG40:BW50">
    <cfRule type="cellIs" dxfId="19" priority="22" operator="greaterThan">
      <formula>$BH$3</formula>
    </cfRule>
    <cfRule type="cellIs" dxfId="18" priority="21" operator="lessThan">
      <formula>$BH$2</formula>
    </cfRule>
  </conditionalFormatting>
  <conditionalFormatting sqref="BG55:BW65">
    <cfRule type="cellIs" dxfId="17" priority="20" operator="greaterThan">
      <formula>$BH$3</formula>
    </cfRule>
    <cfRule type="cellIs" dxfId="16" priority="19" operator="lessThan">
      <formula>$BH$2</formula>
    </cfRule>
  </conditionalFormatting>
  <conditionalFormatting sqref="BG70:BW80">
    <cfRule type="cellIs" dxfId="15" priority="18" operator="greaterThan">
      <formula>$BH$3</formula>
    </cfRule>
    <cfRule type="cellIs" dxfId="14" priority="17" operator="lessThan">
      <formula>$BH$2</formula>
    </cfRule>
  </conditionalFormatting>
  <conditionalFormatting sqref="BG85:BW95">
    <cfRule type="cellIs" dxfId="13" priority="16" operator="greaterThan">
      <formula>$BH$3</formula>
    </cfRule>
    <cfRule type="cellIs" dxfId="12" priority="15" operator="lessThan">
      <formula>$BH$2</formula>
    </cfRule>
  </conditionalFormatting>
  <conditionalFormatting sqref="BG100:BW110">
    <cfRule type="cellIs" dxfId="11" priority="14" operator="greaterThan">
      <formula>$BH$3</formula>
    </cfRule>
    <cfRule type="cellIs" dxfId="10" priority="13" operator="lessThan">
      <formula>$BH$2</formula>
    </cfRule>
  </conditionalFormatting>
  <conditionalFormatting sqref="BG115:BW125">
    <cfRule type="cellIs" dxfId="9" priority="11" operator="lessThan">
      <formula>$BH$2</formula>
    </cfRule>
    <cfRule type="cellIs" dxfId="8" priority="12" operator="greaterThan">
      <formula>$BH$3</formula>
    </cfRule>
  </conditionalFormatting>
  <conditionalFormatting sqref="BG130:BW140">
    <cfRule type="cellIs" dxfId="7" priority="10" operator="greaterThan">
      <formula>$BH$3</formula>
    </cfRule>
    <cfRule type="cellIs" dxfId="6" priority="9" operator="lessThan">
      <formula>$BH$2</formula>
    </cfRule>
  </conditionalFormatting>
  <conditionalFormatting sqref="BG145:BW155">
    <cfRule type="cellIs" dxfId="5" priority="7" operator="lessThan">
      <formula>$BH$2</formula>
    </cfRule>
    <cfRule type="cellIs" dxfId="4" priority="8" operator="greaterThan">
      <formula>$BH$3</formula>
    </cfRule>
  </conditionalFormatting>
  <conditionalFormatting sqref="BY25:CO35">
    <cfRule type="cellIs" dxfId="3" priority="6" operator="lessThan">
      <formula>$BZ$2</formula>
    </cfRule>
  </conditionalFormatting>
  <conditionalFormatting sqref="BY40:CO50">
    <cfRule type="cellIs" dxfId="2" priority="4" operator="lessThan">
      <formula>$BZ$2</formula>
    </cfRule>
  </conditionalFormatting>
  <conditionalFormatting sqref="BY55:CO65">
    <cfRule type="cellIs" dxfId="1" priority="3" operator="lessThan">
      <formula>$BZ$2</formula>
    </cfRule>
  </conditionalFormatting>
  <conditionalFormatting sqref="BY70:CO80">
    <cfRule type="cellIs" dxfId="0" priority="2" operator="lessThan">
      <formula>$BZ$2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R72"/>
  <sheetViews>
    <sheetView topLeftCell="G12" workbookViewId="0">
      <selection activeCell="AA12" sqref="AA12"/>
    </sheetView>
  </sheetViews>
  <sheetFormatPr defaultColWidth="9.21875" defaultRowHeight="13.8"/>
  <cols>
    <col min="1" max="1" width="2.21875" style="35" customWidth="1"/>
    <col min="2" max="2" width="15.77734375" style="35" customWidth="1"/>
    <col min="3" max="9" width="8.77734375" style="35" bestFit="1" customWidth="1"/>
    <col min="10" max="10" width="7.77734375" style="35" bestFit="1" customWidth="1"/>
    <col min="11" max="11" width="7.44140625" style="35" bestFit="1" customWidth="1"/>
    <col min="12" max="12" width="7.77734375" style="35" bestFit="1" customWidth="1"/>
    <col min="13" max="13" width="7.44140625" style="35" bestFit="1" customWidth="1"/>
    <col min="14" max="14" width="7.77734375" style="35" bestFit="1" customWidth="1"/>
    <col min="15" max="15" width="7.44140625" style="35" bestFit="1" customWidth="1"/>
    <col min="16" max="16" width="7.77734375" style="35" bestFit="1" customWidth="1"/>
    <col min="17" max="17" width="7.44140625" style="35" bestFit="1" customWidth="1"/>
    <col min="18" max="20" width="7.77734375" style="35" bestFit="1" customWidth="1"/>
    <col min="21" max="22" width="7.44140625" style="35" bestFit="1" customWidth="1"/>
    <col min="23" max="23" width="12.77734375" style="35" bestFit="1" customWidth="1"/>
    <col min="24" max="29" width="7.21875" style="35" bestFit="1" customWidth="1"/>
    <col min="30" max="32" width="8.77734375" style="35" bestFit="1" customWidth="1"/>
    <col min="33" max="44" width="7.21875" style="35" bestFit="1" customWidth="1"/>
    <col min="45" max="16384" width="9.21875" style="35"/>
  </cols>
  <sheetData>
    <row r="1" spans="1:44" ht="12.75" customHeight="1">
      <c r="A1" s="100" t="s">
        <v>316</v>
      </c>
      <c r="K1" s="196" t="s">
        <v>362</v>
      </c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</row>
    <row r="2" spans="1:44" ht="12.75" customHeight="1">
      <c r="A2" s="100" t="s">
        <v>318</v>
      </c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</row>
    <row r="3" spans="1:44">
      <c r="A3" s="100" t="s">
        <v>320</v>
      </c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</row>
    <row r="4" spans="1:44">
      <c r="A4" s="35" t="s">
        <v>322</v>
      </c>
      <c r="I4" s="97"/>
    </row>
    <row r="6" spans="1:44">
      <c r="B6" s="76" t="s">
        <v>54</v>
      </c>
    </row>
    <row r="7" spans="1:44">
      <c r="B7" s="75" t="s">
        <v>186</v>
      </c>
    </row>
    <row r="8" spans="1:44" ht="14.4">
      <c r="C8" s="110" t="s">
        <v>202</v>
      </c>
      <c r="D8" s="66" t="s">
        <v>173</v>
      </c>
      <c r="E8" s="171" t="s">
        <v>211</v>
      </c>
      <c r="F8" s="183"/>
      <c r="G8" s="173" t="s">
        <v>57</v>
      </c>
      <c r="H8" s="174"/>
      <c r="I8" s="174"/>
      <c r="J8" s="195" t="s">
        <v>58</v>
      </c>
      <c r="K8" s="195"/>
      <c r="L8" s="195"/>
      <c r="M8" s="195"/>
      <c r="N8" s="195"/>
      <c r="O8" s="180" t="s">
        <v>59</v>
      </c>
      <c r="P8" s="180"/>
      <c r="Q8" s="180"/>
      <c r="X8" s="171" t="s">
        <v>250</v>
      </c>
      <c r="Y8" s="172"/>
      <c r="Z8" s="181" t="s">
        <v>251</v>
      </c>
      <c r="AA8" s="181"/>
      <c r="AB8" s="18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27.6">
      <c r="B9" s="102" t="s">
        <v>324</v>
      </c>
      <c r="C9" s="103">
        <v>1</v>
      </c>
      <c r="D9" s="103">
        <v>2</v>
      </c>
      <c r="E9" s="103">
        <v>3</v>
      </c>
      <c r="F9" s="103">
        <v>4</v>
      </c>
      <c r="G9" s="103">
        <v>5</v>
      </c>
      <c r="H9" s="103">
        <v>7</v>
      </c>
      <c r="I9" s="103">
        <v>10</v>
      </c>
      <c r="J9" s="103">
        <v>15</v>
      </c>
      <c r="K9" s="103">
        <v>20</v>
      </c>
      <c r="L9" s="103">
        <v>25</v>
      </c>
      <c r="M9" s="103">
        <v>30</v>
      </c>
      <c r="N9" s="103">
        <v>40</v>
      </c>
      <c r="O9" s="103">
        <v>50</v>
      </c>
      <c r="P9" s="103">
        <v>60</v>
      </c>
      <c r="Q9" s="103">
        <v>75</v>
      </c>
      <c r="W9" s="102" t="s">
        <v>324</v>
      </c>
      <c r="X9" s="103">
        <v>3</v>
      </c>
      <c r="Y9" s="103">
        <v>4</v>
      </c>
      <c r="Z9" s="103">
        <v>5</v>
      </c>
      <c r="AA9" s="103">
        <v>7</v>
      </c>
      <c r="AB9" s="103">
        <v>10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14.4">
      <c r="B10" s="42" t="s">
        <v>189</v>
      </c>
      <c r="C10" s="68">
        <v>283.78110071237961</v>
      </c>
      <c r="D10" s="68">
        <v>210.23698808565524</v>
      </c>
      <c r="E10" s="68">
        <v>207.53420610058933</v>
      </c>
      <c r="F10" s="68">
        <v>166.44072674545086</v>
      </c>
      <c r="G10" s="68">
        <v>153.01110509109694</v>
      </c>
      <c r="H10" s="68">
        <v>142.1355852630623</v>
      </c>
      <c r="I10" s="68">
        <v>132.88224474517446</v>
      </c>
      <c r="J10" s="68">
        <v>131.16796483919794</v>
      </c>
      <c r="K10" s="68">
        <v>104.4703225059415</v>
      </c>
      <c r="L10" s="68">
        <v>96.693365612881706</v>
      </c>
      <c r="M10" s="68">
        <v>91.950974795452211</v>
      </c>
      <c r="N10" s="68">
        <v>89.531859006478797</v>
      </c>
      <c r="O10" s="68">
        <v>84.039417590187611</v>
      </c>
      <c r="P10" s="68">
        <v>83.215158982462995</v>
      </c>
      <c r="Q10" s="68">
        <v>82.535851562197976</v>
      </c>
      <c r="W10" s="42" t="s">
        <v>189</v>
      </c>
      <c r="X10" s="68">
        <v>207.53420610058933</v>
      </c>
      <c r="Y10" s="68">
        <v>166.44072674545086</v>
      </c>
      <c r="Z10" s="68">
        <v>141.53527220926466</v>
      </c>
      <c r="AA10" s="68">
        <v>124.3686371051795</v>
      </c>
      <c r="AB10" s="68">
        <v>109.62785191476894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14.4">
      <c r="B11" s="42" t="s">
        <v>150</v>
      </c>
      <c r="C11" s="68">
        <v>482.68668152618937</v>
      </c>
      <c r="D11" s="68">
        <v>357.59461732434931</v>
      </c>
      <c r="E11" s="68">
        <v>352.99742299398252</v>
      </c>
      <c r="F11" s="68">
        <v>283.10103055451395</v>
      </c>
      <c r="G11" s="68">
        <v>260.25842583482074</v>
      </c>
      <c r="H11" s="68">
        <v>241.76012357829813</v>
      </c>
      <c r="I11" s="68">
        <v>226.02100558770979</v>
      </c>
      <c r="J11" s="68">
        <v>223.10516631248811</v>
      </c>
      <c r="K11" s="68">
        <v>177.69482591257002</v>
      </c>
      <c r="L11" s="68">
        <v>164.46690655620679</v>
      </c>
      <c r="M11" s="68">
        <v>156.4005170735428</v>
      </c>
      <c r="N11" s="68">
        <v>152.28581398205435</v>
      </c>
      <c r="O11" s="68">
        <v>142.94365443002144</v>
      </c>
      <c r="P11" s="68">
        <v>141.54166306737173</v>
      </c>
      <c r="Q11" s="68">
        <v>140.38622091988287</v>
      </c>
      <c r="W11" s="42" t="s">
        <v>150</v>
      </c>
      <c r="X11" s="68">
        <v>352.99742299398252</v>
      </c>
      <c r="Y11" s="68">
        <v>283.10103055451395</v>
      </c>
      <c r="Z11" s="68">
        <v>240.73904389720923</v>
      </c>
      <c r="AA11" s="68">
        <v>211.5401081310109</v>
      </c>
      <c r="AB11" s="68">
        <v>186.46732960986063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14.4">
      <c r="B12" s="42" t="s">
        <v>190</v>
      </c>
      <c r="C12" s="68">
        <v>893.87334258111434</v>
      </c>
      <c r="D12" s="68">
        <v>662.21900895640761</v>
      </c>
      <c r="E12" s="68">
        <v>653.7055992853833</v>
      </c>
      <c r="F12" s="68">
        <v>524.2665152263811</v>
      </c>
      <c r="G12" s="68">
        <v>481.9649638981133</v>
      </c>
      <c r="H12" s="68">
        <v>447.7084991913768</v>
      </c>
      <c r="I12" s="68">
        <v>418.56168709570932</v>
      </c>
      <c r="J12" s="68">
        <v>413.16192965651351</v>
      </c>
      <c r="K12" s="68">
        <v>329.06784893177149</v>
      </c>
      <c r="L12" s="68">
        <v>304.5714521116243</v>
      </c>
      <c r="M12" s="68">
        <v>289.63354144329554</v>
      </c>
      <c r="N12" s="68">
        <v>282.01364318033148</v>
      </c>
      <c r="O12" s="68">
        <v>264.71317124831478</v>
      </c>
      <c r="P12" s="68">
        <v>262.11686446471128</v>
      </c>
      <c r="Q12" s="68">
        <v>259.97713495887672</v>
      </c>
      <c r="W12" s="42" t="s">
        <v>190</v>
      </c>
      <c r="X12" s="68">
        <v>653.7055992853833</v>
      </c>
      <c r="Y12" s="68">
        <v>524.2665152263811</v>
      </c>
      <c r="Z12" s="68">
        <v>445.81759160575484</v>
      </c>
      <c r="AA12" s="68">
        <v>391.74493679245467</v>
      </c>
      <c r="AB12" s="68">
        <v>345.31339185396013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14.4">
      <c r="B13" s="42" t="s">
        <v>191</v>
      </c>
      <c r="C13" s="68">
        <v>1696.8404859185005</v>
      </c>
      <c r="D13" s="68">
        <v>1257.0908778836222</v>
      </c>
      <c r="E13" s="68">
        <v>1240.929865450594</v>
      </c>
      <c r="F13" s="68">
        <v>995.21554796428643</v>
      </c>
      <c r="G13" s="68">
        <v>914.91447901899585</v>
      </c>
      <c r="H13" s="68">
        <v>849.88540448481092</v>
      </c>
      <c r="I13" s="68">
        <v>794.55598761622275</v>
      </c>
      <c r="J13" s="68">
        <v>784.30562372181248</v>
      </c>
      <c r="K13" s="68">
        <v>624.66976257418958</v>
      </c>
      <c r="L13" s="68">
        <v>578.16823276737489</v>
      </c>
      <c r="M13" s="68">
        <v>549.81158491851795</v>
      </c>
      <c r="N13" s="68">
        <v>535.34672591081664</v>
      </c>
      <c r="O13" s="68">
        <v>502.50522611290052</v>
      </c>
      <c r="P13" s="68">
        <v>497.57665485518442</v>
      </c>
      <c r="Q13" s="68">
        <v>493.51480461146929</v>
      </c>
      <c r="W13" s="42" t="s">
        <v>191</v>
      </c>
      <c r="X13" s="68">
        <v>1240.929865450594</v>
      </c>
      <c r="Y13" s="68">
        <v>995.21554796428643</v>
      </c>
      <c r="Z13" s="68">
        <v>846.2958930925713</v>
      </c>
      <c r="AA13" s="68">
        <v>743.64972892420951</v>
      </c>
      <c r="AB13" s="68">
        <v>655.50868978338394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14.4">
      <c r="I14" s="48"/>
      <c r="J14" s="48"/>
      <c r="K14" s="48"/>
      <c r="L14" s="48"/>
      <c r="M14" s="48"/>
      <c r="N14" s="48"/>
      <c r="O14" s="48"/>
      <c r="P14" s="48"/>
      <c r="Q14" s="48"/>
      <c r="W14" s="48"/>
      <c r="X14" s="48"/>
      <c r="Y14" s="48"/>
      <c r="Z14" s="48"/>
      <c r="AA14" s="48"/>
      <c r="AB14" s="48"/>
    </row>
    <row r="15" spans="1:44">
      <c r="B15" s="35" t="s">
        <v>363</v>
      </c>
    </row>
    <row r="16" spans="1:44">
      <c r="B16" s="111"/>
      <c r="C16" s="111"/>
      <c r="D16" s="111"/>
      <c r="E16" s="111"/>
      <c r="F16" s="111"/>
    </row>
    <row r="17" spans="2:28">
      <c r="B17" s="111"/>
      <c r="C17" s="111"/>
      <c r="D17" s="111"/>
      <c r="E17" s="111"/>
      <c r="F17" s="111"/>
    </row>
    <row r="18" spans="2:28">
      <c r="B18" s="76" t="s">
        <v>53</v>
      </c>
    </row>
    <row r="19" spans="2:28">
      <c r="B19" s="75" t="s">
        <v>186</v>
      </c>
    </row>
    <row r="20" spans="2:28">
      <c r="C20" s="110" t="s">
        <v>202</v>
      </c>
      <c r="D20" s="66" t="s">
        <v>173</v>
      </c>
      <c r="E20" s="171" t="s">
        <v>211</v>
      </c>
      <c r="F20" s="183"/>
      <c r="G20" s="173" t="s">
        <v>57</v>
      </c>
      <c r="H20" s="174"/>
      <c r="I20" s="174"/>
      <c r="J20" s="195" t="s">
        <v>58</v>
      </c>
      <c r="K20" s="195"/>
      <c r="L20" s="195"/>
      <c r="M20" s="195"/>
      <c r="N20" s="195"/>
      <c r="O20" s="180" t="s">
        <v>59</v>
      </c>
      <c r="P20" s="180"/>
      <c r="Q20" s="180"/>
      <c r="X20" s="171" t="s">
        <v>250</v>
      </c>
      <c r="Y20" s="172"/>
      <c r="Z20" s="181" t="s">
        <v>251</v>
      </c>
      <c r="AA20" s="181"/>
      <c r="AB20" s="181"/>
    </row>
    <row r="21" spans="2:28" ht="27.6">
      <c r="B21" s="102" t="s">
        <v>324</v>
      </c>
      <c r="C21" s="103">
        <v>1</v>
      </c>
      <c r="D21" s="103">
        <v>2</v>
      </c>
      <c r="E21" s="103">
        <v>3</v>
      </c>
      <c r="F21" s="103">
        <v>4</v>
      </c>
      <c r="G21" s="103">
        <v>5</v>
      </c>
      <c r="H21" s="103">
        <v>7</v>
      </c>
      <c r="I21" s="103">
        <v>10</v>
      </c>
      <c r="J21" s="103">
        <v>15</v>
      </c>
      <c r="K21" s="103">
        <v>20</v>
      </c>
      <c r="L21" s="103">
        <v>25</v>
      </c>
      <c r="M21" s="103">
        <v>30</v>
      </c>
      <c r="N21" s="103">
        <v>40</v>
      </c>
      <c r="O21" s="103">
        <v>50</v>
      </c>
      <c r="P21" s="103">
        <v>60</v>
      </c>
      <c r="Q21" s="103">
        <v>75</v>
      </c>
      <c r="W21" s="102" t="s">
        <v>324</v>
      </c>
      <c r="X21" s="103">
        <v>3</v>
      </c>
      <c r="Y21" s="103">
        <v>4</v>
      </c>
      <c r="Z21" s="103">
        <v>5</v>
      </c>
      <c r="AA21" s="103">
        <v>7</v>
      </c>
      <c r="AB21" s="103">
        <v>10</v>
      </c>
    </row>
    <row r="22" spans="2:28">
      <c r="B22" s="42" t="s">
        <v>189</v>
      </c>
      <c r="C22" s="68">
        <v>297.9701557479986</v>
      </c>
      <c r="D22" s="68">
        <v>220.74883748993801</v>
      </c>
      <c r="E22" s="68">
        <v>217.91091640561879</v>
      </c>
      <c r="F22" s="68">
        <v>174.76276308272341</v>
      </c>
      <c r="G22" s="68">
        <v>160.6616603456518</v>
      </c>
      <c r="H22" s="68">
        <v>149.24236452621543</v>
      </c>
      <c r="I22" s="68">
        <v>139.52635698243319</v>
      </c>
      <c r="J22" s="68">
        <v>137.72636308115784</v>
      </c>
      <c r="K22" s="68">
        <v>109.69383863123858</v>
      </c>
      <c r="L22" s="68">
        <v>101.5280338935258</v>
      </c>
      <c r="M22" s="68">
        <v>96.548523535224831</v>
      </c>
      <c r="N22" s="68">
        <v>94.008451956802745</v>
      </c>
      <c r="O22" s="68">
        <v>88.241388469697</v>
      </c>
      <c r="P22" s="68">
        <v>87.375916931586147</v>
      </c>
      <c r="Q22" s="68">
        <v>86.662644140307876</v>
      </c>
      <c r="W22" s="42" t="s">
        <v>189</v>
      </c>
      <c r="X22" s="68">
        <v>217.91091640561879</v>
      </c>
      <c r="Y22" s="68">
        <v>174.76276308272341</v>
      </c>
      <c r="Z22" s="68">
        <v>148.61203581972791</v>
      </c>
      <c r="AA22" s="68">
        <v>130.58706896043847</v>
      </c>
      <c r="AB22" s="68">
        <v>115.10924451050739</v>
      </c>
    </row>
    <row r="23" spans="2:28">
      <c r="B23" s="42" t="s">
        <v>150</v>
      </c>
      <c r="C23" s="68">
        <v>506.82101560249885</v>
      </c>
      <c r="D23" s="68">
        <v>375.47434819056679</v>
      </c>
      <c r="E23" s="68">
        <v>370.64729414368168</v>
      </c>
      <c r="F23" s="68">
        <v>297.25608208223969</v>
      </c>
      <c r="G23" s="68">
        <v>273.27134712656181</v>
      </c>
      <c r="H23" s="68">
        <v>253.84812975721306</v>
      </c>
      <c r="I23" s="68">
        <v>237.32205586709529</v>
      </c>
      <c r="J23" s="68">
        <v>234.26042462811253</v>
      </c>
      <c r="K23" s="68">
        <v>186.57956720819854</v>
      </c>
      <c r="L23" s="68">
        <v>172.69025188401713</v>
      </c>
      <c r="M23" s="68">
        <v>164.22054292721995</v>
      </c>
      <c r="N23" s="68">
        <v>159.90010468115707</v>
      </c>
      <c r="O23" s="68">
        <v>150.09083715152252</v>
      </c>
      <c r="P23" s="68">
        <v>148.61874622074032</v>
      </c>
      <c r="Q23" s="68">
        <v>147.40553196587703</v>
      </c>
      <c r="W23" s="42" t="s">
        <v>150</v>
      </c>
      <c r="X23" s="68">
        <v>370.64729414368168</v>
      </c>
      <c r="Y23" s="68">
        <v>297.25608208223969</v>
      </c>
      <c r="Z23" s="68">
        <v>252.7759960920697</v>
      </c>
      <c r="AA23" s="68">
        <v>222.11711353756144</v>
      </c>
      <c r="AB23" s="68">
        <v>195.79069609035366</v>
      </c>
    </row>
    <row r="24" spans="2:28">
      <c r="B24" s="42" t="s">
        <v>190</v>
      </c>
      <c r="C24" s="68">
        <v>938.56700971017005</v>
      </c>
      <c r="D24" s="68">
        <v>695.32995940422802</v>
      </c>
      <c r="E24" s="68">
        <v>686.39087924965247</v>
      </c>
      <c r="F24" s="68">
        <v>550.47984098770019</v>
      </c>
      <c r="G24" s="68">
        <v>506.06321209301899</v>
      </c>
      <c r="H24" s="68">
        <v>470.09392415094567</v>
      </c>
      <c r="I24" s="68">
        <v>439.4897714504948</v>
      </c>
      <c r="J24" s="68">
        <v>433.82002613933918</v>
      </c>
      <c r="K24" s="68">
        <v>345.52124137836006</v>
      </c>
      <c r="L24" s="68">
        <v>319.80002471720553</v>
      </c>
      <c r="M24" s="68">
        <v>304.11521851546036</v>
      </c>
      <c r="N24" s="68">
        <v>296.11432533934806</v>
      </c>
      <c r="O24" s="68">
        <v>277.94882981073056</v>
      </c>
      <c r="P24" s="68">
        <v>275.22270768794687</v>
      </c>
      <c r="Q24" s="68">
        <v>272.97599170682059</v>
      </c>
      <c r="W24" s="42" t="s">
        <v>190</v>
      </c>
      <c r="X24" s="68">
        <v>686.39087924965247</v>
      </c>
      <c r="Y24" s="68">
        <v>550.47984098770019</v>
      </c>
      <c r="Z24" s="68">
        <v>468.10847118604261</v>
      </c>
      <c r="AA24" s="68">
        <v>411.33218363207743</v>
      </c>
      <c r="AB24" s="68">
        <v>362.57906144665816</v>
      </c>
    </row>
    <row r="25" spans="2:28">
      <c r="B25" s="42" t="s">
        <v>191</v>
      </c>
      <c r="C25" s="68">
        <v>1781.6825102144255</v>
      </c>
      <c r="D25" s="68">
        <v>1319.9454217778034</v>
      </c>
      <c r="E25" s="68">
        <v>1302.9763587231237</v>
      </c>
      <c r="F25" s="68">
        <v>1044.9763253625008</v>
      </c>
      <c r="G25" s="68">
        <v>960.66020296994566</v>
      </c>
      <c r="H25" s="68">
        <v>892.37967470905153</v>
      </c>
      <c r="I25" s="68">
        <v>834.28378699703387</v>
      </c>
      <c r="J25" s="68">
        <v>823.52090490790317</v>
      </c>
      <c r="K25" s="68">
        <v>655.90325070289907</v>
      </c>
      <c r="L25" s="68">
        <v>607.07664440574365</v>
      </c>
      <c r="M25" s="68">
        <v>577.30216416444387</v>
      </c>
      <c r="N25" s="68">
        <v>562.11406220635752</v>
      </c>
      <c r="O25" s="68">
        <v>527.63048741854561</v>
      </c>
      <c r="P25" s="68">
        <v>522.4554875979436</v>
      </c>
      <c r="Q25" s="68">
        <v>518.19054484204275</v>
      </c>
      <c r="W25" s="42" t="s">
        <v>191</v>
      </c>
      <c r="X25" s="68">
        <v>1302.9763587231237</v>
      </c>
      <c r="Y25" s="68">
        <v>1044.9763253625008</v>
      </c>
      <c r="Z25" s="68">
        <v>888.6106877471999</v>
      </c>
      <c r="AA25" s="68">
        <v>780.83221537042004</v>
      </c>
      <c r="AB25" s="68">
        <v>688.28412427255319</v>
      </c>
    </row>
    <row r="26" spans="2:28" ht="14.4">
      <c r="I26" s="48"/>
      <c r="J26" s="48"/>
      <c r="K26" s="48"/>
      <c r="L26" s="48"/>
      <c r="M26" s="48"/>
      <c r="N26" s="48"/>
      <c r="O26" s="48"/>
      <c r="P26" s="48"/>
      <c r="Q26" s="48"/>
      <c r="X26" s="48"/>
      <c r="Y26" s="48"/>
      <c r="Z26" s="48"/>
      <c r="AA26" s="48"/>
      <c r="AB26" s="48"/>
    </row>
    <row r="27" spans="2:28">
      <c r="B27" s="35" t="s">
        <v>363</v>
      </c>
    </row>
    <row r="28" spans="2:28">
      <c r="B28" s="111"/>
      <c r="C28" s="111"/>
      <c r="D28" s="111"/>
      <c r="E28" s="111"/>
      <c r="F28" s="111"/>
    </row>
    <row r="29" spans="2:28">
      <c r="B29" s="111"/>
      <c r="C29" s="111"/>
      <c r="D29" s="111"/>
      <c r="E29" s="111"/>
      <c r="F29" s="111"/>
    </row>
    <row r="30" spans="2:28">
      <c r="B30" s="76" t="s">
        <v>55</v>
      </c>
    </row>
    <row r="31" spans="2:28">
      <c r="B31" s="75" t="s">
        <v>186</v>
      </c>
    </row>
    <row r="32" spans="2:28">
      <c r="C32" s="110" t="s">
        <v>202</v>
      </c>
      <c r="D32" s="66" t="s">
        <v>173</v>
      </c>
      <c r="E32" s="171" t="s">
        <v>211</v>
      </c>
      <c r="F32" s="183"/>
      <c r="G32" s="173" t="s">
        <v>57</v>
      </c>
      <c r="H32" s="174"/>
      <c r="I32" s="174"/>
      <c r="J32" s="195" t="s">
        <v>58</v>
      </c>
      <c r="K32" s="195"/>
      <c r="L32" s="195"/>
      <c r="M32" s="195"/>
      <c r="N32" s="195"/>
      <c r="O32" s="180" t="s">
        <v>59</v>
      </c>
      <c r="P32" s="180"/>
      <c r="Q32" s="180"/>
      <c r="X32" s="171" t="s">
        <v>250</v>
      </c>
      <c r="Y32" s="172"/>
      <c r="Z32" s="181" t="s">
        <v>251</v>
      </c>
      <c r="AA32" s="181"/>
      <c r="AB32" s="181"/>
    </row>
    <row r="33" spans="2:28" ht="27.6">
      <c r="B33" s="102" t="s">
        <v>324</v>
      </c>
      <c r="C33" s="103">
        <v>1</v>
      </c>
      <c r="D33" s="103">
        <v>2</v>
      </c>
      <c r="E33" s="103">
        <v>3</v>
      </c>
      <c r="F33" s="103">
        <v>4</v>
      </c>
      <c r="G33" s="103">
        <v>5</v>
      </c>
      <c r="H33" s="103">
        <v>7</v>
      </c>
      <c r="I33" s="103">
        <v>10</v>
      </c>
      <c r="J33" s="103">
        <v>15</v>
      </c>
      <c r="K33" s="103">
        <v>20</v>
      </c>
      <c r="L33" s="103">
        <v>25</v>
      </c>
      <c r="M33" s="103">
        <v>30</v>
      </c>
      <c r="N33" s="103">
        <v>40</v>
      </c>
      <c r="O33" s="103">
        <v>50</v>
      </c>
      <c r="P33" s="103">
        <v>60</v>
      </c>
      <c r="Q33" s="103">
        <v>75</v>
      </c>
      <c r="W33" s="102" t="s">
        <v>324</v>
      </c>
      <c r="X33" s="103">
        <v>3</v>
      </c>
      <c r="Y33" s="103">
        <v>4</v>
      </c>
      <c r="Z33" s="103">
        <v>5</v>
      </c>
      <c r="AA33" s="103">
        <v>7</v>
      </c>
      <c r="AB33" s="103">
        <v>10</v>
      </c>
    </row>
    <row r="34" spans="2:28">
      <c r="B34" s="42" t="s">
        <v>189</v>
      </c>
      <c r="C34" s="68">
        <v>312.1592107836176</v>
      </c>
      <c r="D34" s="68">
        <v>231.26068689422078</v>
      </c>
      <c r="E34" s="68">
        <v>228.28762671064828</v>
      </c>
      <c r="F34" s="68">
        <v>183.08479941999596</v>
      </c>
      <c r="G34" s="68">
        <v>168.31221560020666</v>
      </c>
      <c r="H34" s="68">
        <v>156.34914378936853</v>
      </c>
      <c r="I34" s="68">
        <v>146.17046921969191</v>
      </c>
      <c r="J34" s="68">
        <v>144.28476132311775</v>
      </c>
      <c r="K34" s="68">
        <v>114.91735475653566</v>
      </c>
      <c r="L34" s="68">
        <v>106.36270217416988</v>
      </c>
      <c r="M34" s="68">
        <v>101.14607227499744</v>
      </c>
      <c r="N34" s="68">
        <v>98.485044907126678</v>
      </c>
      <c r="O34" s="68">
        <v>92.443359349206375</v>
      </c>
      <c r="P34" s="68">
        <v>91.536674880709299</v>
      </c>
      <c r="Q34" s="68">
        <v>90.789436718417775</v>
      </c>
      <c r="W34" s="42" t="s">
        <v>189</v>
      </c>
      <c r="X34" s="68">
        <v>228.28762671064828</v>
      </c>
      <c r="Y34" s="68">
        <v>183.08479941999596</v>
      </c>
      <c r="Z34" s="68">
        <v>155.68879943019115</v>
      </c>
      <c r="AA34" s="68">
        <v>136.80550081569746</v>
      </c>
      <c r="AB34" s="68">
        <v>120.59063710624584</v>
      </c>
    </row>
    <row r="35" spans="2:28">
      <c r="B35" s="42" t="s">
        <v>150</v>
      </c>
      <c r="C35" s="68">
        <v>530.95534967880837</v>
      </c>
      <c r="D35" s="68">
        <v>393.35407905678426</v>
      </c>
      <c r="E35" s="68">
        <v>388.29716529338083</v>
      </c>
      <c r="F35" s="68">
        <v>311.41113360996536</v>
      </c>
      <c r="G35" s="68">
        <v>286.28426841830282</v>
      </c>
      <c r="H35" s="68">
        <v>265.93613593612798</v>
      </c>
      <c r="I35" s="68">
        <v>248.62310614648081</v>
      </c>
      <c r="J35" s="68">
        <v>245.41568294373693</v>
      </c>
      <c r="K35" s="68">
        <v>195.46430850382706</v>
      </c>
      <c r="L35" s="68">
        <v>180.91359721182749</v>
      </c>
      <c r="M35" s="68">
        <v>172.0405687808971</v>
      </c>
      <c r="N35" s="68">
        <v>167.5143953802598</v>
      </c>
      <c r="O35" s="68">
        <v>157.2380198730236</v>
      </c>
      <c r="P35" s="68">
        <v>155.69582937410891</v>
      </c>
      <c r="Q35" s="68">
        <v>154.42484301187116</v>
      </c>
      <c r="W35" s="42" t="s">
        <v>150</v>
      </c>
      <c r="X35" s="68">
        <v>388.29716529338083</v>
      </c>
      <c r="Y35" s="68">
        <v>311.41113360996536</v>
      </c>
      <c r="Z35" s="68">
        <v>264.81294828693018</v>
      </c>
      <c r="AA35" s="68">
        <v>232.69411894411201</v>
      </c>
      <c r="AB35" s="68">
        <v>205.1140625708467</v>
      </c>
    </row>
    <row r="36" spans="2:28">
      <c r="B36" s="42" t="s">
        <v>190</v>
      </c>
      <c r="C36" s="68">
        <v>983.26067683922588</v>
      </c>
      <c r="D36" s="68">
        <v>728.44090985204843</v>
      </c>
      <c r="E36" s="68">
        <v>719.07615921392164</v>
      </c>
      <c r="F36" s="68">
        <v>576.69316674901927</v>
      </c>
      <c r="G36" s="68">
        <v>530.16146028792468</v>
      </c>
      <c r="H36" s="68">
        <v>492.47934911051453</v>
      </c>
      <c r="I36" s="68">
        <v>460.41785580528028</v>
      </c>
      <c r="J36" s="68">
        <v>454.4781226221649</v>
      </c>
      <c r="K36" s="68">
        <v>361.97463382494868</v>
      </c>
      <c r="L36" s="68">
        <v>335.02859732278677</v>
      </c>
      <c r="M36" s="68">
        <v>318.59689558762511</v>
      </c>
      <c r="N36" s="68">
        <v>310.21500749836468</v>
      </c>
      <c r="O36" s="68">
        <v>291.18448837314628</v>
      </c>
      <c r="P36" s="68">
        <v>288.32855091118245</v>
      </c>
      <c r="Q36" s="68">
        <v>285.97484845476441</v>
      </c>
      <c r="W36" s="42" t="s">
        <v>190</v>
      </c>
      <c r="X36" s="68">
        <v>719.07615921392164</v>
      </c>
      <c r="Y36" s="68">
        <v>576.69316674901927</v>
      </c>
      <c r="Z36" s="68">
        <v>490.39935076633037</v>
      </c>
      <c r="AA36" s="68">
        <v>430.9194304717002</v>
      </c>
      <c r="AB36" s="68">
        <v>379.84473103935619</v>
      </c>
    </row>
    <row r="37" spans="2:28">
      <c r="B37" s="42" t="s">
        <v>191</v>
      </c>
      <c r="C37" s="68">
        <v>1866.5245345103506</v>
      </c>
      <c r="D37" s="68">
        <v>1382.7999656719844</v>
      </c>
      <c r="E37" s="68">
        <v>1365.0228519956536</v>
      </c>
      <c r="F37" s="68">
        <v>1094.7371027607151</v>
      </c>
      <c r="G37" s="68">
        <v>1006.4059269208955</v>
      </c>
      <c r="H37" s="68">
        <v>934.87394493329214</v>
      </c>
      <c r="I37" s="68">
        <v>874.01158637784511</v>
      </c>
      <c r="J37" s="68">
        <v>862.73618609399375</v>
      </c>
      <c r="K37" s="68">
        <v>687.13673883160857</v>
      </c>
      <c r="L37" s="68">
        <v>635.98505604411241</v>
      </c>
      <c r="M37" s="68">
        <v>604.79274341036978</v>
      </c>
      <c r="N37" s="68">
        <v>588.88139850189839</v>
      </c>
      <c r="O37" s="68">
        <v>552.75574872419065</v>
      </c>
      <c r="P37" s="68">
        <v>547.3343203407029</v>
      </c>
      <c r="Q37" s="68">
        <v>542.86628507261628</v>
      </c>
      <c r="W37" s="42" t="s">
        <v>191</v>
      </c>
      <c r="X37" s="68">
        <v>1365.0228519956536</v>
      </c>
      <c r="Y37" s="68">
        <v>1094.7371027607151</v>
      </c>
      <c r="Z37" s="68">
        <v>930.9254824018285</v>
      </c>
      <c r="AA37" s="68">
        <v>818.01470181663058</v>
      </c>
      <c r="AB37" s="68">
        <v>721.05955876172243</v>
      </c>
    </row>
    <row r="38" spans="2:28" ht="14.4">
      <c r="I38" s="48"/>
      <c r="J38" s="48"/>
      <c r="K38" s="48"/>
      <c r="L38" s="48"/>
      <c r="M38" s="48"/>
      <c r="N38" s="48"/>
      <c r="O38" s="48"/>
      <c r="P38" s="48"/>
      <c r="Q38" s="48"/>
      <c r="X38" s="48"/>
      <c r="Y38" s="48"/>
      <c r="Z38" s="48"/>
      <c r="AA38" s="48"/>
      <c r="AB38" s="48"/>
    </row>
    <row r="39" spans="2:28">
      <c r="B39" s="35" t="s">
        <v>363</v>
      </c>
    </row>
    <row r="40" spans="2:28">
      <c r="B40" s="111"/>
      <c r="C40" s="111"/>
      <c r="D40" s="111"/>
      <c r="E40" s="111"/>
      <c r="F40" s="111"/>
    </row>
    <row r="41" spans="2:28">
      <c r="B41" s="111"/>
      <c r="C41" s="111"/>
      <c r="D41" s="111"/>
      <c r="E41" s="111"/>
      <c r="F41" s="111"/>
    </row>
    <row r="42" spans="2:28">
      <c r="B42" s="76" t="s">
        <v>52</v>
      </c>
    </row>
    <row r="43" spans="2:28">
      <c r="B43" s="75" t="s">
        <v>186</v>
      </c>
    </row>
    <row r="44" spans="2:28">
      <c r="C44" s="110" t="s">
        <v>202</v>
      </c>
      <c r="D44" s="66" t="s">
        <v>173</v>
      </c>
      <c r="E44" s="171" t="s">
        <v>211</v>
      </c>
      <c r="F44" s="183"/>
      <c r="G44" s="173" t="s">
        <v>57</v>
      </c>
      <c r="H44" s="174"/>
      <c r="I44" s="174"/>
      <c r="J44" s="195" t="s">
        <v>58</v>
      </c>
      <c r="K44" s="195"/>
      <c r="L44" s="195"/>
      <c r="M44" s="195"/>
      <c r="N44" s="195"/>
      <c r="O44" s="180" t="s">
        <v>59</v>
      </c>
      <c r="P44" s="180"/>
      <c r="Q44" s="180"/>
      <c r="X44" s="171" t="s">
        <v>250</v>
      </c>
      <c r="Y44" s="172"/>
      <c r="Z44" s="181" t="s">
        <v>251</v>
      </c>
      <c r="AA44" s="181"/>
      <c r="AB44" s="181"/>
    </row>
    <row r="45" spans="2:28" ht="27.6">
      <c r="B45" s="102" t="s">
        <v>324</v>
      </c>
      <c r="C45" s="103">
        <v>1</v>
      </c>
      <c r="D45" s="103">
        <v>2</v>
      </c>
      <c r="E45" s="103">
        <v>3</v>
      </c>
      <c r="F45" s="103">
        <v>4</v>
      </c>
      <c r="G45" s="103">
        <v>5</v>
      </c>
      <c r="H45" s="103">
        <v>7</v>
      </c>
      <c r="I45" s="103">
        <v>10</v>
      </c>
      <c r="J45" s="103">
        <v>15</v>
      </c>
      <c r="K45" s="103">
        <v>20</v>
      </c>
      <c r="L45" s="103">
        <v>25</v>
      </c>
      <c r="M45" s="103">
        <v>30</v>
      </c>
      <c r="N45" s="103">
        <v>40</v>
      </c>
      <c r="O45" s="103">
        <v>50</v>
      </c>
      <c r="P45" s="103">
        <v>60</v>
      </c>
      <c r="Q45" s="103">
        <v>75</v>
      </c>
      <c r="W45" s="102" t="s">
        <v>324</v>
      </c>
      <c r="X45" s="103">
        <v>3</v>
      </c>
      <c r="Y45" s="103">
        <v>4</v>
      </c>
      <c r="Z45" s="103">
        <v>5</v>
      </c>
      <c r="AA45" s="103">
        <v>7</v>
      </c>
      <c r="AB45" s="103">
        <v>10</v>
      </c>
    </row>
    <row r="46" spans="2:28">
      <c r="B46" s="42" t="s">
        <v>189</v>
      </c>
      <c r="C46" s="68">
        <v>340.53732085485552</v>
      </c>
      <c r="D46" s="68">
        <v>252.28438570278627</v>
      </c>
      <c r="E46" s="68">
        <v>249.04104732070718</v>
      </c>
      <c r="F46" s="68">
        <v>199.72887209454103</v>
      </c>
      <c r="G46" s="68">
        <v>183.61332610931632</v>
      </c>
      <c r="H46" s="68">
        <v>170.56270231567476</v>
      </c>
      <c r="I46" s="68">
        <v>159.45869369420936</v>
      </c>
      <c r="J46" s="68">
        <v>157.40155780703751</v>
      </c>
      <c r="K46" s="68">
        <v>125.36438700712979</v>
      </c>
      <c r="L46" s="68">
        <v>116.03203873545804</v>
      </c>
      <c r="M46" s="68">
        <v>110.34116975454265</v>
      </c>
      <c r="N46" s="68">
        <v>107.43823080777456</v>
      </c>
      <c r="O46" s="68">
        <v>100.84730110822512</v>
      </c>
      <c r="P46" s="68">
        <v>99.858190778955588</v>
      </c>
      <c r="Q46" s="68">
        <v>99.043021874637574</v>
      </c>
      <c r="W46" s="42" t="s">
        <v>189</v>
      </c>
      <c r="X46" s="68">
        <v>249.04104732070718</v>
      </c>
      <c r="Y46" s="68">
        <v>199.72887209454103</v>
      </c>
      <c r="Z46" s="68">
        <v>169.84232665111759</v>
      </c>
      <c r="AA46" s="68">
        <v>149.2423645262154</v>
      </c>
      <c r="AB46" s="68">
        <v>131.55342229772273</v>
      </c>
    </row>
    <row r="47" spans="2:28">
      <c r="B47" s="42" t="s">
        <v>150</v>
      </c>
      <c r="C47" s="68">
        <v>579.2240178314272</v>
      </c>
      <c r="D47" s="68">
        <v>429.11354078921914</v>
      </c>
      <c r="E47" s="68">
        <v>423.59690759277902</v>
      </c>
      <c r="F47" s="68">
        <v>339.72123666541671</v>
      </c>
      <c r="G47" s="68">
        <v>312.31011100178489</v>
      </c>
      <c r="H47" s="68">
        <v>290.11214829395777</v>
      </c>
      <c r="I47" s="68">
        <v>271.22520670525176</v>
      </c>
      <c r="J47" s="68">
        <v>267.72619957498574</v>
      </c>
      <c r="K47" s="68">
        <v>213.23379109508403</v>
      </c>
      <c r="L47" s="68">
        <v>197.36028786744814</v>
      </c>
      <c r="M47" s="68">
        <v>187.68062048825135</v>
      </c>
      <c r="N47" s="68">
        <v>182.74297677846522</v>
      </c>
      <c r="O47" s="68">
        <v>171.53238531602571</v>
      </c>
      <c r="P47" s="68">
        <v>169.84999568084606</v>
      </c>
      <c r="Q47" s="68">
        <v>168.46346510385945</v>
      </c>
      <c r="W47" s="42" t="s">
        <v>150</v>
      </c>
      <c r="X47" s="68">
        <v>423.59690759277902</v>
      </c>
      <c r="Y47" s="68">
        <v>339.72123666541671</v>
      </c>
      <c r="Z47" s="68">
        <v>288.88685267665107</v>
      </c>
      <c r="AA47" s="68">
        <v>253.84812975721306</v>
      </c>
      <c r="AB47" s="68">
        <v>223.76079553183274</v>
      </c>
    </row>
    <row r="48" spans="2:28">
      <c r="B48" s="42" t="s">
        <v>190</v>
      </c>
      <c r="C48" s="68">
        <v>1072.6480110973371</v>
      </c>
      <c r="D48" s="68">
        <v>794.66281074768915</v>
      </c>
      <c r="E48" s="68">
        <v>784.44671914245998</v>
      </c>
      <c r="F48" s="68">
        <v>629.11981827165732</v>
      </c>
      <c r="G48" s="68">
        <v>578.35795667773596</v>
      </c>
      <c r="H48" s="68">
        <v>537.25019902965209</v>
      </c>
      <c r="I48" s="68">
        <v>502.27402451485113</v>
      </c>
      <c r="J48" s="68">
        <v>495.79431558781619</v>
      </c>
      <c r="K48" s="68">
        <v>394.88141871812576</v>
      </c>
      <c r="L48" s="68">
        <v>365.48574253394912</v>
      </c>
      <c r="M48" s="68">
        <v>347.56024973195463</v>
      </c>
      <c r="N48" s="68">
        <v>338.41637181639777</v>
      </c>
      <c r="O48" s="68">
        <v>317.65580549797772</v>
      </c>
      <c r="P48" s="68">
        <v>314.54023735765355</v>
      </c>
      <c r="Q48" s="68">
        <v>311.97256195065205</v>
      </c>
      <c r="W48" s="42" t="s">
        <v>190</v>
      </c>
      <c r="X48" s="68">
        <v>784.44671914245998</v>
      </c>
      <c r="Y48" s="68">
        <v>629.11981827165732</v>
      </c>
      <c r="Z48" s="68">
        <v>534.98110992690579</v>
      </c>
      <c r="AA48" s="68">
        <v>470.09392415094555</v>
      </c>
      <c r="AB48" s="68">
        <v>414.37607022475214</v>
      </c>
    </row>
    <row r="49" spans="2:28">
      <c r="B49" s="42" t="s">
        <v>191</v>
      </c>
      <c r="C49" s="68">
        <v>2036.2085831022005</v>
      </c>
      <c r="D49" s="68">
        <v>1508.5090534603466</v>
      </c>
      <c r="E49" s="68">
        <v>1489.1158385407127</v>
      </c>
      <c r="F49" s="68">
        <v>1194.2586575571436</v>
      </c>
      <c r="G49" s="68">
        <v>1097.897374822795</v>
      </c>
      <c r="H49" s="68">
        <v>1019.862485381773</v>
      </c>
      <c r="I49" s="68">
        <v>953.46718513946723</v>
      </c>
      <c r="J49" s="68">
        <v>941.16674846617491</v>
      </c>
      <c r="K49" s="68">
        <v>749.60371508902745</v>
      </c>
      <c r="L49" s="68">
        <v>693.80187932084982</v>
      </c>
      <c r="M49" s="68">
        <v>659.7739019022215</v>
      </c>
      <c r="N49" s="68">
        <v>642.41607109297991</v>
      </c>
      <c r="O49" s="68">
        <v>603.00627133548062</v>
      </c>
      <c r="P49" s="68">
        <v>597.09198582622128</v>
      </c>
      <c r="Q49" s="68">
        <v>592.2177655337631</v>
      </c>
      <c r="W49" s="42" t="s">
        <v>191</v>
      </c>
      <c r="X49" s="68">
        <v>1489.1158385407127</v>
      </c>
      <c r="Y49" s="68">
        <v>1194.2586575571436</v>
      </c>
      <c r="Z49" s="68">
        <v>1015.5550717110855</v>
      </c>
      <c r="AA49" s="68">
        <v>892.37967470905141</v>
      </c>
      <c r="AB49" s="68">
        <v>786.61042774006069</v>
      </c>
    </row>
    <row r="50" spans="2:28" ht="14.4"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</row>
    <row r="51" spans="2:28">
      <c r="B51" s="35" t="s">
        <v>363</v>
      </c>
    </row>
    <row r="52" spans="2:28">
      <c r="B52" s="111"/>
      <c r="C52" s="111"/>
      <c r="D52" s="111"/>
      <c r="E52" s="111"/>
      <c r="F52" s="111"/>
    </row>
    <row r="53" spans="2:28">
      <c r="B53" s="111"/>
      <c r="C53" s="111"/>
      <c r="D53" s="111"/>
      <c r="E53" s="111"/>
      <c r="F53" s="111"/>
    </row>
    <row r="54" spans="2:28">
      <c r="B54" s="111"/>
      <c r="C54" s="111"/>
      <c r="D54" s="111"/>
      <c r="E54" s="111"/>
      <c r="F54" s="111"/>
    </row>
    <row r="55" spans="2:28">
      <c r="B55" s="111"/>
      <c r="C55" s="111"/>
      <c r="D55" s="111"/>
      <c r="E55" s="111"/>
      <c r="F55" s="111"/>
    </row>
    <row r="56" spans="2:28">
      <c r="B56" s="111"/>
      <c r="C56" s="111"/>
      <c r="D56" s="111"/>
      <c r="E56" s="111"/>
      <c r="F56" s="111"/>
    </row>
    <row r="57" spans="2:28">
      <c r="B57" s="111"/>
      <c r="C57" s="111"/>
      <c r="D57" s="111"/>
      <c r="E57" s="111"/>
      <c r="F57" s="111"/>
    </row>
    <row r="58" spans="2:28">
      <c r="B58" s="111"/>
      <c r="C58" s="111"/>
      <c r="D58" s="111"/>
      <c r="E58" s="111"/>
      <c r="F58" s="111"/>
    </row>
    <row r="59" spans="2:28">
      <c r="B59" s="111"/>
      <c r="C59" s="111"/>
      <c r="D59" s="111"/>
      <c r="E59" s="111"/>
      <c r="F59" s="111"/>
    </row>
    <row r="60" spans="2:28">
      <c r="B60" s="111"/>
      <c r="C60" s="111"/>
      <c r="D60" s="111"/>
      <c r="E60" s="111"/>
      <c r="F60" s="111"/>
    </row>
    <row r="61" spans="2:28">
      <c r="B61" s="111"/>
      <c r="C61" s="111"/>
      <c r="D61" s="111"/>
      <c r="E61" s="111"/>
      <c r="F61" s="111"/>
    </row>
    <row r="62" spans="2:28">
      <c r="B62" s="111"/>
      <c r="C62" s="111"/>
      <c r="D62" s="111"/>
      <c r="E62" s="111"/>
      <c r="F62" s="111"/>
    </row>
    <row r="63" spans="2:28">
      <c r="B63" s="111"/>
      <c r="C63" s="111"/>
      <c r="D63" s="111"/>
      <c r="E63" s="111"/>
      <c r="F63" s="111"/>
    </row>
    <row r="64" spans="2:28">
      <c r="B64" s="111"/>
      <c r="C64" s="111"/>
      <c r="D64" s="111"/>
      <c r="E64" s="111"/>
      <c r="F64" s="111"/>
    </row>
    <row r="65" spans="2:6">
      <c r="B65" s="111"/>
      <c r="C65" s="111"/>
      <c r="D65" s="111"/>
      <c r="E65" s="111"/>
      <c r="F65" s="111"/>
    </row>
    <row r="66" spans="2:6">
      <c r="B66" s="111"/>
      <c r="C66" s="111"/>
      <c r="D66" s="111"/>
      <c r="E66" s="111"/>
      <c r="F66" s="111"/>
    </row>
    <row r="67" spans="2:6">
      <c r="B67" s="111"/>
      <c r="C67" s="111"/>
      <c r="D67" s="111"/>
      <c r="E67" s="111"/>
      <c r="F67" s="111"/>
    </row>
    <row r="68" spans="2:6">
      <c r="B68" s="111"/>
      <c r="C68" s="111"/>
      <c r="D68" s="111"/>
      <c r="E68" s="111"/>
      <c r="F68" s="111"/>
    </row>
    <row r="69" spans="2:6">
      <c r="B69" s="111"/>
      <c r="C69" s="111"/>
      <c r="D69" s="111"/>
      <c r="E69" s="111"/>
      <c r="F69" s="111"/>
    </row>
    <row r="70" spans="2:6">
      <c r="B70" s="111"/>
      <c r="C70" s="111"/>
      <c r="D70" s="111"/>
      <c r="E70" s="111"/>
      <c r="F70" s="111"/>
    </row>
    <row r="72" spans="2:6">
      <c r="B72" s="76"/>
      <c r="C72" s="76"/>
      <c r="D72" s="76"/>
      <c r="E72" s="76"/>
      <c r="F72" s="76"/>
    </row>
  </sheetData>
  <mergeCells count="25">
    <mergeCell ref="Z20:AB20"/>
    <mergeCell ref="K1:W3"/>
    <mergeCell ref="E8:F8"/>
    <mergeCell ref="G8:I8"/>
    <mergeCell ref="J8:N8"/>
    <mergeCell ref="O8:Q8"/>
    <mergeCell ref="X8:Y8"/>
    <mergeCell ref="Z8:AB8"/>
    <mergeCell ref="E20:F20"/>
    <mergeCell ref="G20:I20"/>
    <mergeCell ref="J20:N20"/>
    <mergeCell ref="O20:Q20"/>
    <mergeCell ref="X20:Y20"/>
    <mergeCell ref="Z44:AB44"/>
    <mergeCell ref="E32:F32"/>
    <mergeCell ref="G32:I32"/>
    <mergeCell ref="J32:N32"/>
    <mergeCell ref="O32:Q32"/>
    <mergeCell ref="X32:Y32"/>
    <mergeCell ref="Z32:AB32"/>
    <mergeCell ref="E44:F44"/>
    <mergeCell ref="G44:I44"/>
    <mergeCell ref="J44:N44"/>
    <mergeCell ref="O44:Q44"/>
    <mergeCell ref="X44:Y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2:E35"/>
  <sheetViews>
    <sheetView topLeftCell="A13" workbookViewId="0">
      <selection activeCell="E17" sqref="E17"/>
    </sheetView>
  </sheetViews>
  <sheetFormatPr defaultRowHeight="14.4"/>
  <cols>
    <col min="2" max="2" width="56.44140625" bestFit="1" customWidth="1"/>
    <col min="3" max="3" width="10.77734375" bestFit="1" customWidth="1"/>
  </cols>
  <sheetData>
    <row r="2" spans="2:4">
      <c r="B2" s="124" t="s">
        <v>379</v>
      </c>
      <c r="C2" s="125"/>
      <c r="D2" s="125"/>
    </row>
    <row r="3" spans="2:4">
      <c r="B3" s="132" t="s">
        <v>380</v>
      </c>
      <c r="C3" s="133" t="s">
        <v>381</v>
      </c>
      <c r="D3" s="125"/>
    </row>
    <row r="4" spans="2:4">
      <c r="B4" s="134" t="s">
        <v>382</v>
      </c>
      <c r="C4" s="135">
        <v>-1</v>
      </c>
      <c r="D4" s="125"/>
    </row>
    <row r="5" spans="2:4">
      <c r="B5" s="134" t="s">
        <v>383</v>
      </c>
      <c r="C5" s="135">
        <v>0</v>
      </c>
      <c r="D5" s="125"/>
    </row>
    <row r="6" spans="2:4">
      <c r="B6" s="134" t="s">
        <v>384</v>
      </c>
      <c r="C6" s="135">
        <v>1</v>
      </c>
      <c r="D6" s="125"/>
    </row>
    <row r="7" spans="2:4">
      <c r="B7" s="134" t="s">
        <v>385</v>
      </c>
      <c r="C7" s="135">
        <v>2</v>
      </c>
      <c r="D7" s="125"/>
    </row>
    <row r="8" spans="2:4">
      <c r="B8" s="134" t="s">
        <v>386</v>
      </c>
      <c r="C8" s="135">
        <v>3</v>
      </c>
      <c r="D8" s="125"/>
    </row>
    <row r="9" spans="2:4">
      <c r="B9" s="125"/>
      <c r="C9" s="125"/>
      <c r="D9" s="125"/>
    </row>
    <row r="10" spans="2:4">
      <c r="B10" s="125"/>
      <c r="C10" s="125"/>
      <c r="D10" s="125"/>
    </row>
    <row r="11" spans="2:4">
      <c r="B11" s="136" t="s">
        <v>387</v>
      </c>
      <c r="C11" s="125"/>
      <c r="D11" s="125"/>
    </row>
    <row r="12" spans="2:4">
      <c r="B12" s="125"/>
      <c r="C12" s="125"/>
      <c r="D12" s="125"/>
    </row>
    <row r="13" spans="2:4">
      <c r="B13" s="126" t="s">
        <v>388</v>
      </c>
      <c r="C13" s="137" t="s">
        <v>389</v>
      </c>
      <c r="D13" s="125"/>
    </row>
    <row r="14" spans="2:4">
      <c r="B14" s="127">
        <v>-5</v>
      </c>
      <c r="C14" s="138">
        <v>0.45</v>
      </c>
      <c r="D14" s="125"/>
    </row>
    <row r="15" spans="2:4">
      <c r="B15" s="128">
        <v>-4</v>
      </c>
      <c r="C15" s="138">
        <v>0.45</v>
      </c>
      <c r="D15" s="125"/>
    </row>
    <row r="16" spans="2:4">
      <c r="B16" s="128">
        <v>-3</v>
      </c>
      <c r="C16" s="138">
        <v>0.42499999999999999</v>
      </c>
      <c r="D16" s="125"/>
    </row>
    <row r="17" spans="2:5">
      <c r="B17" s="128">
        <v>-2</v>
      </c>
      <c r="C17" s="138">
        <v>0.42499999999999999</v>
      </c>
      <c r="D17" s="125"/>
      <c r="E17" s="140">
        <f>VLOOKUP('CALCULATOR CARE V6'!B10,Sheet1!B13:C29,2,0)</f>
        <v>0.22500000000000001</v>
      </c>
    </row>
    <row r="18" spans="2:5">
      <c r="B18" s="128">
        <v>-1</v>
      </c>
      <c r="C18" s="138">
        <v>0.4</v>
      </c>
      <c r="D18" s="125"/>
    </row>
    <row r="19" spans="2:5">
      <c r="B19" s="128">
        <v>0</v>
      </c>
      <c r="C19" s="138">
        <v>0.22500000000000001</v>
      </c>
      <c r="D19" s="125"/>
    </row>
    <row r="20" spans="2:5">
      <c r="B20" s="128">
        <v>1</v>
      </c>
      <c r="C20" s="138">
        <v>0.2</v>
      </c>
      <c r="D20" s="125"/>
    </row>
    <row r="21" spans="2:5">
      <c r="B21" s="128">
        <v>2</v>
      </c>
      <c r="C21" s="138">
        <f t="shared" ref="C21:C27" si="0">C20-2.5%</f>
        <v>0.17500000000000002</v>
      </c>
      <c r="D21" s="125"/>
    </row>
    <row r="22" spans="2:5">
      <c r="B22" s="128">
        <v>3</v>
      </c>
      <c r="C22" s="138">
        <f t="shared" si="0"/>
        <v>0.15000000000000002</v>
      </c>
      <c r="D22" s="125"/>
    </row>
    <row r="23" spans="2:5">
      <c r="B23" s="128">
        <v>4</v>
      </c>
      <c r="C23" s="138">
        <f t="shared" si="0"/>
        <v>0.12500000000000003</v>
      </c>
      <c r="D23" s="125"/>
    </row>
    <row r="24" spans="2:5">
      <c r="B24" s="128">
        <v>5</v>
      </c>
      <c r="C24" s="138">
        <f t="shared" si="0"/>
        <v>0.10000000000000003</v>
      </c>
      <c r="D24" s="125"/>
    </row>
    <row r="25" spans="2:5">
      <c r="B25" s="128">
        <v>6</v>
      </c>
      <c r="C25" s="138">
        <f t="shared" si="0"/>
        <v>7.5000000000000039E-2</v>
      </c>
      <c r="D25" s="125"/>
    </row>
    <row r="26" spans="2:5">
      <c r="B26" s="128">
        <v>7</v>
      </c>
      <c r="C26" s="138">
        <f t="shared" si="0"/>
        <v>5.0000000000000037E-2</v>
      </c>
      <c r="D26" s="125"/>
    </row>
    <row r="27" spans="2:5">
      <c r="B27" s="128">
        <v>8</v>
      </c>
      <c r="C27" s="138">
        <f t="shared" si="0"/>
        <v>2.5000000000000036E-2</v>
      </c>
      <c r="D27" s="125"/>
    </row>
    <row r="28" spans="2:5">
      <c r="B28" s="128">
        <v>9</v>
      </c>
      <c r="C28" s="138">
        <v>0</v>
      </c>
      <c r="D28" s="125"/>
    </row>
    <row r="29" spans="2:5">
      <c r="B29" s="128">
        <v>10</v>
      </c>
      <c r="C29" s="138">
        <v>0</v>
      </c>
      <c r="D29" s="125"/>
    </row>
    <row r="30" spans="2:5">
      <c r="B30" s="125"/>
      <c r="C30" s="125"/>
      <c r="D30" s="125"/>
    </row>
    <row r="31" spans="2:5">
      <c r="B31" s="129"/>
      <c r="C31" s="125"/>
      <c r="D31" s="125"/>
    </row>
    <row r="32" spans="2:5">
      <c r="B32" s="129" t="s">
        <v>390</v>
      </c>
      <c r="C32" s="125"/>
      <c r="D32" s="125"/>
    </row>
    <row r="33" spans="2:4">
      <c r="B33" s="126"/>
      <c r="C33" s="126" t="s">
        <v>391</v>
      </c>
      <c r="D33" s="125"/>
    </row>
    <row r="34" spans="2:4">
      <c r="B34" s="130" t="s">
        <v>392</v>
      </c>
      <c r="C34" s="131">
        <v>0.05</v>
      </c>
      <c r="D34" s="125"/>
    </row>
    <row r="35" spans="2:4">
      <c r="B35" s="130" t="s">
        <v>393</v>
      </c>
      <c r="C35" s="131">
        <v>0.2</v>
      </c>
      <c r="D35" s="1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CARE SHEET</vt:lpstr>
      <vt:lpstr>ZONE 1 PREMIUM</vt:lpstr>
      <vt:lpstr>DROPDOWN</vt:lpstr>
      <vt:lpstr>CALCULATOR CARE V6</vt:lpstr>
      <vt:lpstr>optional benefits</vt:lpstr>
      <vt:lpstr>CARE SENIOR</vt:lpstr>
      <vt:lpstr>TRAVEL PLUS</vt:lpstr>
      <vt:lpstr>ADD SI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kadmin1</dc:creator>
  <cp:lastModifiedBy>Shruti Sharma</cp:lastModifiedBy>
  <dcterms:created xsi:type="dcterms:W3CDTF">2017-03-22T09:40:00Z</dcterms:created>
  <dcterms:modified xsi:type="dcterms:W3CDTF">2025-11-09T18:56:43Z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1033-10.1.0.5614</vt:lpwstr>
  </property>
</Properties>
</file>